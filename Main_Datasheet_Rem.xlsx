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AAAC8E6-C7AA-4994-8C1E-31736FA6882B}" xr6:coauthVersionLast="47" xr6:coauthVersionMax="47" xr10:uidLastSave="{00000000-0000-0000-0000-000000000000}"/>
  <bookViews>
    <workbookView xWindow="-120" yWindow="-120" windowWidth="20730" windowHeight="11040" firstSheet="24" activeTab="26" xr2:uid="{00000000-000D-0000-FFFF-FFFF00000000}"/>
  </bookViews>
  <sheets>
    <sheet name="Constituency_Upazila_Map" sheetId="1" r:id="rId1"/>
    <sheet name="Population_data" sheetId="6" r:id="rId2"/>
    <sheet name="Crime_Data" sheetId="23" r:id="rId3"/>
    <sheet name="District_Crime_Unit_Map" sheetId="24" r:id="rId4"/>
    <sheet name="Election_Data" sheetId="2" r:id="rId5"/>
    <sheet name="Final_Merged_Data" sheetId="11" r:id="rId6"/>
    <sheet name="Constituency_Level_Data" sheetId="25" r:id="rId7"/>
    <sheet name="Master_Data" sheetId="5" r:id="rId8"/>
    <sheet name="Official_Constituencies" sheetId="12" r:id="rId9"/>
    <sheet name="Analysis_Data" sheetId="26" r:id="rId10"/>
    <sheet name="Remittance_Data" sheetId="10" r:id="rId11"/>
    <sheet name="Descriptive_Stats" sheetId="27" r:id="rId12"/>
    <sheet name="Correlation_Matrix" sheetId="28" r:id="rId13"/>
    <sheet name="Chart 1  Winning Party Seat Cou" sheetId="30" r:id="rId14"/>
    <sheet name="Chart 2 Average Winner Vote Sh" sheetId="32" r:id="rId15"/>
    <sheet name="Chart 3 Average Victory Margin" sheetId="31" r:id="rId16"/>
    <sheet name="Chat 4 Average Literacy Rate by" sheetId="33" r:id="rId17"/>
    <sheet name="Chat 5 Average Population Densi" sheetId="34" r:id="rId18"/>
    <sheet name="Chart 6 Average Total Crime Rat" sheetId="35" r:id="rId19"/>
    <sheet name="Chart 7 Average Violent Crime " sheetId="36" r:id="rId20"/>
    <sheet name="Chart 8 Average Household Size " sheetId="37" r:id="rId21"/>
    <sheet name="Chart 9 &amp; 10 Metro_Comparison" sheetId="38" r:id="rId22"/>
    <sheet name="Chart 11 Literacy Rate vs Winn" sheetId="39" r:id="rId23"/>
    <sheet name="Chart 12 Density Vote Share" sheetId="40" r:id="rId24"/>
    <sheet name="Chart 13 Crime Vote Share" sheetId="41" r:id="rId25"/>
    <sheet name="Party_Comparison" sheetId="29" r:id="rId26"/>
    <sheet name="Chart 14 Remittance_EDA" sheetId="42" r:id="rId27"/>
  </sheets>
  <definedNames>
    <definedName name="ExternalData_1" localSheetId="4" hidden="1">Election_Data!$A$1:$L$301</definedName>
    <definedName name="ExternalData_1" localSheetId="7" hidden="1">Master_Data!$A$1:$N$301</definedName>
    <definedName name="ExternalData_1" localSheetId="1" hidden="1">Population_data!$B$1:$E$496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2" l="1" a="1"/>
  <c r="A7" i="42" s="1"/>
  <c r="AC3" i="26"/>
  <c r="AC4" i="26"/>
  <c r="AC5" i="26"/>
  <c r="AC6" i="26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0" i="26"/>
  <c r="AC31" i="26"/>
  <c r="AC32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6" i="26"/>
  <c r="AC47" i="26"/>
  <c r="AC48" i="26"/>
  <c r="AC49" i="26"/>
  <c r="AC50" i="26"/>
  <c r="AC51" i="26"/>
  <c r="AC52" i="26"/>
  <c r="AC53" i="26"/>
  <c r="AC54" i="26"/>
  <c r="AC55" i="26"/>
  <c r="AC56" i="26"/>
  <c r="AC57" i="26"/>
  <c r="AC58" i="26"/>
  <c r="AC59" i="26"/>
  <c r="AC60" i="26"/>
  <c r="AC61" i="26"/>
  <c r="AC62" i="26"/>
  <c r="AC63" i="26"/>
  <c r="AC64" i="26"/>
  <c r="AC65" i="26"/>
  <c r="AC66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7" i="26"/>
  <c r="AC88" i="26"/>
  <c r="AC89" i="26"/>
  <c r="AC90" i="26"/>
  <c r="AC91" i="26"/>
  <c r="AC92" i="26"/>
  <c r="AC93" i="26"/>
  <c r="AC94" i="26"/>
  <c r="AC95" i="26"/>
  <c r="AC96" i="26"/>
  <c r="AC97" i="26"/>
  <c r="AC98" i="26"/>
  <c r="AC99" i="26"/>
  <c r="AC100" i="26"/>
  <c r="AC101" i="26"/>
  <c r="AC102" i="26"/>
  <c r="AC103" i="26"/>
  <c r="AC104" i="26"/>
  <c r="AC105" i="26"/>
  <c r="AC106" i="26"/>
  <c r="AC107" i="26"/>
  <c r="AC108" i="26"/>
  <c r="AC109" i="26"/>
  <c r="AC110" i="26"/>
  <c r="AC111" i="26"/>
  <c r="AC112" i="26"/>
  <c r="AC113" i="26"/>
  <c r="AC114" i="26"/>
  <c r="AC115" i="26"/>
  <c r="AC116" i="26"/>
  <c r="AC117" i="26"/>
  <c r="AC118" i="26"/>
  <c r="AC119" i="26"/>
  <c r="AC120" i="26"/>
  <c r="AC121" i="26"/>
  <c r="AC122" i="26"/>
  <c r="AC123" i="26"/>
  <c r="AC124" i="26"/>
  <c r="AC125" i="26"/>
  <c r="AC126" i="26"/>
  <c r="AC127" i="26"/>
  <c r="AC128" i="26"/>
  <c r="AC129" i="26"/>
  <c r="AC130" i="26"/>
  <c r="AC131" i="26"/>
  <c r="AC132" i="26"/>
  <c r="AC133" i="26"/>
  <c r="AC134" i="26"/>
  <c r="AC135" i="26"/>
  <c r="AC136" i="26"/>
  <c r="AC137" i="26"/>
  <c r="AC138" i="26"/>
  <c r="AC139" i="26"/>
  <c r="AC140" i="26"/>
  <c r="AC141" i="26"/>
  <c r="AC142" i="26"/>
  <c r="AC143" i="26"/>
  <c r="AC144" i="26"/>
  <c r="AC145" i="26"/>
  <c r="AC146" i="26"/>
  <c r="AC147" i="26"/>
  <c r="AC148" i="26"/>
  <c r="AC149" i="26"/>
  <c r="AC150" i="26"/>
  <c r="AC151" i="26"/>
  <c r="AC152" i="26"/>
  <c r="AC153" i="26"/>
  <c r="AC154" i="26"/>
  <c r="AC155" i="26"/>
  <c r="AC156" i="26"/>
  <c r="AC157" i="26"/>
  <c r="AC158" i="26"/>
  <c r="AC159" i="26"/>
  <c r="AC160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2" i="26"/>
  <c r="AC173" i="26"/>
  <c r="AC174" i="26"/>
  <c r="AC175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0" i="26"/>
  <c r="AC191" i="26"/>
  <c r="AC192" i="26"/>
  <c r="AC193" i="26"/>
  <c r="AC194" i="26"/>
  <c r="AC195" i="26"/>
  <c r="AC196" i="26"/>
  <c r="AC197" i="26"/>
  <c r="AC198" i="26"/>
  <c r="AC199" i="26"/>
  <c r="AC200" i="26"/>
  <c r="AC201" i="26"/>
  <c r="AC202" i="26"/>
  <c r="AC203" i="26"/>
  <c r="AC204" i="26"/>
  <c r="AC205" i="26"/>
  <c r="AC206" i="26"/>
  <c r="AC207" i="26"/>
  <c r="AC208" i="26"/>
  <c r="AC209" i="26"/>
  <c r="AC210" i="26"/>
  <c r="AC211" i="26"/>
  <c r="AC212" i="26"/>
  <c r="AC213" i="26"/>
  <c r="AC214" i="26"/>
  <c r="AC215" i="26"/>
  <c r="AC216" i="26"/>
  <c r="AC217" i="26"/>
  <c r="AC218" i="26"/>
  <c r="AC219" i="26"/>
  <c r="AC220" i="26"/>
  <c r="AC221" i="26"/>
  <c r="AC222" i="26"/>
  <c r="AC223" i="26"/>
  <c r="AC224" i="26"/>
  <c r="AC225" i="26"/>
  <c r="AC226" i="26"/>
  <c r="AC227" i="26"/>
  <c r="AC228" i="26"/>
  <c r="AC229" i="26"/>
  <c r="AC230" i="26"/>
  <c r="AC231" i="26"/>
  <c r="AC232" i="26"/>
  <c r="AC233" i="26"/>
  <c r="AC234" i="26"/>
  <c r="AC235" i="26"/>
  <c r="AC236" i="26"/>
  <c r="AC237" i="26"/>
  <c r="AC238" i="26"/>
  <c r="AC239" i="26"/>
  <c r="AC240" i="26"/>
  <c r="AC241" i="26"/>
  <c r="AC242" i="26"/>
  <c r="AC243" i="26"/>
  <c r="AC244" i="26"/>
  <c r="AC245" i="26"/>
  <c r="AC246" i="26"/>
  <c r="AC247" i="26"/>
  <c r="AC248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3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6" i="26"/>
  <c r="AC277" i="26"/>
  <c r="AC278" i="26"/>
  <c r="AC279" i="26"/>
  <c r="AC280" i="26"/>
  <c r="AC281" i="26"/>
  <c r="AC282" i="26"/>
  <c r="AC283" i="26"/>
  <c r="AC284" i="26"/>
  <c r="AC285" i="26"/>
  <c r="AC286" i="26"/>
  <c r="AC287" i="26"/>
  <c r="AC288" i="26"/>
  <c r="AC289" i="26"/>
  <c r="AC290" i="26"/>
  <c r="AC291" i="26"/>
  <c r="AC292" i="26"/>
  <c r="AC293" i="26"/>
  <c r="AC294" i="26"/>
  <c r="AC295" i="26"/>
  <c r="AC296" i="26"/>
  <c r="AC297" i="26"/>
  <c r="AC298" i="26"/>
  <c r="AC299" i="26"/>
  <c r="AC300" i="26"/>
  <c r="AC301" i="26"/>
  <c r="AB101" i="26"/>
  <c r="AB102" i="26"/>
  <c r="AB103" i="26"/>
  <c r="AB104" i="26"/>
  <c r="AB105" i="26"/>
  <c r="AB106" i="26"/>
  <c r="AB107" i="26"/>
  <c r="AB108" i="26"/>
  <c r="AB109" i="26"/>
  <c r="AB110" i="26"/>
  <c r="AB111" i="26"/>
  <c r="AB112" i="26"/>
  <c r="AB113" i="26"/>
  <c r="AB114" i="26"/>
  <c r="AB115" i="26"/>
  <c r="AB116" i="26"/>
  <c r="AB117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5" i="26"/>
  <c r="AB166" i="26"/>
  <c r="AB167" i="26"/>
  <c r="AB168" i="26"/>
  <c r="AB169" i="26"/>
  <c r="AB170" i="26"/>
  <c r="AB171" i="26"/>
  <c r="AB172" i="26"/>
  <c r="AB173" i="26"/>
  <c r="AB174" i="26"/>
  <c r="AB175" i="26"/>
  <c r="AB176" i="26"/>
  <c r="AB177" i="26"/>
  <c r="AB178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0" i="26"/>
  <c r="AB191" i="26"/>
  <c r="AB192" i="26"/>
  <c r="AB193" i="26"/>
  <c r="AB194" i="26"/>
  <c r="AB195" i="26"/>
  <c r="AB196" i="26"/>
  <c r="AB197" i="26"/>
  <c r="AB198" i="26"/>
  <c r="AB199" i="26"/>
  <c r="AB200" i="26"/>
  <c r="AB201" i="26"/>
  <c r="AB202" i="26"/>
  <c r="AB203" i="26"/>
  <c r="AB204" i="26"/>
  <c r="AB205" i="26"/>
  <c r="AB206" i="26"/>
  <c r="AB207" i="26"/>
  <c r="AB208" i="26"/>
  <c r="AB209" i="26"/>
  <c r="AB210" i="26"/>
  <c r="AB211" i="26"/>
  <c r="AB212" i="26"/>
  <c r="AB213" i="26"/>
  <c r="AB214" i="26"/>
  <c r="AB215" i="26"/>
  <c r="AB216" i="26"/>
  <c r="AB217" i="26"/>
  <c r="AB218" i="26"/>
  <c r="AB219" i="26"/>
  <c r="AB220" i="26"/>
  <c r="AB221" i="26"/>
  <c r="AB222" i="26"/>
  <c r="AB223" i="26"/>
  <c r="AB224" i="26"/>
  <c r="AB225" i="26"/>
  <c r="AB226" i="26"/>
  <c r="AB227" i="26"/>
  <c r="AB228" i="26"/>
  <c r="AB229" i="26"/>
  <c r="AB230" i="26"/>
  <c r="AB231" i="26"/>
  <c r="AB232" i="26"/>
  <c r="AB233" i="26"/>
  <c r="AB234" i="26"/>
  <c r="AB235" i="26"/>
  <c r="AB236" i="26"/>
  <c r="AB237" i="26"/>
  <c r="AB238" i="26"/>
  <c r="AB239" i="26"/>
  <c r="AB240" i="26"/>
  <c r="AB241" i="26"/>
  <c r="AB242" i="26"/>
  <c r="AB243" i="26"/>
  <c r="AB244" i="26"/>
  <c r="AB245" i="26"/>
  <c r="AB246" i="26"/>
  <c r="AB247" i="26"/>
  <c r="AB248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3" i="26"/>
  <c r="AB264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" i="26"/>
  <c r="AB4" i="26"/>
  <c r="AB5" i="26"/>
  <c r="AB6" i="26"/>
  <c r="AB7" i="26"/>
  <c r="AB8" i="26"/>
  <c r="AB9" i="26"/>
  <c r="AB10" i="26"/>
  <c r="AB11" i="26"/>
  <c r="AB12" i="26"/>
  <c r="AB13" i="26"/>
  <c r="AB14" i="26"/>
  <c r="AB15" i="26"/>
  <c r="AB16" i="26"/>
  <c r="AB17" i="26"/>
  <c r="AB18" i="26"/>
  <c r="AB19" i="26"/>
  <c r="AB20" i="26"/>
  <c r="AB21" i="26"/>
  <c r="AB22" i="26"/>
  <c r="AB23" i="26"/>
  <c r="AB24" i="26"/>
  <c r="AB25" i="26"/>
  <c r="AB26" i="26"/>
  <c r="AB27" i="26"/>
  <c r="AB28" i="26"/>
  <c r="AB29" i="26"/>
  <c r="AB30" i="26"/>
  <c r="AB31" i="26"/>
  <c r="AB32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5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79" i="26"/>
  <c r="AB80" i="26"/>
  <c r="AB81" i="26"/>
  <c r="AB82" i="26"/>
  <c r="AB83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97" i="26"/>
  <c r="AB98" i="26"/>
  <c r="AB99" i="26"/>
  <c r="AB100" i="26"/>
  <c r="AB1" i="26"/>
  <c r="AB2" i="26"/>
  <c r="AC2" i="26"/>
  <c r="AA3" i="26"/>
  <c r="AA4" i="26"/>
  <c r="AA5" i="26"/>
  <c r="AA6" i="26"/>
  <c r="AA7" i="26"/>
  <c r="AA8" i="26"/>
  <c r="AA9" i="26"/>
  <c r="AA10" i="26"/>
  <c r="AA11" i="26"/>
  <c r="AA12" i="26"/>
  <c r="AA13" i="26"/>
  <c r="AA14" i="26"/>
  <c r="AA15" i="26"/>
  <c r="AA16" i="26"/>
  <c r="AA17" i="26"/>
  <c r="AA18" i="26"/>
  <c r="AA19" i="26"/>
  <c r="AA20" i="26"/>
  <c r="AA21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04" i="26"/>
  <c r="AA205" i="26"/>
  <c r="AA206" i="26"/>
  <c r="AA207" i="26"/>
  <c r="AA208" i="26"/>
  <c r="AA209" i="26"/>
  <c r="AA210" i="26"/>
  <c r="AA211" i="26"/>
  <c r="AA212" i="26"/>
  <c r="AA213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25" i="26"/>
  <c r="AA226" i="26"/>
  <c r="AA227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4" i="26"/>
  <c r="AA245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2" i="26"/>
  <c r="P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N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7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F496" i="11"/>
  <c r="F497" i="11"/>
  <c r="F498" i="11"/>
  <c r="F499" i="11"/>
  <c r="F500" i="11"/>
  <c r="G496" i="11"/>
  <c r="G497" i="11"/>
  <c r="G498" i="11"/>
  <c r="G499" i="11"/>
  <c r="G500" i="11"/>
  <c r="H496" i="11"/>
  <c r="H497" i="11"/>
  <c r="H498" i="11"/>
  <c r="H499" i="11"/>
  <c r="H500" i="11"/>
  <c r="I496" i="11"/>
  <c r="I497" i="11"/>
  <c r="I498" i="11"/>
  <c r="I499" i="11"/>
  <c r="I500" i="11"/>
  <c r="J496" i="11"/>
  <c r="K496" i="11" s="1"/>
  <c r="J497" i="11"/>
  <c r="L497" i="11" s="1"/>
  <c r="J498" i="11"/>
  <c r="L498" i="11" s="1"/>
  <c r="J499" i="11"/>
  <c r="L499" i="11" s="1"/>
  <c r="J500" i="11"/>
  <c r="K500" i="11" s="1"/>
  <c r="K497" i="11"/>
  <c r="K498" i="11"/>
  <c r="K499" i="11"/>
  <c r="B156" i="11"/>
  <c r="B3" i="11"/>
  <c r="B2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2" i="12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7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7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7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7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J2" i="11"/>
  <c r="L2" i="11" s="1"/>
  <c r="J3" i="11"/>
  <c r="J4" i="11"/>
  <c r="L4" i="11" s="1"/>
  <c r="J5" i="11"/>
  <c r="J6" i="11"/>
  <c r="L6" i="11" s="1"/>
  <c r="J7" i="11"/>
  <c r="J8" i="11"/>
  <c r="L8" i="11" s="1"/>
  <c r="J9" i="11"/>
  <c r="J10" i="11"/>
  <c r="L10" i="11" s="1"/>
  <c r="J11" i="11"/>
  <c r="J12" i="11"/>
  <c r="L12" i="11" s="1"/>
  <c r="J13" i="11"/>
  <c r="J14" i="11"/>
  <c r="L14" i="11" s="1"/>
  <c r="J15" i="11"/>
  <c r="J16" i="11"/>
  <c r="L16" i="11" s="1"/>
  <c r="J17" i="11"/>
  <c r="J18" i="11"/>
  <c r="L18" i="11" s="1"/>
  <c r="J19" i="11"/>
  <c r="J20" i="11"/>
  <c r="L20" i="11" s="1"/>
  <c r="J21" i="11"/>
  <c r="J22" i="11"/>
  <c r="L22" i="11" s="1"/>
  <c r="J23" i="11"/>
  <c r="J24" i="11"/>
  <c r="L24" i="11" s="1"/>
  <c r="J25" i="11"/>
  <c r="J26" i="11"/>
  <c r="L26" i="11" s="1"/>
  <c r="J27" i="11"/>
  <c r="J28" i="11"/>
  <c r="L28" i="11" s="1"/>
  <c r="J29" i="11"/>
  <c r="J30" i="11"/>
  <c r="L30" i="11" s="1"/>
  <c r="J31" i="11"/>
  <c r="J32" i="11"/>
  <c r="L32" i="11" s="1"/>
  <c r="J33" i="11"/>
  <c r="J34" i="11"/>
  <c r="L34" i="11" s="1"/>
  <c r="J35" i="11"/>
  <c r="J36" i="11"/>
  <c r="L36" i="11" s="1"/>
  <c r="J37" i="11"/>
  <c r="J38" i="11"/>
  <c r="L38" i="11" s="1"/>
  <c r="J39" i="11"/>
  <c r="J40" i="11"/>
  <c r="L40" i="11" s="1"/>
  <c r="J41" i="11"/>
  <c r="J42" i="11"/>
  <c r="L42" i="11" s="1"/>
  <c r="J43" i="11"/>
  <c r="J44" i="11"/>
  <c r="L44" i="11" s="1"/>
  <c r="J45" i="11"/>
  <c r="J46" i="11"/>
  <c r="L46" i="11" s="1"/>
  <c r="J47" i="11"/>
  <c r="J48" i="11"/>
  <c r="L48" i="11" s="1"/>
  <c r="J49" i="11"/>
  <c r="J50" i="11"/>
  <c r="L50" i="11" s="1"/>
  <c r="J51" i="11"/>
  <c r="J52" i="11"/>
  <c r="L52" i="11" s="1"/>
  <c r="J53" i="11"/>
  <c r="J54" i="11"/>
  <c r="L54" i="11" s="1"/>
  <c r="J55" i="11"/>
  <c r="J56" i="11"/>
  <c r="L56" i="11" s="1"/>
  <c r="J57" i="11"/>
  <c r="J58" i="11"/>
  <c r="L58" i="11" s="1"/>
  <c r="J59" i="11"/>
  <c r="J60" i="11"/>
  <c r="L60" i="11" s="1"/>
  <c r="J61" i="11"/>
  <c r="J62" i="11"/>
  <c r="L62" i="11" s="1"/>
  <c r="J63" i="11"/>
  <c r="J64" i="11"/>
  <c r="L64" i="11" s="1"/>
  <c r="J65" i="11"/>
  <c r="J66" i="11"/>
  <c r="L66" i="11" s="1"/>
  <c r="J67" i="11"/>
  <c r="J68" i="11"/>
  <c r="L68" i="11" s="1"/>
  <c r="J69" i="11"/>
  <c r="J70" i="11"/>
  <c r="L70" i="11" s="1"/>
  <c r="J71" i="11"/>
  <c r="J72" i="11"/>
  <c r="L72" i="11" s="1"/>
  <c r="J73" i="11"/>
  <c r="J74" i="11"/>
  <c r="L74" i="11" s="1"/>
  <c r="J75" i="11"/>
  <c r="J76" i="11"/>
  <c r="L76" i="11" s="1"/>
  <c r="J77" i="11"/>
  <c r="J78" i="11"/>
  <c r="L78" i="11" s="1"/>
  <c r="J79" i="11"/>
  <c r="J80" i="11"/>
  <c r="L80" i="11" s="1"/>
  <c r="J81" i="11"/>
  <c r="J82" i="11"/>
  <c r="L82" i="11" s="1"/>
  <c r="J83" i="11"/>
  <c r="J84" i="11"/>
  <c r="L84" i="11" s="1"/>
  <c r="J85" i="11"/>
  <c r="J86" i="11"/>
  <c r="L86" i="11" s="1"/>
  <c r="J87" i="11"/>
  <c r="J88" i="11"/>
  <c r="L88" i="11" s="1"/>
  <c r="J89" i="11"/>
  <c r="J90" i="11"/>
  <c r="L90" i="11" s="1"/>
  <c r="J91" i="11"/>
  <c r="J92" i="11"/>
  <c r="L92" i="11" s="1"/>
  <c r="J93" i="11"/>
  <c r="J94" i="11"/>
  <c r="L94" i="11" s="1"/>
  <c r="J95" i="11"/>
  <c r="J96" i="11"/>
  <c r="L96" i="11" s="1"/>
  <c r="J97" i="11"/>
  <c r="J98" i="11"/>
  <c r="L98" i="11" s="1"/>
  <c r="J99" i="11"/>
  <c r="J100" i="11"/>
  <c r="L100" i="11" s="1"/>
  <c r="J101" i="11"/>
  <c r="J102" i="11"/>
  <c r="L102" i="11" s="1"/>
  <c r="J103" i="11"/>
  <c r="J104" i="11"/>
  <c r="L104" i="11" s="1"/>
  <c r="J105" i="11"/>
  <c r="J106" i="11"/>
  <c r="L106" i="11" s="1"/>
  <c r="J107" i="11"/>
  <c r="J108" i="11"/>
  <c r="L108" i="11" s="1"/>
  <c r="J109" i="11"/>
  <c r="J110" i="11"/>
  <c r="L110" i="11" s="1"/>
  <c r="J111" i="11"/>
  <c r="J112" i="11"/>
  <c r="L112" i="11" s="1"/>
  <c r="J113" i="11"/>
  <c r="J114" i="11"/>
  <c r="L114" i="11" s="1"/>
  <c r="J115" i="11"/>
  <c r="J116" i="11"/>
  <c r="L116" i="11" s="1"/>
  <c r="J117" i="11"/>
  <c r="J118" i="11"/>
  <c r="L118" i="11" s="1"/>
  <c r="J119" i="11"/>
  <c r="L119" i="11" s="1"/>
  <c r="J120" i="11"/>
  <c r="J121" i="11"/>
  <c r="L121" i="11" s="1"/>
  <c r="J122" i="11"/>
  <c r="J123" i="11"/>
  <c r="L123" i="11" s="1"/>
  <c r="J124" i="11"/>
  <c r="J125" i="11"/>
  <c r="L125" i="11" s="1"/>
  <c r="J126" i="11"/>
  <c r="J127" i="11"/>
  <c r="L127" i="11" s="1"/>
  <c r="J128" i="11"/>
  <c r="J129" i="11"/>
  <c r="L129" i="11" s="1"/>
  <c r="J130" i="11"/>
  <c r="J131" i="11"/>
  <c r="L131" i="11" s="1"/>
  <c r="J132" i="11"/>
  <c r="J133" i="11"/>
  <c r="L133" i="11" s="1"/>
  <c r="J134" i="11"/>
  <c r="J135" i="11"/>
  <c r="L135" i="11" s="1"/>
  <c r="J136" i="11"/>
  <c r="J137" i="11"/>
  <c r="L137" i="11" s="1"/>
  <c r="J138" i="11"/>
  <c r="J139" i="11"/>
  <c r="L139" i="11" s="1"/>
  <c r="J140" i="11"/>
  <c r="J141" i="11"/>
  <c r="L141" i="11" s="1"/>
  <c r="J142" i="11"/>
  <c r="J143" i="11"/>
  <c r="L143" i="11" s="1"/>
  <c r="J144" i="11"/>
  <c r="J145" i="11"/>
  <c r="L145" i="11" s="1"/>
  <c r="J146" i="11"/>
  <c r="J147" i="11"/>
  <c r="L147" i="11" s="1"/>
  <c r="J148" i="11"/>
  <c r="J149" i="11"/>
  <c r="L149" i="11" s="1"/>
  <c r="J150" i="11"/>
  <c r="J151" i="11"/>
  <c r="L151" i="11" s="1"/>
  <c r="J152" i="11"/>
  <c r="J153" i="11"/>
  <c r="L153" i="11" s="1"/>
  <c r="J154" i="11"/>
  <c r="J155" i="11"/>
  <c r="L155" i="11" s="1"/>
  <c r="J156" i="11"/>
  <c r="J157" i="11"/>
  <c r="L157" i="11" s="1"/>
  <c r="J158" i="11"/>
  <c r="J159" i="11"/>
  <c r="L159" i="11" s="1"/>
  <c r="J160" i="11"/>
  <c r="J161" i="11"/>
  <c r="L161" i="11" s="1"/>
  <c r="J162" i="11"/>
  <c r="J163" i="11"/>
  <c r="L163" i="11" s="1"/>
  <c r="J164" i="11"/>
  <c r="J165" i="11"/>
  <c r="L165" i="11" s="1"/>
  <c r="J166" i="11"/>
  <c r="J167" i="11"/>
  <c r="L167" i="11" s="1"/>
  <c r="J168" i="11"/>
  <c r="J169" i="11"/>
  <c r="L169" i="11" s="1"/>
  <c r="J170" i="11"/>
  <c r="J171" i="11"/>
  <c r="L171" i="11" s="1"/>
  <c r="J172" i="11"/>
  <c r="J173" i="11"/>
  <c r="L173" i="11" s="1"/>
  <c r="J174" i="11"/>
  <c r="J175" i="11"/>
  <c r="L175" i="11" s="1"/>
  <c r="J176" i="11"/>
  <c r="J177" i="11"/>
  <c r="L177" i="11" s="1"/>
  <c r="J178" i="11"/>
  <c r="J179" i="11"/>
  <c r="L179" i="11" s="1"/>
  <c r="J180" i="11"/>
  <c r="J181" i="11"/>
  <c r="L181" i="11" s="1"/>
  <c r="J182" i="11"/>
  <c r="J183" i="11"/>
  <c r="J184" i="11"/>
  <c r="L184" i="11" s="1"/>
  <c r="J185" i="11"/>
  <c r="J186" i="11"/>
  <c r="L186" i="11" s="1"/>
  <c r="J187" i="11"/>
  <c r="J188" i="11"/>
  <c r="L188" i="11" s="1"/>
  <c r="J189" i="11"/>
  <c r="J190" i="11"/>
  <c r="L190" i="11" s="1"/>
  <c r="J191" i="11"/>
  <c r="J192" i="11"/>
  <c r="L192" i="11" s="1"/>
  <c r="J193" i="11"/>
  <c r="J194" i="11"/>
  <c r="L194" i="11" s="1"/>
  <c r="J195" i="11"/>
  <c r="J196" i="11"/>
  <c r="L196" i="11" s="1"/>
  <c r="J197" i="11"/>
  <c r="J198" i="11"/>
  <c r="L198" i="11" s="1"/>
  <c r="J199" i="11"/>
  <c r="J200" i="11"/>
  <c r="L200" i="11" s="1"/>
  <c r="J201" i="11"/>
  <c r="J202" i="11"/>
  <c r="L202" i="11" s="1"/>
  <c r="J203" i="11"/>
  <c r="J204" i="11"/>
  <c r="L204" i="11" s="1"/>
  <c r="J205" i="11"/>
  <c r="J206" i="11"/>
  <c r="L206" i="11" s="1"/>
  <c r="J207" i="11"/>
  <c r="J208" i="11"/>
  <c r="L208" i="11" s="1"/>
  <c r="J209" i="11"/>
  <c r="J210" i="11"/>
  <c r="L210" i="11" s="1"/>
  <c r="J211" i="11"/>
  <c r="J212" i="11"/>
  <c r="L212" i="11" s="1"/>
  <c r="J213" i="11"/>
  <c r="J214" i="11"/>
  <c r="L214" i="11" s="1"/>
  <c r="J215" i="11"/>
  <c r="J216" i="11"/>
  <c r="L216" i="11" s="1"/>
  <c r="J217" i="11"/>
  <c r="J218" i="11"/>
  <c r="L218" i="11" s="1"/>
  <c r="J219" i="11"/>
  <c r="J220" i="11"/>
  <c r="L220" i="11" s="1"/>
  <c r="J221" i="11"/>
  <c r="J222" i="11"/>
  <c r="L222" i="11" s="1"/>
  <c r="J223" i="11"/>
  <c r="J224" i="11"/>
  <c r="L224" i="11" s="1"/>
  <c r="J225" i="11"/>
  <c r="J226" i="11"/>
  <c r="L226" i="11" s="1"/>
  <c r="J227" i="11"/>
  <c r="J228" i="11"/>
  <c r="L228" i="11" s="1"/>
  <c r="J229" i="11"/>
  <c r="J230" i="11"/>
  <c r="L230" i="11" s="1"/>
  <c r="J231" i="11"/>
  <c r="J232" i="11"/>
  <c r="L232" i="11" s="1"/>
  <c r="J233" i="11"/>
  <c r="J234" i="11"/>
  <c r="L234" i="11" s="1"/>
  <c r="J235" i="11"/>
  <c r="J236" i="11"/>
  <c r="L236" i="11" s="1"/>
  <c r="J237" i="11"/>
  <c r="J238" i="11"/>
  <c r="L238" i="11" s="1"/>
  <c r="J239" i="11"/>
  <c r="J240" i="11"/>
  <c r="L240" i="11" s="1"/>
  <c r="J241" i="11"/>
  <c r="J242" i="11"/>
  <c r="L242" i="11" s="1"/>
  <c r="J243" i="11"/>
  <c r="J244" i="11"/>
  <c r="L244" i="11" s="1"/>
  <c r="J245" i="11"/>
  <c r="J246" i="11"/>
  <c r="L246" i="11" s="1"/>
  <c r="J247" i="11"/>
  <c r="J248" i="11"/>
  <c r="L248" i="11" s="1"/>
  <c r="J249" i="11"/>
  <c r="J250" i="11"/>
  <c r="L250" i="11" s="1"/>
  <c r="J251" i="11"/>
  <c r="J252" i="11"/>
  <c r="L252" i="11" s="1"/>
  <c r="J253" i="11"/>
  <c r="J254" i="11"/>
  <c r="L254" i="11" s="1"/>
  <c r="J255" i="11"/>
  <c r="J256" i="11"/>
  <c r="L256" i="11" s="1"/>
  <c r="J257" i="11"/>
  <c r="J258" i="11"/>
  <c r="L258" i="11" s="1"/>
  <c r="J259" i="11"/>
  <c r="J260" i="11"/>
  <c r="L260" i="11" s="1"/>
  <c r="J261" i="11"/>
  <c r="J262" i="11"/>
  <c r="L262" i="11" s="1"/>
  <c r="J263" i="11"/>
  <c r="J264" i="11"/>
  <c r="L264" i="11" s="1"/>
  <c r="J265" i="11"/>
  <c r="J266" i="11"/>
  <c r="L266" i="11" s="1"/>
  <c r="J267" i="11"/>
  <c r="J268" i="11"/>
  <c r="L268" i="11" s="1"/>
  <c r="J269" i="11"/>
  <c r="J270" i="11"/>
  <c r="L270" i="11" s="1"/>
  <c r="J271" i="11"/>
  <c r="J272" i="11"/>
  <c r="L272" i="11" s="1"/>
  <c r="J273" i="11"/>
  <c r="J274" i="11"/>
  <c r="L274" i="11" s="1"/>
  <c r="J275" i="11"/>
  <c r="J276" i="11"/>
  <c r="L276" i="11" s="1"/>
  <c r="J277" i="11"/>
  <c r="J278" i="11"/>
  <c r="L278" i="11" s="1"/>
  <c r="J279" i="11"/>
  <c r="J280" i="11"/>
  <c r="L280" i="11" s="1"/>
  <c r="J281" i="11"/>
  <c r="J282" i="11"/>
  <c r="L282" i="11" s="1"/>
  <c r="J283" i="11"/>
  <c r="J284" i="11"/>
  <c r="L284" i="11" s="1"/>
  <c r="J285" i="11"/>
  <c r="J286" i="11"/>
  <c r="L286" i="11" s="1"/>
  <c r="J287" i="11"/>
  <c r="J288" i="11"/>
  <c r="L288" i="11" s="1"/>
  <c r="J289" i="11"/>
  <c r="J290" i="11"/>
  <c r="L290" i="11" s="1"/>
  <c r="J291" i="11"/>
  <c r="J292" i="11"/>
  <c r="L292" i="11" s="1"/>
  <c r="J293" i="11"/>
  <c r="J294" i="11"/>
  <c r="L294" i="11" s="1"/>
  <c r="J295" i="11"/>
  <c r="J296" i="11"/>
  <c r="L296" i="11" s="1"/>
  <c r="J297" i="11"/>
  <c r="J298" i="11"/>
  <c r="L298" i="11" s="1"/>
  <c r="J299" i="11"/>
  <c r="J300" i="11"/>
  <c r="L300" i="11" s="1"/>
  <c r="J301" i="11"/>
  <c r="J302" i="11"/>
  <c r="L302" i="11" s="1"/>
  <c r="J303" i="11"/>
  <c r="J304" i="11"/>
  <c r="L304" i="11" s="1"/>
  <c r="J305" i="11"/>
  <c r="J306" i="11"/>
  <c r="L306" i="11" s="1"/>
  <c r="J307" i="11"/>
  <c r="J308" i="11"/>
  <c r="L308" i="11" s="1"/>
  <c r="J309" i="11"/>
  <c r="J310" i="11"/>
  <c r="L310" i="11" s="1"/>
  <c r="J311" i="11"/>
  <c r="J312" i="11"/>
  <c r="L312" i="11" s="1"/>
  <c r="J313" i="11"/>
  <c r="J314" i="11"/>
  <c r="L314" i="11" s="1"/>
  <c r="J315" i="11"/>
  <c r="J316" i="11"/>
  <c r="L316" i="11" s="1"/>
  <c r="J317" i="11"/>
  <c r="J318" i="11"/>
  <c r="L318" i="11" s="1"/>
  <c r="J319" i="11"/>
  <c r="J320" i="11"/>
  <c r="L320" i="11" s="1"/>
  <c r="J321" i="11"/>
  <c r="J322" i="11"/>
  <c r="L322" i="11" s="1"/>
  <c r="J323" i="11"/>
  <c r="J324" i="11"/>
  <c r="L324" i="11" s="1"/>
  <c r="J325" i="11"/>
  <c r="J326" i="11"/>
  <c r="L326" i="11" s="1"/>
  <c r="J327" i="11"/>
  <c r="J328" i="11"/>
  <c r="L328" i="11" s="1"/>
  <c r="J329" i="11"/>
  <c r="J330" i="11"/>
  <c r="L330" i="11" s="1"/>
  <c r="J331" i="11"/>
  <c r="J332" i="11"/>
  <c r="L332" i="11" s="1"/>
  <c r="J333" i="11"/>
  <c r="J334" i="11"/>
  <c r="L334" i="11" s="1"/>
  <c r="J335" i="11"/>
  <c r="J336" i="11"/>
  <c r="L336" i="11" s="1"/>
  <c r="J337" i="11"/>
  <c r="J338" i="11"/>
  <c r="L338" i="11" s="1"/>
  <c r="J339" i="11"/>
  <c r="J340" i="11"/>
  <c r="L340" i="11" s="1"/>
  <c r="J341" i="11"/>
  <c r="J342" i="11"/>
  <c r="L342" i="11" s="1"/>
  <c r="J343" i="11"/>
  <c r="J344" i="11"/>
  <c r="L344" i="11" s="1"/>
  <c r="J345" i="11"/>
  <c r="J346" i="11"/>
  <c r="L346" i="11" s="1"/>
  <c r="J347" i="11"/>
  <c r="J348" i="11"/>
  <c r="L348" i="11" s="1"/>
  <c r="J349" i="11"/>
  <c r="J350" i="11"/>
  <c r="L350" i="11" s="1"/>
  <c r="J351" i="11"/>
  <c r="J352" i="11"/>
  <c r="L352" i="11" s="1"/>
  <c r="J353" i="11"/>
  <c r="J354" i="11"/>
  <c r="L354" i="11" s="1"/>
  <c r="J355" i="11"/>
  <c r="J356" i="11"/>
  <c r="L356" i="11" s="1"/>
  <c r="J357" i="11"/>
  <c r="L357" i="11" s="1"/>
  <c r="J358" i="11"/>
  <c r="L358" i="11" s="1"/>
  <c r="J359" i="11"/>
  <c r="L359" i="11" s="1"/>
  <c r="J360" i="11"/>
  <c r="L360" i="11" s="1"/>
  <c r="J361" i="11"/>
  <c r="L361" i="11" s="1"/>
  <c r="J362" i="11"/>
  <c r="L362" i="11" s="1"/>
  <c r="J363" i="11"/>
  <c r="L363" i="11" s="1"/>
  <c r="J364" i="11"/>
  <c r="L364" i="11" s="1"/>
  <c r="J365" i="11"/>
  <c r="L365" i="11" s="1"/>
  <c r="J366" i="11"/>
  <c r="L366" i="11" s="1"/>
  <c r="J367" i="11"/>
  <c r="L367" i="11" s="1"/>
  <c r="J368" i="11"/>
  <c r="L368" i="11" s="1"/>
  <c r="J369" i="11"/>
  <c r="L369" i="11" s="1"/>
  <c r="J370" i="11"/>
  <c r="L370" i="11" s="1"/>
  <c r="J371" i="11"/>
  <c r="L371" i="11" s="1"/>
  <c r="J372" i="11"/>
  <c r="L372" i="11" s="1"/>
  <c r="J373" i="11"/>
  <c r="L373" i="11" s="1"/>
  <c r="J374" i="11"/>
  <c r="L374" i="11" s="1"/>
  <c r="J375" i="11"/>
  <c r="L375" i="11" s="1"/>
  <c r="J376" i="11"/>
  <c r="L376" i="11" s="1"/>
  <c r="J377" i="11"/>
  <c r="L377" i="11" s="1"/>
  <c r="J378" i="11"/>
  <c r="L378" i="11" s="1"/>
  <c r="J379" i="11"/>
  <c r="L379" i="11" s="1"/>
  <c r="J380" i="11"/>
  <c r="L380" i="11" s="1"/>
  <c r="J381" i="11"/>
  <c r="L381" i="11" s="1"/>
  <c r="J382" i="11"/>
  <c r="L382" i="11" s="1"/>
  <c r="J383" i="11"/>
  <c r="L383" i="11" s="1"/>
  <c r="J384" i="11"/>
  <c r="L384" i="11" s="1"/>
  <c r="J385" i="11"/>
  <c r="L385" i="11" s="1"/>
  <c r="J386" i="11"/>
  <c r="L386" i="11" s="1"/>
  <c r="J387" i="11"/>
  <c r="L387" i="11" s="1"/>
  <c r="J388" i="11"/>
  <c r="L388" i="11" s="1"/>
  <c r="J389" i="11"/>
  <c r="L389" i="11" s="1"/>
  <c r="J390" i="11"/>
  <c r="L390" i="11" s="1"/>
  <c r="J391" i="11"/>
  <c r="L391" i="11" s="1"/>
  <c r="J392" i="11"/>
  <c r="L392" i="11" s="1"/>
  <c r="J393" i="11"/>
  <c r="L393" i="11" s="1"/>
  <c r="J394" i="11"/>
  <c r="L394" i="11" s="1"/>
  <c r="J395" i="11"/>
  <c r="L395" i="11" s="1"/>
  <c r="J396" i="11"/>
  <c r="L396" i="11" s="1"/>
  <c r="J397" i="11"/>
  <c r="L397" i="11" s="1"/>
  <c r="J398" i="11"/>
  <c r="L398" i="11" s="1"/>
  <c r="J399" i="11"/>
  <c r="L399" i="11" s="1"/>
  <c r="J400" i="11"/>
  <c r="L400" i="11" s="1"/>
  <c r="J401" i="11"/>
  <c r="L401" i="11" s="1"/>
  <c r="J402" i="11"/>
  <c r="L402" i="11" s="1"/>
  <c r="J403" i="11"/>
  <c r="L403" i="11" s="1"/>
  <c r="J404" i="11"/>
  <c r="L404" i="11" s="1"/>
  <c r="J405" i="11"/>
  <c r="L405" i="11" s="1"/>
  <c r="J406" i="11"/>
  <c r="L406" i="11" s="1"/>
  <c r="J407" i="11"/>
  <c r="L407" i="11" s="1"/>
  <c r="J408" i="11"/>
  <c r="L408" i="11" s="1"/>
  <c r="J409" i="11"/>
  <c r="L409" i="11" s="1"/>
  <c r="J410" i="11"/>
  <c r="L410" i="11" s="1"/>
  <c r="J411" i="11"/>
  <c r="L411" i="11" s="1"/>
  <c r="J412" i="11"/>
  <c r="L412" i="11" s="1"/>
  <c r="J413" i="11"/>
  <c r="L413" i="11" s="1"/>
  <c r="J414" i="11"/>
  <c r="L414" i="11" s="1"/>
  <c r="J415" i="11"/>
  <c r="L415" i="11" s="1"/>
  <c r="J416" i="11"/>
  <c r="L416" i="11" s="1"/>
  <c r="J417" i="11"/>
  <c r="L417" i="11" s="1"/>
  <c r="J418" i="11"/>
  <c r="L418" i="11" s="1"/>
  <c r="J419" i="11"/>
  <c r="L419" i="11" s="1"/>
  <c r="J420" i="11"/>
  <c r="L420" i="11" s="1"/>
  <c r="J421" i="11"/>
  <c r="L421" i="11" s="1"/>
  <c r="J422" i="11"/>
  <c r="L422" i="11" s="1"/>
  <c r="J423" i="11"/>
  <c r="L423" i="11" s="1"/>
  <c r="J424" i="11"/>
  <c r="L424" i="11" s="1"/>
  <c r="J425" i="11"/>
  <c r="L425" i="11" s="1"/>
  <c r="J426" i="11"/>
  <c r="L426" i="11" s="1"/>
  <c r="J427" i="11"/>
  <c r="L427" i="11" s="1"/>
  <c r="J428" i="11"/>
  <c r="L428" i="11" s="1"/>
  <c r="J429" i="11"/>
  <c r="L429" i="11" s="1"/>
  <c r="J430" i="11"/>
  <c r="L430" i="11" s="1"/>
  <c r="J431" i="11"/>
  <c r="L431" i="11" s="1"/>
  <c r="J432" i="11"/>
  <c r="L432" i="11" s="1"/>
  <c r="J433" i="11"/>
  <c r="L433" i="11" s="1"/>
  <c r="J434" i="11"/>
  <c r="L434" i="11" s="1"/>
  <c r="J435" i="11"/>
  <c r="L435" i="11" s="1"/>
  <c r="J436" i="11"/>
  <c r="L436" i="11" s="1"/>
  <c r="J437" i="11"/>
  <c r="L437" i="11" s="1"/>
  <c r="J438" i="11"/>
  <c r="L438" i="11" s="1"/>
  <c r="J439" i="11"/>
  <c r="L439" i="11" s="1"/>
  <c r="J440" i="11"/>
  <c r="L440" i="11" s="1"/>
  <c r="J441" i="11"/>
  <c r="L441" i="11" s="1"/>
  <c r="J442" i="11"/>
  <c r="L442" i="11" s="1"/>
  <c r="J443" i="11"/>
  <c r="L443" i="11" s="1"/>
  <c r="J444" i="11"/>
  <c r="L444" i="11" s="1"/>
  <c r="J445" i="11"/>
  <c r="L445" i="11" s="1"/>
  <c r="J446" i="11"/>
  <c r="L446" i="11" s="1"/>
  <c r="J447" i="11"/>
  <c r="L447" i="11" s="1"/>
  <c r="J448" i="11"/>
  <c r="L448" i="11" s="1"/>
  <c r="J449" i="11"/>
  <c r="L449" i="11" s="1"/>
  <c r="J450" i="11"/>
  <c r="L450" i="11" s="1"/>
  <c r="J451" i="11"/>
  <c r="L451" i="11" s="1"/>
  <c r="J452" i="11"/>
  <c r="L452" i="11" s="1"/>
  <c r="J453" i="11"/>
  <c r="L453" i="11" s="1"/>
  <c r="J454" i="11"/>
  <c r="L454" i="11" s="1"/>
  <c r="J455" i="11"/>
  <c r="L455" i="11" s="1"/>
  <c r="J456" i="11"/>
  <c r="L456" i="11" s="1"/>
  <c r="J457" i="11"/>
  <c r="L457" i="11" s="1"/>
  <c r="J458" i="11"/>
  <c r="L458" i="11" s="1"/>
  <c r="J459" i="11"/>
  <c r="L459" i="11" s="1"/>
  <c r="J460" i="11"/>
  <c r="L460" i="11" s="1"/>
  <c r="J461" i="11"/>
  <c r="L461" i="11" s="1"/>
  <c r="J462" i="11"/>
  <c r="L462" i="11" s="1"/>
  <c r="J463" i="11"/>
  <c r="L463" i="11" s="1"/>
  <c r="J464" i="11"/>
  <c r="K464" i="11" s="1"/>
  <c r="J465" i="11"/>
  <c r="L465" i="11" s="1"/>
  <c r="J466" i="11"/>
  <c r="K466" i="11" s="1"/>
  <c r="J467" i="11"/>
  <c r="L467" i="11" s="1"/>
  <c r="J468" i="11"/>
  <c r="L468" i="11" s="1"/>
  <c r="J469" i="11"/>
  <c r="L469" i="11" s="1"/>
  <c r="J470" i="11"/>
  <c r="L470" i="11" s="1"/>
  <c r="J471" i="11"/>
  <c r="L471" i="11" s="1"/>
  <c r="J472" i="11"/>
  <c r="K472" i="11" s="1"/>
  <c r="J473" i="11"/>
  <c r="L473" i="11" s="1"/>
  <c r="J474" i="11"/>
  <c r="K474" i="11" s="1"/>
  <c r="J475" i="11"/>
  <c r="L475" i="11" s="1"/>
  <c r="J476" i="11"/>
  <c r="L476" i="11" s="1"/>
  <c r="J477" i="11"/>
  <c r="L477" i="11" s="1"/>
  <c r="J478" i="11"/>
  <c r="L478" i="11" s="1"/>
  <c r="J479" i="11"/>
  <c r="L479" i="11" s="1"/>
  <c r="J480" i="11"/>
  <c r="K480" i="11" s="1"/>
  <c r="J481" i="11"/>
  <c r="L481" i="11" s="1"/>
  <c r="J482" i="11"/>
  <c r="K482" i="11" s="1"/>
  <c r="J483" i="11"/>
  <c r="L483" i="11" s="1"/>
  <c r="J484" i="11"/>
  <c r="L484" i="11" s="1"/>
  <c r="J485" i="11"/>
  <c r="L485" i="11" s="1"/>
  <c r="J486" i="11"/>
  <c r="L486" i="11" s="1"/>
  <c r="J487" i="11"/>
  <c r="L487" i="11" s="1"/>
  <c r="J488" i="11"/>
  <c r="K488" i="11" s="1"/>
  <c r="J489" i="11"/>
  <c r="L489" i="11" s="1"/>
  <c r="J490" i="11"/>
  <c r="K490" i="11" s="1"/>
  <c r="J491" i="11"/>
  <c r="L491" i="11" s="1"/>
  <c r="J492" i="11"/>
  <c r="L492" i="11" s="1"/>
  <c r="J493" i="11"/>
  <c r="L493" i="11" s="1"/>
  <c r="J494" i="11"/>
  <c r="L494" i="11" s="1"/>
  <c r="J495" i="11"/>
  <c r="L495" i="11" s="1"/>
  <c r="W2" i="23"/>
  <c r="W3" i="23"/>
  <c r="W4" i="23"/>
  <c r="W5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V2" i="23"/>
  <c r="V3" i="23"/>
  <c r="V4" i="23"/>
  <c r="V5" i="23"/>
  <c r="V6" i="23"/>
  <c r="V7" i="23"/>
  <c r="V8" i="23"/>
  <c r="V9" i="23"/>
  <c r="V10" i="23"/>
  <c r="V11" i="23"/>
  <c r="V12" i="23"/>
  <c r="V13" i="23"/>
  <c r="V14" i="23"/>
  <c r="V15" i="23"/>
  <c r="V16" i="23"/>
  <c r="V17" i="23"/>
  <c r="V18" i="23"/>
  <c r="V19" i="23"/>
  <c r="T2" i="23"/>
  <c r="T3" i="23"/>
  <c r="T4" i="23"/>
  <c r="T5" i="23"/>
  <c r="T6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19" i="23"/>
  <c r="S2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N3" i="5"/>
  <c r="O3" i="5" s="1"/>
  <c r="N4" i="5"/>
  <c r="O4" i="5" s="1"/>
  <c r="N5" i="5"/>
  <c r="O5" i="5" s="1"/>
  <c r="N6" i="5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16" i="5"/>
  <c r="O16" i="5" s="1"/>
  <c r="N17" i="5"/>
  <c r="O17" i="5" s="1"/>
  <c r="N18" i="5"/>
  <c r="O18" i="5" s="1"/>
  <c r="N19" i="5"/>
  <c r="O19" i="5" s="1"/>
  <c r="N20" i="5"/>
  <c r="O20" i="5" s="1"/>
  <c r="N21" i="5"/>
  <c r="O21" i="5" s="1"/>
  <c r="N22" i="5"/>
  <c r="O22" i="5" s="1"/>
  <c r="N23" i="5"/>
  <c r="O23" i="5" s="1"/>
  <c r="N24" i="5"/>
  <c r="O24" i="5" s="1"/>
  <c r="N25" i="5"/>
  <c r="O25" i="5" s="1"/>
  <c r="N26" i="5"/>
  <c r="O26" i="5" s="1"/>
  <c r="N27" i="5"/>
  <c r="O27" i="5" s="1"/>
  <c r="N28" i="5"/>
  <c r="O28" i="5" s="1"/>
  <c r="N29" i="5"/>
  <c r="O29" i="5" s="1"/>
  <c r="N30" i="5"/>
  <c r="O30" i="5" s="1"/>
  <c r="N31" i="5"/>
  <c r="O31" i="5" s="1"/>
  <c r="N32" i="5"/>
  <c r="O32" i="5" s="1"/>
  <c r="N33" i="5"/>
  <c r="O33" i="5" s="1"/>
  <c r="N34" i="5"/>
  <c r="O34" i="5" s="1"/>
  <c r="N35" i="5"/>
  <c r="O35" i="5" s="1"/>
  <c r="N36" i="5"/>
  <c r="O36" i="5" s="1"/>
  <c r="N37" i="5"/>
  <c r="O37" i="5" s="1"/>
  <c r="N38" i="5"/>
  <c r="O38" i="5" s="1"/>
  <c r="N39" i="5"/>
  <c r="O39" i="5" s="1"/>
  <c r="N40" i="5"/>
  <c r="O40" i="5" s="1"/>
  <c r="N41" i="5"/>
  <c r="O41" i="5" s="1"/>
  <c r="N42" i="5"/>
  <c r="O42" i="5" s="1"/>
  <c r="N43" i="5"/>
  <c r="O43" i="5" s="1"/>
  <c r="N44" i="5"/>
  <c r="O44" i="5" s="1"/>
  <c r="N45" i="5"/>
  <c r="O45" i="5" s="1"/>
  <c r="N46" i="5"/>
  <c r="O46" i="5" s="1"/>
  <c r="N47" i="5"/>
  <c r="O47" i="5" s="1"/>
  <c r="N48" i="5"/>
  <c r="O48" i="5" s="1"/>
  <c r="N49" i="5"/>
  <c r="O49" i="5" s="1"/>
  <c r="N50" i="5"/>
  <c r="O50" i="5" s="1"/>
  <c r="N51" i="5"/>
  <c r="O51" i="5" s="1"/>
  <c r="N52" i="5"/>
  <c r="O52" i="5" s="1"/>
  <c r="N53" i="5"/>
  <c r="O53" i="5" s="1"/>
  <c r="N54" i="5"/>
  <c r="O54" i="5" s="1"/>
  <c r="N55" i="5"/>
  <c r="O55" i="5" s="1"/>
  <c r="N56" i="5"/>
  <c r="O56" i="5" s="1"/>
  <c r="N57" i="5"/>
  <c r="O57" i="5" s="1"/>
  <c r="N58" i="5"/>
  <c r="O58" i="5" s="1"/>
  <c r="N59" i="5"/>
  <c r="O59" i="5" s="1"/>
  <c r="N60" i="5"/>
  <c r="O60" i="5" s="1"/>
  <c r="N61" i="5"/>
  <c r="O61" i="5" s="1"/>
  <c r="N62" i="5"/>
  <c r="O62" i="5" s="1"/>
  <c r="N63" i="5"/>
  <c r="O63" i="5" s="1"/>
  <c r="N64" i="5"/>
  <c r="O64" i="5" s="1"/>
  <c r="N65" i="5"/>
  <c r="O65" i="5" s="1"/>
  <c r="N66" i="5"/>
  <c r="O66" i="5" s="1"/>
  <c r="N67" i="5"/>
  <c r="O67" i="5" s="1"/>
  <c r="N68" i="5"/>
  <c r="O68" i="5" s="1"/>
  <c r="N69" i="5"/>
  <c r="O69" i="5" s="1"/>
  <c r="N70" i="5"/>
  <c r="O70" i="5" s="1"/>
  <c r="N71" i="5"/>
  <c r="O71" i="5" s="1"/>
  <c r="N72" i="5"/>
  <c r="O72" i="5" s="1"/>
  <c r="N73" i="5"/>
  <c r="O73" i="5" s="1"/>
  <c r="N74" i="5"/>
  <c r="O74" i="5" s="1"/>
  <c r="N75" i="5"/>
  <c r="O75" i="5" s="1"/>
  <c r="N76" i="5"/>
  <c r="O76" i="5" s="1"/>
  <c r="N77" i="5"/>
  <c r="O77" i="5" s="1"/>
  <c r="N78" i="5"/>
  <c r="O78" i="5" s="1"/>
  <c r="N79" i="5"/>
  <c r="O79" i="5" s="1"/>
  <c r="N80" i="5"/>
  <c r="O80" i="5" s="1"/>
  <c r="N81" i="5"/>
  <c r="O81" i="5" s="1"/>
  <c r="N82" i="5"/>
  <c r="O82" i="5" s="1"/>
  <c r="N83" i="5"/>
  <c r="O83" i="5" s="1"/>
  <c r="N84" i="5"/>
  <c r="O84" i="5" s="1"/>
  <c r="N85" i="5"/>
  <c r="O85" i="5" s="1"/>
  <c r="N86" i="5"/>
  <c r="O86" i="5" s="1"/>
  <c r="N87" i="5"/>
  <c r="O87" i="5" s="1"/>
  <c r="N88" i="5"/>
  <c r="O88" i="5" s="1"/>
  <c r="N89" i="5"/>
  <c r="O89" i="5" s="1"/>
  <c r="N90" i="5"/>
  <c r="O90" i="5" s="1"/>
  <c r="N91" i="5"/>
  <c r="O91" i="5" s="1"/>
  <c r="N92" i="5"/>
  <c r="O92" i="5" s="1"/>
  <c r="N93" i="5"/>
  <c r="O93" i="5" s="1"/>
  <c r="N94" i="5"/>
  <c r="O94" i="5" s="1"/>
  <c r="N95" i="5"/>
  <c r="O95" i="5" s="1"/>
  <c r="N96" i="5"/>
  <c r="O96" i="5" s="1"/>
  <c r="N97" i="5"/>
  <c r="O97" i="5" s="1"/>
  <c r="N98" i="5"/>
  <c r="O98" i="5" s="1"/>
  <c r="N99" i="5"/>
  <c r="O99" i="5" s="1"/>
  <c r="N100" i="5"/>
  <c r="O100" i="5" s="1"/>
  <c r="N101" i="5"/>
  <c r="O101" i="5" s="1"/>
  <c r="N102" i="5"/>
  <c r="O102" i="5" s="1"/>
  <c r="N103" i="5"/>
  <c r="O103" i="5" s="1"/>
  <c r="N104" i="5"/>
  <c r="O104" i="5" s="1"/>
  <c r="N105" i="5"/>
  <c r="O105" i="5" s="1"/>
  <c r="N106" i="5"/>
  <c r="O106" i="5" s="1"/>
  <c r="N107" i="5"/>
  <c r="O107" i="5" s="1"/>
  <c r="N108" i="5"/>
  <c r="O108" i="5" s="1"/>
  <c r="N109" i="5"/>
  <c r="O109" i="5" s="1"/>
  <c r="N110" i="5"/>
  <c r="O110" i="5" s="1"/>
  <c r="N111" i="5"/>
  <c r="O111" i="5" s="1"/>
  <c r="N112" i="5"/>
  <c r="O112" i="5" s="1"/>
  <c r="N113" i="5"/>
  <c r="O113" i="5" s="1"/>
  <c r="N114" i="5"/>
  <c r="O114" i="5" s="1"/>
  <c r="N115" i="5"/>
  <c r="O115" i="5" s="1"/>
  <c r="N116" i="5"/>
  <c r="O116" i="5" s="1"/>
  <c r="N117" i="5"/>
  <c r="O117" i="5" s="1"/>
  <c r="N118" i="5"/>
  <c r="O118" i="5" s="1"/>
  <c r="N119" i="5"/>
  <c r="O119" i="5" s="1"/>
  <c r="N120" i="5"/>
  <c r="O120" i="5" s="1"/>
  <c r="N121" i="5"/>
  <c r="O121" i="5" s="1"/>
  <c r="N122" i="5"/>
  <c r="O122" i="5" s="1"/>
  <c r="N123" i="5"/>
  <c r="O123" i="5" s="1"/>
  <c r="N124" i="5"/>
  <c r="O124" i="5" s="1"/>
  <c r="N125" i="5"/>
  <c r="O125" i="5" s="1"/>
  <c r="N126" i="5"/>
  <c r="O126" i="5" s="1"/>
  <c r="N127" i="5"/>
  <c r="O127" i="5" s="1"/>
  <c r="N128" i="5"/>
  <c r="O128" i="5" s="1"/>
  <c r="N129" i="5"/>
  <c r="O129" i="5" s="1"/>
  <c r="N130" i="5"/>
  <c r="O130" i="5" s="1"/>
  <c r="N131" i="5"/>
  <c r="O131" i="5" s="1"/>
  <c r="N132" i="5"/>
  <c r="O132" i="5" s="1"/>
  <c r="N133" i="5"/>
  <c r="O133" i="5" s="1"/>
  <c r="N134" i="5"/>
  <c r="O134" i="5" s="1"/>
  <c r="N135" i="5"/>
  <c r="O135" i="5" s="1"/>
  <c r="N136" i="5"/>
  <c r="O136" i="5" s="1"/>
  <c r="N137" i="5"/>
  <c r="O137" i="5" s="1"/>
  <c r="N138" i="5"/>
  <c r="O138" i="5" s="1"/>
  <c r="N139" i="5"/>
  <c r="O139" i="5" s="1"/>
  <c r="N140" i="5"/>
  <c r="O140" i="5" s="1"/>
  <c r="N141" i="5"/>
  <c r="O141" i="5" s="1"/>
  <c r="N142" i="5"/>
  <c r="O142" i="5" s="1"/>
  <c r="N143" i="5"/>
  <c r="O143" i="5" s="1"/>
  <c r="N144" i="5"/>
  <c r="O144" i="5" s="1"/>
  <c r="N145" i="5"/>
  <c r="O145" i="5" s="1"/>
  <c r="N146" i="5"/>
  <c r="O146" i="5" s="1"/>
  <c r="N147" i="5"/>
  <c r="O147" i="5" s="1"/>
  <c r="N148" i="5"/>
  <c r="O148" i="5" s="1"/>
  <c r="N149" i="5"/>
  <c r="O149" i="5" s="1"/>
  <c r="N150" i="5"/>
  <c r="O150" i="5" s="1"/>
  <c r="N151" i="5"/>
  <c r="O151" i="5" s="1"/>
  <c r="N152" i="5"/>
  <c r="O152" i="5" s="1"/>
  <c r="N153" i="5"/>
  <c r="O153" i="5" s="1"/>
  <c r="N154" i="5"/>
  <c r="O154" i="5" s="1"/>
  <c r="N155" i="5"/>
  <c r="O155" i="5" s="1"/>
  <c r="N156" i="5"/>
  <c r="O156" i="5" s="1"/>
  <c r="N157" i="5"/>
  <c r="O157" i="5" s="1"/>
  <c r="N158" i="5"/>
  <c r="O158" i="5" s="1"/>
  <c r="N159" i="5"/>
  <c r="O159" i="5" s="1"/>
  <c r="N160" i="5"/>
  <c r="O160" i="5" s="1"/>
  <c r="N161" i="5"/>
  <c r="O161" i="5" s="1"/>
  <c r="N162" i="5"/>
  <c r="O162" i="5" s="1"/>
  <c r="N163" i="5"/>
  <c r="O163" i="5" s="1"/>
  <c r="N164" i="5"/>
  <c r="O164" i="5" s="1"/>
  <c r="N165" i="5"/>
  <c r="O165" i="5" s="1"/>
  <c r="N166" i="5"/>
  <c r="O166" i="5" s="1"/>
  <c r="N167" i="5"/>
  <c r="O167" i="5" s="1"/>
  <c r="N168" i="5"/>
  <c r="O168" i="5" s="1"/>
  <c r="N169" i="5"/>
  <c r="O169" i="5" s="1"/>
  <c r="N170" i="5"/>
  <c r="O170" i="5" s="1"/>
  <c r="N171" i="5"/>
  <c r="O171" i="5" s="1"/>
  <c r="N172" i="5"/>
  <c r="O172" i="5" s="1"/>
  <c r="N173" i="5"/>
  <c r="O173" i="5" s="1"/>
  <c r="N174" i="5"/>
  <c r="O174" i="5" s="1"/>
  <c r="N175" i="5"/>
  <c r="O175" i="5" s="1"/>
  <c r="N176" i="5"/>
  <c r="O176" i="5" s="1"/>
  <c r="N177" i="5"/>
  <c r="O177" i="5" s="1"/>
  <c r="N178" i="5"/>
  <c r="O178" i="5" s="1"/>
  <c r="N179" i="5"/>
  <c r="O179" i="5" s="1"/>
  <c r="N180" i="5"/>
  <c r="O180" i="5" s="1"/>
  <c r="N181" i="5"/>
  <c r="O181" i="5" s="1"/>
  <c r="N182" i="5"/>
  <c r="O182" i="5" s="1"/>
  <c r="N183" i="5"/>
  <c r="O183" i="5" s="1"/>
  <c r="N184" i="5"/>
  <c r="O184" i="5" s="1"/>
  <c r="N185" i="5"/>
  <c r="O185" i="5" s="1"/>
  <c r="N186" i="5"/>
  <c r="O186" i="5" s="1"/>
  <c r="N187" i="5"/>
  <c r="O187" i="5" s="1"/>
  <c r="N188" i="5"/>
  <c r="O188" i="5" s="1"/>
  <c r="N189" i="5"/>
  <c r="O189" i="5" s="1"/>
  <c r="N190" i="5"/>
  <c r="O190" i="5" s="1"/>
  <c r="N191" i="5"/>
  <c r="O191" i="5" s="1"/>
  <c r="N192" i="5"/>
  <c r="O192" i="5" s="1"/>
  <c r="N193" i="5"/>
  <c r="O193" i="5" s="1"/>
  <c r="N194" i="5"/>
  <c r="O194" i="5" s="1"/>
  <c r="N195" i="5"/>
  <c r="O195" i="5" s="1"/>
  <c r="N196" i="5"/>
  <c r="O196" i="5" s="1"/>
  <c r="N197" i="5"/>
  <c r="O197" i="5" s="1"/>
  <c r="N198" i="5"/>
  <c r="O198" i="5" s="1"/>
  <c r="N199" i="5"/>
  <c r="O199" i="5" s="1"/>
  <c r="N200" i="5"/>
  <c r="O200" i="5" s="1"/>
  <c r="N201" i="5"/>
  <c r="O201" i="5" s="1"/>
  <c r="N202" i="5"/>
  <c r="O202" i="5" s="1"/>
  <c r="N203" i="5"/>
  <c r="O203" i="5" s="1"/>
  <c r="N204" i="5"/>
  <c r="O204" i="5" s="1"/>
  <c r="N205" i="5"/>
  <c r="O205" i="5" s="1"/>
  <c r="N206" i="5"/>
  <c r="O206" i="5" s="1"/>
  <c r="N207" i="5"/>
  <c r="O207" i="5" s="1"/>
  <c r="N208" i="5"/>
  <c r="O208" i="5" s="1"/>
  <c r="N209" i="5"/>
  <c r="O209" i="5" s="1"/>
  <c r="N210" i="5"/>
  <c r="O210" i="5" s="1"/>
  <c r="N211" i="5"/>
  <c r="O211" i="5" s="1"/>
  <c r="N212" i="5"/>
  <c r="O212" i="5" s="1"/>
  <c r="N213" i="5"/>
  <c r="O213" i="5" s="1"/>
  <c r="N214" i="5"/>
  <c r="O214" i="5" s="1"/>
  <c r="N215" i="5"/>
  <c r="O215" i="5" s="1"/>
  <c r="N216" i="5"/>
  <c r="O216" i="5" s="1"/>
  <c r="N217" i="5"/>
  <c r="O217" i="5" s="1"/>
  <c r="N218" i="5"/>
  <c r="O218" i="5" s="1"/>
  <c r="N219" i="5"/>
  <c r="O219" i="5" s="1"/>
  <c r="N220" i="5"/>
  <c r="O220" i="5" s="1"/>
  <c r="N221" i="5"/>
  <c r="O221" i="5" s="1"/>
  <c r="N222" i="5"/>
  <c r="O222" i="5" s="1"/>
  <c r="N223" i="5"/>
  <c r="O223" i="5" s="1"/>
  <c r="N224" i="5"/>
  <c r="O224" i="5" s="1"/>
  <c r="N225" i="5"/>
  <c r="O225" i="5" s="1"/>
  <c r="N226" i="5"/>
  <c r="O226" i="5" s="1"/>
  <c r="N227" i="5"/>
  <c r="O227" i="5" s="1"/>
  <c r="N228" i="5"/>
  <c r="O228" i="5" s="1"/>
  <c r="N229" i="5"/>
  <c r="O229" i="5" s="1"/>
  <c r="N230" i="5"/>
  <c r="O230" i="5" s="1"/>
  <c r="N231" i="5"/>
  <c r="O231" i="5" s="1"/>
  <c r="N232" i="5"/>
  <c r="O232" i="5" s="1"/>
  <c r="N233" i="5"/>
  <c r="O233" i="5" s="1"/>
  <c r="N234" i="5"/>
  <c r="O234" i="5" s="1"/>
  <c r="N235" i="5"/>
  <c r="O235" i="5" s="1"/>
  <c r="N236" i="5"/>
  <c r="O236" i="5" s="1"/>
  <c r="N237" i="5"/>
  <c r="O237" i="5" s="1"/>
  <c r="N238" i="5"/>
  <c r="O238" i="5" s="1"/>
  <c r="N239" i="5"/>
  <c r="O239" i="5" s="1"/>
  <c r="N240" i="5"/>
  <c r="O240" i="5" s="1"/>
  <c r="N241" i="5"/>
  <c r="O241" i="5" s="1"/>
  <c r="N242" i="5"/>
  <c r="O242" i="5" s="1"/>
  <c r="N243" i="5"/>
  <c r="O243" i="5" s="1"/>
  <c r="N244" i="5"/>
  <c r="O244" i="5" s="1"/>
  <c r="N245" i="5"/>
  <c r="O245" i="5" s="1"/>
  <c r="N246" i="5"/>
  <c r="O246" i="5" s="1"/>
  <c r="N247" i="5"/>
  <c r="O247" i="5" s="1"/>
  <c r="N248" i="5"/>
  <c r="O248" i="5" s="1"/>
  <c r="N249" i="5"/>
  <c r="O249" i="5" s="1"/>
  <c r="N250" i="5"/>
  <c r="O250" i="5" s="1"/>
  <c r="N251" i="5"/>
  <c r="O251" i="5" s="1"/>
  <c r="N252" i="5"/>
  <c r="O252" i="5" s="1"/>
  <c r="N253" i="5"/>
  <c r="O253" i="5" s="1"/>
  <c r="N254" i="5"/>
  <c r="O254" i="5" s="1"/>
  <c r="N255" i="5"/>
  <c r="O255" i="5" s="1"/>
  <c r="N256" i="5"/>
  <c r="O256" i="5" s="1"/>
  <c r="N257" i="5"/>
  <c r="O257" i="5" s="1"/>
  <c r="N258" i="5"/>
  <c r="O258" i="5" s="1"/>
  <c r="N259" i="5"/>
  <c r="O259" i="5" s="1"/>
  <c r="N260" i="5"/>
  <c r="O260" i="5" s="1"/>
  <c r="N261" i="5"/>
  <c r="O261" i="5" s="1"/>
  <c r="N262" i="5"/>
  <c r="O262" i="5" s="1"/>
  <c r="N263" i="5"/>
  <c r="O263" i="5" s="1"/>
  <c r="N264" i="5"/>
  <c r="O264" i="5" s="1"/>
  <c r="N265" i="5"/>
  <c r="O265" i="5" s="1"/>
  <c r="N266" i="5"/>
  <c r="O266" i="5" s="1"/>
  <c r="N267" i="5"/>
  <c r="O267" i="5" s="1"/>
  <c r="N268" i="5"/>
  <c r="O268" i="5" s="1"/>
  <c r="N269" i="5"/>
  <c r="O269" i="5" s="1"/>
  <c r="N270" i="5"/>
  <c r="O270" i="5" s="1"/>
  <c r="N271" i="5"/>
  <c r="O271" i="5" s="1"/>
  <c r="N272" i="5"/>
  <c r="O272" i="5" s="1"/>
  <c r="N273" i="5"/>
  <c r="O273" i="5" s="1"/>
  <c r="N274" i="5"/>
  <c r="O274" i="5" s="1"/>
  <c r="N275" i="5"/>
  <c r="O275" i="5" s="1"/>
  <c r="N276" i="5"/>
  <c r="O276" i="5" s="1"/>
  <c r="N277" i="5"/>
  <c r="O277" i="5" s="1"/>
  <c r="N278" i="5"/>
  <c r="O278" i="5" s="1"/>
  <c r="N279" i="5"/>
  <c r="O279" i="5" s="1"/>
  <c r="N280" i="5"/>
  <c r="O280" i="5" s="1"/>
  <c r="N281" i="5"/>
  <c r="O281" i="5" s="1"/>
  <c r="N282" i="5"/>
  <c r="O282" i="5" s="1"/>
  <c r="N283" i="5"/>
  <c r="O283" i="5" s="1"/>
  <c r="N284" i="5"/>
  <c r="O284" i="5" s="1"/>
  <c r="N285" i="5"/>
  <c r="O285" i="5" s="1"/>
  <c r="N286" i="5"/>
  <c r="O286" i="5" s="1"/>
  <c r="N287" i="5"/>
  <c r="O287" i="5" s="1"/>
  <c r="N288" i="5"/>
  <c r="O288" i="5" s="1"/>
  <c r="N289" i="5"/>
  <c r="O289" i="5" s="1"/>
  <c r="N290" i="5"/>
  <c r="O290" i="5" s="1"/>
  <c r="N291" i="5"/>
  <c r="O291" i="5" s="1"/>
  <c r="N292" i="5"/>
  <c r="O292" i="5" s="1"/>
  <c r="N293" i="5"/>
  <c r="O293" i="5" s="1"/>
  <c r="N294" i="5"/>
  <c r="O294" i="5" s="1"/>
  <c r="N295" i="5"/>
  <c r="O295" i="5" s="1"/>
  <c r="N296" i="5"/>
  <c r="O296" i="5" s="1"/>
  <c r="N297" i="5"/>
  <c r="O297" i="5" s="1"/>
  <c r="N298" i="5"/>
  <c r="O298" i="5" s="1"/>
  <c r="N299" i="5"/>
  <c r="O299" i="5" s="1"/>
  <c r="N300" i="5"/>
  <c r="O300" i="5" s="1"/>
  <c r="N301" i="5"/>
  <c r="O301" i="5" s="1"/>
  <c r="N2" i="5"/>
  <c r="O2" i="5" s="1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" i="5"/>
  <c r="F4" i="5"/>
  <c r="F5" i="5"/>
  <c r="F6" i="5"/>
  <c r="F2" i="5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C302" i="26" l="1" a="1"/>
  <c r="C302" i="26" s="1"/>
  <c r="A2" i="26" a="1"/>
  <c r="E3" i="10"/>
  <c r="E7" i="10"/>
  <c r="E11" i="10"/>
  <c r="E15" i="10"/>
  <c r="E19" i="10"/>
  <c r="E23" i="10"/>
  <c r="E27" i="10"/>
  <c r="E31" i="10"/>
  <c r="E35" i="10"/>
  <c r="E39" i="10"/>
  <c r="E43" i="10"/>
  <c r="E47" i="10"/>
  <c r="E51" i="10"/>
  <c r="E55" i="10"/>
  <c r="E59" i="10"/>
  <c r="E63" i="10"/>
  <c r="E4" i="10"/>
  <c r="E8" i="10"/>
  <c r="E12" i="10"/>
  <c r="E16" i="10"/>
  <c r="E20" i="10"/>
  <c r="E24" i="10"/>
  <c r="E28" i="10"/>
  <c r="E32" i="10"/>
  <c r="E36" i="10"/>
  <c r="E40" i="10"/>
  <c r="E44" i="10"/>
  <c r="E48" i="10"/>
  <c r="E52" i="10"/>
  <c r="E56" i="10"/>
  <c r="E60" i="10"/>
  <c r="E64" i="10"/>
  <c r="E5" i="10"/>
  <c r="E9" i="10"/>
  <c r="E13" i="10"/>
  <c r="E17" i="10"/>
  <c r="E21" i="10"/>
  <c r="E25" i="10"/>
  <c r="E29" i="10"/>
  <c r="E33" i="10"/>
  <c r="E37" i="10"/>
  <c r="E41" i="10"/>
  <c r="E45" i="10"/>
  <c r="E49" i="10"/>
  <c r="E53" i="10"/>
  <c r="E57" i="10"/>
  <c r="E61" i="10"/>
  <c r="E65" i="10"/>
  <c r="E6" i="10"/>
  <c r="E10" i="10"/>
  <c r="E14" i="10"/>
  <c r="E18" i="10"/>
  <c r="E22" i="10"/>
  <c r="E26" i="10"/>
  <c r="E30" i="10"/>
  <c r="E34" i="10"/>
  <c r="E38" i="10"/>
  <c r="E42" i="10"/>
  <c r="E46" i="10"/>
  <c r="E50" i="10"/>
  <c r="E54" i="10"/>
  <c r="E58" i="10"/>
  <c r="E62" i="10"/>
  <c r="E2" i="10"/>
  <c r="C302" i="25" a="1"/>
  <c r="C302" i="25" s="1"/>
  <c r="Y3" i="26"/>
  <c r="J5" i="26" a="1"/>
  <c r="J5" i="26" s="1"/>
  <c r="D6" i="26" a="1"/>
  <c r="D6" i="26" s="1"/>
  <c r="E8" i="26"/>
  <c r="O9" i="26"/>
  <c r="F3" i="26"/>
  <c r="I3" i="26" s="1" a="1"/>
  <c r="I3" i="26" s="1"/>
  <c r="E4" i="26"/>
  <c r="O5" i="26"/>
  <c r="N6" i="26"/>
  <c r="Q7" i="26"/>
  <c r="P8" i="26"/>
  <c r="S9" i="26"/>
  <c r="M3" i="26"/>
  <c r="C4" i="26" a="1"/>
  <c r="C4" i="26" s="1"/>
  <c r="X4" i="26"/>
  <c r="W5" i="26"/>
  <c r="R6" i="26"/>
  <c r="M7" i="26"/>
  <c r="C8" i="26" a="1"/>
  <c r="C8" i="26" s="1"/>
  <c r="X8" i="26"/>
  <c r="W9" i="26"/>
  <c r="D18" i="26" a="1"/>
  <c r="D18" i="26" s="1"/>
  <c r="N18" i="26"/>
  <c r="R18" i="26"/>
  <c r="V18" i="26"/>
  <c r="F19" i="26"/>
  <c r="I19" i="26" s="1" a="1"/>
  <c r="I19" i="26" s="1"/>
  <c r="M19" i="26"/>
  <c r="Q19" i="26"/>
  <c r="U19" i="26"/>
  <c r="Y19" i="26"/>
  <c r="C20" i="26" a="1"/>
  <c r="C20" i="26" s="1"/>
  <c r="E20" i="26"/>
  <c r="P20" i="26"/>
  <c r="T20" i="26"/>
  <c r="X20" i="26"/>
  <c r="J21" i="26" a="1"/>
  <c r="J21" i="26" s="1"/>
  <c r="O21" i="26"/>
  <c r="S21" i="26"/>
  <c r="W21" i="26"/>
  <c r="B26" i="26" a="1"/>
  <c r="B26" i="26" s="1"/>
  <c r="D26" i="26" a="1"/>
  <c r="D26" i="26" s="1"/>
  <c r="N26" i="26"/>
  <c r="R26" i="26"/>
  <c r="V26" i="26"/>
  <c r="F27" i="26"/>
  <c r="I27" i="26" s="1" a="1"/>
  <c r="I27" i="26" s="1"/>
  <c r="M27" i="26"/>
  <c r="Q27" i="26"/>
  <c r="U27" i="26"/>
  <c r="Y27" i="26"/>
  <c r="C28" i="26" a="1"/>
  <c r="C28" i="26" s="1"/>
  <c r="E28" i="26"/>
  <c r="P28" i="26"/>
  <c r="T28" i="26"/>
  <c r="X28" i="26"/>
  <c r="J29" i="26" a="1"/>
  <c r="J29" i="26" s="1"/>
  <c r="O29" i="26"/>
  <c r="S29" i="26"/>
  <c r="W29" i="26"/>
  <c r="B30" i="26" a="1"/>
  <c r="B30" i="26" s="1"/>
  <c r="D30" i="26" a="1"/>
  <c r="D30" i="26" s="1"/>
  <c r="N30" i="26"/>
  <c r="R30" i="26"/>
  <c r="V30" i="26"/>
  <c r="F31" i="26"/>
  <c r="I31" i="26" s="1" a="1"/>
  <c r="I31" i="26" s="1"/>
  <c r="M31" i="26"/>
  <c r="Q31" i="26"/>
  <c r="U31" i="26"/>
  <c r="Y31" i="26"/>
  <c r="C32" i="26" a="1"/>
  <c r="C32" i="26" s="1"/>
  <c r="E32" i="26"/>
  <c r="P32" i="26"/>
  <c r="T32" i="26"/>
  <c r="X32" i="26"/>
  <c r="J33" i="26" a="1"/>
  <c r="J33" i="26" s="1"/>
  <c r="O33" i="26"/>
  <c r="S33" i="26"/>
  <c r="W33" i="26"/>
  <c r="B34" i="26" a="1"/>
  <c r="B34" i="26" s="1"/>
  <c r="D34" i="26" a="1"/>
  <c r="D34" i="26" s="1"/>
  <c r="N34" i="26"/>
  <c r="R34" i="26"/>
  <c r="V34" i="26"/>
  <c r="F35" i="26"/>
  <c r="M35" i="26"/>
  <c r="Q35" i="26"/>
  <c r="U35" i="26"/>
  <c r="Y35" i="26"/>
  <c r="C36" i="26" a="1"/>
  <c r="C36" i="26" s="1"/>
  <c r="E36" i="26"/>
  <c r="P36" i="26"/>
  <c r="T36" i="26"/>
  <c r="X36" i="26"/>
  <c r="J37" i="26" a="1"/>
  <c r="J37" i="26" s="1"/>
  <c r="O37" i="26"/>
  <c r="S37" i="26"/>
  <c r="W37" i="26"/>
  <c r="B38" i="26" a="1"/>
  <c r="B38" i="26" s="1"/>
  <c r="D38" i="26" a="1"/>
  <c r="D38" i="26" s="1"/>
  <c r="N38" i="26"/>
  <c r="R38" i="26"/>
  <c r="V38" i="26"/>
  <c r="F39" i="26"/>
  <c r="I39" i="26" s="1" a="1"/>
  <c r="I39" i="26" s="1"/>
  <c r="M39" i="26"/>
  <c r="Q39" i="26"/>
  <c r="U39" i="26"/>
  <c r="Y39" i="26"/>
  <c r="C40" i="26" a="1"/>
  <c r="C40" i="26" s="1"/>
  <c r="E40" i="26"/>
  <c r="P40" i="26"/>
  <c r="T40" i="26"/>
  <c r="X40" i="26"/>
  <c r="J41" i="26" a="1"/>
  <c r="J41" i="26" s="1"/>
  <c r="O41" i="26"/>
  <c r="S41" i="26"/>
  <c r="W41" i="26"/>
  <c r="B42" i="26" a="1"/>
  <c r="B42" i="26" s="1"/>
  <c r="D42" i="26" a="1"/>
  <c r="D42" i="26" s="1"/>
  <c r="N42" i="26"/>
  <c r="R42" i="26"/>
  <c r="V42" i="26"/>
  <c r="F43" i="26"/>
  <c r="I43" i="26" s="1" a="1"/>
  <c r="I43" i="26" s="1"/>
  <c r="M43" i="26"/>
  <c r="Q43" i="26"/>
  <c r="U43" i="26"/>
  <c r="Y43" i="26"/>
  <c r="C44" i="26" a="1"/>
  <c r="C44" i="26" s="1"/>
  <c r="E44" i="26"/>
  <c r="P44" i="26"/>
  <c r="T44" i="26"/>
  <c r="X44" i="26"/>
  <c r="J45" i="26" a="1"/>
  <c r="J45" i="26" s="1"/>
  <c r="O45" i="26"/>
  <c r="S45" i="26"/>
  <c r="W45" i="26"/>
  <c r="B46" i="26" a="1"/>
  <c r="B46" i="26" s="1"/>
  <c r="D46" i="26" a="1"/>
  <c r="D46" i="26" s="1"/>
  <c r="N46" i="26"/>
  <c r="R46" i="26"/>
  <c r="V46" i="26"/>
  <c r="F47" i="26"/>
  <c r="I47" i="26" s="1" a="1"/>
  <c r="I47" i="26" s="1"/>
  <c r="M47" i="26"/>
  <c r="Q47" i="26"/>
  <c r="U47" i="26"/>
  <c r="Y47" i="26"/>
  <c r="C48" i="26" a="1"/>
  <c r="C48" i="26" s="1"/>
  <c r="E48" i="26"/>
  <c r="P48" i="26"/>
  <c r="T48" i="26"/>
  <c r="X48" i="26"/>
  <c r="J49" i="26" a="1"/>
  <c r="J49" i="26" s="1"/>
  <c r="O49" i="26"/>
  <c r="S49" i="26"/>
  <c r="W49" i="26"/>
  <c r="B50" i="26" a="1"/>
  <c r="B50" i="26" s="1"/>
  <c r="D50" i="26" a="1"/>
  <c r="D50" i="26" s="1"/>
  <c r="N50" i="26"/>
  <c r="R50" i="26"/>
  <c r="V50" i="26"/>
  <c r="F51" i="26"/>
  <c r="M51" i="26"/>
  <c r="Q51" i="26"/>
  <c r="U51" i="26"/>
  <c r="Y51" i="26"/>
  <c r="C52" i="26" a="1"/>
  <c r="C52" i="26" s="1"/>
  <c r="E52" i="26"/>
  <c r="P52" i="26"/>
  <c r="T52" i="26"/>
  <c r="X52" i="26"/>
  <c r="J53" i="26" a="1"/>
  <c r="J53" i="26" s="1"/>
  <c r="O53" i="26"/>
  <c r="S53" i="26"/>
  <c r="W53" i="26"/>
  <c r="B54" i="26" a="1"/>
  <c r="B54" i="26" s="1"/>
  <c r="D54" i="26" a="1"/>
  <c r="D54" i="26" s="1"/>
  <c r="N54" i="26"/>
  <c r="R54" i="26"/>
  <c r="V54" i="26"/>
  <c r="F55" i="26"/>
  <c r="I55" i="26" s="1" a="1"/>
  <c r="I55" i="26" s="1"/>
  <c r="M55" i="26"/>
  <c r="Q55" i="26"/>
  <c r="U55" i="26"/>
  <c r="Y55" i="26"/>
  <c r="C56" i="26" a="1"/>
  <c r="C56" i="26" s="1"/>
  <c r="E56" i="26"/>
  <c r="P56" i="26"/>
  <c r="T56" i="26"/>
  <c r="X56" i="26"/>
  <c r="J57" i="26" a="1"/>
  <c r="J57" i="26" s="1"/>
  <c r="O57" i="26"/>
  <c r="S57" i="26"/>
  <c r="W57" i="26"/>
  <c r="B58" i="26" a="1"/>
  <c r="B58" i="26" s="1"/>
  <c r="D58" i="26" a="1"/>
  <c r="D58" i="26" s="1"/>
  <c r="N58" i="26"/>
  <c r="R58" i="26"/>
  <c r="V58" i="26"/>
  <c r="F59" i="26"/>
  <c r="I59" i="26" s="1" a="1"/>
  <c r="I59" i="26" s="1"/>
  <c r="M59" i="26"/>
  <c r="Q59" i="26"/>
  <c r="U59" i="26"/>
  <c r="Y59" i="26"/>
  <c r="C60" i="26" a="1"/>
  <c r="C60" i="26" s="1"/>
  <c r="E60" i="26"/>
  <c r="P60" i="26"/>
  <c r="T60" i="26"/>
  <c r="X60" i="26"/>
  <c r="J61" i="26" a="1"/>
  <c r="J61" i="26" s="1"/>
  <c r="O61" i="26"/>
  <c r="S61" i="26"/>
  <c r="W61" i="26"/>
  <c r="B62" i="26" a="1"/>
  <c r="B62" i="26" s="1"/>
  <c r="D62" i="26" a="1"/>
  <c r="D62" i="26" s="1"/>
  <c r="N62" i="26"/>
  <c r="R62" i="26"/>
  <c r="V62" i="26"/>
  <c r="F63" i="26"/>
  <c r="I63" i="26" s="1" a="1"/>
  <c r="I63" i="26" s="1"/>
  <c r="M63" i="26"/>
  <c r="Q63" i="26"/>
  <c r="U63" i="26"/>
  <c r="Y63" i="26"/>
  <c r="C64" i="26" a="1"/>
  <c r="C64" i="26" s="1"/>
  <c r="E64" i="26"/>
  <c r="P64" i="26"/>
  <c r="T64" i="26"/>
  <c r="X64" i="26"/>
  <c r="C65" i="26" a="1"/>
  <c r="C65" i="26" s="1"/>
  <c r="F65" i="26"/>
  <c r="J65" i="26" a="1"/>
  <c r="J65" i="26" s="1"/>
  <c r="Q65" i="26"/>
  <c r="W65" i="26"/>
  <c r="E66" i="26"/>
  <c r="P66" i="26"/>
  <c r="V66" i="26"/>
  <c r="B67" i="26" a="1"/>
  <c r="B67" i="26" s="1"/>
  <c r="M67" i="26"/>
  <c r="U67" i="26"/>
  <c r="C68" i="26" a="1"/>
  <c r="C68" i="26" s="1"/>
  <c r="T68" i="26"/>
  <c r="S69" i="26"/>
  <c r="B70" i="26" a="1"/>
  <c r="B70" i="26" s="1"/>
  <c r="Y71" i="26"/>
  <c r="X72" i="26"/>
  <c r="J73" i="26" a="1"/>
  <c r="J73" i="26" s="1"/>
  <c r="W73" i="26"/>
  <c r="V74" i="26"/>
  <c r="U75" i="26"/>
  <c r="T76" i="26"/>
  <c r="S77" i="26"/>
  <c r="R78" i="26"/>
  <c r="F79" i="26"/>
  <c r="Q79" i="26"/>
  <c r="E80" i="26"/>
  <c r="P80" i="26"/>
  <c r="O81" i="26"/>
  <c r="D82" i="26" a="1"/>
  <c r="D82" i="26" s="1"/>
  <c r="N82" i="26"/>
  <c r="M83" i="26"/>
  <c r="C84" i="26" a="1"/>
  <c r="C84" i="26" s="1"/>
  <c r="B86" i="26" a="1"/>
  <c r="B86" i="26" s="1"/>
  <c r="Y87" i="26"/>
  <c r="X88" i="26"/>
  <c r="J89" i="26" a="1"/>
  <c r="J89" i="26" s="1"/>
  <c r="W89" i="26"/>
  <c r="V90" i="26"/>
  <c r="U91" i="26"/>
  <c r="T92" i="26"/>
  <c r="S93" i="26"/>
  <c r="R94" i="26"/>
  <c r="F95" i="26"/>
  <c r="Q95" i="26"/>
  <c r="E96" i="26"/>
  <c r="P96" i="26"/>
  <c r="O97" i="26"/>
  <c r="D10" i="26" a="1"/>
  <c r="D10" i="26" s="1"/>
  <c r="N10" i="26"/>
  <c r="R10" i="26"/>
  <c r="V10" i="26"/>
  <c r="F11" i="26"/>
  <c r="I11" i="26" s="1" a="1"/>
  <c r="I11" i="26" s="1"/>
  <c r="M11" i="26"/>
  <c r="Q11" i="26"/>
  <c r="U11" i="26"/>
  <c r="Y11" i="26"/>
  <c r="C12" i="26" a="1"/>
  <c r="C12" i="26" s="1"/>
  <c r="E12" i="26"/>
  <c r="P12" i="26"/>
  <c r="T12" i="26"/>
  <c r="X12" i="26"/>
  <c r="J13" i="26" a="1"/>
  <c r="J13" i="26" s="1"/>
  <c r="O13" i="26"/>
  <c r="S13" i="26"/>
  <c r="W13" i="26"/>
  <c r="B22" i="26" a="1"/>
  <c r="B22" i="26" s="1"/>
  <c r="D22" i="26" a="1"/>
  <c r="D22" i="26" s="1"/>
  <c r="N22" i="26"/>
  <c r="R22" i="26"/>
  <c r="V22" i="26"/>
  <c r="F23" i="26"/>
  <c r="I23" i="26" a="1"/>
  <c r="I23" i="26" s="1"/>
  <c r="M23" i="26"/>
  <c r="Q23" i="26"/>
  <c r="U23" i="26"/>
  <c r="Y23" i="26"/>
  <c r="C24" i="26" a="1"/>
  <c r="C24" i="26" s="1"/>
  <c r="E24" i="26"/>
  <c r="P24" i="26"/>
  <c r="T24" i="26"/>
  <c r="X24" i="26"/>
  <c r="J25" i="26" a="1"/>
  <c r="J25" i="26" s="1"/>
  <c r="O25" i="26"/>
  <c r="S25" i="26"/>
  <c r="W25" i="26"/>
  <c r="B3" i="26" a="1"/>
  <c r="B3" i="26" s="1"/>
  <c r="D3" i="26" a="1"/>
  <c r="D3" i="26" s="1"/>
  <c r="N3" i="26"/>
  <c r="R3" i="26"/>
  <c r="V3" i="26"/>
  <c r="F4" i="26"/>
  <c r="M4" i="26"/>
  <c r="Q4" i="26"/>
  <c r="U4" i="26"/>
  <c r="Y4" i="26"/>
  <c r="C5" i="26" a="1"/>
  <c r="C5" i="26" s="1"/>
  <c r="E5" i="26"/>
  <c r="P5" i="26"/>
  <c r="T5" i="26"/>
  <c r="X5" i="26"/>
  <c r="J6" i="26" a="1"/>
  <c r="J6" i="26" s="1"/>
  <c r="O6" i="26"/>
  <c r="S6" i="26"/>
  <c r="W6" i="26"/>
  <c r="B7" i="26" a="1"/>
  <c r="B7" i="26" s="1"/>
  <c r="D7" i="26" a="1"/>
  <c r="D7" i="26" s="1"/>
  <c r="N7" i="26"/>
  <c r="R7" i="26"/>
  <c r="V7" i="26"/>
  <c r="F8" i="26"/>
  <c r="G8" i="26" s="1"/>
  <c r="M8" i="26"/>
  <c r="Q8" i="26"/>
  <c r="U8" i="26"/>
  <c r="Y8" i="26"/>
  <c r="C9" i="26" a="1"/>
  <c r="C9" i="26" s="1"/>
  <c r="E9" i="26"/>
  <c r="P9" i="26"/>
  <c r="T9" i="26"/>
  <c r="X9" i="26"/>
  <c r="J10" i="26" a="1"/>
  <c r="J10" i="26" s="1"/>
  <c r="O10" i="26"/>
  <c r="S10" i="26"/>
  <c r="W10" i="26"/>
  <c r="B11" i="26" a="1"/>
  <c r="B11" i="26" s="1"/>
  <c r="D11" i="26" a="1"/>
  <c r="D11" i="26" s="1"/>
  <c r="N11" i="26"/>
  <c r="R11" i="26"/>
  <c r="V11" i="26"/>
  <c r="F12" i="26"/>
  <c r="M12" i="26"/>
  <c r="Q12" i="26"/>
  <c r="U12" i="26"/>
  <c r="Y12" i="26"/>
  <c r="C13" i="26" a="1"/>
  <c r="C13" i="26" s="1"/>
  <c r="E13" i="26"/>
  <c r="P13" i="26"/>
  <c r="T13" i="26"/>
  <c r="X13" i="26"/>
  <c r="J14" i="26" a="1"/>
  <c r="J14" i="26" s="1"/>
  <c r="O14" i="26"/>
  <c r="S14" i="26"/>
  <c r="W14" i="26"/>
  <c r="B15" i="26" a="1"/>
  <c r="B15" i="26" s="1"/>
  <c r="D15" i="26" a="1"/>
  <c r="D15" i="26" s="1"/>
  <c r="N15" i="26"/>
  <c r="R15" i="26"/>
  <c r="V15" i="26"/>
  <c r="F16" i="26"/>
  <c r="I16" i="26" s="1" a="1"/>
  <c r="I16" i="26" s="1"/>
  <c r="M16" i="26"/>
  <c r="Q16" i="26"/>
  <c r="U16" i="26"/>
  <c r="Y16" i="26"/>
  <c r="C17" i="26" a="1"/>
  <c r="C17" i="26" s="1"/>
  <c r="E17" i="26"/>
  <c r="P17" i="26"/>
  <c r="T17" i="26"/>
  <c r="X17" i="26"/>
  <c r="J18" i="26" a="1"/>
  <c r="J18" i="26" s="1"/>
  <c r="O18" i="26"/>
  <c r="S18" i="26"/>
  <c r="W18" i="26"/>
  <c r="B19" i="26" a="1"/>
  <c r="B19" i="26" s="1"/>
  <c r="D19" i="26" a="1"/>
  <c r="D19" i="26" s="1"/>
  <c r="N19" i="26"/>
  <c r="R19" i="26"/>
  <c r="V19" i="26"/>
  <c r="F20" i="26"/>
  <c r="M20" i="26"/>
  <c r="Q20" i="26"/>
  <c r="U20" i="26"/>
  <c r="Y20" i="26"/>
  <c r="C21" i="26" a="1"/>
  <c r="C21" i="26" s="1"/>
  <c r="E21" i="26"/>
  <c r="P21" i="26"/>
  <c r="T21" i="26"/>
  <c r="X21" i="26"/>
  <c r="J22" i="26" a="1"/>
  <c r="J22" i="26" s="1"/>
  <c r="O22" i="26"/>
  <c r="S22" i="26"/>
  <c r="W22" i="26"/>
  <c r="B23" i="26" a="1"/>
  <c r="B23" i="26" s="1"/>
  <c r="D23" i="26" a="1"/>
  <c r="D23" i="26" s="1"/>
  <c r="N23" i="26"/>
  <c r="R23" i="26"/>
  <c r="V23" i="26"/>
  <c r="F24" i="26"/>
  <c r="I24" i="26" s="1" a="1"/>
  <c r="I24" i="26" s="1"/>
  <c r="M24" i="26"/>
  <c r="Q24" i="26"/>
  <c r="U24" i="26"/>
  <c r="Y24" i="26"/>
  <c r="C25" i="26" a="1"/>
  <c r="C25" i="26" s="1"/>
  <c r="E25" i="26"/>
  <c r="P25" i="26"/>
  <c r="T25" i="26"/>
  <c r="X25" i="26"/>
  <c r="J26" i="26" a="1"/>
  <c r="J26" i="26" s="1"/>
  <c r="O26" i="26"/>
  <c r="S26" i="26"/>
  <c r="W26" i="26"/>
  <c r="B27" i="26" a="1"/>
  <c r="B27" i="26" s="1"/>
  <c r="D27" i="26" a="1"/>
  <c r="D27" i="26" s="1"/>
  <c r="N27" i="26"/>
  <c r="R27" i="26"/>
  <c r="V27" i="26"/>
  <c r="F28" i="26"/>
  <c r="I28" i="26" s="1" a="1"/>
  <c r="I28" i="26" s="1"/>
  <c r="M28" i="26"/>
  <c r="Q28" i="26"/>
  <c r="U28" i="26"/>
  <c r="Y28" i="26"/>
  <c r="C29" i="26" a="1"/>
  <c r="C29" i="26" s="1"/>
  <c r="E29" i="26"/>
  <c r="P29" i="26"/>
  <c r="T29" i="26"/>
  <c r="X29" i="26"/>
  <c r="J30" i="26" a="1"/>
  <c r="J30" i="26" s="1"/>
  <c r="O30" i="26"/>
  <c r="S30" i="26"/>
  <c r="W30" i="26"/>
  <c r="B31" i="26" a="1"/>
  <c r="B31" i="26" s="1"/>
  <c r="D31" i="26" a="1"/>
  <c r="D31" i="26" s="1"/>
  <c r="N31" i="26"/>
  <c r="R31" i="26"/>
  <c r="V31" i="26"/>
  <c r="F32" i="26"/>
  <c r="I32" i="26" s="1" a="1"/>
  <c r="I32" i="26" s="1"/>
  <c r="M32" i="26"/>
  <c r="Q32" i="26"/>
  <c r="U32" i="26"/>
  <c r="Y32" i="26"/>
  <c r="C33" i="26" a="1"/>
  <c r="C33" i="26" s="1"/>
  <c r="E33" i="26"/>
  <c r="P33" i="26"/>
  <c r="T33" i="26"/>
  <c r="X33" i="26"/>
  <c r="J34" i="26" a="1"/>
  <c r="J34" i="26" s="1"/>
  <c r="O34" i="26"/>
  <c r="S34" i="26"/>
  <c r="W34" i="26"/>
  <c r="B35" i="26" a="1"/>
  <c r="B35" i="26" s="1"/>
  <c r="D35" i="26" a="1"/>
  <c r="D35" i="26" s="1"/>
  <c r="N35" i="26"/>
  <c r="R35" i="26"/>
  <c r="V35" i="26"/>
  <c r="F36" i="26"/>
  <c r="M36" i="26"/>
  <c r="Q36" i="26"/>
  <c r="U36" i="26"/>
  <c r="Y36" i="26"/>
  <c r="C37" i="26" a="1"/>
  <c r="C37" i="26" s="1"/>
  <c r="E37" i="26"/>
  <c r="P37" i="26"/>
  <c r="T37" i="26"/>
  <c r="X37" i="26"/>
  <c r="J38" i="26" a="1"/>
  <c r="J38" i="26" s="1"/>
  <c r="O38" i="26"/>
  <c r="S38" i="26"/>
  <c r="W38" i="26"/>
  <c r="B39" i="26" a="1"/>
  <c r="B39" i="26" s="1"/>
  <c r="D39" i="26" a="1"/>
  <c r="D39" i="26" s="1"/>
  <c r="N39" i="26"/>
  <c r="R39" i="26"/>
  <c r="V39" i="26"/>
  <c r="F40" i="26"/>
  <c r="I40" i="26" s="1" a="1"/>
  <c r="I40" i="26" s="1"/>
  <c r="M40" i="26"/>
  <c r="Q40" i="26"/>
  <c r="U40" i="26"/>
  <c r="Y40" i="26"/>
  <c r="C41" i="26" a="1"/>
  <c r="C41" i="26" s="1"/>
  <c r="E41" i="26"/>
  <c r="P41" i="26"/>
  <c r="T41" i="26"/>
  <c r="X41" i="26"/>
  <c r="J42" i="26" a="1"/>
  <c r="J42" i="26" s="1"/>
  <c r="O42" i="26"/>
  <c r="S42" i="26"/>
  <c r="W42" i="26"/>
  <c r="B43" i="26" a="1"/>
  <c r="B43" i="26" s="1"/>
  <c r="D43" i="26" a="1"/>
  <c r="D43" i="26" s="1"/>
  <c r="N43" i="26"/>
  <c r="R43" i="26"/>
  <c r="V43" i="26"/>
  <c r="F44" i="26"/>
  <c r="M44" i="26"/>
  <c r="Q44" i="26"/>
  <c r="U44" i="26"/>
  <c r="Y44" i="26"/>
  <c r="C45" i="26" a="1"/>
  <c r="C45" i="26" s="1"/>
  <c r="E45" i="26"/>
  <c r="P45" i="26"/>
  <c r="T45" i="26"/>
  <c r="X45" i="26"/>
  <c r="J46" i="26" a="1"/>
  <c r="J46" i="26" s="1"/>
  <c r="O46" i="26"/>
  <c r="S46" i="26"/>
  <c r="W46" i="26"/>
  <c r="B47" i="26" a="1"/>
  <c r="B47" i="26" s="1"/>
  <c r="D47" i="26" a="1"/>
  <c r="D47" i="26" s="1"/>
  <c r="N47" i="26"/>
  <c r="R47" i="26"/>
  <c r="V47" i="26"/>
  <c r="F48" i="26"/>
  <c r="I48" i="26" s="1" a="1"/>
  <c r="I48" i="26" s="1"/>
  <c r="M48" i="26"/>
  <c r="Q48" i="26"/>
  <c r="U48" i="26"/>
  <c r="Y48" i="26"/>
  <c r="C49" i="26" a="1"/>
  <c r="C49" i="26" s="1"/>
  <c r="E49" i="26"/>
  <c r="P49" i="26"/>
  <c r="T49" i="26"/>
  <c r="X49" i="26"/>
  <c r="J50" i="26" a="1"/>
  <c r="J50" i="26" s="1"/>
  <c r="O50" i="26"/>
  <c r="S50" i="26"/>
  <c r="W50" i="26"/>
  <c r="B51" i="26" a="1"/>
  <c r="B51" i="26" s="1"/>
  <c r="D51" i="26" a="1"/>
  <c r="D51" i="26" s="1"/>
  <c r="N51" i="26"/>
  <c r="R51" i="26"/>
  <c r="V51" i="26"/>
  <c r="F52" i="26"/>
  <c r="M52" i="26"/>
  <c r="Q52" i="26"/>
  <c r="U52" i="26"/>
  <c r="Y52" i="26"/>
  <c r="C53" i="26" a="1"/>
  <c r="C53" i="26" s="1"/>
  <c r="E53" i="26"/>
  <c r="P53" i="26"/>
  <c r="T53" i="26"/>
  <c r="X53" i="26"/>
  <c r="J54" i="26" a="1"/>
  <c r="J54" i="26" s="1"/>
  <c r="O54" i="26"/>
  <c r="S54" i="26"/>
  <c r="W54" i="26"/>
  <c r="B55" i="26" a="1"/>
  <c r="B55" i="26" s="1"/>
  <c r="D55" i="26" a="1"/>
  <c r="D55" i="26" s="1"/>
  <c r="N55" i="26"/>
  <c r="R55" i="26"/>
  <c r="V55" i="26"/>
  <c r="F56" i="26"/>
  <c r="I56" i="26" s="1" a="1"/>
  <c r="I56" i="26" s="1"/>
  <c r="M56" i="26"/>
  <c r="Q56" i="26"/>
  <c r="U56" i="26"/>
  <c r="Y56" i="26"/>
  <c r="C57" i="26" a="1"/>
  <c r="C57" i="26" s="1"/>
  <c r="E57" i="26"/>
  <c r="P57" i="26"/>
  <c r="T57" i="26"/>
  <c r="X57" i="26"/>
  <c r="J58" i="26" a="1"/>
  <c r="J58" i="26" s="1"/>
  <c r="O58" i="26"/>
  <c r="S58" i="26"/>
  <c r="W58" i="26"/>
  <c r="B59" i="26" a="1"/>
  <c r="B59" i="26" s="1"/>
  <c r="D59" i="26" a="1"/>
  <c r="D59" i="26" s="1"/>
  <c r="N59" i="26"/>
  <c r="R59" i="26"/>
  <c r="V59" i="26"/>
  <c r="F60" i="26"/>
  <c r="M60" i="26"/>
  <c r="Q60" i="26"/>
  <c r="U60" i="26"/>
  <c r="Y60" i="26"/>
  <c r="C61" i="26" a="1"/>
  <c r="C61" i="26" s="1"/>
  <c r="E61" i="26"/>
  <c r="P61" i="26"/>
  <c r="T61" i="26"/>
  <c r="X61" i="26"/>
  <c r="J62" i="26" a="1"/>
  <c r="J62" i="26" s="1"/>
  <c r="O62" i="26"/>
  <c r="S62" i="26"/>
  <c r="W62" i="26"/>
  <c r="B63" i="26" a="1"/>
  <c r="B63" i="26" s="1"/>
  <c r="D63" i="26" a="1"/>
  <c r="D63" i="26" s="1"/>
  <c r="N63" i="26"/>
  <c r="R63" i="26"/>
  <c r="V63" i="26"/>
  <c r="F64" i="26"/>
  <c r="M64" i="26"/>
  <c r="Q64" i="26"/>
  <c r="U64" i="26"/>
  <c r="Y64" i="26"/>
  <c r="H65" i="26" a="1"/>
  <c r="H65" i="26" s="1"/>
  <c r="M65" i="26"/>
  <c r="S65" i="26"/>
  <c r="X65" i="26"/>
  <c r="C66" i="26" a="1"/>
  <c r="C66" i="26" s="1"/>
  <c r="J66" i="26" a="1"/>
  <c r="J66" i="26" s="1"/>
  <c r="R66" i="26"/>
  <c r="W66" i="26"/>
  <c r="F67" i="26"/>
  <c r="I67" i="26" s="1" a="1"/>
  <c r="I67" i="26" s="1"/>
  <c r="N67" i="26"/>
  <c r="V67" i="26"/>
  <c r="M68" i="26"/>
  <c r="U68" i="26"/>
  <c r="C69" i="26" a="1"/>
  <c r="C69" i="26" s="1"/>
  <c r="T69" i="26"/>
  <c r="N70" i="26"/>
  <c r="M71" i="26"/>
  <c r="C72" i="26" a="1"/>
  <c r="C72" i="26" s="1"/>
  <c r="B74" i="26" a="1"/>
  <c r="B74" i="26" s="1"/>
  <c r="Y75" i="26"/>
  <c r="X76" i="26"/>
  <c r="J77" i="26" a="1"/>
  <c r="J77" i="26" s="1"/>
  <c r="W77" i="26"/>
  <c r="V78" i="26"/>
  <c r="I79" i="26" a="1"/>
  <c r="I79" i="26" s="1"/>
  <c r="U79" i="26"/>
  <c r="T80" i="26"/>
  <c r="S81" i="26"/>
  <c r="R82" i="26"/>
  <c r="F83" i="26"/>
  <c r="I83" i="26" s="1" a="1"/>
  <c r="I83" i="26" s="1"/>
  <c r="Q83" i="26"/>
  <c r="E84" i="26"/>
  <c r="P84" i="26"/>
  <c r="O85" i="26"/>
  <c r="D86" i="26" a="1"/>
  <c r="D86" i="26" s="1"/>
  <c r="N86" i="26"/>
  <c r="M87" i="26"/>
  <c r="C88" i="26" a="1"/>
  <c r="C88" i="26" s="1"/>
  <c r="B90" i="26" a="1"/>
  <c r="B90" i="26" s="1"/>
  <c r="Y91" i="26"/>
  <c r="X92" i="26"/>
  <c r="J93" i="26" a="1"/>
  <c r="J93" i="26" s="1"/>
  <c r="W93" i="26"/>
  <c r="V94" i="26"/>
  <c r="I95" i="26" a="1"/>
  <c r="I95" i="26" s="1"/>
  <c r="U95" i="26"/>
  <c r="T96" i="26"/>
  <c r="S97" i="26"/>
  <c r="D14" i="26" a="1"/>
  <c r="D14" i="26" s="1"/>
  <c r="N14" i="26"/>
  <c r="R14" i="26"/>
  <c r="V14" i="26"/>
  <c r="F15" i="26"/>
  <c r="M15" i="26"/>
  <c r="Q15" i="26"/>
  <c r="U15" i="26"/>
  <c r="Y15" i="26"/>
  <c r="C16" i="26" a="1"/>
  <c r="C16" i="26" s="1"/>
  <c r="E16" i="26"/>
  <c r="G16" i="26" s="1"/>
  <c r="P16" i="26"/>
  <c r="T16" i="26"/>
  <c r="X16" i="26"/>
  <c r="J17" i="26" a="1"/>
  <c r="J17" i="26" s="1"/>
  <c r="O17" i="26"/>
  <c r="S17" i="26"/>
  <c r="W17" i="26"/>
  <c r="B4" i="26" a="1"/>
  <c r="B4" i="26" s="1"/>
  <c r="D4" i="26" a="1"/>
  <c r="D4" i="26" s="1"/>
  <c r="N4" i="26"/>
  <c r="R4" i="26"/>
  <c r="V4" i="26"/>
  <c r="F5" i="26"/>
  <c r="M5" i="26"/>
  <c r="Q5" i="26"/>
  <c r="U5" i="26"/>
  <c r="Y5" i="26"/>
  <c r="C6" i="26" a="1"/>
  <c r="C6" i="26" s="1"/>
  <c r="E6" i="26"/>
  <c r="P6" i="26"/>
  <c r="T6" i="26"/>
  <c r="X6" i="26"/>
  <c r="J7" i="26" a="1"/>
  <c r="J7" i="26" s="1"/>
  <c r="O7" i="26"/>
  <c r="S7" i="26"/>
  <c r="W7" i="26"/>
  <c r="B8" i="26" a="1"/>
  <c r="B8" i="26" s="1"/>
  <c r="D8" i="26" a="1"/>
  <c r="D8" i="26" s="1"/>
  <c r="N8" i="26"/>
  <c r="R8" i="26"/>
  <c r="V8" i="26"/>
  <c r="F9" i="26"/>
  <c r="I9" i="26" s="1" a="1"/>
  <c r="I9" i="26" s="1"/>
  <c r="M9" i="26"/>
  <c r="Q9" i="26"/>
  <c r="U9" i="26"/>
  <c r="Y9" i="26"/>
  <c r="C10" i="26" a="1"/>
  <c r="C10" i="26" s="1"/>
  <c r="E10" i="26"/>
  <c r="P10" i="26"/>
  <c r="T10" i="26"/>
  <c r="X10" i="26"/>
  <c r="H11" i="26" a="1"/>
  <c r="H11" i="26" s="1"/>
  <c r="J11" i="26" a="1"/>
  <c r="J11" i="26" s="1"/>
  <c r="O11" i="26"/>
  <c r="S11" i="26"/>
  <c r="W11" i="26"/>
  <c r="B12" i="26" a="1"/>
  <c r="B12" i="26" s="1"/>
  <c r="D12" i="26" a="1"/>
  <c r="D12" i="26" s="1"/>
  <c r="N12" i="26"/>
  <c r="R12" i="26"/>
  <c r="V12" i="26"/>
  <c r="F13" i="26"/>
  <c r="H13" i="26" s="1" a="1"/>
  <c r="H13" i="26" s="1"/>
  <c r="M13" i="26"/>
  <c r="Q13" i="26"/>
  <c r="U13" i="26"/>
  <c r="Y13" i="26"/>
  <c r="C14" i="26" a="1"/>
  <c r="C14" i="26" s="1"/>
  <c r="E14" i="26"/>
  <c r="P14" i="26"/>
  <c r="T14" i="26"/>
  <c r="X14" i="26"/>
  <c r="H15" i="26" a="1"/>
  <c r="H15" i="26" s="1"/>
  <c r="J15" i="26" a="1"/>
  <c r="J15" i="26" s="1"/>
  <c r="O15" i="26"/>
  <c r="S15" i="26"/>
  <c r="W15" i="26"/>
  <c r="B16" i="26" a="1"/>
  <c r="B16" i="26" s="1"/>
  <c r="D16" i="26" a="1"/>
  <c r="D16" i="26" s="1"/>
  <c r="N16" i="26"/>
  <c r="R16" i="26"/>
  <c r="V16" i="26"/>
  <c r="F17" i="26"/>
  <c r="M17" i="26"/>
  <c r="Q17" i="26"/>
  <c r="U17" i="26"/>
  <c r="Y17" i="26"/>
  <c r="C18" i="26" a="1"/>
  <c r="C18" i="26" s="1"/>
  <c r="E18" i="26"/>
  <c r="P18" i="26"/>
  <c r="T18" i="26"/>
  <c r="X18" i="26"/>
  <c r="H19" i="26" a="1"/>
  <c r="H19" i="26" s="1"/>
  <c r="J19" i="26" a="1"/>
  <c r="J19" i="26" s="1"/>
  <c r="O19" i="26"/>
  <c r="S19" i="26"/>
  <c r="W19" i="26"/>
  <c r="B20" i="26" a="1"/>
  <c r="B20" i="26" s="1"/>
  <c r="D20" i="26" a="1"/>
  <c r="D20" i="26" s="1"/>
  <c r="N20" i="26"/>
  <c r="R20" i="26"/>
  <c r="V20" i="26"/>
  <c r="F21" i="26"/>
  <c r="M21" i="26"/>
  <c r="Q21" i="26"/>
  <c r="U21" i="26"/>
  <c r="Y21" i="26"/>
  <c r="C22" i="26" a="1"/>
  <c r="C22" i="26" s="1"/>
  <c r="E22" i="26"/>
  <c r="P22" i="26"/>
  <c r="T22" i="26"/>
  <c r="X22" i="26"/>
  <c r="H23" i="26" a="1"/>
  <c r="H23" i="26" s="1"/>
  <c r="J23" i="26" a="1"/>
  <c r="J23" i="26" s="1"/>
  <c r="O23" i="26"/>
  <c r="S23" i="26"/>
  <c r="W23" i="26"/>
  <c r="B24" i="26" a="1"/>
  <c r="B24" i="26" s="1"/>
  <c r="D24" i="26" a="1"/>
  <c r="D24" i="26" s="1"/>
  <c r="N24" i="26"/>
  <c r="R24" i="26"/>
  <c r="V24" i="26"/>
  <c r="F25" i="26"/>
  <c r="I25" i="26" s="1" a="1"/>
  <c r="I25" i="26" s="1"/>
  <c r="M25" i="26"/>
  <c r="Q25" i="26"/>
  <c r="U25" i="26"/>
  <c r="Y25" i="26"/>
  <c r="C26" i="26" a="1"/>
  <c r="C26" i="26" s="1"/>
  <c r="E26" i="26"/>
  <c r="P26" i="26"/>
  <c r="T26" i="26"/>
  <c r="X26" i="26"/>
  <c r="H27" i="26" a="1"/>
  <c r="H27" i="26" s="1"/>
  <c r="J27" i="26" a="1"/>
  <c r="J27" i="26" s="1"/>
  <c r="O27" i="26"/>
  <c r="S27" i="26"/>
  <c r="W27" i="26"/>
  <c r="B28" i="26" a="1"/>
  <c r="B28" i="26" s="1"/>
  <c r="D28" i="26" a="1"/>
  <c r="D28" i="26" s="1"/>
  <c r="N28" i="26"/>
  <c r="R28" i="26"/>
  <c r="V28" i="26"/>
  <c r="F29" i="26"/>
  <c r="M29" i="26"/>
  <c r="Q29" i="26"/>
  <c r="U29" i="26"/>
  <c r="Y29" i="26"/>
  <c r="C30" i="26" a="1"/>
  <c r="C30" i="26" s="1"/>
  <c r="E30" i="26"/>
  <c r="P30" i="26"/>
  <c r="T30" i="26"/>
  <c r="X30" i="26"/>
  <c r="H31" i="26" a="1"/>
  <c r="H31" i="26" s="1"/>
  <c r="J31" i="26" a="1"/>
  <c r="J31" i="26" s="1"/>
  <c r="O31" i="26"/>
  <c r="S31" i="26"/>
  <c r="W31" i="26"/>
  <c r="B32" i="26" a="1"/>
  <c r="B32" i="26" s="1"/>
  <c r="D32" i="26" a="1"/>
  <c r="D32" i="26" s="1"/>
  <c r="N32" i="26"/>
  <c r="R32" i="26"/>
  <c r="V32" i="26"/>
  <c r="F33" i="26"/>
  <c r="M33" i="26"/>
  <c r="Q33" i="26"/>
  <c r="U33" i="26"/>
  <c r="Y33" i="26"/>
  <c r="C34" i="26" a="1"/>
  <c r="C34" i="26" s="1"/>
  <c r="E34" i="26"/>
  <c r="P34" i="26"/>
  <c r="T34" i="26"/>
  <c r="X34" i="26"/>
  <c r="H35" i="26" a="1"/>
  <c r="H35" i="26" s="1"/>
  <c r="J35" i="26" a="1"/>
  <c r="J35" i="26" s="1"/>
  <c r="O35" i="26"/>
  <c r="S35" i="26"/>
  <c r="W35" i="26"/>
  <c r="B36" i="26" a="1"/>
  <c r="B36" i="26" s="1"/>
  <c r="D36" i="26" a="1"/>
  <c r="D36" i="26" s="1"/>
  <c r="N36" i="26"/>
  <c r="R36" i="26"/>
  <c r="V36" i="26"/>
  <c r="F37" i="26"/>
  <c r="H37" i="26" s="1" a="1"/>
  <c r="H37" i="26" s="1"/>
  <c r="M37" i="26"/>
  <c r="Q37" i="26"/>
  <c r="U37" i="26"/>
  <c r="Y37" i="26"/>
  <c r="C38" i="26" a="1"/>
  <c r="C38" i="26" s="1"/>
  <c r="E38" i="26"/>
  <c r="P38" i="26"/>
  <c r="T38" i="26"/>
  <c r="X38" i="26"/>
  <c r="H39" i="26" a="1"/>
  <c r="H39" i="26" s="1"/>
  <c r="J39" i="26" a="1"/>
  <c r="J39" i="26" s="1"/>
  <c r="O39" i="26"/>
  <c r="S39" i="26"/>
  <c r="W39" i="26"/>
  <c r="B40" i="26" a="1"/>
  <c r="B40" i="26" s="1"/>
  <c r="D40" i="26" a="1"/>
  <c r="D40" i="26" s="1"/>
  <c r="N40" i="26"/>
  <c r="R40" i="26"/>
  <c r="V40" i="26"/>
  <c r="F41" i="26"/>
  <c r="M41" i="26"/>
  <c r="Q41" i="26"/>
  <c r="U41" i="26"/>
  <c r="Y41" i="26"/>
  <c r="C42" i="26" a="1"/>
  <c r="C42" i="26" s="1"/>
  <c r="E42" i="26"/>
  <c r="P42" i="26"/>
  <c r="T42" i="26"/>
  <c r="X42" i="26"/>
  <c r="H43" i="26" a="1"/>
  <c r="H43" i="26" s="1"/>
  <c r="J43" i="26" a="1"/>
  <c r="J43" i="26" s="1"/>
  <c r="O43" i="26"/>
  <c r="S43" i="26"/>
  <c r="W43" i="26"/>
  <c r="B44" i="26" a="1"/>
  <c r="B44" i="26" s="1"/>
  <c r="D44" i="26" a="1"/>
  <c r="D44" i="26" s="1"/>
  <c r="N44" i="26"/>
  <c r="R44" i="26"/>
  <c r="V44" i="26"/>
  <c r="F45" i="26"/>
  <c r="M45" i="26"/>
  <c r="Q45" i="26"/>
  <c r="U45" i="26"/>
  <c r="Y45" i="26"/>
  <c r="C46" i="26" a="1"/>
  <c r="C46" i="26" s="1"/>
  <c r="E46" i="26"/>
  <c r="P46" i="26"/>
  <c r="T46" i="26"/>
  <c r="X46" i="26"/>
  <c r="H47" i="26" a="1"/>
  <c r="H47" i="26" s="1"/>
  <c r="J47" i="26" a="1"/>
  <c r="J47" i="26" s="1"/>
  <c r="O47" i="26"/>
  <c r="S47" i="26"/>
  <c r="W47" i="26"/>
  <c r="B48" i="26" a="1"/>
  <c r="B48" i="26" s="1"/>
  <c r="D48" i="26" a="1"/>
  <c r="D48" i="26" s="1"/>
  <c r="N48" i="26"/>
  <c r="R48" i="26"/>
  <c r="V48" i="26"/>
  <c r="F49" i="26"/>
  <c r="M49" i="26"/>
  <c r="Q49" i="26"/>
  <c r="U49" i="26"/>
  <c r="Y49" i="26"/>
  <c r="C50" i="26" a="1"/>
  <c r="C50" i="26" s="1"/>
  <c r="E50" i="26"/>
  <c r="P50" i="26"/>
  <c r="T50" i="26"/>
  <c r="X50" i="26"/>
  <c r="H51" i="26" a="1"/>
  <c r="H51" i="26" s="1"/>
  <c r="J51" i="26" a="1"/>
  <c r="J51" i="26" s="1"/>
  <c r="O51" i="26"/>
  <c r="S51" i="26"/>
  <c r="W51" i="26"/>
  <c r="B52" i="26" a="1"/>
  <c r="B52" i="26" s="1"/>
  <c r="D52" i="26" a="1"/>
  <c r="D52" i="26" s="1"/>
  <c r="N52" i="26"/>
  <c r="R52" i="26"/>
  <c r="V52" i="26"/>
  <c r="F53" i="26"/>
  <c r="H53" i="26" s="1" a="1"/>
  <c r="H53" i="26" s="1"/>
  <c r="M53" i="26"/>
  <c r="Q53" i="26"/>
  <c r="U53" i="26"/>
  <c r="Y53" i="26"/>
  <c r="C54" i="26" a="1"/>
  <c r="C54" i="26" s="1"/>
  <c r="E54" i="26"/>
  <c r="P54" i="26"/>
  <c r="T54" i="26"/>
  <c r="X54" i="26"/>
  <c r="H55" i="26" a="1"/>
  <c r="H55" i="26" s="1"/>
  <c r="J55" i="26" a="1"/>
  <c r="J55" i="26" s="1"/>
  <c r="O55" i="26"/>
  <c r="S55" i="26"/>
  <c r="W55" i="26"/>
  <c r="B56" i="26" a="1"/>
  <c r="B56" i="26" s="1"/>
  <c r="D56" i="26" a="1"/>
  <c r="D56" i="26" s="1"/>
  <c r="N56" i="26"/>
  <c r="R56" i="26"/>
  <c r="V56" i="26"/>
  <c r="F57" i="26"/>
  <c r="I57" i="26" s="1" a="1"/>
  <c r="I57" i="26" s="1"/>
  <c r="M57" i="26"/>
  <c r="Q57" i="26"/>
  <c r="U57" i="26"/>
  <c r="Y57" i="26"/>
  <c r="C58" i="26" a="1"/>
  <c r="C58" i="26" s="1"/>
  <c r="E58" i="26"/>
  <c r="P58" i="26"/>
  <c r="T58" i="26"/>
  <c r="X58" i="26"/>
  <c r="H59" i="26" a="1"/>
  <c r="H59" i="26" s="1"/>
  <c r="J59" i="26" a="1"/>
  <c r="J59" i="26" s="1"/>
  <c r="O59" i="26"/>
  <c r="S59" i="26"/>
  <c r="W59" i="26"/>
  <c r="B60" i="26" a="1"/>
  <c r="B60" i="26" s="1"/>
  <c r="D60" i="26" a="1"/>
  <c r="D60" i="26" s="1"/>
  <c r="N60" i="26"/>
  <c r="R60" i="26"/>
  <c r="V60" i="26"/>
  <c r="F61" i="26"/>
  <c r="M61" i="26"/>
  <c r="Q61" i="26"/>
  <c r="U61" i="26"/>
  <c r="Y61" i="26"/>
  <c r="C62" i="26" a="1"/>
  <c r="C62" i="26" s="1"/>
  <c r="E62" i="26"/>
  <c r="P62" i="26"/>
  <c r="T62" i="26"/>
  <c r="X62" i="26"/>
  <c r="H63" i="26" a="1"/>
  <c r="H63" i="26" s="1"/>
  <c r="J63" i="26" a="1"/>
  <c r="J63" i="26" s="1"/>
  <c r="O63" i="26"/>
  <c r="S63" i="26"/>
  <c r="W63" i="26"/>
  <c r="B64" i="26" a="1"/>
  <c r="B64" i="26" s="1"/>
  <c r="D64" i="26" a="1"/>
  <c r="D64" i="26" s="1"/>
  <c r="N64" i="26"/>
  <c r="R64" i="26"/>
  <c r="V64" i="26"/>
  <c r="O65" i="26"/>
  <c r="T65" i="26"/>
  <c r="Y65" i="26"/>
  <c r="D66" i="26" a="1"/>
  <c r="D66" i="26" s="1"/>
  <c r="N66" i="26"/>
  <c r="S66" i="26"/>
  <c r="X66" i="26"/>
  <c r="Q67" i="26"/>
  <c r="Y67" i="26"/>
  <c r="E68" i="26"/>
  <c r="P68" i="26"/>
  <c r="X68" i="26"/>
  <c r="J69" i="26" a="1"/>
  <c r="J69" i="26" s="1"/>
  <c r="O69" i="26"/>
  <c r="W69" i="26"/>
  <c r="D70" i="26" a="1"/>
  <c r="D70" i="26" s="1"/>
  <c r="R70" i="26"/>
  <c r="F71" i="26"/>
  <c r="Q71" i="26"/>
  <c r="E72" i="26"/>
  <c r="P72" i="26"/>
  <c r="O73" i="26"/>
  <c r="D74" i="26" a="1"/>
  <c r="D74" i="26" s="1"/>
  <c r="N74" i="26"/>
  <c r="M75" i="26"/>
  <c r="C76" i="26" a="1"/>
  <c r="C76" i="26" s="1"/>
  <c r="B78" i="26" a="1"/>
  <c r="B78" i="26" s="1"/>
  <c r="Y79" i="26"/>
  <c r="X80" i="26"/>
  <c r="J81" i="26" a="1"/>
  <c r="J81" i="26" s="1"/>
  <c r="W81" i="26"/>
  <c r="V82" i="26"/>
  <c r="U83" i="26"/>
  <c r="T84" i="26"/>
  <c r="S85" i="26"/>
  <c r="R86" i="26"/>
  <c r="F87" i="26"/>
  <c r="Q87" i="26"/>
  <c r="E88" i="26"/>
  <c r="P88" i="26"/>
  <c r="O89" i="26"/>
  <c r="D90" i="26" a="1"/>
  <c r="D90" i="26" s="1"/>
  <c r="N90" i="26"/>
  <c r="M91" i="26"/>
  <c r="C92" i="26" a="1"/>
  <c r="C92" i="26" s="1"/>
  <c r="B94" i="26" a="1"/>
  <c r="B94" i="26" s="1"/>
  <c r="Y95" i="26"/>
  <c r="X96" i="26"/>
  <c r="J97" i="26" a="1"/>
  <c r="J97" i="26" s="1"/>
  <c r="X301" i="26"/>
  <c r="T301" i="26"/>
  <c r="P301" i="26"/>
  <c r="E301" i="26"/>
  <c r="C301" i="26" a="1"/>
  <c r="C301" i="26" s="1"/>
  <c r="Y300" i="26"/>
  <c r="U300" i="26"/>
  <c r="Q300" i="26"/>
  <c r="M300" i="26"/>
  <c r="F300" i="26"/>
  <c r="H300" i="26" s="1" a="1"/>
  <c r="H300" i="26" s="1"/>
  <c r="V299" i="26"/>
  <c r="R299" i="26"/>
  <c r="N299" i="26"/>
  <c r="D299" i="26" a="1"/>
  <c r="D299" i="26" s="1"/>
  <c r="B299" i="26" a="1"/>
  <c r="B299" i="26" s="1"/>
  <c r="W298" i="26"/>
  <c r="S298" i="26"/>
  <c r="O298" i="26"/>
  <c r="J298" i="26" a="1"/>
  <c r="J298" i="26" s="1"/>
  <c r="X297" i="26"/>
  <c r="T297" i="26"/>
  <c r="P297" i="26"/>
  <c r="E297" i="26"/>
  <c r="C297" i="26" a="1"/>
  <c r="C297" i="26" s="1"/>
  <c r="Y296" i="26"/>
  <c r="U296" i="26"/>
  <c r="Q296" i="26"/>
  <c r="M296" i="26"/>
  <c r="F296" i="26"/>
  <c r="I296" i="26" s="1" a="1"/>
  <c r="I296" i="26" s="1"/>
  <c r="V295" i="26"/>
  <c r="R295" i="26"/>
  <c r="N295" i="26"/>
  <c r="D295" i="26" a="1"/>
  <c r="D295" i="26" s="1"/>
  <c r="B295" i="26" a="1"/>
  <c r="B295" i="26" s="1"/>
  <c r="W294" i="26"/>
  <c r="S294" i="26"/>
  <c r="O294" i="26"/>
  <c r="J294" i="26" a="1"/>
  <c r="J294" i="26" s="1"/>
  <c r="X293" i="26"/>
  <c r="T293" i="26"/>
  <c r="P293" i="26"/>
  <c r="E293" i="26"/>
  <c r="C293" i="26" a="1"/>
  <c r="C293" i="26" s="1"/>
  <c r="Y292" i="26"/>
  <c r="U292" i="26"/>
  <c r="Q292" i="26"/>
  <c r="M292" i="26"/>
  <c r="F292" i="26"/>
  <c r="V291" i="26"/>
  <c r="W301" i="26"/>
  <c r="S301" i="26"/>
  <c r="O301" i="26"/>
  <c r="J301" i="26" a="1"/>
  <c r="J301" i="26" s="1"/>
  <c r="X300" i="26"/>
  <c r="T300" i="26"/>
  <c r="P300" i="26"/>
  <c r="E300" i="26"/>
  <c r="C300" i="26" a="1"/>
  <c r="C300" i="26" s="1"/>
  <c r="Y299" i="26"/>
  <c r="U299" i="26"/>
  <c r="Q299" i="26"/>
  <c r="M299" i="26"/>
  <c r="F299" i="26"/>
  <c r="H299" i="26" s="1" a="1"/>
  <c r="H299" i="26" s="1"/>
  <c r="V298" i="26"/>
  <c r="R298" i="26"/>
  <c r="N298" i="26"/>
  <c r="D298" i="26" a="1"/>
  <c r="D298" i="26" s="1"/>
  <c r="B298" i="26" a="1"/>
  <c r="B298" i="26" s="1"/>
  <c r="W297" i="26"/>
  <c r="S297" i="26"/>
  <c r="O297" i="26"/>
  <c r="J297" i="26" a="1"/>
  <c r="J297" i="26" s="1"/>
  <c r="X296" i="26"/>
  <c r="T296" i="26"/>
  <c r="P296" i="26"/>
  <c r="E296" i="26"/>
  <c r="C296" i="26" a="1"/>
  <c r="C296" i="26" s="1"/>
  <c r="Y295" i="26"/>
  <c r="U295" i="26"/>
  <c r="Q295" i="26"/>
  <c r="M295" i="26"/>
  <c r="F295" i="26"/>
  <c r="I295" i="26" s="1" a="1"/>
  <c r="I295" i="26" s="1"/>
  <c r="V294" i="26"/>
  <c r="R294" i="26"/>
  <c r="N294" i="26"/>
  <c r="D294" i="26" a="1"/>
  <c r="D294" i="26" s="1"/>
  <c r="B294" i="26" a="1"/>
  <c r="B294" i="26" s="1"/>
  <c r="V301" i="26"/>
  <c r="R301" i="26"/>
  <c r="N301" i="26"/>
  <c r="D301" i="26" a="1"/>
  <c r="D301" i="26" s="1"/>
  <c r="B301" i="26" a="1"/>
  <c r="B301" i="26" s="1"/>
  <c r="W300" i="26"/>
  <c r="S300" i="26"/>
  <c r="O300" i="26"/>
  <c r="J300" i="26" a="1"/>
  <c r="J300" i="26" s="1"/>
  <c r="X299" i="26"/>
  <c r="T299" i="26"/>
  <c r="P299" i="26"/>
  <c r="E299" i="26"/>
  <c r="C299" i="26" a="1"/>
  <c r="C299" i="26" s="1"/>
  <c r="Y298" i="26"/>
  <c r="U298" i="26"/>
  <c r="Q298" i="26"/>
  <c r="M298" i="26"/>
  <c r="F298" i="26"/>
  <c r="V297" i="26"/>
  <c r="R297" i="26"/>
  <c r="N297" i="26"/>
  <c r="D297" i="26" a="1"/>
  <c r="D297" i="26" s="1"/>
  <c r="B297" i="26" a="1"/>
  <c r="B297" i="26" s="1"/>
  <c r="M301" i="26"/>
  <c r="N300" i="26"/>
  <c r="D300" i="26" a="1"/>
  <c r="D300" i="26" s="1"/>
  <c r="O299" i="26"/>
  <c r="P298" i="26"/>
  <c r="E298" i="26"/>
  <c r="Q297" i="26"/>
  <c r="F297" i="26"/>
  <c r="V296" i="26"/>
  <c r="N296" i="26"/>
  <c r="D296" i="26" a="1"/>
  <c r="D296" i="26" s="1"/>
  <c r="W295" i="26"/>
  <c r="O295" i="26"/>
  <c r="J295" i="26" a="1"/>
  <c r="J295" i="26" s="1"/>
  <c r="X294" i="26"/>
  <c r="P294" i="26"/>
  <c r="E294" i="26"/>
  <c r="Y293" i="26"/>
  <c r="S293" i="26"/>
  <c r="N293" i="26"/>
  <c r="D293" i="26" a="1"/>
  <c r="D293" i="26" s="1"/>
  <c r="T292" i="26"/>
  <c r="O292" i="26"/>
  <c r="B292" i="26" a="1"/>
  <c r="B292" i="26" s="1"/>
  <c r="U291" i="26"/>
  <c r="Q291" i="26"/>
  <c r="M291" i="26"/>
  <c r="F291" i="26"/>
  <c r="V290" i="26"/>
  <c r="R290" i="26"/>
  <c r="N290" i="26"/>
  <c r="D290" i="26" a="1"/>
  <c r="D290" i="26" s="1"/>
  <c r="B290" i="26" a="1"/>
  <c r="B290" i="26" s="1"/>
  <c r="Y301" i="26"/>
  <c r="B300" i="26" a="1"/>
  <c r="B300" i="26" s="1"/>
  <c r="C298" i="26" a="1"/>
  <c r="C298" i="26" s="1"/>
  <c r="M297" i="26"/>
  <c r="S296" i="26"/>
  <c r="T295" i="26"/>
  <c r="C295" i="26" a="1"/>
  <c r="C295" i="26" s="1"/>
  <c r="U294" i="26"/>
  <c r="M294" i="26"/>
  <c r="W293" i="26"/>
  <c r="R293" i="26"/>
  <c r="M293" i="26"/>
  <c r="J293" i="26" a="1"/>
  <c r="J293" i="26" s="1"/>
  <c r="X292" i="26"/>
  <c r="S292" i="26"/>
  <c r="N292" i="26"/>
  <c r="D292" i="26" a="1"/>
  <c r="D292" i="26" s="1"/>
  <c r="Y291" i="26"/>
  <c r="T291" i="26"/>
  <c r="P291" i="26"/>
  <c r="E291" i="26"/>
  <c r="C291" i="26" a="1"/>
  <c r="C291" i="26" s="1"/>
  <c r="Y290" i="26"/>
  <c r="U290" i="26"/>
  <c r="Q290" i="26"/>
  <c r="M290" i="26"/>
  <c r="F290" i="26"/>
  <c r="V289" i="26"/>
  <c r="R289" i="26"/>
  <c r="N289" i="26"/>
  <c r="D289" i="26" a="1"/>
  <c r="D289" i="26" s="1"/>
  <c r="B289" i="26" a="1"/>
  <c r="B289" i="26" s="1"/>
  <c r="U301" i="26"/>
  <c r="V300" i="26"/>
  <c r="W299" i="26"/>
  <c r="J299" i="26" a="1"/>
  <c r="J299" i="26" s="1"/>
  <c r="X298" i="26"/>
  <c r="Y297" i="26"/>
  <c r="R296" i="26"/>
  <c r="B296" i="26" a="1"/>
  <c r="B296" i="26" s="1"/>
  <c r="S295" i="26"/>
  <c r="T294" i="26"/>
  <c r="C294" i="26" a="1"/>
  <c r="C294" i="26" s="1"/>
  <c r="V293" i="26"/>
  <c r="Q293" i="26"/>
  <c r="F293" i="26"/>
  <c r="W292" i="26"/>
  <c r="R292" i="26"/>
  <c r="J292" i="26" a="1"/>
  <c r="J292" i="26" s="1"/>
  <c r="C292" i="26" a="1"/>
  <c r="C292" i="26" s="1"/>
  <c r="X291" i="26"/>
  <c r="S291" i="26"/>
  <c r="O291" i="26"/>
  <c r="J291" i="26" a="1"/>
  <c r="J291" i="26" s="1"/>
  <c r="X290" i="26"/>
  <c r="T290" i="26"/>
  <c r="P290" i="26"/>
  <c r="E290" i="26"/>
  <c r="C290" i="26" a="1"/>
  <c r="C290" i="26" s="1"/>
  <c r="Y289" i="26"/>
  <c r="U289" i="26"/>
  <c r="Q289" i="26"/>
  <c r="M289" i="26"/>
  <c r="F289" i="26"/>
  <c r="I289" i="26" s="1" a="1"/>
  <c r="I289" i="26" s="1"/>
  <c r="V288" i="26"/>
  <c r="R288" i="26"/>
  <c r="N288" i="26"/>
  <c r="D288" i="26" a="1"/>
  <c r="D288" i="26" s="1"/>
  <c r="B288" i="26" a="1"/>
  <c r="B288" i="26" s="1"/>
  <c r="W287" i="26"/>
  <c r="S287" i="26"/>
  <c r="O287" i="26"/>
  <c r="J287" i="26" a="1"/>
  <c r="J287" i="26" s="1"/>
  <c r="X286" i="26"/>
  <c r="T286" i="26"/>
  <c r="P286" i="26"/>
  <c r="E286" i="26"/>
  <c r="C286" i="26" a="1"/>
  <c r="C286" i="26" s="1"/>
  <c r="Y285" i="26"/>
  <c r="O296" i="26"/>
  <c r="P295" i="26"/>
  <c r="Q294" i="26"/>
  <c r="U293" i="26"/>
  <c r="W291" i="26"/>
  <c r="W290" i="26"/>
  <c r="J290" i="26" a="1"/>
  <c r="J290" i="26" s="1"/>
  <c r="X289" i="26"/>
  <c r="P289" i="26"/>
  <c r="E289" i="26"/>
  <c r="Y288" i="26"/>
  <c r="T288" i="26"/>
  <c r="O288" i="26"/>
  <c r="U287" i="26"/>
  <c r="P287" i="26"/>
  <c r="E287" i="26"/>
  <c r="B287" i="26" a="1"/>
  <c r="B287" i="26" s="1"/>
  <c r="V286" i="26"/>
  <c r="Q286" i="26"/>
  <c r="F286" i="26"/>
  <c r="W285" i="26"/>
  <c r="S285" i="26"/>
  <c r="O285" i="26"/>
  <c r="J285" i="26" a="1"/>
  <c r="J285" i="26" s="1"/>
  <c r="X284" i="26"/>
  <c r="T284" i="26"/>
  <c r="P284" i="26"/>
  <c r="E284" i="26"/>
  <c r="C284" i="26" a="1"/>
  <c r="C284" i="26" s="1"/>
  <c r="Y283" i="26"/>
  <c r="U283" i="26"/>
  <c r="Q283" i="26"/>
  <c r="M283" i="26"/>
  <c r="F283" i="26"/>
  <c r="I283" i="26" s="1" a="1"/>
  <c r="I283" i="26" s="1"/>
  <c r="V282" i="26"/>
  <c r="R282" i="26"/>
  <c r="N282" i="26"/>
  <c r="D282" i="26" a="1"/>
  <c r="D282" i="26" s="1"/>
  <c r="B282" i="26" a="1"/>
  <c r="B282" i="26" s="1"/>
  <c r="W281" i="26"/>
  <c r="S281" i="26"/>
  <c r="O281" i="26"/>
  <c r="J281" i="26" a="1"/>
  <c r="J281" i="26" s="1"/>
  <c r="X280" i="26"/>
  <c r="T280" i="26"/>
  <c r="P280" i="26"/>
  <c r="E280" i="26"/>
  <c r="C280" i="26" a="1"/>
  <c r="C280" i="26" s="1"/>
  <c r="Y279" i="26"/>
  <c r="U279" i="26"/>
  <c r="Q279" i="26"/>
  <c r="M279" i="26"/>
  <c r="F279" i="26"/>
  <c r="H279" i="26" s="1" a="1"/>
  <c r="H279" i="26" s="1"/>
  <c r="V278" i="26"/>
  <c r="R278" i="26"/>
  <c r="N278" i="26"/>
  <c r="D278" i="26" a="1"/>
  <c r="D278" i="26" s="1"/>
  <c r="B278" i="26" a="1"/>
  <c r="B278" i="26" s="1"/>
  <c r="W277" i="26"/>
  <c r="S277" i="26"/>
  <c r="O277" i="26"/>
  <c r="J277" i="26" a="1"/>
  <c r="J277" i="26" s="1"/>
  <c r="X276" i="26"/>
  <c r="T276" i="26"/>
  <c r="P276" i="26"/>
  <c r="E276" i="26"/>
  <c r="C276" i="26" a="1"/>
  <c r="C276" i="26" s="1"/>
  <c r="Y275" i="26"/>
  <c r="U275" i="26"/>
  <c r="Q275" i="26"/>
  <c r="M275" i="26"/>
  <c r="F275" i="26"/>
  <c r="I275" i="26" s="1" a="1"/>
  <c r="I275" i="26" s="1"/>
  <c r="V274" i="26"/>
  <c r="R274" i="26"/>
  <c r="N274" i="26"/>
  <c r="D274" i="26" a="1"/>
  <c r="D274" i="26" s="1"/>
  <c r="B274" i="26" a="1"/>
  <c r="B274" i="26" s="1"/>
  <c r="Q301" i="26"/>
  <c r="S299" i="26"/>
  <c r="U297" i="26"/>
  <c r="J296" i="26" a="1"/>
  <c r="J296" i="26" s="1"/>
  <c r="O293" i="26"/>
  <c r="B293" i="26" a="1"/>
  <c r="B293" i="26" s="1"/>
  <c r="R291" i="26"/>
  <c r="S290" i="26"/>
  <c r="W289" i="26"/>
  <c r="O289" i="26"/>
  <c r="J289" i="26" a="1"/>
  <c r="J289" i="26" s="1"/>
  <c r="X288" i="26"/>
  <c r="S288" i="26"/>
  <c r="M288" i="26"/>
  <c r="Y287" i="26"/>
  <c r="T287" i="26"/>
  <c r="N287" i="26"/>
  <c r="D287" i="26" a="1"/>
  <c r="D287" i="26" s="1"/>
  <c r="U286" i="26"/>
  <c r="O286" i="26"/>
  <c r="B286" i="26" a="1"/>
  <c r="B286" i="26" s="1"/>
  <c r="V285" i="26"/>
  <c r="R285" i="26"/>
  <c r="N285" i="26"/>
  <c r="D285" i="26" a="1"/>
  <c r="D285" i="26" s="1"/>
  <c r="B285" i="26" a="1"/>
  <c r="B285" i="26" s="1"/>
  <c r="W284" i="26"/>
  <c r="S284" i="26"/>
  <c r="O284" i="26"/>
  <c r="J284" i="26" a="1"/>
  <c r="J284" i="26" s="1"/>
  <c r="X283" i="26"/>
  <c r="T283" i="26"/>
  <c r="P283" i="26"/>
  <c r="E283" i="26"/>
  <c r="C283" i="26" a="1"/>
  <c r="C283" i="26" s="1"/>
  <c r="Y282" i="26"/>
  <c r="U282" i="26"/>
  <c r="Q282" i="26"/>
  <c r="M282" i="26"/>
  <c r="F282" i="26"/>
  <c r="I282" i="26" s="1" a="1"/>
  <c r="I282" i="26" s="1"/>
  <c r="V281" i="26"/>
  <c r="R281" i="26"/>
  <c r="N281" i="26"/>
  <c r="D281" i="26" a="1"/>
  <c r="D281" i="26" s="1"/>
  <c r="B281" i="26" a="1"/>
  <c r="B281" i="26" s="1"/>
  <c r="F301" i="26"/>
  <c r="H301" i="26" s="1" a="1"/>
  <c r="H301" i="26" s="1"/>
  <c r="E295" i="26"/>
  <c r="F294" i="26"/>
  <c r="H294" i="26" s="1" a="1"/>
  <c r="H294" i="26" s="1"/>
  <c r="V292" i="26"/>
  <c r="E292" i="26"/>
  <c r="N291" i="26"/>
  <c r="D291" i="26" a="1"/>
  <c r="D291" i="26" s="1"/>
  <c r="O290" i="26"/>
  <c r="T289" i="26"/>
  <c r="C289" i="26" a="1"/>
  <c r="C289" i="26" s="1"/>
  <c r="W288" i="26"/>
  <c r="Q288" i="26"/>
  <c r="J288" i="26" a="1"/>
  <c r="J288" i="26" s="1"/>
  <c r="F288" i="26"/>
  <c r="C288" i="26" a="1"/>
  <c r="C288" i="26" s="1"/>
  <c r="X287" i="26"/>
  <c r="R287" i="26"/>
  <c r="M287" i="26"/>
  <c r="Y286" i="26"/>
  <c r="S286" i="26"/>
  <c r="N286" i="26"/>
  <c r="D286" i="26" a="1"/>
  <c r="D286" i="26" s="1"/>
  <c r="U285" i="26"/>
  <c r="Q285" i="26"/>
  <c r="M285" i="26"/>
  <c r="F285" i="26"/>
  <c r="I285" i="26" s="1" a="1"/>
  <c r="I285" i="26" s="1"/>
  <c r="V284" i="26"/>
  <c r="R284" i="26"/>
  <c r="N284" i="26"/>
  <c r="D284" i="26" a="1"/>
  <c r="D284" i="26" s="1"/>
  <c r="B284" i="26" a="1"/>
  <c r="B284" i="26" s="1"/>
  <c r="W283" i="26"/>
  <c r="S283" i="26"/>
  <c r="O283" i="26"/>
  <c r="J283" i="26" a="1"/>
  <c r="J283" i="26" s="1"/>
  <c r="H283" i="26" a="1"/>
  <c r="H283" i="26" s="1"/>
  <c r="X282" i="26"/>
  <c r="T282" i="26"/>
  <c r="P282" i="26"/>
  <c r="E282" i="26"/>
  <c r="C282" i="26" a="1"/>
  <c r="C282" i="26" s="1"/>
  <c r="Y281" i="26"/>
  <c r="U281" i="26"/>
  <c r="Q281" i="26"/>
  <c r="M281" i="26"/>
  <c r="F281" i="26"/>
  <c r="H281" i="26" s="1" a="1"/>
  <c r="H281" i="26" s="1"/>
  <c r="V280" i="26"/>
  <c r="R280" i="26"/>
  <c r="N280" i="26"/>
  <c r="D280" i="26" a="1"/>
  <c r="D280" i="26" s="1"/>
  <c r="B280" i="26" a="1"/>
  <c r="B280" i="26" s="1"/>
  <c r="W279" i="26"/>
  <c r="S279" i="26"/>
  <c r="O279" i="26"/>
  <c r="J279" i="26" a="1"/>
  <c r="J279" i="26" s="1"/>
  <c r="X278" i="26"/>
  <c r="T278" i="26"/>
  <c r="P278" i="26"/>
  <c r="E278" i="26"/>
  <c r="C278" i="26" a="1"/>
  <c r="C278" i="26" s="1"/>
  <c r="Y277" i="26"/>
  <c r="U277" i="26"/>
  <c r="Q277" i="26"/>
  <c r="M277" i="26"/>
  <c r="F277" i="26"/>
  <c r="V276" i="26"/>
  <c r="R276" i="26"/>
  <c r="N276" i="26"/>
  <c r="D276" i="26" a="1"/>
  <c r="D276" i="26" s="1"/>
  <c r="B276" i="26" a="1"/>
  <c r="B276" i="26" s="1"/>
  <c r="W275" i="26"/>
  <c r="S275" i="26"/>
  <c r="O275" i="26"/>
  <c r="J275" i="26" a="1"/>
  <c r="J275" i="26" s="1"/>
  <c r="X274" i="26"/>
  <c r="T274" i="26"/>
  <c r="P274" i="26"/>
  <c r="E274" i="26"/>
  <c r="C274" i="26" a="1"/>
  <c r="C274" i="26" s="1"/>
  <c r="Y273" i="26"/>
  <c r="U273" i="26"/>
  <c r="Q273" i="26"/>
  <c r="M273" i="26"/>
  <c r="F273" i="26"/>
  <c r="V272" i="26"/>
  <c r="R272" i="26"/>
  <c r="N272" i="26"/>
  <c r="D272" i="26" a="1"/>
  <c r="D272" i="26" s="1"/>
  <c r="B272" i="26" a="1"/>
  <c r="B272" i="26" s="1"/>
  <c r="W271" i="26"/>
  <c r="S271" i="26"/>
  <c r="O271" i="26"/>
  <c r="J271" i="26" a="1"/>
  <c r="J271" i="26" s="1"/>
  <c r="X270" i="26"/>
  <c r="T270" i="26"/>
  <c r="P270" i="26"/>
  <c r="E270" i="26"/>
  <c r="C270" i="26" a="1"/>
  <c r="C270" i="26" s="1"/>
  <c r="Y269" i="26"/>
  <c r="U269" i="26"/>
  <c r="Q269" i="26"/>
  <c r="R300" i="26"/>
  <c r="Z300" i="26" s="1"/>
  <c r="T298" i="26"/>
  <c r="W296" i="26"/>
  <c r="X295" i="26"/>
  <c r="Y294" i="26"/>
  <c r="I293" i="26" a="1"/>
  <c r="I293" i="26" s="1"/>
  <c r="P292" i="26"/>
  <c r="B291" i="26" a="1"/>
  <c r="B291" i="26" s="1"/>
  <c r="P288" i="26"/>
  <c r="R286" i="26"/>
  <c r="C285" i="26" a="1"/>
  <c r="C285" i="26" s="1"/>
  <c r="M284" i="26"/>
  <c r="N283" i="26"/>
  <c r="D283" i="26" a="1"/>
  <c r="D283" i="26" s="1"/>
  <c r="O282" i="26"/>
  <c r="P281" i="26"/>
  <c r="E281" i="26"/>
  <c r="U280" i="26"/>
  <c r="M280" i="26"/>
  <c r="V279" i="26"/>
  <c r="N279" i="26"/>
  <c r="D279" i="26" a="1"/>
  <c r="D279" i="26" s="1"/>
  <c r="W278" i="26"/>
  <c r="O278" i="26"/>
  <c r="J278" i="26" a="1"/>
  <c r="J278" i="26" s="1"/>
  <c r="X277" i="26"/>
  <c r="P277" i="26"/>
  <c r="E277" i="26"/>
  <c r="Y276" i="26"/>
  <c r="Q276" i="26"/>
  <c r="F276" i="26"/>
  <c r="H276" i="26" s="1" a="1"/>
  <c r="H276" i="26" s="1"/>
  <c r="R275" i="26"/>
  <c r="B275" i="26" a="1"/>
  <c r="B275" i="26" s="1"/>
  <c r="S274" i="26"/>
  <c r="V273" i="26"/>
  <c r="P273" i="26"/>
  <c r="E273" i="26"/>
  <c r="W272" i="26"/>
  <c r="Q272" i="26"/>
  <c r="J272" i="26" a="1"/>
  <c r="J272" i="26" s="1"/>
  <c r="F272" i="26"/>
  <c r="H272" i="26" s="1" a="1"/>
  <c r="H272" i="26" s="1"/>
  <c r="C272" i="26" a="1"/>
  <c r="C272" i="26" s="1"/>
  <c r="X271" i="26"/>
  <c r="R271" i="26"/>
  <c r="M271" i="26"/>
  <c r="Y270" i="26"/>
  <c r="S270" i="26"/>
  <c r="N270" i="26"/>
  <c r="D270" i="26" a="1"/>
  <c r="D270" i="26" s="1"/>
  <c r="T269" i="26"/>
  <c r="O269" i="26"/>
  <c r="J269" i="26" a="1"/>
  <c r="J269" i="26" s="1"/>
  <c r="X268" i="26"/>
  <c r="T268" i="26"/>
  <c r="P268" i="26"/>
  <c r="E268" i="26"/>
  <c r="C268" i="26" a="1"/>
  <c r="C268" i="26" s="1"/>
  <c r="Y267" i="26"/>
  <c r="U267" i="26"/>
  <c r="Q267" i="26"/>
  <c r="M267" i="26"/>
  <c r="F267" i="26"/>
  <c r="H267" i="26" s="1" a="1"/>
  <c r="H267" i="26" s="1"/>
  <c r="V266" i="26"/>
  <c r="R266" i="26"/>
  <c r="N266" i="26"/>
  <c r="D266" i="26" a="1"/>
  <c r="D266" i="26" s="1"/>
  <c r="B266" i="26" a="1"/>
  <c r="B266" i="26" s="1"/>
  <c r="W265" i="26"/>
  <c r="S265" i="26"/>
  <c r="O265" i="26"/>
  <c r="J265" i="26" a="1"/>
  <c r="J265" i="26" s="1"/>
  <c r="X264" i="26"/>
  <c r="T264" i="26"/>
  <c r="P264" i="26"/>
  <c r="E264" i="26"/>
  <c r="C264" i="26" a="1"/>
  <c r="C264" i="26" s="1"/>
  <c r="Y263" i="26"/>
  <c r="U263" i="26"/>
  <c r="Q263" i="26"/>
  <c r="M263" i="26"/>
  <c r="F263" i="26"/>
  <c r="I263" i="26" s="1" a="1"/>
  <c r="I263" i="26" s="1"/>
  <c r="V262" i="26"/>
  <c r="R262" i="26"/>
  <c r="N262" i="26"/>
  <c r="D262" i="26" a="1"/>
  <c r="D262" i="26" s="1"/>
  <c r="B262" i="26" a="1"/>
  <c r="B262" i="26" s="1"/>
  <c r="H289" i="26" a="1"/>
  <c r="H289" i="26" s="1"/>
  <c r="V287" i="26"/>
  <c r="F287" i="26"/>
  <c r="H287" i="26" s="1" a="1"/>
  <c r="H287" i="26" s="1"/>
  <c r="M286" i="26"/>
  <c r="X285" i="26"/>
  <c r="Y284" i="26"/>
  <c r="B283" i="26" a="1"/>
  <c r="B283" i="26" s="1"/>
  <c r="C281" i="26" a="1"/>
  <c r="C281" i="26" s="1"/>
  <c r="S280" i="26"/>
  <c r="T279" i="26"/>
  <c r="C279" i="26" a="1"/>
  <c r="C279" i="26" s="1"/>
  <c r="U278" i="26"/>
  <c r="M278" i="26"/>
  <c r="V277" i="26"/>
  <c r="N277" i="26"/>
  <c r="D277" i="26" a="1"/>
  <c r="D277" i="26" s="1"/>
  <c r="W276" i="26"/>
  <c r="O276" i="26"/>
  <c r="J276" i="26" a="1"/>
  <c r="J276" i="26" s="1"/>
  <c r="X275" i="26"/>
  <c r="P275" i="26"/>
  <c r="E275" i="26"/>
  <c r="Y274" i="26"/>
  <c r="Q274" i="26"/>
  <c r="F274" i="26"/>
  <c r="I274" i="26" s="1" a="1"/>
  <c r="I274" i="26" s="1"/>
  <c r="T273" i="26"/>
  <c r="O273" i="26"/>
  <c r="B273" i="26" a="1"/>
  <c r="B273" i="26" s="1"/>
  <c r="U272" i="26"/>
  <c r="P272" i="26"/>
  <c r="E272" i="26"/>
  <c r="V271" i="26"/>
  <c r="Q271" i="26"/>
  <c r="F271" i="26"/>
  <c r="C271" i="26" a="1"/>
  <c r="C271" i="26" s="1"/>
  <c r="W270" i="26"/>
  <c r="R270" i="26"/>
  <c r="M270" i="26"/>
  <c r="J270" i="26" a="1"/>
  <c r="J270" i="26" s="1"/>
  <c r="X269" i="26"/>
  <c r="S269" i="26"/>
  <c r="N269" i="26"/>
  <c r="D269" i="26" a="1"/>
  <c r="D269" i="26" s="1"/>
  <c r="B269" i="26" a="1"/>
  <c r="B269" i="26" s="1"/>
  <c r="W268" i="26"/>
  <c r="S268" i="26"/>
  <c r="O268" i="26"/>
  <c r="J268" i="26" a="1"/>
  <c r="J268" i="26" s="1"/>
  <c r="I288" i="26" a="1"/>
  <c r="I288" i="26" s="1"/>
  <c r="Q287" i="26"/>
  <c r="C287" i="26" a="1"/>
  <c r="C287" i="26" s="1"/>
  <c r="J286" i="26" a="1"/>
  <c r="J286" i="26" s="1"/>
  <c r="T285" i="26"/>
  <c r="U284" i="26"/>
  <c r="V283" i="26"/>
  <c r="W282" i="26"/>
  <c r="J282" i="26" a="1"/>
  <c r="J282" i="26" s="1"/>
  <c r="X281" i="26"/>
  <c r="Y280" i="26"/>
  <c r="Q280" i="26"/>
  <c r="F280" i="26"/>
  <c r="R279" i="26"/>
  <c r="B279" i="26" a="1"/>
  <c r="B279" i="26" s="1"/>
  <c r="S278" i="26"/>
  <c r="T277" i="26"/>
  <c r="C277" i="26" a="1"/>
  <c r="C277" i="26" s="1"/>
  <c r="U276" i="26"/>
  <c r="M276" i="26"/>
  <c r="I276" i="26" a="1"/>
  <c r="I276" i="26" s="1"/>
  <c r="V275" i="26"/>
  <c r="N275" i="26"/>
  <c r="D275" i="26" a="1"/>
  <c r="D275" i="26" s="1"/>
  <c r="W274" i="26"/>
  <c r="O274" i="26"/>
  <c r="J274" i="26" a="1"/>
  <c r="J274" i="26" s="1"/>
  <c r="X273" i="26"/>
  <c r="S273" i="26"/>
  <c r="N273" i="26"/>
  <c r="D273" i="26" a="1"/>
  <c r="D273" i="26" s="1"/>
  <c r="Y272" i="26"/>
  <c r="T272" i="26"/>
  <c r="O272" i="26"/>
  <c r="U271" i="26"/>
  <c r="P271" i="26"/>
  <c r="E271" i="26"/>
  <c r="G271" i="26" s="1"/>
  <c r="B271" i="26" a="1"/>
  <c r="B271" i="26" s="1"/>
  <c r="V270" i="26"/>
  <c r="Q270" i="26"/>
  <c r="F270" i="26"/>
  <c r="W269" i="26"/>
  <c r="R269" i="26"/>
  <c r="M269" i="26"/>
  <c r="F269" i="26"/>
  <c r="H269" i="26" s="1" a="1"/>
  <c r="H269" i="26" s="1"/>
  <c r="V268" i="26"/>
  <c r="R268" i="26"/>
  <c r="N268" i="26"/>
  <c r="D268" i="26" a="1"/>
  <c r="D268" i="26" s="1"/>
  <c r="B268" i="26" a="1"/>
  <c r="B268" i="26" s="1"/>
  <c r="S289" i="26"/>
  <c r="U288" i="26"/>
  <c r="E288" i="26"/>
  <c r="W286" i="26"/>
  <c r="P285" i="26"/>
  <c r="E285" i="26"/>
  <c r="G285" i="26" s="1"/>
  <c r="Q284" i="26"/>
  <c r="F284" i="26"/>
  <c r="H284" i="26" s="1" a="1"/>
  <c r="H284" i="26" s="1"/>
  <c r="R283" i="26"/>
  <c r="Z283" i="26" s="1"/>
  <c r="S282" i="26"/>
  <c r="T281" i="26"/>
  <c r="W280" i="26"/>
  <c r="O280" i="26"/>
  <c r="J280" i="26" a="1"/>
  <c r="J280" i="26" s="1"/>
  <c r="X279" i="26"/>
  <c r="P279" i="26"/>
  <c r="E279" i="26"/>
  <c r="Y278" i="26"/>
  <c r="Q278" i="26"/>
  <c r="F278" i="26"/>
  <c r="I278" i="26" s="1" a="1"/>
  <c r="I278" i="26" s="1"/>
  <c r="R277" i="26"/>
  <c r="B277" i="26" a="1"/>
  <c r="B277" i="26" s="1"/>
  <c r="S276" i="26"/>
  <c r="T275" i="26"/>
  <c r="C275" i="26" a="1"/>
  <c r="C275" i="26" s="1"/>
  <c r="U274" i="26"/>
  <c r="M274" i="26"/>
  <c r="W273" i="26"/>
  <c r="R273" i="26"/>
  <c r="Z273" i="26" s="1"/>
  <c r="J273" i="26" a="1"/>
  <c r="J273" i="26" s="1"/>
  <c r="C273" i="26" a="1"/>
  <c r="C273" i="26" s="1"/>
  <c r="X272" i="26"/>
  <c r="S272" i="26"/>
  <c r="M272" i="26"/>
  <c r="Y271" i="26"/>
  <c r="T271" i="26"/>
  <c r="N271" i="26"/>
  <c r="D271" i="26" a="1"/>
  <c r="D271" i="26" s="1"/>
  <c r="U270" i="26"/>
  <c r="O270" i="26"/>
  <c r="B270" i="26" a="1"/>
  <c r="B270" i="26" s="1"/>
  <c r="Y268" i="26"/>
  <c r="V267" i="26"/>
  <c r="P267" i="26"/>
  <c r="E267" i="26"/>
  <c r="W266" i="26"/>
  <c r="Q266" i="26"/>
  <c r="J266" i="26" a="1"/>
  <c r="J266" i="26" s="1"/>
  <c r="F266" i="26"/>
  <c r="I266" i="26" s="1" a="1"/>
  <c r="I266" i="26" s="1"/>
  <c r="C266" i="26" a="1"/>
  <c r="C266" i="26" s="1"/>
  <c r="X265" i="26"/>
  <c r="R265" i="26"/>
  <c r="M265" i="26"/>
  <c r="Y264" i="26"/>
  <c r="S264" i="26"/>
  <c r="N264" i="26"/>
  <c r="D264" i="26" a="1"/>
  <c r="D264" i="26" s="1"/>
  <c r="T263" i="26"/>
  <c r="O263" i="26"/>
  <c r="B263" i="26" a="1"/>
  <c r="B263" i="26" s="1"/>
  <c r="U262" i="26"/>
  <c r="P262" i="26"/>
  <c r="E262" i="26"/>
  <c r="W261" i="26"/>
  <c r="S261" i="26"/>
  <c r="O261" i="26"/>
  <c r="J261" i="26" a="1"/>
  <c r="J261" i="26" s="1"/>
  <c r="X260" i="26"/>
  <c r="T260" i="26"/>
  <c r="P260" i="26"/>
  <c r="E260" i="26"/>
  <c r="C260" i="26" a="1"/>
  <c r="C260" i="26" s="1"/>
  <c r="Y259" i="26"/>
  <c r="U259" i="26"/>
  <c r="Q259" i="26"/>
  <c r="M259" i="26"/>
  <c r="F259" i="26"/>
  <c r="I259" i="26" s="1" a="1"/>
  <c r="I259" i="26" s="1"/>
  <c r="V258" i="26"/>
  <c r="R258" i="26"/>
  <c r="N258" i="26"/>
  <c r="D258" i="26" a="1"/>
  <c r="D258" i="26" s="1"/>
  <c r="B258" i="26" a="1"/>
  <c r="B258" i="26" s="1"/>
  <c r="W257" i="26"/>
  <c r="S257" i="26"/>
  <c r="O257" i="26"/>
  <c r="J257" i="26" a="1"/>
  <c r="J257" i="26" s="1"/>
  <c r="X256" i="26"/>
  <c r="T256" i="26"/>
  <c r="P256" i="26"/>
  <c r="E256" i="26"/>
  <c r="C256" i="26" a="1"/>
  <c r="C256" i="26" s="1"/>
  <c r="Y255" i="26"/>
  <c r="U255" i="26"/>
  <c r="Q255" i="26"/>
  <c r="M255" i="26"/>
  <c r="F255" i="26"/>
  <c r="I255" i="26" s="1" a="1"/>
  <c r="I255" i="26" s="1"/>
  <c r="V254" i="26"/>
  <c r="R254" i="26"/>
  <c r="N254" i="26"/>
  <c r="D254" i="26" a="1"/>
  <c r="D254" i="26" s="1"/>
  <c r="B254" i="26" a="1"/>
  <c r="B254" i="26" s="1"/>
  <c r="W253" i="26"/>
  <c r="S253" i="26"/>
  <c r="O253" i="26"/>
  <c r="J253" i="26" a="1"/>
  <c r="J253" i="26" s="1"/>
  <c r="X252" i="26"/>
  <c r="T252" i="26"/>
  <c r="P252" i="26"/>
  <c r="E252" i="26"/>
  <c r="C252" i="26" a="1"/>
  <c r="C252" i="26" s="1"/>
  <c r="Y251" i="26"/>
  <c r="U251" i="26"/>
  <c r="Q251" i="26"/>
  <c r="M251" i="26"/>
  <c r="F251" i="26"/>
  <c r="V250" i="26"/>
  <c r="R250" i="26"/>
  <c r="N250" i="26"/>
  <c r="D250" i="26" a="1"/>
  <c r="D250" i="26" s="1"/>
  <c r="B250" i="26" a="1"/>
  <c r="B250" i="26" s="1"/>
  <c r="W249" i="26"/>
  <c r="S249" i="26"/>
  <c r="O249" i="26"/>
  <c r="J249" i="26" a="1"/>
  <c r="J249" i="26" s="1"/>
  <c r="X248" i="26"/>
  <c r="T248" i="26"/>
  <c r="P248" i="26"/>
  <c r="E248" i="26"/>
  <c r="C248" i="26" a="1"/>
  <c r="C248" i="26" s="1"/>
  <c r="Y247" i="26"/>
  <c r="U247" i="26"/>
  <c r="Q247" i="26"/>
  <c r="M247" i="26"/>
  <c r="F247" i="26"/>
  <c r="V246" i="26"/>
  <c r="R246" i="26"/>
  <c r="N246" i="26"/>
  <c r="V269" i="26"/>
  <c r="U268" i="26"/>
  <c r="T267" i="26"/>
  <c r="O267" i="26"/>
  <c r="B267" i="26" a="1"/>
  <c r="B267" i="26" s="1"/>
  <c r="U266" i="26"/>
  <c r="P266" i="26"/>
  <c r="E266" i="26"/>
  <c r="V265" i="26"/>
  <c r="Q265" i="26"/>
  <c r="F265" i="26"/>
  <c r="I265" i="26" s="1" a="1"/>
  <c r="I265" i="26" s="1"/>
  <c r="C265" i="26" a="1"/>
  <c r="C265" i="26" s="1"/>
  <c r="W264" i="26"/>
  <c r="R264" i="26"/>
  <c r="M264" i="26"/>
  <c r="J264" i="26" a="1"/>
  <c r="J264" i="26" s="1"/>
  <c r="X263" i="26"/>
  <c r="S263" i="26"/>
  <c r="N263" i="26"/>
  <c r="H263" i="26" a="1"/>
  <c r="H263" i="26" s="1"/>
  <c r="D263" i="26" a="1"/>
  <c r="D263" i="26" s="1"/>
  <c r="Y262" i="26"/>
  <c r="T262" i="26"/>
  <c r="O262" i="26"/>
  <c r="V261" i="26"/>
  <c r="R261" i="26"/>
  <c r="N261" i="26"/>
  <c r="D261" i="26" a="1"/>
  <c r="D261" i="26" s="1"/>
  <c r="B261" i="26" a="1"/>
  <c r="B261" i="26" s="1"/>
  <c r="W260" i="26"/>
  <c r="S260" i="26"/>
  <c r="O260" i="26"/>
  <c r="J260" i="26" a="1"/>
  <c r="J260" i="26" s="1"/>
  <c r="X259" i="26"/>
  <c r="T259" i="26"/>
  <c r="P259" i="26"/>
  <c r="E259" i="26"/>
  <c r="C259" i="26" a="1"/>
  <c r="C259" i="26" s="1"/>
  <c r="Y258" i="26"/>
  <c r="U258" i="26"/>
  <c r="Q258" i="26"/>
  <c r="M258" i="26"/>
  <c r="F258" i="26"/>
  <c r="H258" i="26" s="1" a="1"/>
  <c r="H258" i="26" s="1"/>
  <c r="V257" i="26"/>
  <c r="R257" i="26"/>
  <c r="N257" i="26"/>
  <c r="D257" i="26" a="1"/>
  <c r="D257" i="26" s="1"/>
  <c r="B257" i="26" a="1"/>
  <c r="B257" i="26" s="1"/>
  <c r="W256" i="26"/>
  <c r="S256" i="26"/>
  <c r="O256" i="26"/>
  <c r="J256" i="26" a="1"/>
  <c r="J256" i="26" s="1"/>
  <c r="X255" i="26"/>
  <c r="T255" i="26"/>
  <c r="P255" i="26"/>
  <c r="E255" i="26"/>
  <c r="C255" i="26" a="1"/>
  <c r="C255" i="26" s="1"/>
  <c r="Y254" i="26"/>
  <c r="U254" i="26"/>
  <c r="Q254" i="26"/>
  <c r="M254" i="26"/>
  <c r="F254" i="26"/>
  <c r="V253" i="26"/>
  <c r="R253" i="26"/>
  <c r="N253" i="26"/>
  <c r="D253" i="26" a="1"/>
  <c r="D253" i="26" s="1"/>
  <c r="B253" i="26" a="1"/>
  <c r="B253" i="26" s="1"/>
  <c r="W252" i="26"/>
  <c r="S252" i="26"/>
  <c r="O252" i="26"/>
  <c r="J252" i="26" a="1"/>
  <c r="J252" i="26" s="1"/>
  <c r="X251" i="26"/>
  <c r="T251" i="26"/>
  <c r="P251" i="26"/>
  <c r="E251" i="26"/>
  <c r="C251" i="26" a="1"/>
  <c r="C251" i="26" s="1"/>
  <c r="Y250" i="26"/>
  <c r="U250" i="26"/>
  <c r="Q250" i="26"/>
  <c r="M250" i="26"/>
  <c r="F250" i="26"/>
  <c r="V249" i="26"/>
  <c r="R249" i="26"/>
  <c r="N249" i="26"/>
  <c r="D249" i="26" a="1"/>
  <c r="D249" i="26" s="1"/>
  <c r="B249" i="26" a="1"/>
  <c r="B249" i="26" s="1"/>
  <c r="P269" i="26"/>
  <c r="E269" i="26"/>
  <c r="G269" i="26" s="1"/>
  <c r="Q268" i="26"/>
  <c r="F268" i="26"/>
  <c r="H268" i="26" s="1" a="1"/>
  <c r="H268" i="26" s="1"/>
  <c r="X267" i="26"/>
  <c r="S267" i="26"/>
  <c r="N267" i="26"/>
  <c r="D267" i="26" a="1"/>
  <c r="D267" i="26" s="1"/>
  <c r="Y266" i="26"/>
  <c r="T266" i="26"/>
  <c r="O266" i="26"/>
  <c r="U265" i="26"/>
  <c r="P265" i="26"/>
  <c r="E265" i="26"/>
  <c r="B265" i="26" a="1"/>
  <c r="B265" i="26" s="1"/>
  <c r="V264" i="26"/>
  <c r="Q264" i="26"/>
  <c r="F264" i="26"/>
  <c r="H264" i="26" s="1" a="1"/>
  <c r="H264" i="26" s="1"/>
  <c r="W263" i="26"/>
  <c r="R263" i="26"/>
  <c r="J263" i="26" a="1"/>
  <c r="J263" i="26" s="1"/>
  <c r="C263" i="26" a="1"/>
  <c r="C263" i="26" s="1"/>
  <c r="X262" i="26"/>
  <c r="S262" i="26"/>
  <c r="M262" i="26"/>
  <c r="Y261" i="26"/>
  <c r="U261" i="26"/>
  <c r="Q261" i="26"/>
  <c r="M261" i="26"/>
  <c r="F261" i="26"/>
  <c r="V260" i="26"/>
  <c r="R260" i="26"/>
  <c r="N260" i="26"/>
  <c r="D260" i="26" a="1"/>
  <c r="D260" i="26" s="1"/>
  <c r="B260" i="26" a="1"/>
  <c r="B260" i="26" s="1"/>
  <c r="W259" i="26"/>
  <c r="S259" i="26"/>
  <c r="O259" i="26"/>
  <c r="J259" i="26" a="1"/>
  <c r="J259" i="26" s="1"/>
  <c r="H259" i="26" a="1"/>
  <c r="H259" i="26" s="1"/>
  <c r="X258" i="26"/>
  <c r="T258" i="26"/>
  <c r="P258" i="26"/>
  <c r="E258" i="26"/>
  <c r="C258" i="26" a="1"/>
  <c r="C258" i="26" s="1"/>
  <c r="Y257" i="26"/>
  <c r="U257" i="26"/>
  <c r="Q257" i="26"/>
  <c r="M257" i="26"/>
  <c r="F257" i="26"/>
  <c r="H257" i="26" s="1" a="1"/>
  <c r="H257" i="26" s="1"/>
  <c r="V256" i="26"/>
  <c r="R256" i="26"/>
  <c r="N256" i="26"/>
  <c r="D256" i="26" a="1"/>
  <c r="D256" i="26" s="1"/>
  <c r="B256" i="26" a="1"/>
  <c r="B256" i="26" s="1"/>
  <c r="W255" i="26"/>
  <c r="S255" i="26"/>
  <c r="O255" i="26"/>
  <c r="J255" i="26" a="1"/>
  <c r="J255" i="26" s="1"/>
  <c r="X254" i="26"/>
  <c r="T254" i="26"/>
  <c r="P254" i="26"/>
  <c r="E254" i="26"/>
  <c r="C254" i="26" a="1"/>
  <c r="C254" i="26" s="1"/>
  <c r="Y253" i="26"/>
  <c r="U253" i="26"/>
  <c r="Q253" i="26"/>
  <c r="M253" i="26"/>
  <c r="F253" i="26"/>
  <c r="H253" i="26" s="1" a="1"/>
  <c r="H253" i="26" s="1"/>
  <c r="V252" i="26"/>
  <c r="R252" i="26"/>
  <c r="N252" i="26"/>
  <c r="D252" i="26" a="1"/>
  <c r="D252" i="26" s="1"/>
  <c r="B252" i="26" a="1"/>
  <c r="B252" i="26" s="1"/>
  <c r="W251" i="26"/>
  <c r="S251" i="26"/>
  <c r="O251" i="26"/>
  <c r="J251" i="26" a="1"/>
  <c r="J251" i="26" s="1"/>
  <c r="X250" i="26"/>
  <c r="T250" i="26"/>
  <c r="P250" i="26"/>
  <c r="E250" i="26"/>
  <c r="C250" i="26" a="1"/>
  <c r="C250" i="26" s="1"/>
  <c r="Y249" i="26"/>
  <c r="U249" i="26"/>
  <c r="Q249" i="26"/>
  <c r="M249" i="26"/>
  <c r="F249" i="26"/>
  <c r="H249" i="26" s="1" a="1"/>
  <c r="H249" i="26" s="1"/>
  <c r="V248" i="26"/>
  <c r="R248" i="26"/>
  <c r="N248" i="26"/>
  <c r="D248" i="26" a="1"/>
  <c r="D248" i="26" s="1"/>
  <c r="B248" i="26" a="1"/>
  <c r="B248" i="26" s="1"/>
  <c r="J267" i="26" a="1"/>
  <c r="J267" i="26" s="1"/>
  <c r="S266" i="26"/>
  <c r="U264" i="26"/>
  <c r="W262" i="26"/>
  <c r="F262" i="26"/>
  <c r="I262" i="26" s="1" a="1"/>
  <c r="I262" i="26" s="1"/>
  <c r="P261" i="26"/>
  <c r="E261" i="26"/>
  <c r="Q260" i="26"/>
  <c r="F260" i="26"/>
  <c r="H260" i="26" s="1" a="1"/>
  <c r="H260" i="26" s="1"/>
  <c r="R259" i="26"/>
  <c r="S258" i="26"/>
  <c r="T257" i="26"/>
  <c r="U256" i="26"/>
  <c r="V255" i="26"/>
  <c r="W254" i="26"/>
  <c r="J254" i="26" a="1"/>
  <c r="J254" i="26" s="1"/>
  <c r="X253" i="26"/>
  <c r="Y252" i="26"/>
  <c r="B251" i="26" a="1"/>
  <c r="B251" i="26" s="1"/>
  <c r="C249" i="26" a="1"/>
  <c r="C249" i="26" s="1"/>
  <c r="S248" i="26"/>
  <c r="V247" i="26"/>
  <c r="P247" i="26"/>
  <c r="E247" i="26"/>
  <c r="W246" i="26"/>
  <c r="Q246" i="26"/>
  <c r="J246" i="26" a="1"/>
  <c r="J246" i="26" s="1"/>
  <c r="D246" i="26" a="1"/>
  <c r="D246" i="26" s="1"/>
  <c r="B246" i="26" a="1"/>
  <c r="B246" i="26" s="1"/>
  <c r="W245" i="26"/>
  <c r="S245" i="26"/>
  <c r="O245" i="26"/>
  <c r="J245" i="26" a="1"/>
  <c r="J245" i="26" s="1"/>
  <c r="X244" i="26"/>
  <c r="T244" i="26"/>
  <c r="P244" i="26"/>
  <c r="E244" i="26"/>
  <c r="C244" i="26" a="1"/>
  <c r="C244" i="26" s="1"/>
  <c r="Y243" i="26"/>
  <c r="U243" i="26"/>
  <c r="Q243" i="26"/>
  <c r="M243" i="26"/>
  <c r="F243" i="26"/>
  <c r="V242" i="26"/>
  <c r="R242" i="26"/>
  <c r="N242" i="26"/>
  <c r="D242" i="26" a="1"/>
  <c r="D242" i="26" s="1"/>
  <c r="B242" i="26" a="1"/>
  <c r="B242" i="26" s="1"/>
  <c r="W241" i="26"/>
  <c r="S241" i="26"/>
  <c r="O241" i="26"/>
  <c r="J241" i="26" a="1"/>
  <c r="J241" i="26" s="1"/>
  <c r="X240" i="26"/>
  <c r="T240" i="26"/>
  <c r="P240" i="26"/>
  <c r="E240" i="26"/>
  <c r="C240" i="26" a="1"/>
  <c r="C240" i="26" s="1"/>
  <c r="Y239" i="26"/>
  <c r="U239" i="26"/>
  <c r="Q239" i="26"/>
  <c r="M239" i="26"/>
  <c r="F239" i="26"/>
  <c r="I239" i="26" s="1" a="1"/>
  <c r="I239" i="26" s="1"/>
  <c r="V238" i="26"/>
  <c r="R238" i="26"/>
  <c r="N238" i="26"/>
  <c r="D238" i="26" a="1"/>
  <c r="D238" i="26" s="1"/>
  <c r="B238" i="26" a="1"/>
  <c r="B238" i="26" s="1"/>
  <c r="W267" i="26"/>
  <c r="M266" i="26"/>
  <c r="Y265" i="26"/>
  <c r="O264" i="26"/>
  <c r="B264" i="26" a="1"/>
  <c r="B264" i="26" s="1"/>
  <c r="Q262" i="26"/>
  <c r="C262" i="26" a="1"/>
  <c r="C262" i="26" s="1"/>
  <c r="C261" i="26" a="1"/>
  <c r="C261" i="26" s="1"/>
  <c r="M260" i="26"/>
  <c r="N259" i="26"/>
  <c r="D259" i="26" a="1"/>
  <c r="D259" i="26" s="1"/>
  <c r="O258" i="26"/>
  <c r="P257" i="26"/>
  <c r="E257" i="26"/>
  <c r="Q256" i="26"/>
  <c r="F256" i="26"/>
  <c r="R255" i="26"/>
  <c r="S254" i="26"/>
  <c r="T253" i="26"/>
  <c r="U252" i="26"/>
  <c r="V251" i="26"/>
  <c r="W250" i="26"/>
  <c r="J250" i="26" a="1"/>
  <c r="J250" i="26" s="1"/>
  <c r="X249" i="26"/>
  <c r="Y248" i="26"/>
  <c r="Q248" i="26"/>
  <c r="F248" i="26"/>
  <c r="H248" i="26" s="1" a="1"/>
  <c r="H248" i="26" s="1"/>
  <c r="T247" i="26"/>
  <c r="O247" i="26"/>
  <c r="B247" i="26" a="1"/>
  <c r="B247" i="26" s="1"/>
  <c r="U246" i="26"/>
  <c r="P246" i="26"/>
  <c r="F246" i="26"/>
  <c r="H246" i="26" s="1" a="1"/>
  <c r="H246" i="26" s="1"/>
  <c r="V245" i="26"/>
  <c r="R245" i="26"/>
  <c r="N245" i="26"/>
  <c r="D245" i="26" a="1"/>
  <c r="D245" i="26" s="1"/>
  <c r="B245" i="26" a="1"/>
  <c r="B245" i="26" s="1"/>
  <c r="W244" i="26"/>
  <c r="S244" i="26"/>
  <c r="O244" i="26"/>
  <c r="J244" i="26" a="1"/>
  <c r="J244" i="26" s="1"/>
  <c r="X243" i="26"/>
  <c r="T243" i="26"/>
  <c r="P243" i="26"/>
  <c r="E243" i="26"/>
  <c r="C243" i="26" a="1"/>
  <c r="C243" i="26" s="1"/>
  <c r="Y242" i="26"/>
  <c r="U242" i="26"/>
  <c r="Q242" i="26"/>
  <c r="M242" i="26"/>
  <c r="F242" i="26"/>
  <c r="I242" i="26" s="1" a="1"/>
  <c r="I242" i="26" s="1"/>
  <c r="V241" i="26"/>
  <c r="R241" i="26"/>
  <c r="N241" i="26"/>
  <c r="D241" i="26" a="1"/>
  <c r="D241" i="26" s="1"/>
  <c r="B241" i="26" a="1"/>
  <c r="B241" i="26" s="1"/>
  <c r="W240" i="26"/>
  <c r="S240" i="26"/>
  <c r="O240" i="26"/>
  <c r="J240" i="26" a="1"/>
  <c r="J240" i="26" s="1"/>
  <c r="X239" i="26"/>
  <c r="T239" i="26"/>
  <c r="P239" i="26"/>
  <c r="E239" i="26"/>
  <c r="C239" i="26" a="1"/>
  <c r="C239" i="26" s="1"/>
  <c r="Y238" i="26"/>
  <c r="U238" i="26"/>
  <c r="Q238" i="26"/>
  <c r="M238" i="26"/>
  <c r="F238" i="26"/>
  <c r="V237" i="26"/>
  <c r="R237" i="26"/>
  <c r="N237" i="26"/>
  <c r="D237" i="26" a="1"/>
  <c r="D237" i="26" s="1"/>
  <c r="B237" i="26" a="1"/>
  <c r="B237" i="26" s="1"/>
  <c r="W236" i="26"/>
  <c r="S236" i="26"/>
  <c r="O236" i="26"/>
  <c r="J236" i="26" a="1"/>
  <c r="J236" i="26" s="1"/>
  <c r="X235" i="26"/>
  <c r="T235" i="26"/>
  <c r="P235" i="26"/>
  <c r="E235" i="26"/>
  <c r="C235" i="26" a="1"/>
  <c r="C235" i="26" s="1"/>
  <c r="Y234" i="26"/>
  <c r="U234" i="26"/>
  <c r="Q234" i="26"/>
  <c r="M234" i="26"/>
  <c r="F234" i="26"/>
  <c r="V233" i="26"/>
  <c r="R233" i="26"/>
  <c r="N233" i="26"/>
  <c r="D233" i="26" a="1"/>
  <c r="D233" i="26" s="1"/>
  <c r="B233" i="26" a="1"/>
  <c r="B233" i="26" s="1"/>
  <c r="W232" i="26"/>
  <c r="S232" i="26"/>
  <c r="O232" i="26"/>
  <c r="J232" i="26" a="1"/>
  <c r="J232" i="26" s="1"/>
  <c r="C269" i="26" a="1"/>
  <c r="C269" i="26" s="1"/>
  <c r="R267" i="26"/>
  <c r="C267" i="26" a="1"/>
  <c r="C267" i="26" s="1"/>
  <c r="T265" i="26"/>
  <c r="D265" i="26" a="1"/>
  <c r="D265" i="26" s="1"/>
  <c r="V263" i="26"/>
  <c r="E263" i="26"/>
  <c r="G263" i="26" s="1"/>
  <c r="X261" i="26"/>
  <c r="Y260" i="26"/>
  <c r="B259" i="26" a="1"/>
  <c r="B259" i="26" s="1"/>
  <c r="C257" i="26" a="1"/>
  <c r="C257" i="26" s="1"/>
  <c r="M256" i="26"/>
  <c r="N255" i="26"/>
  <c r="D255" i="26" a="1"/>
  <c r="D255" i="26" s="1"/>
  <c r="O254" i="26"/>
  <c r="P253" i="26"/>
  <c r="E253" i="26"/>
  <c r="Q252" i="26"/>
  <c r="F252" i="26"/>
  <c r="H252" i="26" s="1" a="1"/>
  <c r="H252" i="26" s="1"/>
  <c r="R251" i="26"/>
  <c r="S250" i="26"/>
  <c r="T249" i="26"/>
  <c r="W248" i="26"/>
  <c r="O248" i="26"/>
  <c r="J248" i="26" a="1"/>
  <c r="J248" i="26" s="1"/>
  <c r="X247" i="26"/>
  <c r="S247" i="26"/>
  <c r="N247" i="26"/>
  <c r="D247" i="26" a="1"/>
  <c r="D247" i="26" s="1"/>
  <c r="Y246" i="26"/>
  <c r="T246" i="26"/>
  <c r="O246" i="26"/>
  <c r="E246" i="26"/>
  <c r="G246" i="26" s="1"/>
  <c r="C246" i="26" a="1"/>
  <c r="C246" i="26" s="1"/>
  <c r="Y245" i="26"/>
  <c r="U245" i="26"/>
  <c r="Q245" i="26"/>
  <c r="M245" i="26"/>
  <c r="F245" i="26"/>
  <c r="H245" i="26" s="1" a="1"/>
  <c r="H245" i="26" s="1"/>
  <c r="V244" i="26"/>
  <c r="R244" i="26"/>
  <c r="N244" i="26"/>
  <c r="D244" i="26" a="1"/>
  <c r="D244" i="26" s="1"/>
  <c r="B244" i="26" a="1"/>
  <c r="B244" i="26" s="1"/>
  <c r="W243" i="26"/>
  <c r="S243" i="26"/>
  <c r="O243" i="26"/>
  <c r="J243" i="26" a="1"/>
  <c r="J243" i="26" s="1"/>
  <c r="X242" i="26"/>
  <c r="T242" i="26"/>
  <c r="P242" i="26"/>
  <c r="E242" i="26"/>
  <c r="C242" i="26" a="1"/>
  <c r="C242" i="26" s="1"/>
  <c r="Y241" i="26"/>
  <c r="U241" i="26"/>
  <c r="Q241" i="26"/>
  <c r="M241" i="26"/>
  <c r="F241" i="26"/>
  <c r="V240" i="26"/>
  <c r="R240" i="26"/>
  <c r="N240" i="26"/>
  <c r="D240" i="26" a="1"/>
  <c r="D240" i="26" s="1"/>
  <c r="B240" i="26" a="1"/>
  <c r="B240" i="26" s="1"/>
  <c r="W239" i="26"/>
  <c r="S239" i="26"/>
  <c r="O239" i="26"/>
  <c r="J239" i="26" a="1"/>
  <c r="J239" i="26" s="1"/>
  <c r="X238" i="26"/>
  <c r="T238" i="26"/>
  <c r="P238" i="26"/>
  <c r="E238" i="26"/>
  <c r="C238" i="26" a="1"/>
  <c r="C238" i="26" s="1"/>
  <c r="Y237" i="26"/>
  <c r="U237" i="26"/>
  <c r="Q237" i="26"/>
  <c r="M237" i="26"/>
  <c r="F237" i="26"/>
  <c r="V236" i="26"/>
  <c r="R236" i="26"/>
  <c r="N236" i="26"/>
  <c r="D236" i="26" a="1"/>
  <c r="D236" i="26" s="1"/>
  <c r="B236" i="26" a="1"/>
  <c r="B236" i="26" s="1"/>
  <c r="P263" i="26"/>
  <c r="N251" i="26"/>
  <c r="P249" i="26"/>
  <c r="X246" i="26"/>
  <c r="T245" i="26"/>
  <c r="U244" i="26"/>
  <c r="V243" i="26"/>
  <c r="W242" i="26"/>
  <c r="J242" i="26" a="1"/>
  <c r="J242" i="26" s="1"/>
  <c r="X241" i="26"/>
  <c r="Y240" i="26"/>
  <c r="B239" i="26" a="1"/>
  <c r="B239" i="26" s="1"/>
  <c r="S237" i="26"/>
  <c r="H237" i="26" a="1"/>
  <c r="H237" i="26" s="1"/>
  <c r="T236" i="26"/>
  <c r="C236" i="26" a="1"/>
  <c r="C236" i="26" s="1"/>
  <c r="V235" i="26"/>
  <c r="Q235" i="26"/>
  <c r="F235" i="26"/>
  <c r="W234" i="26"/>
  <c r="R234" i="26"/>
  <c r="J234" i="26" a="1"/>
  <c r="J234" i="26" s="1"/>
  <c r="C234" i="26" a="1"/>
  <c r="C234" i="26" s="1"/>
  <c r="X233" i="26"/>
  <c r="S233" i="26"/>
  <c r="M233" i="26"/>
  <c r="Y232" i="26"/>
  <c r="T232" i="26"/>
  <c r="N232" i="26"/>
  <c r="D232" i="26" a="1"/>
  <c r="D232" i="26" s="1"/>
  <c r="V231" i="26"/>
  <c r="R231" i="26"/>
  <c r="N231" i="26"/>
  <c r="D231" i="26" a="1"/>
  <c r="D231" i="26" s="1"/>
  <c r="B231" i="26" a="1"/>
  <c r="B231" i="26" s="1"/>
  <c r="W230" i="26"/>
  <c r="S230" i="26"/>
  <c r="O230" i="26"/>
  <c r="J230" i="26" a="1"/>
  <c r="J230" i="26" s="1"/>
  <c r="X229" i="26"/>
  <c r="T229" i="26"/>
  <c r="P229" i="26"/>
  <c r="E229" i="26"/>
  <c r="C229" i="26" a="1"/>
  <c r="C229" i="26" s="1"/>
  <c r="Y228" i="26"/>
  <c r="U228" i="26"/>
  <c r="Q228" i="26"/>
  <c r="M228" i="26"/>
  <c r="F228" i="26"/>
  <c r="I228" i="26" s="1" a="1"/>
  <c r="I228" i="26" s="1"/>
  <c r="V227" i="26"/>
  <c r="R227" i="26"/>
  <c r="N227" i="26"/>
  <c r="D227" i="26" a="1"/>
  <c r="D227" i="26" s="1"/>
  <c r="B227" i="26" a="1"/>
  <c r="B227" i="26" s="1"/>
  <c r="W226" i="26"/>
  <c r="S226" i="26"/>
  <c r="O226" i="26"/>
  <c r="J226" i="26" a="1"/>
  <c r="J226" i="26" s="1"/>
  <c r="X225" i="26"/>
  <c r="T225" i="26"/>
  <c r="P225" i="26"/>
  <c r="E225" i="26"/>
  <c r="C225" i="26" a="1"/>
  <c r="C225" i="26" s="1"/>
  <c r="Y224" i="26"/>
  <c r="U224" i="26"/>
  <c r="Q224" i="26"/>
  <c r="M224" i="26"/>
  <c r="F224" i="26"/>
  <c r="V223" i="26"/>
  <c r="R223" i="26"/>
  <c r="N223" i="26"/>
  <c r="D223" i="26" a="1"/>
  <c r="D223" i="26" s="1"/>
  <c r="B223" i="26" a="1"/>
  <c r="B223" i="26" s="1"/>
  <c r="W222" i="26"/>
  <c r="S222" i="26"/>
  <c r="O222" i="26"/>
  <c r="J222" i="26" a="1"/>
  <c r="J222" i="26" s="1"/>
  <c r="X221" i="26"/>
  <c r="T221" i="26"/>
  <c r="P221" i="26"/>
  <c r="E221" i="26"/>
  <c r="C221" i="26" a="1"/>
  <c r="C221" i="26" s="1"/>
  <c r="Y220" i="26"/>
  <c r="U220" i="26"/>
  <c r="Q220" i="26"/>
  <c r="M220" i="26"/>
  <c r="F220" i="26"/>
  <c r="V219" i="26"/>
  <c r="R219" i="26"/>
  <c r="N219" i="26"/>
  <c r="D219" i="26" a="1"/>
  <c r="D219" i="26" s="1"/>
  <c r="B219" i="26" a="1"/>
  <c r="B219" i="26" s="1"/>
  <c r="W218" i="26"/>
  <c r="S218" i="26"/>
  <c r="O218" i="26"/>
  <c r="J218" i="26" a="1"/>
  <c r="J218" i="26" s="1"/>
  <c r="X217" i="26"/>
  <c r="T217" i="26"/>
  <c r="P217" i="26"/>
  <c r="E217" i="26"/>
  <c r="C217" i="26" a="1"/>
  <c r="C217" i="26" s="1"/>
  <c r="Y216" i="26"/>
  <c r="U216" i="26"/>
  <c r="Q216" i="26"/>
  <c r="M216" i="26"/>
  <c r="F216" i="26"/>
  <c r="I216" i="26" s="1" a="1"/>
  <c r="I216" i="26" s="1"/>
  <c r="V215" i="26"/>
  <c r="R215" i="26"/>
  <c r="N215" i="26"/>
  <c r="D215" i="26" a="1"/>
  <c r="D215" i="26" s="1"/>
  <c r="B215" i="26" a="1"/>
  <c r="B215" i="26" s="1"/>
  <c r="W214" i="26"/>
  <c r="S214" i="26"/>
  <c r="O214" i="26"/>
  <c r="J214" i="26" a="1"/>
  <c r="J214" i="26" s="1"/>
  <c r="X213" i="26"/>
  <c r="T213" i="26"/>
  <c r="P213" i="26"/>
  <c r="E213" i="26"/>
  <c r="C213" i="26" a="1"/>
  <c r="C213" i="26" s="1"/>
  <c r="Y212" i="26"/>
  <c r="U212" i="26"/>
  <c r="Q212" i="26"/>
  <c r="M212" i="26"/>
  <c r="F212" i="26"/>
  <c r="I212" i="26" s="1" a="1"/>
  <c r="I212" i="26" s="1"/>
  <c r="V211" i="26"/>
  <c r="R211" i="26"/>
  <c r="N211" i="26"/>
  <c r="D211" i="26" a="1"/>
  <c r="D211" i="26" s="1"/>
  <c r="B211" i="26" a="1"/>
  <c r="B211" i="26" s="1"/>
  <c r="W210" i="26"/>
  <c r="S210" i="26"/>
  <c r="O210" i="26"/>
  <c r="J210" i="26" a="1"/>
  <c r="J210" i="26" s="1"/>
  <c r="X209" i="26"/>
  <c r="T209" i="26"/>
  <c r="P209" i="26"/>
  <c r="E209" i="26"/>
  <c r="C209" i="26" a="1"/>
  <c r="C209" i="26" s="1"/>
  <c r="Y208" i="26"/>
  <c r="U208" i="26"/>
  <c r="Q208" i="26"/>
  <c r="M208" i="26"/>
  <c r="F208" i="26"/>
  <c r="V207" i="26"/>
  <c r="R207" i="26"/>
  <c r="N207" i="26"/>
  <c r="D207" i="26" a="1"/>
  <c r="D207" i="26" s="1"/>
  <c r="B207" i="26" a="1"/>
  <c r="B207" i="26" s="1"/>
  <c r="W206" i="26"/>
  <c r="S206" i="26"/>
  <c r="O206" i="26"/>
  <c r="J206" i="26" a="1"/>
  <c r="J206" i="26" s="1"/>
  <c r="X205" i="26"/>
  <c r="T205" i="26"/>
  <c r="P205" i="26"/>
  <c r="E205" i="26"/>
  <c r="C205" i="26" a="1"/>
  <c r="C205" i="26" s="1"/>
  <c r="Y204" i="26"/>
  <c r="U204" i="26"/>
  <c r="Q204" i="26"/>
  <c r="M204" i="26"/>
  <c r="F204" i="26"/>
  <c r="V203" i="26"/>
  <c r="R203" i="26"/>
  <c r="N203" i="26"/>
  <c r="D203" i="26" a="1"/>
  <c r="D203" i="26" s="1"/>
  <c r="B203" i="26" a="1"/>
  <c r="B203" i="26" s="1"/>
  <c r="W202" i="26"/>
  <c r="S202" i="26"/>
  <c r="O202" i="26"/>
  <c r="J202" i="26" a="1"/>
  <c r="J202" i="26" s="1"/>
  <c r="X201" i="26"/>
  <c r="T201" i="26"/>
  <c r="P201" i="26"/>
  <c r="E201" i="26"/>
  <c r="C201" i="26" a="1"/>
  <c r="C201" i="26" s="1"/>
  <c r="Y200" i="26"/>
  <c r="U200" i="26"/>
  <c r="Q200" i="26"/>
  <c r="M200" i="26"/>
  <c r="F200" i="26"/>
  <c r="I200" i="26" s="1" a="1"/>
  <c r="I200" i="26" s="1"/>
  <c r="V199" i="26"/>
  <c r="R199" i="26"/>
  <c r="N199" i="26"/>
  <c r="D199" i="26" a="1"/>
  <c r="D199" i="26" s="1"/>
  <c r="B199" i="26" a="1"/>
  <c r="B199" i="26" s="1"/>
  <c r="W198" i="26"/>
  <c r="S198" i="26"/>
  <c r="O198" i="26"/>
  <c r="J198" i="26" a="1"/>
  <c r="J198" i="26" s="1"/>
  <c r="M268" i="26"/>
  <c r="N265" i="26"/>
  <c r="U260" i="26"/>
  <c r="W258" i="26"/>
  <c r="Y256" i="26"/>
  <c r="B255" i="26" a="1"/>
  <c r="B255" i="26" s="1"/>
  <c r="C253" i="26" a="1"/>
  <c r="C253" i="26" s="1"/>
  <c r="D251" i="26" a="1"/>
  <c r="D251" i="26" s="1"/>
  <c r="E249" i="26"/>
  <c r="J247" i="26" a="1"/>
  <c r="J247" i="26" s="1"/>
  <c r="S246" i="26"/>
  <c r="P245" i="26"/>
  <c r="E245" i="26"/>
  <c r="Q244" i="26"/>
  <c r="F244" i="26"/>
  <c r="H244" i="26" s="1" a="1"/>
  <c r="H244" i="26" s="1"/>
  <c r="R243" i="26"/>
  <c r="S242" i="26"/>
  <c r="H242" i="26" a="1"/>
  <c r="H242" i="26" s="1"/>
  <c r="T241" i="26"/>
  <c r="U240" i="26"/>
  <c r="V239" i="26"/>
  <c r="W238" i="26"/>
  <c r="J238" i="26" a="1"/>
  <c r="J238" i="26" s="1"/>
  <c r="X237" i="26"/>
  <c r="P237" i="26"/>
  <c r="E237" i="26"/>
  <c r="Y236" i="26"/>
  <c r="Q236" i="26"/>
  <c r="F236" i="26"/>
  <c r="U235" i="26"/>
  <c r="O235" i="26"/>
  <c r="I235" i="26" a="1"/>
  <c r="I235" i="26" s="1"/>
  <c r="B235" i="26" a="1"/>
  <c r="B235" i="26" s="1"/>
  <c r="V234" i="26"/>
  <c r="P234" i="26"/>
  <c r="E234" i="26"/>
  <c r="W233" i="26"/>
  <c r="Q233" i="26"/>
  <c r="J233" i="26" a="1"/>
  <c r="J233" i="26" s="1"/>
  <c r="F233" i="26"/>
  <c r="H233" i="26" s="1" a="1"/>
  <c r="H233" i="26" s="1"/>
  <c r="C233" i="26" a="1"/>
  <c r="C233" i="26" s="1"/>
  <c r="X232" i="26"/>
  <c r="R232" i="26"/>
  <c r="M232" i="26"/>
  <c r="Y231" i="26"/>
  <c r="U231" i="26"/>
  <c r="Q231" i="26"/>
  <c r="M231" i="26"/>
  <c r="F231" i="26"/>
  <c r="V230" i="26"/>
  <c r="R230" i="26"/>
  <c r="N230" i="26"/>
  <c r="D230" i="26" a="1"/>
  <c r="D230" i="26" s="1"/>
  <c r="B230" i="26" a="1"/>
  <c r="B230" i="26" s="1"/>
  <c r="W229" i="26"/>
  <c r="S229" i="26"/>
  <c r="O229" i="26"/>
  <c r="J229" i="26" a="1"/>
  <c r="J229" i="26" s="1"/>
  <c r="X228" i="26"/>
  <c r="T228" i="26"/>
  <c r="P228" i="26"/>
  <c r="E228" i="26"/>
  <c r="C228" i="26" a="1"/>
  <c r="C228" i="26" s="1"/>
  <c r="Y227" i="26"/>
  <c r="U227" i="26"/>
  <c r="Q227" i="26"/>
  <c r="M227" i="26"/>
  <c r="F227" i="26"/>
  <c r="V226" i="26"/>
  <c r="R226" i="26"/>
  <c r="N226" i="26"/>
  <c r="D226" i="26" a="1"/>
  <c r="D226" i="26" s="1"/>
  <c r="B226" i="26" a="1"/>
  <c r="B226" i="26" s="1"/>
  <c r="W225" i="26"/>
  <c r="S225" i="26"/>
  <c r="O225" i="26"/>
  <c r="J225" i="26" a="1"/>
  <c r="J225" i="26" s="1"/>
  <c r="X224" i="26"/>
  <c r="T224" i="26"/>
  <c r="P224" i="26"/>
  <c r="E224" i="26"/>
  <c r="C224" i="26" a="1"/>
  <c r="C224" i="26" s="1"/>
  <c r="Y223" i="26"/>
  <c r="U223" i="26"/>
  <c r="Q223" i="26"/>
  <c r="M223" i="26"/>
  <c r="I223" i="26" a="1"/>
  <c r="I223" i="26" s="1"/>
  <c r="F223" i="26"/>
  <c r="V222" i="26"/>
  <c r="R222" i="26"/>
  <c r="N222" i="26"/>
  <c r="D222" i="26" a="1"/>
  <c r="D222" i="26" s="1"/>
  <c r="B222" i="26" a="1"/>
  <c r="B222" i="26" s="1"/>
  <c r="W221" i="26"/>
  <c r="S221" i="26"/>
  <c r="O221" i="26"/>
  <c r="J221" i="26" a="1"/>
  <c r="J221" i="26" s="1"/>
  <c r="X220" i="26"/>
  <c r="T220" i="26"/>
  <c r="P220" i="26"/>
  <c r="E220" i="26"/>
  <c r="C220" i="26" a="1"/>
  <c r="C220" i="26" s="1"/>
  <c r="Y219" i="26"/>
  <c r="U219" i="26"/>
  <c r="Q219" i="26"/>
  <c r="M219" i="26"/>
  <c r="I219" i="26" a="1"/>
  <c r="I219" i="26" s="1"/>
  <c r="F219" i="26"/>
  <c r="V218" i="26"/>
  <c r="R218" i="26"/>
  <c r="N218" i="26"/>
  <c r="D218" i="26" a="1"/>
  <c r="D218" i="26" s="1"/>
  <c r="B218" i="26" a="1"/>
  <c r="B218" i="26" s="1"/>
  <c r="W217" i="26"/>
  <c r="S217" i="26"/>
  <c r="O217" i="26"/>
  <c r="J217" i="26" a="1"/>
  <c r="J217" i="26" s="1"/>
  <c r="X216" i="26"/>
  <c r="T216" i="26"/>
  <c r="P216" i="26"/>
  <c r="E216" i="26"/>
  <c r="C216" i="26" a="1"/>
  <c r="C216" i="26" s="1"/>
  <c r="Y215" i="26"/>
  <c r="U215" i="26"/>
  <c r="Q215" i="26"/>
  <c r="M215" i="26"/>
  <c r="F215" i="26"/>
  <c r="V214" i="26"/>
  <c r="R214" i="26"/>
  <c r="N214" i="26"/>
  <c r="D214" i="26" a="1"/>
  <c r="D214" i="26" s="1"/>
  <c r="B214" i="26" a="1"/>
  <c r="B214" i="26" s="1"/>
  <c r="W213" i="26"/>
  <c r="S213" i="26"/>
  <c r="O213" i="26"/>
  <c r="J213" i="26" a="1"/>
  <c r="J213" i="26" s="1"/>
  <c r="X212" i="26"/>
  <c r="T212" i="26"/>
  <c r="P212" i="26"/>
  <c r="E212" i="26"/>
  <c r="C212" i="26" a="1"/>
  <c r="C212" i="26" s="1"/>
  <c r="Y211" i="26"/>
  <c r="U211" i="26"/>
  <c r="Q211" i="26"/>
  <c r="M211" i="26"/>
  <c r="F211" i="26"/>
  <c r="I211" i="26" s="1" a="1"/>
  <c r="I211" i="26" s="1"/>
  <c r="V210" i="26"/>
  <c r="R210" i="26"/>
  <c r="N210" i="26"/>
  <c r="D210" i="26" a="1"/>
  <c r="D210" i="26" s="1"/>
  <c r="B210" i="26" a="1"/>
  <c r="B210" i="26" s="1"/>
  <c r="W209" i="26"/>
  <c r="S209" i="26"/>
  <c r="O209" i="26"/>
  <c r="J209" i="26" a="1"/>
  <c r="J209" i="26" s="1"/>
  <c r="X208" i="26"/>
  <c r="T208" i="26"/>
  <c r="P208" i="26"/>
  <c r="E208" i="26"/>
  <c r="C208" i="26" a="1"/>
  <c r="C208" i="26" s="1"/>
  <c r="Y207" i="26"/>
  <c r="U207" i="26"/>
  <c r="Q207" i="26"/>
  <c r="M207" i="26"/>
  <c r="F207" i="26"/>
  <c r="I207" i="26" s="1" a="1"/>
  <c r="I207" i="26" s="1"/>
  <c r="V206" i="26"/>
  <c r="R206" i="26"/>
  <c r="N206" i="26"/>
  <c r="D206" i="26" a="1"/>
  <c r="D206" i="26" s="1"/>
  <c r="B206" i="26" a="1"/>
  <c r="B206" i="26" s="1"/>
  <c r="J262" i="26" a="1"/>
  <c r="J262" i="26" s="1"/>
  <c r="I260" i="26" a="1"/>
  <c r="I260" i="26" s="1"/>
  <c r="J258" i="26" a="1"/>
  <c r="J258" i="26" s="1"/>
  <c r="M252" i="26"/>
  <c r="O250" i="26"/>
  <c r="U248" i="26"/>
  <c r="W247" i="26"/>
  <c r="M246" i="26"/>
  <c r="C245" i="26" a="1"/>
  <c r="C245" i="26" s="1"/>
  <c r="M244" i="26"/>
  <c r="N243" i="26"/>
  <c r="D243" i="26" a="1"/>
  <c r="D243" i="26" s="1"/>
  <c r="O242" i="26"/>
  <c r="P241" i="26"/>
  <c r="E241" i="26"/>
  <c r="Q240" i="26"/>
  <c r="F240" i="26"/>
  <c r="H240" i="26" s="1" a="1"/>
  <c r="H240" i="26" s="1"/>
  <c r="R239" i="26"/>
  <c r="S238" i="26"/>
  <c r="W237" i="26"/>
  <c r="O237" i="26"/>
  <c r="J237" i="26" a="1"/>
  <c r="J237" i="26" s="1"/>
  <c r="X236" i="26"/>
  <c r="P236" i="26"/>
  <c r="E236" i="26"/>
  <c r="Y235" i="26"/>
  <c r="S235" i="26"/>
  <c r="N235" i="26"/>
  <c r="H235" i="26" a="1"/>
  <c r="H235" i="26" s="1"/>
  <c r="D235" i="26" a="1"/>
  <c r="D235" i="26" s="1"/>
  <c r="T234" i="26"/>
  <c r="O234" i="26"/>
  <c r="B234" i="26" a="1"/>
  <c r="B234" i="26" s="1"/>
  <c r="U233" i="26"/>
  <c r="P233" i="26"/>
  <c r="E233" i="26"/>
  <c r="G233" i="26" s="1"/>
  <c r="V232" i="26"/>
  <c r="Q232" i="26"/>
  <c r="F232" i="26"/>
  <c r="C232" i="26" a="1"/>
  <c r="C232" i="26" s="1"/>
  <c r="X231" i="26"/>
  <c r="T231" i="26"/>
  <c r="P231" i="26"/>
  <c r="E231" i="26"/>
  <c r="G231" i="26" s="1"/>
  <c r="C231" i="26" a="1"/>
  <c r="C231" i="26" s="1"/>
  <c r="Y230" i="26"/>
  <c r="U230" i="26"/>
  <c r="Q230" i="26"/>
  <c r="M230" i="26"/>
  <c r="F230" i="26"/>
  <c r="V229" i="26"/>
  <c r="R229" i="26"/>
  <c r="N229" i="26"/>
  <c r="D229" i="26" a="1"/>
  <c r="D229" i="26" s="1"/>
  <c r="B229" i="26" a="1"/>
  <c r="B229" i="26" s="1"/>
  <c r="W228" i="26"/>
  <c r="S228" i="26"/>
  <c r="O228" i="26"/>
  <c r="J228" i="26" a="1"/>
  <c r="J228" i="26" s="1"/>
  <c r="H228" i="26" a="1"/>
  <c r="H228" i="26" s="1"/>
  <c r="X227" i="26"/>
  <c r="T227" i="26"/>
  <c r="P227" i="26"/>
  <c r="E227" i="26"/>
  <c r="C227" i="26" a="1"/>
  <c r="C227" i="26" s="1"/>
  <c r="Y226" i="26"/>
  <c r="U226" i="26"/>
  <c r="Q226" i="26"/>
  <c r="M226" i="26"/>
  <c r="F226" i="26"/>
  <c r="H226" i="26" s="1" a="1"/>
  <c r="H226" i="26" s="1"/>
  <c r="V225" i="26"/>
  <c r="R225" i="26"/>
  <c r="N225" i="26"/>
  <c r="D225" i="26" a="1"/>
  <c r="D225" i="26" s="1"/>
  <c r="B225" i="26" a="1"/>
  <c r="B225" i="26" s="1"/>
  <c r="W224" i="26"/>
  <c r="S224" i="26"/>
  <c r="O224" i="26"/>
  <c r="J224" i="26" a="1"/>
  <c r="J224" i="26" s="1"/>
  <c r="H224" i="26" a="1"/>
  <c r="H224" i="26" s="1"/>
  <c r="X223" i="26"/>
  <c r="T223" i="26"/>
  <c r="P223" i="26"/>
  <c r="E223" i="26"/>
  <c r="C223" i="26" a="1"/>
  <c r="C223" i="26" s="1"/>
  <c r="Y222" i="26"/>
  <c r="U222" i="26"/>
  <c r="Q222" i="26"/>
  <c r="M222" i="26"/>
  <c r="F222" i="26"/>
  <c r="H222" i="26" s="1" a="1"/>
  <c r="H222" i="26" s="1"/>
  <c r="V221" i="26"/>
  <c r="R221" i="26"/>
  <c r="N221" i="26"/>
  <c r="D221" i="26" a="1"/>
  <c r="D221" i="26" s="1"/>
  <c r="B221" i="26" a="1"/>
  <c r="B221" i="26" s="1"/>
  <c r="W220" i="26"/>
  <c r="S220" i="26"/>
  <c r="O220" i="26"/>
  <c r="J220" i="26" a="1"/>
  <c r="J220" i="26" s="1"/>
  <c r="X219" i="26"/>
  <c r="T219" i="26"/>
  <c r="P219" i="26"/>
  <c r="E219" i="26"/>
  <c r="C219" i="26" a="1"/>
  <c r="C219" i="26" s="1"/>
  <c r="Y218" i="26"/>
  <c r="U218" i="26"/>
  <c r="Q218" i="26"/>
  <c r="M218" i="26"/>
  <c r="F218" i="26"/>
  <c r="V217" i="26"/>
  <c r="R217" i="26"/>
  <c r="N217" i="26"/>
  <c r="D217" i="26" a="1"/>
  <c r="D217" i="26" s="1"/>
  <c r="B217" i="26" a="1"/>
  <c r="B217" i="26" s="1"/>
  <c r="W216" i="26"/>
  <c r="S216" i="26"/>
  <c r="O216" i="26"/>
  <c r="J216" i="26" a="1"/>
  <c r="J216" i="26" s="1"/>
  <c r="X215" i="26"/>
  <c r="T215" i="26"/>
  <c r="P215" i="26"/>
  <c r="E215" i="26"/>
  <c r="C215" i="26" a="1"/>
  <c r="C215" i="26" s="1"/>
  <c r="Y214" i="26"/>
  <c r="U214" i="26"/>
  <c r="Q214" i="26"/>
  <c r="M214" i="26"/>
  <c r="F214" i="26"/>
  <c r="I214" i="26" s="1" a="1"/>
  <c r="I214" i="26" s="1"/>
  <c r="V213" i="26"/>
  <c r="R213" i="26"/>
  <c r="N213" i="26"/>
  <c r="D213" i="26" a="1"/>
  <c r="D213" i="26" s="1"/>
  <c r="B213" i="26" a="1"/>
  <c r="B213" i="26" s="1"/>
  <c r="W212" i="26"/>
  <c r="S212" i="26"/>
  <c r="O212" i="26"/>
  <c r="J212" i="26" a="1"/>
  <c r="J212" i="26" s="1"/>
  <c r="H212" i="26" a="1"/>
  <c r="H212" i="26" s="1"/>
  <c r="X211" i="26"/>
  <c r="T211" i="26"/>
  <c r="P211" i="26"/>
  <c r="E211" i="26"/>
  <c r="G211" i="26" s="1"/>
  <c r="C211" i="26" a="1"/>
  <c r="C211" i="26" s="1"/>
  <c r="Y210" i="26"/>
  <c r="U210" i="26"/>
  <c r="Q210" i="26"/>
  <c r="M210" i="26"/>
  <c r="F210" i="26"/>
  <c r="H210" i="26" s="1" a="1"/>
  <c r="H210" i="26" s="1"/>
  <c r="V209" i="26"/>
  <c r="R209" i="26"/>
  <c r="N209" i="26"/>
  <c r="D209" i="26" a="1"/>
  <c r="D209" i="26" s="1"/>
  <c r="B209" i="26" a="1"/>
  <c r="B209" i="26" s="1"/>
  <c r="W208" i="26"/>
  <c r="S208" i="26"/>
  <c r="O208" i="26"/>
  <c r="J208" i="26" a="1"/>
  <c r="J208" i="26" s="1"/>
  <c r="H208" i="26" a="1"/>
  <c r="H208" i="26" s="1"/>
  <c r="X207" i="26"/>
  <c r="T207" i="26"/>
  <c r="P207" i="26"/>
  <c r="E207" i="26"/>
  <c r="C207" i="26" a="1"/>
  <c r="C207" i="26" s="1"/>
  <c r="Y206" i="26"/>
  <c r="U206" i="26"/>
  <c r="Q206" i="26"/>
  <c r="M206" i="26"/>
  <c r="F206" i="26"/>
  <c r="H206" i="26" s="1" a="1"/>
  <c r="H206" i="26" s="1"/>
  <c r="V205" i="26"/>
  <c r="R205" i="26"/>
  <c r="N205" i="26"/>
  <c r="D205" i="26" a="1"/>
  <c r="D205" i="26" s="1"/>
  <c r="B205" i="26" a="1"/>
  <c r="B205" i="26" s="1"/>
  <c r="W204" i="26"/>
  <c r="S204" i="26"/>
  <c r="O204" i="26"/>
  <c r="J204" i="26" a="1"/>
  <c r="J204" i="26" s="1"/>
  <c r="X203" i="26"/>
  <c r="T203" i="26"/>
  <c r="P203" i="26"/>
  <c r="E203" i="26"/>
  <c r="C203" i="26" a="1"/>
  <c r="C203" i="26" s="1"/>
  <c r="Y202" i="26"/>
  <c r="U202" i="26"/>
  <c r="Q202" i="26"/>
  <c r="M202" i="26"/>
  <c r="F202" i="26"/>
  <c r="H202" i="26" s="1" a="1"/>
  <c r="H202" i="26" s="1"/>
  <c r="V201" i="26"/>
  <c r="R201" i="26"/>
  <c r="N201" i="26"/>
  <c r="D201" i="26" a="1"/>
  <c r="D201" i="26" s="1"/>
  <c r="B201" i="26" a="1"/>
  <c r="B201" i="26" s="1"/>
  <c r="V259" i="26"/>
  <c r="C247" i="26" a="1"/>
  <c r="C247" i="26" s="1"/>
  <c r="Y244" i="26"/>
  <c r="B243" i="26" a="1"/>
  <c r="B243" i="26" s="1"/>
  <c r="C241" i="26" a="1"/>
  <c r="C241" i="26" s="1"/>
  <c r="D239" i="26" a="1"/>
  <c r="D239" i="26" s="1"/>
  <c r="M236" i="26"/>
  <c r="R235" i="26"/>
  <c r="T233" i="26"/>
  <c r="W231" i="26"/>
  <c r="J231" i="26" a="1"/>
  <c r="J231" i="26" s="1"/>
  <c r="X230" i="26"/>
  <c r="Y229" i="26"/>
  <c r="B228" i="26" a="1"/>
  <c r="B228" i="26" s="1"/>
  <c r="C226" i="26" a="1"/>
  <c r="C226" i="26" s="1"/>
  <c r="M225" i="26"/>
  <c r="N224" i="26"/>
  <c r="D224" i="26" a="1"/>
  <c r="D224" i="26" s="1"/>
  <c r="O223" i="26"/>
  <c r="P222" i="26"/>
  <c r="E222" i="26"/>
  <c r="Q221" i="26"/>
  <c r="F221" i="26"/>
  <c r="H221" i="26" s="1" a="1"/>
  <c r="H221" i="26" s="1"/>
  <c r="R220" i="26"/>
  <c r="S219" i="26"/>
  <c r="H219" i="26" a="1"/>
  <c r="H219" i="26" s="1"/>
  <c r="T218" i="26"/>
  <c r="U217" i="26"/>
  <c r="V216" i="26"/>
  <c r="W215" i="26"/>
  <c r="J215" i="26" a="1"/>
  <c r="J215" i="26" s="1"/>
  <c r="X214" i="26"/>
  <c r="Y213" i="26"/>
  <c r="B212" i="26" a="1"/>
  <c r="B212" i="26" s="1"/>
  <c r="C210" i="26" a="1"/>
  <c r="C210" i="26" s="1"/>
  <c r="M209" i="26"/>
  <c r="N208" i="26"/>
  <c r="D208" i="26" a="1"/>
  <c r="D208" i="26" s="1"/>
  <c r="O207" i="26"/>
  <c r="P206" i="26"/>
  <c r="E206" i="26"/>
  <c r="U205" i="26"/>
  <c r="M205" i="26"/>
  <c r="V204" i="26"/>
  <c r="N204" i="26"/>
  <c r="D204" i="26" a="1"/>
  <c r="D204" i="26" s="1"/>
  <c r="W203" i="26"/>
  <c r="O203" i="26"/>
  <c r="J203" i="26" a="1"/>
  <c r="J203" i="26" s="1"/>
  <c r="X202" i="26"/>
  <c r="P202" i="26"/>
  <c r="E202" i="26"/>
  <c r="Y201" i="26"/>
  <c r="Q201" i="26"/>
  <c r="F201" i="26"/>
  <c r="T200" i="26"/>
  <c r="O200" i="26"/>
  <c r="B200" i="26" a="1"/>
  <c r="B200" i="26" s="1"/>
  <c r="U199" i="26"/>
  <c r="P199" i="26"/>
  <c r="E199" i="26"/>
  <c r="V198" i="26"/>
  <c r="Q198" i="26"/>
  <c r="F198" i="26"/>
  <c r="V197" i="26"/>
  <c r="R197" i="26"/>
  <c r="N197" i="26"/>
  <c r="D197" i="26" a="1"/>
  <c r="D197" i="26" s="1"/>
  <c r="B197" i="26" a="1"/>
  <c r="B197" i="26" s="1"/>
  <c r="W196" i="26"/>
  <c r="S196" i="26"/>
  <c r="O196" i="26"/>
  <c r="J196" i="26" a="1"/>
  <c r="J196" i="26" s="1"/>
  <c r="X195" i="26"/>
  <c r="T195" i="26"/>
  <c r="P195" i="26"/>
  <c r="E195" i="26"/>
  <c r="C195" i="26" a="1"/>
  <c r="C195" i="26" s="1"/>
  <c r="Y194" i="26"/>
  <c r="U194" i="26"/>
  <c r="Q194" i="26"/>
  <c r="M194" i="26"/>
  <c r="F194" i="26"/>
  <c r="I194" i="26" s="1" a="1"/>
  <c r="I194" i="26" s="1"/>
  <c r="V193" i="26"/>
  <c r="R193" i="26"/>
  <c r="N193" i="26"/>
  <c r="D193" i="26" a="1"/>
  <c r="D193" i="26" s="1"/>
  <c r="B193" i="26" a="1"/>
  <c r="B193" i="26" s="1"/>
  <c r="W192" i="26"/>
  <c r="S192" i="26"/>
  <c r="O192" i="26"/>
  <c r="J192" i="26" a="1"/>
  <c r="J192" i="26" s="1"/>
  <c r="X191" i="26"/>
  <c r="T191" i="26"/>
  <c r="P191" i="26"/>
  <c r="E191" i="26"/>
  <c r="C191" i="26" a="1"/>
  <c r="C191" i="26" s="1"/>
  <c r="Y190" i="26"/>
  <c r="U190" i="26"/>
  <c r="Q190" i="26"/>
  <c r="M190" i="26"/>
  <c r="F190" i="26"/>
  <c r="V189" i="26"/>
  <c r="R189" i="26"/>
  <c r="N189" i="26"/>
  <c r="D189" i="26" a="1"/>
  <c r="D189" i="26" s="1"/>
  <c r="B189" i="26" a="1"/>
  <c r="B189" i="26" s="1"/>
  <c r="W188" i="26"/>
  <c r="S188" i="26"/>
  <c r="O188" i="26"/>
  <c r="J188" i="26" a="1"/>
  <c r="J188" i="26" s="1"/>
  <c r="X187" i="26"/>
  <c r="T187" i="26"/>
  <c r="P187" i="26"/>
  <c r="E187" i="26"/>
  <c r="C187" i="26" a="1"/>
  <c r="C187" i="26" s="1"/>
  <c r="Y186" i="26"/>
  <c r="U186" i="26"/>
  <c r="Q186" i="26"/>
  <c r="M186" i="26"/>
  <c r="F186" i="26"/>
  <c r="V185" i="26"/>
  <c r="R185" i="26"/>
  <c r="N185" i="26"/>
  <c r="D185" i="26" a="1"/>
  <c r="D185" i="26" s="1"/>
  <c r="B185" i="26" a="1"/>
  <c r="B185" i="26" s="1"/>
  <c r="W184" i="26"/>
  <c r="S184" i="26"/>
  <c r="O184" i="26"/>
  <c r="J184" i="26" a="1"/>
  <c r="J184" i="26" s="1"/>
  <c r="X183" i="26"/>
  <c r="T183" i="26"/>
  <c r="P183" i="26"/>
  <c r="E183" i="26"/>
  <c r="C183" i="26" a="1"/>
  <c r="C183" i="26" s="1"/>
  <c r="Y182" i="26"/>
  <c r="U182" i="26"/>
  <c r="Q182" i="26"/>
  <c r="M182" i="26"/>
  <c r="F182" i="26"/>
  <c r="V181" i="26"/>
  <c r="R181" i="26"/>
  <c r="N181" i="26"/>
  <c r="D181" i="26" a="1"/>
  <c r="D181" i="26" s="1"/>
  <c r="B181" i="26" a="1"/>
  <c r="B181" i="26" s="1"/>
  <c r="X266" i="26"/>
  <c r="X257" i="26"/>
  <c r="M240" i="26"/>
  <c r="O238" i="26"/>
  <c r="I236" i="26" a="1"/>
  <c r="I236" i="26" s="1"/>
  <c r="M235" i="26"/>
  <c r="X234" i="26"/>
  <c r="O233" i="26"/>
  <c r="I232" i="26" a="1"/>
  <c r="I232" i="26" s="1"/>
  <c r="S231" i="26"/>
  <c r="T230" i="26"/>
  <c r="U229" i="26"/>
  <c r="V228" i="26"/>
  <c r="W227" i="26"/>
  <c r="J227" i="26" a="1"/>
  <c r="J227" i="26" s="1"/>
  <c r="X226" i="26"/>
  <c r="Y225" i="26"/>
  <c r="B224" i="26" a="1"/>
  <c r="B224" i="26" s="1"/>
  <c r="C222" i="26" a="1"/>
  <c r="C222" i="26" s="1"/>
  <c r="M221" i="26"/>
  <c r="N220" i="26"/>
  <c r="D220" i="26" a="1"/>
  <c r="D220" i="26" s="1"/>
  <c r="O219" i="26"/>
  <c r="P218" i="26"/>
  <c r="E218" i="26"/>
  <c r="Q217" i="26"/>
  <c r="F217" i="26"/>
  <c r="H217" i="26" s="1" a="1"/>
  <c r="H217" i="26" s="1"/>
  <c r="R216" i="26"/>
  <c r="S215" i="26"/>
  <c r="T214" i="26"/>
  <c r="U213" i="26"/>
  <c r="V212" i="26"/>
  <c r="W211" i="26"/>
  <c r="J211" i="26" a="1"/>
  <c r="J211" i="26" s="1"/>
  <c r="X210" i="26"/>
  <c r="Y209" i="26"/>
  <c r="B208" i="26" a="1"/>
  <c r="B208" i="26" s="1"/>
  <c r="C206" i="26" a="1"/>
  <c r="C206" i="26" s="1"/>
  <c r="S205" i="26"/>
  <c r="T204" i="26"/>
  <c r="C204" i="26" a="1"/>
  <c r="C204" i="26" s="1"/>
  <c r="U203" i="26"/>
  <c r="M203" i="26"/>
  <c r="V202" i="26"/>
  <c r="N202" i="26"/>
  <c r="D202" i="26" a="1"/>
  <c r="D202" i="26" s="1"/>
  <c r="W201" i="26"/>
  <c r="O201" i="26"/>
  <c r="J201" i="26" a="1"/>
  <c r="J201" i="26" s="1"/>
  <c r="X200" i="26"/>
  <c r="S200" i="26"/>
  <c r="N200" i="26"/>
  <c r="D200" i="26" a="1"/>
  <c r="D200" i="26" s="1"/>
  <c r="Y199" i="26"/>
  <c r="T199" i="26"/>
  <c r="O199" i="26"/>
  <c r="U198" i="26"/>
  <c r="P198" i="26"/>
  <c r="E198" i="26"/>
  <c r="C198" i="26" a="1"/>
  <c r="C198" i="26" s="1"/>
  <c r="Y197" i="26"/>
  <c r="U197" i="26"/>
  <c r="Q197" i="26"/>
  <c r="M197" i="26"/>
  <c r="F197" i="26"/>
  <c r="V196" i="26"/>
  <c r="R196" i="26"/>
  <c r="N196" i="26"/>
  <c r="D196" i="26" a="1"/>
  <c r="D196" i="26" s="1"/>
  <c r="B196" i="26" a="1"/>
  <c r="B196" i="26" s="1"/>
  <c r="W195" i="26"/>
  <c r="S195" i="26"/>
  <c r="O195" i="26"/>
  <c r="J195" i="26" a="1"/>
  <c r="J195" i="26" s="1"/>
  <c r="X194" i="26"/>
  <c r="T194" i="26"/>
  <c r="P194" i="26"/>
  <c r="E194" i="26"/>
  <c r="C194" i="26" a="1"/>
  <c r="C194" i="26" s="1"/>
  <c r="Y193" i="26"/>
  <c r="U193" i="26"/>
  <c r="Q193" i="26"/>
  <c r="M193" i="26"/>
  <c r="F193" i="26"/>
  <c r="V192" i="26"/>
  <c r="R192" i="26"/>
  <c r="N192" i="26"/>
  <c r="D192" i="26" a="1"/>
  <c r="D192" i="26" s="1"/>
  <c r="B192" i="26" a="1"/>
  <c r="B192" i="26" s="1"/>
  <c r="W191" i="26"/>
  <c r="S191" i="26"/>
  <c r="O191" i="26"/>
  <c r="J191" i="26" a="1"/>
  <c r="J191" i="26" s="1"/>
  <c r="X190" i="26"/>
  <c r="T190" i="26"/>
  <c r="P190" i="26"/>
  <c r="E190" i="26"/>
  <c r="C190" i="26" a="1"/>
  <c r="C190" i="26" s="1"/>
  <c r="Y189" i="26"/>
  <c r="U189" i="26"/>
  <c r="Q189" i="26"/>
  <c r="M189" i="26"/>
  <c r="F189" i="26"/>
  <c r="I189" i="26" s="1" a="1"/>
  <c r="I189" i="26" s="1"/>
  <c r="V188" i="26"/>
  <c r="R188" i="26"/>
  <c r="N188" i="26"/>
  <c r="D188" i="26" a="1"/>
  <c r="D188" i="26" s="1"/>
  <c r="B188" i="26" a="1"/>
  <c r="B188" i="26" s="1"/>
  <c r="W187" i="26"/>
  <c r="S187" i="26"/>
  <c r="O187" i="26"/>
  <c r="J187" i="26" a="1"/>
  <c r="J187" i="26" s="1"/>
  <c r="X186" i="26"/>
  <c r="T186" i="26"/>
  <c r="P186" i="26"/>
  <c r="E186" i="26"/>
  <c r="C186" i="26" a="1"/>
  <c r="C186" i="26" s="1"/>
  <c r="Y185" i="26"/>
  <c r="U185" i="26"/>
  <c r="Q185" i="26"/>
  <c r="M185" i="26"/>
  <c r="F185" i="26"/>
  <c r="I185" i="26" s="1" a="1"/>
  <c r="I185" i="26" s="1"/>
  <c r="V184" i="26"/>
  <c r="R184" i="26"/>
  <c r="N184" i="26"/>
  <c r="D184" i="26" a="1"/>
  <c r="D184" i="26" s="1"/>
  <c r="B184" i="26" a="1"/>
  <c r="B184" i="26" s="1"/>
  <c r="W183" i="26"/>
  <c r="S183" i="26"/>
  <c r="O183" i="26"/>
  <c r="J183" i="26" a="1"/>
  <c r="J183" i="26" s="1"/>
  <c r="X182" i="26"/>
  <c r="T182" i="26"/>
  <c r="P182" i="26"/>
  <c r="E182" i="26"/>
  <c r="C182" i="26" a="1"/>
  <c r="C182" i="26" s="1"/>
  <c r="Y181" i="26"/>
  <c r="U181" i="26"/>
  <c r="Q181" i="26"/>
  <c r="M181" i="26"/>
  <c r="F181" i="26"/>
  <c r="V180" i="26"/>
  <c r="R180" i="26"/>
  <c r="N180" i="26"/>
  <c r="D180" i="26" a="1"/>
  <c r="D180" i="26" s="1"/>
  <c r="B180" i="26" a="1"/>
  <c r="B180" i="26" s="1"/>
  <c r="W179" i="26"/>
  <c r="S179" i="26"/>
  <c r="O179" i="26"/>
  <c r="J179" i="26" a="1"/>
  <c r="J179" i="26" s="1"/>
  <c r="X178" i="26"/>
  <c r="T178" i="26"/>
  <c r="P178" i="26"/>
  <c r="E178" i="26"/>
  <c r="C178" i="26" a="1"/>
  <c r="C178" i="26" s="1"/>
  <c r="Y177" i="26"/>
  <c r="U177" i="26"/>
  <c r="Q177" i="26"/>
  <c r="M177" i="26"/>
  <c r="F177" i="26"/>
  <c r="V176" i="26"/>
  <c r="R176" i="26"/>
  <c r="N176" i="26"/>
  <c r="D176" i="26" a="1"/>
  <c r="D176" i="26" s="1"/>
  <c r="B176" i="26" a="1"/>
  <c r="B176" i="26" s="1"/>
  <c r="W175" i="26"/>
  <c r="S175" i="26"/>
  <c r="O175" i="26"/>
  <c r="J175" i="26" a="1"/>
  <c r="J175" i="26" s="1"/>
  <c r="X174" i="26"/>
  <c r="T174" i="26"/>
  <c r="P174" i="26"/>
  <c r="E174" i="26"/>
  <c r="C174" i="26" a="1"/>
  <c r="C174" i="26" s="1"/>
  <c r="Y173" i="26"/>
  <c r="U173" i="26"/>
  <c r="Q173" i="26"/>
  <c r="M173" i="26"/>
  <c r="F173" i="26"/>
  <c r="I173" i="26" s="1" a="1"/>
  <c r="I173" i="26" s="1"/>
  <c r="V172" i="26"/>
  <c r="R172" i="26"/>
  <c r="N172" i="26"/>
  <c r="D172" i="26" a="1"/>
  <c r="D172" i="26" s="1"/>
  <c r="B172" i="26" a="1"/>
  <c r="B172" i="26" s="1"/>
  <c r="W171" i="26"/>
  <c r="S171" i="26"/>
  <c r="O171" i="26"/>
  <c r="J171" i="26" a="1"/>
  <c r="J171" i="26" s="1"/>
  <c r="X170" i="26"/>
  <c r="T170" i="26"/>
  <c r="P170" i="26"/>
  <c r="E170" i="26"/>
  <c r="C170" i="26" a="1"/>
  <c r="C170" i="26" s="1"/>
  <c r="Y169" i="26"/>
  <c r="I264" i="26" a="1"/>
  <c r="I264" i="26" s="1"/>
  <c r="M248" i="26"/>
  <c r="X245" i="26"/>
  <c r="C237" i="26" a="1"/>
  <c r="C237" i="26" s="1"/>
  <c r="J235" i="26" a="1"/>
  <c r="J235" i="26" s="1"/>
  <c r="S234" i="26"/>
  <c r="D234" i="26" a="1"/>
  <c r="D234" i="26" s="1"/>
  <c r="U232" i="26"/>
  <c r="E232" i="26"/>
  <c r="O231" i="26"/>
  <c r="P230" i="26"/>
  <c r="E230" i="26"/>
  <c r="Q229" i="26"/>
  <c r="F229" i="26"/>
  <c r="R228" i="26"/>
  <c r="S227" i="26"/>
  <c r="H227" i="26" a="1"/>
  <c r="H227" i="26" s="1"/>
  <c r="T226" i="26"/>
  <c r="U225" i="26"/>
  <c r="V224" i="26"/>
  <c r="W223" i="26"/>
  <c r="J223" i="26" a="1"/>
  <c r="J223" i="26" s="1"/>
  <c r="X222" i="26"/>
  <c r="Y221" i="26"/>
  <c r="B220" i="26" a="1"/>
  <c r="B220" i="26" s="1"/>
  <c r="C218" i="26" a="1"/>
  <c r="C218" i="26" s="1"/>
  <c r="M217" i="26"/>
  <c r="N216" i="26"/>
  <c r="D216" i="26" a="1"/>
  <c r="D216" i="26" s="1"/>
  <c r="O215" i="26"/>
  <c r="P214" i="26"/>
  <c r="E214" i="26"/>
  <c r="G214" i="26" s="1"/>
  <c r="Q213" i="26"/>
  <c r="F213" i="26"/>
  <c r="R212" i="26"/>
  <c r="S211" i="26"/>
  <c r="H211" i="26" a="1"/>
  <c r="H211" i="26" s="1"/>
  <c r="T210" i="26"/>
  <c r="U209" i="26"/>
  <c r="V208" i="26"/>
  <c r="W207" i="26"/>
  <c r="J207" i="26" a="1"/>
  <c r="J207" i="26" s="1"/>
  <c r="X206" i="26"/>
  <c r="Y205" i="26"/>
  <c r="Q205" i="26"/>
  <c r="F205" i="26"/>
  <c r="I205" i="26" s="1" a="1"/>
  <c r="I205" i="26" s="1"/>
  <c r="R204" i="26"/>
  <c r="Z204" i="26" s="1"/>
  <c r="B204" i="26" a="1"/>
  <c r="B204" i="26" s="1"/>
  <c r="S203" i="26"/>
  <c r="T202" i="26"/>
  <c r="C202" i="26" a="1"/>
  <c r="C202" i="26" s="1"/>
  <c r="U201" i="26"/>
  <c r="M201" i="26"/>
  <c r="W200" i="26"/>
  <c r="R200" i="26"/>
  <c r="J200" i="26" a="1"/>
  <c r="J200" i="26" s="1"/>
  <c r="C200" i="26" a="1"/>
  <c r="C200" i="26" s="1"/>
  <c r="X199" i="26"/>
  <c r="S199" i="26"/>
  <c r="M199" i="26"/>
  <c r="Y198" i="26"/>
  <c r="T198" i="26"/>
  <c r="N198" i="26"/>
  <c r="X197" i="26"/>
  <c r="T197" i="26"/>
  <c r="P197" i="26"/>
  <c r="E197" i="26"/>
  <c r="C197" i="26" a="1"/>
  <c r="C197" i="26" s="1"/>
  <c r="Y196" i="26"/>
  <c r="U196" i="26"/>
  <c r="Q196" i="26"/>
  <c r="M196" i="26"/>
  <c r="F196" i="26"/>
  <c r="H196" i="26" s="1" a="1"/>
  <c r="H196" i="26" s="1"/>
  <c r="V195" i="26"/>
  <c r="R195" i="26"/>
  <c r="N195" i="26"/>
  <c r="D195" i="26" a="1"/>
  <c r="D195" i="26" s="1"/>
  <c r="B195" i="26" a="1"/>
  <c r="B195" i="26" s="1"/>
  <c r="W194" i="26"/>
  <c r="S194" i="26"/>
  <c r="O194" i="26"/>
  <c r="J194" i="26" a="1"/>
  <c r="J194" i="26" s="1"/>
  <c r="X193" i="26"/>
  <c r="T193" i="26"/>
  <c r="P193" i="26"/>
  <c r="E193" i="26"/>
  <c r="G193" i="26" s="1"/>
  <c r="C193" i="26" a="1"/>
  <c r="C193" i="26" s="1"/>
  <c r="Y192" i="26"/>
  <c r="U192" i="26"/>
  <c r="Q192" i="26"/>
  <c r="M192" i="26"/>
  <c r="F192" i="26"/>
  <c r="V191" i="26"/>
  <c r="R191" i="26"/>
  <c r="N191" i="26"/>
  <c r="D191" i="26" a="1"/>
  <c r="D191" i="26" s="1"/>
  <c r="B191" i="26" a="1"/>
  <c r="B191" i="26" s="1"/>
  <c r="W190" i="26"/>
  <c r="S190" i="26"/>
  <c r="O190" i="26"/>
  <c r="J190" i="26" a="1"/>
  <c r="J190" i="26" s="1"/>
  <c r="H190" i="26" a="1"/>
  <c r="H190" i="26" s="1"/>
  <c r="X189" i="26"/>
  <c r="T189" i="26"/>
  <c r="P189" i="26"/>
  <c r="E189" i="26"/>
  <c r="G189" i="26" s="1"/>
  <c r="C189" i="26" a="1"/>
  <c r="C189" i="26" s="1"/>
  <c r="Y188" i="26"/>
  <c r="U188" i="26"/>
  <c r="Q188" i="26"/>
  <c r="M188" i="26"/>
  <c r="F188" i="26"/>
  <c r="H188" i="26" s="1" a="1"/>
  <c r="H188" i="26" s="1"/>
  <c r="V187" i="26"/>
  <c r="R187" i="26"/>
  <c r="N187" i="26"/>
  <c r="D187" i="26" a="1"/>
  <c r="D187" i="26" s="1"/>
  <c r="B187" i="26" a="1"/>
  <c r="B187" i="26" s="1"/>
  <c r="W186" i="26"/>
  <c r="S186" i="26"/>
  <c r="O186" i="26"/>
  <c r="J186" i="26" a="1"/>
  <c r="J186" i="26" s="1"/>
  <c r="X185" i="26"/>
  <c r="T185" i="26"/>
  <c r="P185" i="26"/>
  <c r="E185" i="26"/>
  <c r="C185" i="26" a="1"/>
  <c r="C185" i="26" s="1"/>
  <c r="Y184" i="26"/>
  <c r="U184" i="26"/>
  <c r="Q184" i="26"/>
  <c r="M184" i="26"/>
  <c r="F184" i="26"/>
  <c r="V183" i="26"/>
  <c r="R183" i="26"/>
  <c r="N183" i="26"/>
  <c r="D183" i="26" a="1"/>
  <c r="D183" i="26" s="1"/>
  <c r="B183" i="26" a="1"/>
  <c r="B183" i="26" s="1"/>
  <c r="W182" i="26"/>
  <c r="S182" i="26"/>
  <c r="O182" i="26"/>
  <c r="J182" i="26" a="1"/>
  <c r="J182" i="26" s="1"/>
  <c r="X181" i="26"/>
  <c r="T181" i="26"/>
  <c r="P181" i="26"/>
  <c r="E181" i="26"/>
  <c r="C181" i="26" a="1"/>
  <c r="C181" i="26" s="1"/>
  <c r="Y180" i="26"/>
  <c r="U180" i="26"/>
  <c r="Q180" i="26"/>
  <c r="M180" i="26"/>
  <c r="I180" i="26" a="1"/>
  <c r="I180" i="26" s="1"/>
  <c r="F180" i="26"/>
  <c r="H180" i="26" s="1" a="1"/>
  <c r="H180" i="26" s="1"/>
  <c r="V179" i="26"/>
  <c r="R179" i="26"/>
  <c r="N179" i="26"/>
  <c r="D179" i="26" a="1"/>
  <c r="D179" i="26" s="1"/>
  <c r="B179" i="26" a="1"/>
  <c r="B179" i="26" s="1"/>
  <c r="W178" i="26"/>
  <c r="S178" i="26"/>
  <c r="O178" i="26"/>
  <c r="J178" i="26" a="1"/>
  <c r="J178" i="26" s="1"/>
  <c r="X177" i="26"/>
  <c r="T177" i="26"/>
  <c r="P177" i="26"/>
  <c r="E177" i="26"/>
  <c r="C177" i="26" a="1"/>
  <c r="C177" i="26" s="1"/>
  <c r="Y176" i="26"/>
  <c r="U176" i="26"/>
  <c r="Q176" i="26"/>
  <c r="M176" i="26"/>
  <c r="I176" i="26" a="1"/>
  <c r="I176" i="26" s="1"/>
  <c r="F176" i="26"/>
  <c r="V175" i="26"/>
  <c r="R175" i="26"/>
  <c r="N175" i="26"/>
  <c r="D175" i="26" a="1"/>
  <c r="D175" i="26" s="1"/>
  <c r="B175" i="26" a="1"/>
  <c r="B175" i="26" s="1"/>
  <c r="T237" i="26"/>
  <c r="N234" i="26"/>
  <c r="B232" i="26" a="1"/>
  <c r="B232" i="26" s="1"/>
  <c r="C230" i="26" a="1"/>
  <c r="C230" i="26" s="1"/>
  <c r="D228" i="26" a="1"/>
  <c r="D228" i="26" s="1"/>
  <c r="E226" i="26"/>
  <c r="G226" i="26" s="1"/>
  <c r="N212" i="26"/>
  <c r="P210" i="26"/>
  <c r="R208" i="26"/>
  <c r="Z208" i="26" s="1"/>
  <c r="T206" i="26"/>
  <c r="J205" i="26" a="1"/>
  <c r="J205" i="26" s="1"/>
  <c r="P200" i="26"/>
  <c r="J199" i="26" a="1"/>
  <c r="J199" i="26" s="1"/>
  <c r="R198" i="26"/>
  <c r="D198" i="26" a="1"/>
  <c r="D198" i="26" s="1"/>
  <c r="O197" i="26"/>
  <c r="P196" i="26"/>
  <c r="E196" i="26"/>
  <c r="Q195" i="26"/>
  <c r="F195" i="26"/>
  <c r="H195" i="26" s="1" a="1"/>
  <c r="H195" i="26" s="1"/>
  <c r="R194" i="26"/>
  <c r="S193" i="26"/>
  <c r="T192" i="26"/>
  <c r="U191" i="26"/>
  <c r="V190" i="26"/>
  <c r="W189" i="26"/>
  <c r="J189" i="26" a="1"/>
  <c r="J189" i="26" s="1"/>
  <c r="X188" i="26"/>
  <c r="Y187" i="26"/>
  <c r="B186" i="26" a="1"/>
  <c r="B186" i="26" s="1"/>
  <c r="C184" i="26" a="1"/>
  <c r="C184" i="26" s="1"/>
  <c r="M183" i="26"/>
  <c r="N182" i="26"/>
  <c r="D182" i="26" a="1"/>
  <c r="D182" i="26" s="1"/>
  <c r="O181" i="26"/>
  <c r="T180" i="26"/>
  <c r="C180" i="26" a="1"/>
  <c r="C180" i="26" s="1"/>
  <c r="U179" i="26"/>
  <c r="M179" i="26"/>
  <c r="V178" i="26"/>
  <c r="N178" i="26"/>
  <c r="D178" i="26" a="1"/>
  <c r="D178" i="26" s="1"/>
  <c r="W177" i="26"/>
  <c r="O177" i="26"/>
  <c r="J177" i="26" a="1"/>
  <c r="J177" i="26" s="1"/>
  <c r="X176" i="26"/>
  <c r="P176" i="26"/>
  <c r="E176" i="26"/>
  <c r="G176" i="26" s="1"/>
  <c r="Y175" i="26"/>
  <c r="Q175" i="26"/>
  <c r="F175" i="26"/>
  <c r="U174" i="26"/>
  <c r="O174" i="26"/>
  <c r="B174" i="26" a="1"/>
  <c r="B174" i="26" s="1"/>
  <c r="T261" i="26"/>
  <c r="U236" i="26"/>
  <c r="Y233" i="26"/>
  <c r="M229" i="26"/>
  <c r="O227" i="26"/>
  <c r="Q225" i="26"/>
  <c r="S223" i="26"/>
  <c r="U221" i="26"/>
  <c r="W219" i="26"/>
  <c r="Y217" i="26"/>
  <c r="B216" i="26" a="1"/>
  <c r="B216" i="26" s="1"/>
  <c r="C214" i="26" a="1"/>
  <c r="C214" i="26" s="1"/>
  <c r="D212" i="26" a="1"/>
  <c r="D212" i="26" s="1"/>
  <c r="E210" i="26"/>
  <c r="G210" i="26" s="1"/>
  <c r="E204" i="26"/>
  <c r="G204" i="26" s="1"/>
  <c r="F203" i="26"/>
  <c r="I203" i="26" s="1" a="1"/>
  <c r="I203" i="26" s="1"/>
  <c r="H201" i="26" a="1"/>
  <c r="H201" i="26" s="1"/>
  <c r="W199" i="26"/>
  <c r="F199" i="26"/>
  <c r="M198" i="26"/>
  <c r="B198" i="26" a="1"/>
  <c r="B198" i="26" s="1"/>
  <c r="C196" i="26" a="1"/>
  <c r="C196" i="26" s="1"/>
  <c r="M195" i="26"/>
  <c r="N194" i="26"/>
  <c r="D194" i="26" a="1"/>
  <c r="D194" i="26" s="1"/>
  <c r="O193" i="26"/>
  <c r="P192" i="26"/>
  <c r="E192" i="26"/>
  <c r="Q191" i="26"/>
  <c r="F191" i="26"/>
  <c r="R190" i="26"/>
  <c r="S189" i="26"/>
  <c r="H189" i="26" a="1"/>
  <c r="H189" i="26" s="1"/>
  <c r="T188" i="26"/>
  <c r="U187" i="26"/>
  <c r="V186" i="26"/>
  <c r="W185" i="26"/>
  <c r="J185" i="26" a="1"/>
  <c r="J185" i="26" s="1"/>
  <c r="X184" i="26"/>
  <c r="Y183" i="26"/>
  <c r="B182" i="26" a="1"/>
  <c r="B182" i="26" s="1"/>
  <c r="S180" i="26"/>
  <c r="T179" i="26"/>
  <c r="C179" i="26" a="1"/>
  <c r="C179" i="26" s="1"/>
  <c r="U178" i="26"/>
  <c r="M178" i="26"/>
  <c r="V177" i="26"/>
  <c r="N177" i="26"/>
  <c r="D177" i="26" a="1"/>
  <c r="D177" i="26" s="1"/>
  <c r="W176" i="26"/>
  <c r="O176" i="26"/>
  <c r="J176" i="26" a="1"/>
  <c r="J176" i="26" s="1"/>
  <c r="X175" i="26"/>
  <c r="P175" i="26"/>
  <c r="E175" i="26"/>
  <c r="Y174" i="26"/>
  <c r="S174" i="26"/>
  <c r="N174" i="26"/>
  <c r="D174" i="26" a="1"/>
  <c r="D174" i="26" s="1"/>
  <c r="T173" i="26"/>
  <c r="O173" i="26"/>
  <c r="B173" i="26" a="1"/>
  <c r="B173" i="26" s="1"/>
  <c r="U172" i="26"/>
  <c r="P172" i="26"/>
  <c r="E172" i="26"/>
  <c r="V171" i="26"/>
  <c r="Q171" i="26"/>
  <c r="F171" i="26"/>
  <c r="I171" i="26" s="1" a="1"/>
  <c r="I171" i="26" s="1"/>
  <c r="C171" i="26" a="1"/>
  <c r="C171" i="26" s="1"/>
  <c r="W170" i="26"/>
  <c r="R170" i="26"/>
  <c r="M170" i="26"/>
  <c r="J170" i="26" a="1"/>
  <c r="J170" i="26" s="1"/>
  <c r="X169" i="26"/>
  <c r="T169" i="26"/>
  <c r="P169" i="26"/>
  <c r="E169" i="26"/>
  <c r="C169" i="26" a="1"/>
  <c r="C169" i="26" s="1"/>
  <c r="Y168" i="26"/>
  <c r="U168" i="26"/>
  <c r="Q168" i="26"/>
  <c r="M168" i="26"/>
  <c r="F168" i="26"/>
  <c r="V167" i="26"/>
  <c r="R167" i="26"/>
  <c r="N167" i="26"/>
  <c r="D167" i="26" a="1"/>
  <c r="D167" i="26" s="1"/>
  <c r="B167" i="26" a="1"/>
  <c r="B167" i="26" s="1"/>
  <c r="W235" i="26"/>
  <c r="F225" i="26"/>
  <c r="H223" i="26" a="1"/>
  <c r="H223" i="26" s="1"/>
  <c r="I221" i="26" a="1"/>
  <c r="I221" i="26" s="1"/>
  <c r="J219" i="26" a="1"/>
  <c r="J219" i="26" s="1"/>
  <c r="M213" i="26"/>
  <c r="O211" i="26"/>
  <c r="Q209" i="26"/>
  <c r="S207" i="26"/>
  <c r="W205" i="26"/>
  <c r="X204" i="26"/>
  <c r="Y203" i="26"/>
  <c r="B202" i="26" a="1"/>
  <c r="B202" i="26" s="1"/>
  <c r="Q199" i="26"/>
  <c r="C199" i="26" a="1"/>
  <c r="C199" i="26" s="1"/>
  <c r="W197" i="26"/>
  <c r="J197" i="26" a="1"/>
  <c r="J197" i="26" s="1"/>
  <c r="X196" i="26"/>
  <c r="Y195" i="26"/>
  <c r="B194" i="26" a="1"/>
  <c r="B194" i="26" s="1"/>
  <c r="C192" i="26" a="1"/>
  <c r="C192" i="26" s="1"/>
  <c r="M191" i="26"/>
  <c r="N190" i="26"/>
  <c r="D190" i="26" a="1"/>
  <c r="D190" i="26" s="1"/>
  <c r="O189" i="26"/>
  <c r="P188" i="26"/>
  <c r="E188" i="26"/>
  <c r="Q187" i="26"/>
  <c r="F187" i="26"/>
  <c r="R186" i="26"/>
  <c r="S185" i="26"/>
  <c r="T184" i="26"/>
  <c r="U183" i="26"/>
  <c r="V182" i="26"/>
  <c r="W181" i="26"/>
  <c r="J181" i="26" a="1"/>
  <c r="J181" i="26" s="1"/>
  <c r="X180" i="26"/>
  <c r="P180" i="26"/>
  <c r="E180" i="26"/>
  <c r="G180" i="26" s="1"/>
  <c r="Y179" i="26"/>
  <c r="Q179" i="26"/>
  <c r="F179" i="26"/>
  <c r="R178" i="26"/>
  <c r="B178" i="26" a="1"/>
  <c r="B178" i="26" s="1"/>
  <c r="S177" i="26"/>
  <c r="T176" i="26"/>
  <c r="C176" i="26" a="1"/>
  <c r="C176" i="26" s="1"/>
  <c r="U175" i="26"/>
  <c r="M175" i="26"/>
  <c r="W174" i="26"/>
  <c r="R174" i="26"/>
  <c r="M174" i="26"/>
  <c r="J174" i="26" a="1"/>
  <c r="J174" i="26" s="1"/>
  <c r="X173" i="26"/>
  <c r="S173" i="26"/>
  <c r="N173" i="26"/>
  <c r="H173" i="26" a="1"/>
  <c r="H173" i="26" s="1"/>
  <c r="D173" i="26" a="1"/>
  <c r="D173" i="26" s="1"/>
  <c r="Y172" i="26"/>
  <c r="T172" i="26"/>
  <c r="O172" i="26"/>
  <c r="U171" i="26"/>
  <c r="P171" i="26"/>
  <c r="E171" i="26"/>
  <c r="B171" i="26" a="1"/>
  <c r="B171" i="26" s="1"/>
  <c r="V170" i="26"/>
  <c r="Q170" i="26"/>
  <c r="F170" i="26"/>
  <c r="W169" i="26"/>
  <c r="S169" i="26"/>
  <c r="O169" i="26"/>
  <c r="J169" i="26" a="1"/>
  <c r="J169" i="26" s="1"/>
  <c r="X168" i="26"/>
  <c r="T168" i="26"/>
  <c r="P168" i="26"/>
  <c r="E168" i="26"/>
  <c r="C168" i="26" a="1"/>
  <c r="C168" i="26" s="1"/>
  <c r="Y167" i="26"/>
  <c r="U167" i="26"/>
  <c r="Q167" i="26"/>
  <c r="M167" i="26"/>
  <c r="F167" i="26"/>
  <c r="I167" i="26" s="1" a="1"/>
  <c r="I167" i="26" s="1"/>
  <c r="V166" i="26"/>
  <c r="R166" i="26"/>
  <c r="N166" i="26"/>
  <c r="D166" i="26" a="1"/>
  <c r="D166" i="26" s="1"/>
  <c r="B166" i="26" a="1"/>
  <c r="B166" i="26" s="1"/>
  <c r="W165" i="26"/>
  <c r="S165" i="26"/>
  <c r="O165" i="26"/>
  <c r="J165" i="26" a="1"/>
  <c r="J165" i="26" s="1"/>
  <c r="X164" i="26"/>
  <c r="T164" i="26"/>
  <c r="P164" i="26"/>
  <c r="E164" i="26"/>
  <c r="C164" i="26" a="1"/>
  <c r="C164" i="26" s="1"/>
  <c r="Y163" i="26"/>
  <c r="U163" i="26"/>
  <c r="Q163" i="26"/>
  <c r="M163" i="26"/>
  <c r="F163" i="26"/>
  <c r="H163" i="26" s="1" a="1"/>
  <c r="H163" i="26" s="1"/>
  <c r="V162" i="26"/>
  <c r="R162" i="26"/>
  <c r="N162" i="26"/>
  <c r="D162" i="26" a="1"/>
  <c r="D162" i="26" s="1"/>
  <c r="B162" i="26" a="1"/>
  <c r="B162" i="26" s="1"/>
  <c r="R247" i="26"/>
  <c r="Z247" i="26" s="1"/>
  <c r="N239" i="26"/>
  <c r="P232" i="26"/>
  <c r="N228" i="26"/>
  <c r="P226" i="26"/>
  <c r="R224" i="26"/>
  <c r="Z224" i="26" s="1"/>
  <c r="T222" i="26"/>
  <c r="V220" i="26"/>
  <c r="X218" i="26"/>
  <c r="F209" i="26"/>
  <c r="H207" i="26" a="1"/>
  <c r="H207" i="26" s="1"/>
  <c r="O205" i="26"/>
  <c r="P204" i="26"/>
  <c r="Q203" i="26"/>
  <c r="R202" i="26"/>
  <c r="S201" i="26"/>
  <c r="V200" i="26"/>
  <c r="E200" i="26"/>
  <c r="G200" i="26" s="1"/>
  <c r="X198" i="26"/>
  <c r="S197" i="26"/>
  <c r="H197" i="26" a="1"/>
  <c r="H197" i="26" s="1"/>
  <c r="T196" i="26"/>
  <c r="U195" i="26"/>
  <c r="V194" i="26"/>
  <c r="W193" i="26"/>
  <c r="J193" i="26" a="1"/>
  <c r="J193" i="26" s="1"/>
  <c r="X192" i="26"/>
  <c r="Y191" i="26"/>
  <c r="B190" i="26" a="1"/>
  <c r="B190" i="26" s="1"/>
  <c r="C188" i="26" a="1"/>
  <c r="C188" i="26" s="1"/>
  <c r="M187" i="26"/>
  <c r="N186" i="26"/>
  <c r="D186" i="26" a="1"/>
  <c r="D186" i="26" s="1"/>
  <c r="O185" i="26"/>
  <c r="P184" i="26"/>
  <c r="E184" i="26"/>
  <c r="G184" i="26" s="1"/>
  <c r="Q183" i="26"/>
  <c r="F183" i="26"/>
  <c r="H183" i="26" s="1" a="1"/>
  <c r="H183" i="26" s="1"/>
  <c r="R182" i="26"/>
  <c r="S181" i="26"/>
  <c r="H181" i="26" a="1"/>
  <c r="H181" i="26" s="1"/>
  <c r="W180" i="26"/>
  <c r="O180" i="26"/>
  <c r="J180" i="26" a="1"/>
  <c r="J180" i="26" s="1"/>
  <c r="X179" i="26"/>
  <c r="P179" i="26"/>
  <c r="E179" i="26"/>
  <c r="Y178" i="26"/>
  <c r="Q178" i="26"/>
  <c r="F178" i="26"/>
  <c r="I178" i="26" s="1" a="1"/>
  <c r="I178" i="26" s="1"/>
  <c r="R177" i="26"/>
  <c r="B177" i="26" a="1"/>
  <c r="B177" i="26" s="1"/>
  <c r="S176" i="26"/>
  <c r="T175" i="26"/>
  <c r="Q174" i="26"/>
  <c r="P173" i="26"/>
  <c r="Q172" i="26"/>
  <c r="J172" i="26" a="1"/>
  <c r="J172" i="26" s="1"/>
  <c r="C172" i="26" a="1"/>
  <c r="C172" i="26" s="1"/>
  <c r="R171" i="26"/>
  <c r="S170" i="26"/>
  <c r="D170" i="26" a="1"/>
  <c r="D170" i="26" s="1"/>
  <c r="U169" i="26"/>
  <c r="M169" i="26"/>
  <c r="V168" i="26"/>
  <c r="N168" i="26"/>
  <c r="D168" i="26" a="1"/>
  <c r="D168" i="26" s="1"/>
  <c r="W167" i="26"/>
  <c r="O167" i="26"/>
  <c r="J167" i="26" a="1"/>
  <c r="J167" i="26" s="1"/>
  <c r="X166" i="26"/>
  <c r="S166" i="26"/>
  <c r="M166" i="26"/>
  <c r="Y165" i="26"/>
  <c r="T165" i="26"/>
  <c r="N165" i="26"/>
  <c r="D165" i="26" a="1"/>
  <c r="D165" i="26" s="1"/>
  <c r="U164" i="26"/>
  <c r="O164" i="26"/>
  <c r="B164" i="26" a="1"/>
  <c r="B164" i="26" s="1"/>
  <c r="V163" i="26"/>
  <c r="P163" i="26"/>
  <c r="E163" i="26"/>
  <c r="W162" i="26"/>
  <c r="Q162" i="26"/>
  <c r="J162" i="26" a="1"/>
  <c r="J162" i="26" s="1"/>
  <c r="F162" i="26"/>
  <c r="C162" i="26" a="1"/>
  <c r="C162" i="26" s="1"/>
  <c r="X161" i="26"/>
  <c r="T161" i="26"/>
  <c r="P161" i="26"/>
  <c r="E161" i="26"/>
  <c r="C161" i="26" a="1"/>
  <c r="C161" i="26" s="1"/>
  <c r="Y160" i="26"/>
  <c r="U160" i="26"/>
  <c r="Q160" i="26"/>
  <c r="M160" i="26"/>
  <c r="F160" i="26"/>
  <c r="V159" i="26"/>
  <c r="R159" i="26"/>
  <c r="N159" i="26"/>
  <c r="D159" i="26" a="1"/>
  <c r="D159" i="26" s="1"/>
  <c r="B159" i="26" a="1"/>
  <c r="B159" i="26" s="1"/>
  <c r="W158" i="26"/>
  <c r="S158" i="26"/>
  <c r="O158" i="26"/>
  <c r="J158" i="26" a="1"/>
  <c r="J158" i="26" s="1"/>
  <c r="X157" i="26"/>
  <c r="T157" i="26"/>
  <c r="P157" i="26"/>
  <c r="E157" i="26"/>
  <c r="C157" i="26" a="1"/>
  <c r="C157" i="26" s="1"/>
  <c r="Y156" i="26"/>
  <c r="U156" i="26"/>
  <c r="Q156" i="26"/>
  <c r="M156" i="26"/>
  <c r="F156" i="26"/>
  <c r="V155" i="26"/>
  <c r="R155" i="26"/>
  <c r="N155" i="26"/>
  <c r="D155" i="26" a="1"/>
  <c r="D155" i="26" s="1"/>
  <c r="B155" i="26" a="1"/>
  <c r="B155" i="26" s="1"/>
  <c r="W154" i="26"/>
  <c r="S154" i="26"/>
  <c r="O154" i="26"/>
  <c r="J154" i="26" a="1"/>
  <c r="J154" i="26" s="1"/>
  <c r="X153" i="26"/>
  <c r="T153" i="26"/>
  <c r="P153" i="26"/>
  <c r="E153" i="26"/>
  <c r="C153" i="26" a="1"/>
  <c r="C153" i="26" s="1"/>
  <c r="Y152" i="26"/>
  <c r="U152" i="26"/>
  <c r="Q152" i="26"/>
  <c r="M152" i="26"/>
  <c r="F152" i="26"/>
  <c r="V151" i="26"/>
  <c r="R151" i="26"/>
  <c r="N151" i="26"/>
  <c r="D151" i="26" a="1"/>
  <c r="D151" i="26" s="1"/>
  <c r="B151" i="26" a="1"/>
  <c r="B151" i="26" s="1"/>
  <c r="W150" i="26"/>
  <c r="S150" i="26"/>
  <c r="O150" i="26"/>
  <c r="J150" i="26" a="1"/>
  <c r="J150" i="26" s="1"/>
  <c r="X149" i="26"/>
  <c r="T149" i="26"/>
  <c r="P149" i="26"/>
  <c r="E149" i="26"/>
  <c r="C149" i="26" a="1"/>
  <c r="C149" i="26" s="1"/>
  <c r="Y148" i="26"/>
  <c r="U148" i="26"/>
  <c r="Q148" i="26"/>
  <c r="M148" i="26"/>
  <c r="F148" i="26"/>
  <c r="V147" i="26"/>
  <c r="R147" i="26"/>
  <c r="N147" i="26"/>
  <c r="D147" i="26" a="1"/>
  <c r="D147" i="26" s="1"/>
  <c r="B147" i="26" a="1"/>
  <c r="B147" i="26" s="1"/>
  <c r="W146" i="26"/>
  <c r="S146" i="26"/>
  <c r="O146" i="26"/>
  <c r="J146" i="26" a="1"/>
  <c r="J146" i="26" s="1"/>
  <c r="X145" i="26"/>
  <c r="T145" i="26"/>
  <c r="P145" i="26"/>
  <c r="E145" i="26"/>
  <c r="C145" i="26" a="1"/>
  <c r="C145" i="26" s="1"/>
  <c r="Y144" i="26"/>
  <c r="U144" i="26"/>
  <c r="Q144" i="26"/>
  <c r="M144" i="26"/>
  <c r="F144" i="26"/>
  <c r="I144" i="26" s="1" a="1"/>
  <c r="I144" i="26" s="1"/>
  <c r="V143" i="26"/>
  <c r="R143" i="26"/>
  <c r="N143" i="26"/>
  <c r="D143" i="26" a="1"/>
  <c r="D143" i="26" s="1"/>
  <c r="B143" i="26" a="1"/>
  <c r="B143" i="26" s="1"/>
  <c r="C175" i="26" a="1"/>
  <c r="C175" i="26" s="1"/>
  <c r="V173" i="26"/>
  <c r="E173" i="26"/>
  <c r="G173" i="26" s="1"/>
  <c r="W172" i="26"/>
  <c r="F172" i="26"/>
  <c r="I172" i="26" s="1" a="1"/>
  <c r="I172" i="26" s="1"/>
  <c r="X171" i="26"/>
  <c r="M171" i="26"/>
  <c r="Y170" i="26"/>
  <c r="N170" i="26"/>
  <c r="Q169" i="26"/>
  <c r="F169" i="26"/>
  <c r="I169" i="26" s="1" a="1"/>
  <c r="I169" i="26" s="1"/>
  <c r="R168" i="26"/>
  <c r="B168" i="26" a="1"/>
  <c r="B168" i="26" s="1"/>
  <c r="S167" i="26"/>
  <c r="U166" i="26"/>
  <c r="P166" i="26"/>
  <c r="E166" i="26"/>
  <c r="V165" i="26"/>
  <c r="Q165" i="26"/>
  <c r="F165" i="26"/>
  <c r="H165" i="26" s="1" a="1"/>
  <c r="H165" i="26" s="1"/>
  <c r="C165" i="26" a="1"/>
  <c r="C165" i="26" s="1"/>
  <c r="W164" i="26"/>
  <c r="R164" i="26"/>
  <c r="M164" i="26"/>
  <c r="J164" i="26" a="1"/>
  <c r="J164" i="26" s="1"/>
  <c r="X163" i="26"/>
  <c r="S163" i="26"/>
  <c r="N163" i="26"/>
  <c r="D163" i="26" a="1"/>
  <c r="D163" i="26" s="1"/>
  <c r="Y162" i="26"/>
  <c r="T162" i="26"/>
  <c r="O162" i="26"/>
  <c r="V161" i="26"/>
  <c r="R161" i="26"/>
  <c r="N161" i="26"/>
  <c r="D161" i="26" a="1"/>
  <c r="D161" i="26" s="1"/>
  <c r="B161" i="26" a="1"/>
  <c r="B161" i="26" s="1"/>
  <c r="W160" i="26"/>
  <c r="S160" i="26"/>
  <c r="O160" i="26"/>
  <c r="J160" i="26" a="1"/>
  <c r="J160" i="26" s="1"/>
  <c r="H160" i="26" a="1"/>
  <c r="H160" i="26" s="1"/>
  <c r="X159" i="26"/>
  <c r="T159" i="26"/>
  <c r="P159" i="26"/>
  <c r="E159" i="26"/>
  <c r="C159" i="26" a="1"/>
  <c r="C159" i="26" s="1"/>
  <c r="Y158" i="26"/>
  <c r="U158" i="26"/>
  <c r="Q158" i="26"/>
  <c r="M158" i="26"/>
  <c r="F158" i="26"/>
  <c r="V157" i="26"/>
  <c r="R157" i="26"/>
  <c r="N157" i="26"/>
  <c r="D157" i="26" a="1"/>
  <c r="D157" i="26" s="1"/>
  <c r="B157" i="26" a="1"/>
  <c r="B157" i="26" s="1"/>
  <c r="W156" i="26"/>
  <c r="S156" i="26"/>
  <c r="O156" i="26"/>
  <c r="J156" i="26" a="1"/>
  <c r="J156" i="26" s="1"/>
  <c r="X155" i="26"/>
  <c r="T155" i="26"/>
  <c r="P155" i="26"/>
  <c r="E155" i="26"/>
  <c r="C155" i="26" a="1"/>
  <c r="C155" i="26" s="1"/>
  <c r="Y154" i="26"/>
  <c r="U154" i="26"/>
  <c r="Q154" i="26"/>
  <c r="M154" i="26"/>
  <c r="F154" i="26"/>
  <c r="V153" i="26"/>
  <c r="R153" i="26"/>
  <c r="N153" i="26"/>
  <c r="D153" i="26" a="1"/>
  <c r="D153" i="26" s="1"/>
  <c r="B153" i="26" a="1"/>
  <c r="B153" i="26" s="1"/>
  <c r="V174" i="26"/>
  <c r="F174" i="26"/>
  <c r="R173" i="26"/>
  <c r="Z173" i="26" s="1"/>
  <c r="J173" i="26" a="1"/>
  <c r="J173" i="26" s="1"/>
  <c r="C173" i="26" a="1"/>
  <c r="C173" i="26" s="1"/>
  <c r="S172" i="26"/>
  <c r="T171" i="26"/>
  <c r="D171" i="26" a="1"/>
  <c r="D171" i="26" s="1"/>
  <c r="U170" i="26"/>
  <c r="V169" i="26"/>
  <c r="N169" i="26"/>
  <c r="D169" i="26" a="1"/>
  <c r="D169" i="26" s="1"/>
  <c r="W168" i="26"/>
  <c r="O168" i="26"/>
  <c r="J168" i="26" a="1"/>
  <c r="J168" i="26" s="1"/>
  <c r="X167" i="26"/>
  <c r="P167" i="26"/>
  <c r="E167" i="26"/>
  <c r="G167" i="26" s="1"/>
  <c r="Y166" i="26"/>
  <c r="T166" i="26"/>
  <c r="O166" i="26"/>
  <c r="U165" i="26"/>
  <c r="P165" i="26"/>
  <c r="E165" i="26"/>
  <c r="B165" i="26" a="1"/>
  <c r="B165" i="26" s="1"/>
  <c r="V164" i="26"/>
  <c r="Q164" i="26"/>
  <c r="F164" i="26"/>
  <c r="I164" i="26" s="1" a="1"/>
  <c r="I164" i="26" s="1"/>
  <c r="W163" i="26"/>
  <c r="R163" i="26"/>
  <c r="J163" i="26" a="1"/>
  <c r="J163" i="26" s="1"/>
  <c r="C163" i="26" a="1"/>
  <c r="C163" i="26" s="1"/>
  <c r="X162" i="26"/>
  <c r="S162" i="26"/>
  <c r="M162" i="26"/>
  <c r="Y161" i="26"/>
  <c r="U161" i="26"/>
  <c r="Q161" i="26"/>
  <c r="M161" i="26"/>
  <c r="F161" i="26"/>
  <c r="I161" i="26" s="1" a="1"/>
  <c r="I161" i="26" s="1"/>
  <c r="V160" i="26"/>
  <c r="R160" i="26"/>
  <c r="N160" i="26"/>
  <c r="D160" i="26" a="1"/>
  <c r="D160" i="26" s="1"/>
  <c r="B160" i="26" a="1"/>
  <c r="B160" i="26" s="1"/>
  <c r="W159" i="26"/>
  <c r="S159" i="26"/>
  <c r="O159" i="26"/>
  <c r="J159" i="26" a="1"/>
  <c r="J159" i="26" s="1"/>
  <c r="X158" i="26"/>
  <c r="T158" i="26"/>
  <c r="P158" i="26"/>
  <c r="E158" i="26"/>
  <c r="C158" i="26" a="1"/>
  <c r="C158" i="26" s="1"/>
  <c r="Y157" i="26"/>
  <c r="U157" i="26"/>
  <c r="Q157" i="26"/>
  <c r="M157" i="26"/>
  <c r="F157" i="26"/>
  <c r="V156" i="26"/>
  <c r="R156" i="26"/>
  <c r="N156" i="26"/>
  <c r="D156" i="26" a="1"/>
  <c r="D156" i="26" s="1"/>
  <c r="B156" i="26" a="1"/>
  <c r="B156" i="26" s="1"/>
  <c r="W155" i="26"/>
  <c r="S155" i="26"/>
  <c r="O155" i="26"/>
  <c r="J155" i="26" a="1"/>
  <c r="J155" i="26" s="1"/>
  <c r="X154" i="26"/>
  <c r="T154" i="26"/>
  <c r="P154" i="26"/>
  <c r="E154" i="26"/>
  <c r="C154" i="26" a="1"/>
  <c r="C154" i="26" s="1"/>
  <c r="Y153" i="26"/>
  <c r="U153" i="26"/>
  <c r="Q153" i="26"/>
  <c r="M153" i="26"/>
  <c r="F153" i="26"/>
  <c r="V152" i="26"/>
  <c r="R152" i="26"/>
  <c r="N152" i="26"/>
  <c r="D152" i="26" a="1"/>
  <c r="D152" i="26" s="1"/>
  <c r="B152" i="26" a="1"/>
  <c r="B152" i="26" s="1"/>
  <c r="W151" i="26"/>
  <c r="S151" i="26"/>
  <c r="O151" i="26"/>
  <c r="J151" i="26" a="1"/>
  <c r="J151" i="26" s="1"/>
  <c r="X150" i="26"/>
  <c r="T150" i="26"/>
  <c r="P150" i="26"/>
  <c r="E150" i="26"/>
  <c r="C150" i="26" a="1"/>
  <c r="C150" i="26" s="1"/>
  <c r="Y149" i="26"/>
  <c r="U149" i="26"/>
  <c r="Q149" i="26"/>
  <c r="M149" i="26"/>
  <c r="F149" i="26"/>
  <c r="V148" i="26"/>
  <c r="R148" i="26"/>
  <c r="N148" i="26"/>
  <c r="R169" i="26"/>
  <c r="S168" i="26"/>
  <c r="T167" i="26"/>
  <c r="W166" i="26"/>
  <c r="F166" i="26"/>
  <c r="H166" i="26" s="1" a="1"/>
  <c r="H166" i="26" s="1"/>
  <c r="M165" i="26"/>
  <c r="Y164" i="26"/>
  <c r="H164" i="26" a="1"/>
  <c r="H164" i="26" s="1"/>
  <c r="O163" i="26"/>
  <c r="B163" i="26" a="1"/>
  <c r="B163" i="26" s="1"/>
  <c r="S161" i="26"/>
  <c r="H161" i="26" a="1"/>
  <c r="H161" i="26" s="1"/>
  <c r="T160" i="26"/>
  <c r="U159" i="26"/>
  <c r="V158" i="26"/>
  <c r="W157" i="26"/>
  <c r="J157" i="26" a="1"/>
  <c r="J157" i="26" s="1"/>
  <c r="X156" i="26"/>
  <c r="Y155" i="26"/>
  <c r="B154" i="26" a="1"/>
  <c r="B154" i="26" s="1"/>
  <c r="S152" i="26"/>
  <c r="T151" i="26"/>
  <c r="C151" i="26" a="1"/>
  <c r="C151" i="26" s="1"/>
  <c r="U150" i="26"/>
  <c r="M150" i="26"/>
  <c r="V149" i="26"/>
  <c r="N149" i="26"/>
  <c r="D149" i="26" a="1"/>
  <c r="D149" i="26" s="1"/>
  <c r="W148" i="26"/>
  <c r="O148" i="26"/>
  <c r="J148" i="26" a="1"/>
  <c r="J148" i="26" s="1"/>
  <c r="E148" i="26"/>
  <c r="W147" i="26"/>
  <c r="Q147" i="26"/>
  <c r="J147" i="26" a="1"/>
  <c r="J147" i="26" s="1"/>
  <c r="F147" i="26"/>
  <c r="C147" i="26" a="1"/>
  <c r="C147" i="26" s="1"/>
  <c r="X146" i="26"/>
  <c r="R146" i="26"/>
  <c r="M146" i="26"/>
  <c r="Y145" i="26"/>
  <c r="S145" i="26"/>
  <c r="N145" i="26"/>
  <c r="D145" i="26" a="1"/>
  <c r="D145" i="26" s="1"/>
  <c r="T144" i="26"/>
  <c r="O144" i="26"/>
  <c r="B144" i="26" a="1"/>
  <c r="B144" i="26" s="1"/>
  <c r="U143" i="26"/>
  <c r="P143" i="26"/>
  <c r="E143" i="26"/>
  <c r="W142" i="26"/>
  <c r="S142" i="26"/>
  <c r="O142" i="26"/>
  <c r="J142" i="26" a="1"/>
  <c r="J142" i="26" s="1"/>
  <c r="X141" i="26"/>
  <c r="T141" i="26"/>
  <c r="P141" i="26"/>
  <c r="E141" i="26"/>
  <c r="C141" i="26" a="1"/>
  <c r="C141" i="26" s="1"/>
  <c r="Y140" i="26"/>
  <c r="U140" i="26"/>
  <c r="Q140" i="26"/>
  <c r="M140" i="26"/>
  <c r="F140" i="26"/>
  <c r="I140" i="26" s="1" a="1"/>
  <c r="I140" i="26" s="1"/>
  <c r="V139" i="26"/>
  <c r="R139" i="26"/>
  <c r="N139" i="26"/>
  <c r="D139" i="26" a="1"/>
  <c r="D139" i="26" s="1"/>
  <c r="B139" i="26" a="1"/>
  <c r="B139" i="26" s="1"/>
  <c r="W138" i="26"/>
  <c r="S138" i="26"/>
  <c r="O138" i="26"/>
  <c r="J138" i="26" a="1"/>
  <c r="J138" i="26" s="1"/>
  <c r="X137" i="26"/>
  <c r="T137" i="26"/>
  <c r="P137" i="26"/>
  <c r="E137" i="26"/>
  <c r="C137" i="26" a="1"/>
  <c r="C137" i="26" s="1"/>
  <c r="Y136" i="26"/>
  <c r="U136" i="26"/>
  <c r="Q136" i="26"/>
  <c r="M136" i="26"/>
  <c r="F136" i="26"/>
  <c r="V135" i="26"/>
  <c r="R135" i="26"/>
  <c r="N135" i="26"/>
  <c r="D135" i="26" a="1"/>
  <c r="D135" i="26" s="1"/>
  <c r="B135" i="26" a="1"/>
  <c r="B135" i="26" s="1"/>
  <c r="W134" i="26"/>
  <c r="S134" i="26"/>
  <c r="O134" i="26"/>
  <c r="J134" i="26" a="1"/>
  <c r="J134" i="26" s="1"/>
  <c r="X133" i="26"/>
  <c r="T133" i="26"/>
  <c r="P133" i="26"/>
  <c r="E133" i="26"/>
  <c r="C133" i="26" a="1"/>
  <c r="C133" i="26" s="1"/>
  <c r="Y132" i="26"/>
  <c r="U132" i="26"/>
  <c r="Q132" i="26"/>
  <c r="M132" i="26"/>
  <c r="F132" i="26"/>
  <c r="V131" i="26"/>
  <c r="R131" i="26"/>
  <c r="N131" i="26"/>
  <c r="D131" i="26" a="1"/>
  <c r="D131" i="26" s="1"/>
  <c r="B131" i="26" a="1"/>
  <c r="B131" i="26" s="1"/>
  <c r="W130" i="26"/>
  <c r="S130" i="26"/>
  <c r="O130" i="26"/>
  <c r="J130" i="26" a="1"/>
  <c r="J130" i="26" s="1"/>
  <c r="X129" i="26"/>
  <c r="T129" i="26"/>
  <c r="P129" i="26"/>
  <c r="E129" i="26"/>
  <c r="C129" i="26" a="1"/>
  <c r="C129" i="26" s="1"/>
  <c r="Y128" i="26"/>
  <c r="U128" i="26"/>
  <c r="Q128" i="26"/>
  <c r="M128" i="26"/>
  <c r="F128" i="26"/>
  <c r="V127" i="26"/>
  <c r="R127" i="26"/>
  <c r="N127" i="26"/>
  <c r="D127" i="26" a="1"/>
  <c r="D127" i="26" s="1"/>
  <c r="B127" i="26" a="1"/>
  <c r="B127" i="26" s="1"/>
  <c r="W126" i="26"/>
  <c r="S126" i="26"/>
  <c r="O126" i="26"/>
  <c r="J126" i="26" a="1"/>
  <c r="J126" i="26" s="1"/>
  <c r="X125" i="26"/>
  <c r="T125" i="26"/>
  <c r="P125" i="26"/>
  <c r="E125" i="26"/>
  <c r="C125" i="26" a="1"/>
  <c r="C125" i="26" s="1"/>
  <c r="Y124" i="26"/>
  <c r="U124" i="26"/>
  <c r="Q124" i="26"/>
  <c r="M124" i="26"/>
  <c r="F124" i="26"/>
  <c r="I124" i="26" s="1" a="1"/>
  <c r="I124" i="26" s="1"/>
  <c r="V123" i="26"/>
  <c r="R123" i="26"/>
  <c r="N123" i="26"/>
  <c r="D123" i="26" a="1"/>
  <c r="D123" i="26" s="1"/>
  <c r="B123" i="26" a="1"/>
  <c r="B123" i="26" s="1"/>
  <c r="W122" i="26"/>
  <c r="S122" i="26"/>
  <c r="O122" i="26"/>
  <c r="J122" i="26" a="1"/>
  <c r="J122" i="26" s="1"/>
  <c r="X121" i="26"/>
  <c r="T121" i="26"/>
  <c r="P121" i="26"/>
  <c r="E121" i="26"/>
  <c r="C121" i="26" a="1"/>
  <c r="C121" i="26" s="1"/>
  <c r="Y120" i="26"/>
  <c r="U120" i="26"/>
  <c r="Q120" i="26"/>
  <c r="M120" i="26"/>
  <c r="F120" i="26"/>
  <c r="V119" i="26"/>
  <c r="R119" i="26"/>
  <c r="N119" i="26"/>
  <c r="D119" i="26" a="1"/>
  <c r="D119" i="26" s="1"/>
  <c r="B119" i="26" a="1"/>
  <c r="B119" i="26" s="1"/>
  <c r="W118" i="26"/>
  <c r="S118" i="26"/>
  <c r="O118" i="26"/>
  <c r="J118" i="26" a="1"/>
  <c r="J118" i="26" s="1"/>
  <c r="X117" i="26"/>
  <c r="T117" i="26"/>
  <c r="P117" i="26"/>
  <c r="E117" i="26"/>
  <c r="C117" i="26" a="1"/>
  <c r="C117" i="26" s="1"/>
  <c r="Y116" i="26"/>
  <c r="U116" i="26"/>
  <c r="Q116" i="26"/>
  <c r="M116" i="26"/>
  <c r="F116" i="26"/>
  <c r="V115" i="26"/>
  <c r="R115" i="26"/>
  <c r="N115" i="26"/>
  <c r="D115" i="26" a="1"/>
  <c r="D115" i="26" s="1"/>
  <c r="B115" i="26" a="1"/>
  <c r="B115" i="26" s="1"/>
  <c r="W114" i="26"/>
  <c r="S114" i="26"/>
  <c r="O114" i="26"/>
  <c r="J114" i="26" a="1"/>
  <c r="J114" i="26" s="1"/>
  <c r="X113" i="26"/>
  <c r="T113" i="26"/>
  <c r="P113" i="26"/>
  <c r="E113" i="26"/>
  <c r="C113" i="26" a="1"/>
  <c r="C113" i="26" s="1"/>
  <c r="Y112" i="26"/>
  <c r="U112" i="26"/>
  <c r="Q112" i="26"/>
  <c r="M112" i="26"/>
  <c r="F112" i="26"/>
  <c r="V111" i="26"/>
  <c r="R111" i="26"/>
  <c r="N111" i="26"/>
  <c r="D111" i="26" a="1"/>
  <c r="D111" i="26" s="1"/>
  <c r="B111" i="26" a="1"/>
  <c r="B111" i="26" s="1"/>
  <c r="W110" i="26"/>
  <c r="S110" i="26"/>
  <c r="O110" i="26"/>
  <c r="J110" i="26" a="1"/>
  <c r="J110" i="26" s="1"/>
  <c r="X109" i="26"/>
  <c r="T109" i="26"/>
  <c r="P109" i="26"/>
  <c r="E109" i="26"/>
  <c r="C109" i="26" a="1"/>
  <c r="C109" i="26" s="1"/>
  <c r="Y108" i="26"/>
  <c r="U108" i="26"/>
  <c r="Q108" i="26"/>
  <c r="M108" i="26"/>
  <c r="F108" i="26"/>
  <c r="I108" i="26" s="1" a="1"/>
  <c r="I108" i="26" s="1"/>
  <c r="V107" i="26"/>
  <c r="R107" i="26"/>
  <c r="N107" i="26"/>
  <c r="D107" i="26" a="1"/>
  <c r="D107" i="26" s="1"/>
  <c r="B107" i="26" a="1"/>
  <c r="B107" i="26" s="1"/>
  <c r="W106" i="26"/>
  <c r="S106" i="26"/>
  <c r="O106" i="26"/>
  <c r="J106" i="26" a="1"/>
  <c r="J106" i="26" s="1"/>
  <c r="X105" i="26"/>
  <c r="T105" i="26"/>
  <c r="P105" i="26"/>
  <c r="E105" i="26"/>
  <c r="C105" i="26" a="1"/>
  <c r="C105" i="26" s="1"/>
  <c r="Y104" i="26"/>
  <c r="U104" i="26"/>
  <c r="Q104" i="26"/>
  <c r="M104" i="26"/>
  <c r="F104" i="26"/>
  <c r="V103" i="26"/>
  <c r="R103" i="26"/>
  <c r="N103" i="26"/>
  <c r="D103" i="26" a="1"/>
  <c r="D103" i="26" s="1"/>
  <c r="B103" i="26" a="1"/>
  <c r="B103" i="26" s="1"/>
  <c r="W102" i="26"/>
  <c r="S102" i="26"/>
  <c r="O102" i="26"/>
  <c r="J102" i="26" a="1"/>
  <c r="J102" i="26" s="1"/>
  <c r="X101" i="26"/>
  <c r="T101" i="26"/>
  <c r="P101" i="26"/>
  <c r="E101" i="26"/>
  <c r="C101" i="26" a="1"/>
  <c r="C101" i="26" s="1"/>
  <c r="Y100" i="26"/>
  <c r="U100" i="26"/>
  <c r="Q100" i="26"/>
  <c r="M100" i="26"/>
  <c r="F100" i="26"/>
  <c r="V99" i="26"/>
  <c r="R99" i="26"/>
  <c r="N99" i="26"/>
  <c r="D99" i="26" a="1"/>
  <c r="D99" i="26" s="1"/>
  <c r="B99" i="26" a="1"/>
  <c r="B99" i="26" s="1"/>
  <c r="W98" i="26"/>
  <c r="Y171" i="26"/>
  <c r="O170" i="26"/>
  <c r="Q166" i="26"/>
  <c r="C166" i="26" a="1"/>
  <c r="C166" i="26" s="1"/>
  <c r="S164" i="26"/>
  <c r="D164" i="26" a="1"/>
  <c r="D164" i="26" s="1"/>
  <c r="U162" i="26"/>
  <c r="E162" i="26"/>
  <c r="O161" i="26"/>
  <c r="P160" i="26"/>
  <c r="E160" i="26"/>
  <c r="G160" i="26" s="1"/>
  <c r="Q159" i="26"/>
  <c r="F159" i="26"/>
  <c r="H159" i="26" s="1" a="1"/>
  <c r="H159" i="26" s="1"/>
  <c r="R158" i="26"/>
  <c r="S157" i="26"/>
  <c r="T156" i="26"/>
  <c r="U155" i="26"/>
  <c r="V154" i="26"/>
  <c r="W153" i="26"/>
  <c r="J153" i="26" a="1"/>
  <c r="J153" i="26" s="1"/>
  <c r="X152" i="26"/>
  <c r="P152" i="26"/>
  <c r="E152" i="26"/>
  <c r="G152" i="26" s="1"/>
  <c r="Y151" i="26"/>
  <c r="Q151" i="26"/>
  <c r="F151" i="26"/>
  <c r="R150" i="26"/>
  <c r="B150" i="26" a="1"/>
  <c r="B150" i="26" s="1"/>
  <c r="S149" i="26"/>
  <c r="T148" i="26"/>
  <c r="B148" i="26" a="1"/>
  <c r="B148" i="26" s="1"/>
  <c r="U147" i="26"/>
  <c r="P147" i="26"/>
  <c r="E147" i="26"/>
  <c r="V146" i="26"/>
  <c r="Q146" i="26"/>
  <c r="F146" i="26"/>
  <c r="C146" i="26" a="1"/>
  <c r="C146" i="26" s="1"/>
  <c r="W145" i="26"/>
  <c r="R145" i="26"/>
  <c r="M145" i="26"/>
  <c r="J145" i="26" a="1"/>
  <c r="J145" i="26" s="1"/>
  <c r="X144" i="26"/>
  <c r="S144" i="26"/>
  <c r="N144" i="26"/>
  <c r="D144" i="26" a="1"/>
  <c r="D144" i="26" s="1"/>
  <c r="Y143" i="26"/>
  <c r="T143" i="26"/>
  <c r="O143" i="26"/>
  <c r="V142" i="26"/>
  <c r="R142" i="26"/>
  <c r="N142" i="26"/>
  <c r="D142" i="26" a="1"/>
  <c r="D142" i="26" s="1"/>
  <c r="B142" i="26" a="1"/>
  <c r="B142" i="26" s="1"/>
  <c r="W141" i="26"/>
  <c r="S141" i="26"/>
  <c r="O141" i="26"/>
  <c r="J141" i="26" a="1"/>
  <c r="J141" i="26" s="1"/>
  <c r="X140" i="26"/>
  <c r="T140" i="26"/>
  <c r="P140" i="26"/>
  <c r="E140" i="26"/>
  <c r="C140" i="26" a="1"/>
  <c r="C140" i="26" s="1"/>
  <c r="Y139" i="26"/>
  <c r="U139" i="26"/>
  <c r="Q139" i="26"/>
  <c r="M139" i="26"/>
  <c r="F139" i="26"/>
  <c r="V138" i="26"/>
  <c r="R138" i="26"/>
  <c r="N138" i="26"/>
  <c r="D138" i="26" a="1"/>
  <c r="D138" i="26" s="1"/>
  <c r="B138" i="26" a="1"/>
  <c r="B138" i="26" s="1"/>
  <c r="W137" i="26"/>
  <c r="S137" i="26"/>
  <c r="O137" i="26"/>
  <c r="J137" i="26" a="1"/>
  <c r="J137" i="26" s="1"/>
  <c r="X136" i="26"/>
  <c r="T136" i="26"/>
  <c r="P136" i="26"/>
  <c r="E136" i="26"/>
  <c r="C136" i="26" a="1"/>
  <c r="C136" i="26" s="1"/>
  <c r="Y135" i="26"/>
  <c r="U135" i="26"/>
  <c r="Q135" i="26"/>
  <c r="M135" i="26"/>
  <c r="F135" i="26"/>
  <c r="V134" i="26"/>
  <c r="R134" i="26"/>
  <c r="N134" i="26"/>
  <c r="D134" i="26" a="1"/>
  <c r="D134" i="26" s="1"/>
  <c r="B134" i="26" a="1"/>
  <c r="B134" i="26" s="1"/>
  <c r="W133" i="26"/>
  <c r="S133" i="26"/>
  <c r="O133" i="26"/>
  <c r="J133" i="26" a="1"/>
  <c r="J133" i="26" s="1"/>
  <c r="X132" i="26"/>
  <c r="T132" i="26"/>
  <c r="P132" i="26"/>
  <c r="E132" i="26"/>
  <c r="C132" i="26" a="1"/>
  <c r="C132" i="26" s="1"/>
  <c r="Y131" i="26"/>
  <c r="U131" i="26"/>
  <c r="Q131" i="26"/>
  <c r="M131" i="26"/>
  <c r="F131" i="26"/>
  <c r="I131" i="26" s="1" a="1"/>
  <c r="I131" i="26" s="1"/>
  <c r="V130" i="26"/>
  <c r="R130" i="26"/>
  <c r="N130" i="26"/>
  <c r="D130" i="26" a="1"/>
  <c r="D130" i="26" s="1"/>
  <c r="B130" i="26" a="1"/>
  <c r="B130" i="26" s="1"/>
  <c r="W129" i="26"/>
  <c r="S129" i="26"/>
  <c r="O129" i="26"/>
  <c r="J129" i="26" a="1"/>
  <c r="J129" i="26" s="1"/>
  <c r="X128" i="26"/>
  <c r="T128" i="26"/>
  <c r="P128" i="26"/>
  <c r="E128" i="26"/>
  <c r="C128" i="26" a="1"/>
  <c r="C128" i="26" s="1"/>
  <c r="Y127" i="26"/>
  <c r="U127" i="26"/>
  <c r="Q127" i="26"/>
  <c r="M127" i="26"/>
  <c r="F127" i="26"/>
  <c r="I127" i="26" s="1" a="1"/>
  <c r="I127" i="26" s="1"/>
  <c r="V126" i="26"/>
  <c r="R126" i="26"/>
  <c r="N126" i="26"/>
  <c r="D126" i="26" a="1"/>
  <c r="D126" i="26" s="1"/>
  <c r="B126" i="26" a="1"/>
  <c r="B126" i="26" s="1"/>
  <c r="W125" i="26"/>
  <c r="S125" i="26"/>
  <c r="O125" i="26"/>
  <c r="J125" i="26" a="1"/>
  <c r="J125" i="26" s="1"/>
  <c r="X124" i="26"/>
  <c r="T124" i="26"/>
  <c r="P124" i="26"/>
  <c r="E124" i="26"/>
  <c r="C124" i="26" a="1"/>
  <c r="C124" i="26" s="1"/>
  <c r="Y123" i="26"/>
  <c r="U123" i="26"/>
  <c r="Q123" i="26"/>
  <c r="M123" i="26"/>
  <c r="F123" i="26"/>
  <c r="V122" i="26"/>
  <c r="R122" i="26"/>
  <c r="N122" i="26"/>
  <c r="D122" i="26" a="1"/>
  <c r="D122" i="26" s="1"/>
  <c r="B122" i="26" a="1"/>
  <c r="B122" i="26" s="1"/>
  <c r="W121" i="26"/>
  <c r="S121" i="26"/>
  <c r="O121" i="26"/>
  <c r="J121" i="26" a="1"/>
  <c r="J121" i="26" s="1"/>
  <c r="X120" i="26"/>
  <c r="T120" i="26"/>
  <c r="P120" i="26"/>
  <c r="E120" i="26"/>
  <c r="C120" i="26" a="1"/>
  <c r="C120" i="26" s="1"/>
  <c r="Y119" i="26"/>
  <c r="U119" i="26"/>
  <c r="Q119" i="26"/>
  <c r="M119" i="26"/>
  <c r="F119" i="26"/>
  <c r="V118" i="26"/>
  <c r="R118" i="26"/>
  <c r="N118" i="26"/>
  <c r="D118" i="26" a="1"/>
  <c r="D118" i="26" s="1"/>
  <c r="B118" i="26" a="1"/>
  <c r="B118" i="26" s="1"/>
  <c r="W117" i="26"/>
  <c r="S117" i="26"/>
  <c r="O117" i="26"/>
  <c r="J117" i="26" a="1"/>
  <c r="J117" i="26" s="1"/>
  <c r="X116" i="26"/>
  <c r="T116" i="26"/>
  <c r="P116" i="26"/>
  <c r="E116" i="26"/>
  <c r="C116" i="26" a="1"/>
  <c r="C116" i="26" s="1"/>
  <c r="Y115" i="26"/>
  <c r="U115" i="26"/>
  <c r="Q115" i="26"/>
  <c r="M115" i="26"/>
  <c r="F115" i="26"/>
  <c r="I115" i="26" s="1" a="1"/>
  <c r="I115" i="26" s="1"/>
  <c r="V114" i="26"/>
  <c r="R114" i="26"/>
  <c r="N114" i="26"/>
  <c r="D114" i="26" a="1"/>
  <c r="D114" i="26" s="1"/>
  <c r="B114" i="26" a="1"/>
  <c r="B114" i="26" s="1"/>
  <c r="W113" i="26"/>
  <c r="S113" i="26"/>
  <c r="O113" i="26"/>
  <c r="J113" i="26" a="1"/>
  <c r="J113" i="26" s="1"/>
  <c r="X112" i="26"/>
  <c r="T112" i="26"/>
  <c r="P112" i="26"/>
  <c r="E112" i="26"/>
  <c r="C112" i="26" a="1"/>
  <c r="C112" i="26" s="1"/>
  <c r="Y111" i="26"/>
  <c r="U111" i="26"/>
  <c r="Q111" i="26"/>
  <c r="M111" i="26"/>
  <c r="F111" i="26"/>
  <c r="I111" i="26" s="1" a="1"/>
  <c r="I111" i="26" s="1"/>
  <c r="V110" i="26"/>
  <c r="R110" i="26"/>
  <c r="N110" i="26"/>
  <c r="D110" i="26" a="1"/>
  <c r="D110" i="26" s="1"/>
  <c r="B110" i="26" a="1"/>
  <c r="B110" i="26" s="1"/>
  <c r="W109" i="26"/>
  <c r="S109" i="26"/>
  <c r="O109" i="26"/>
  <c r="J109" i="26" a="1"/>
  <c r="J109" i="26" s="1"/>
  <c r="X108" i="26"/>
  <c r="T108" i="26"/>
  <c r="P108" i="26"/>
  <c r="E108" i="26"/>
  <c r="C108" i="26" a="1"/>
  <c r="C108" i="26" s="1"/>
  <c r="Y107" i="26"/>
  <c r="U107" i="26"/>
  <c r="Q107" i="26"/>
  <c r="M107" i="26"/>
  <c r="F107" i="26"/>
  <c r="V106" i="26"/>
  <c r="R106" i="26"/>
  <c r="N106" i="26"/>
  <c r="D106" i="26" a="1"/>
  <c r="D106" i="26" s="1"/>
  <c r="B106" i="26" a="1"/>
  <c r="B106" i="26" s="1"/>
  <c r="X172" i="26"/>
  <c r="N171" i="26"/>
  <c r="H168" i="26" a="1"/>
  <c r="H168" i="26" s="1"/>
  <c r="X165" i="26"/>
  <c r="N164" i="26"/>
  <c r="P162" i="26"/>
  <c r="C160" i="26" a="1"/>
  <c r="C160" i="26" s="1"/>
  <c r="M159" i="26"/>
  <c r="N158" i="26"/>
  <c r="D158" i="26" a="1"/>
  <c r="D158" i="26" s="1"/>
  <c r="O157" i="26"/>
  <c r="P156" i="26"/>
  <c r="E156" i="26"/>
  <c r="G156" i="26" s="1"/>
  <c r="Q155" i="26"/>
  <c r="F155" i="26"/>
  <c r="H155" i="26" s="1" a="1"/>
  <c r="H155" i="26" s="1"/>
  <c r="R154" i="26"/>
  <c r="S153" i="26"/>
  <c r="H153" i="26" a="1"/>
  <c r="H153" i="26" s="1"/>
  <c r="W152" i="26"/>
  <c r="O152" i="26"/>
  <c r="J152" i="26" a="1"/>
  <c r="J152" i="26" s="1"/>
  <c r="X151" i="26"/>
  <c r="P151" i="26"/>
  <c r="E151" i="26"/>
  <c r="Y150" i="26"/>
  <c r="Q150" i="26"/>
  <c r="F150" i="26"/>
  <c r="H150" i="26" s="1" a="1"/>
  <c r="H150" i="26" s="1"/>
  <c r="R149" i="26"/>
  <c r="B149" i="26" a="1"/>
  <c r="B149" i="26" s="1"/>
  <c r="S148" i="26"/>
  <c r="D148" i="26" a="1"/>
  <c r="D148" i="26" s="1"/>
  <c r="Y147" i="26"/>
  <c r="T147" i="26"/>
  <c r="O147" i="26"/>
  <c r="U146" i="26"/>
  <c r="P146" i="26"/>
  <c r="E146" i="26"/>
  <c r="B146" i="26" a="1"/>
  <c r="B146" i="26" s="1"/>
  <c r="V145" i="26"/>
  <c r="Q145" i="26"/>
  <c r="F145" i="26"/>
  <c r="H145" i="26" s="1" a="1"/>
  <c r="H145" i="26" s="1"/>
  <c r="W144" i="26"/>
  <c r="R144" i="26"/>
  <c r="J144" i="26" a="1"/>
  <c r="J144" i="26" s="1"/>
  <c r="C144" i="26" a="1"/>
  <c r="C144" i="26" s="1"/>
  <c r="X143" i="26"/>
  <c r="S143" i="26"/>
  <c r="M143" i="26"/>
  <c r="Y142" i="26"/>
  <c r="U142" i="26"/>
  <c r="Q142" i="26"/>
  <c r="M142" i="26"/>
  <c r="F142" i="26"/>
  <c r="V141" i="26"/>
  <c r="R141" i="26"/>
  <c r="N141" i="26"/>
  <c r="D141" i="26" a="1"/>
  <c r="D141" i="26" s="1"/>
  <c r="B141" i="26" a="1"/>
  <c r="B141" i="26" s="1"/>
  <c r="W140" i="26"/>
  <c r="S140" i="26"/>
  <c r="O140" i="26"/>
  <c r="J140" i="26" a="1"/>
  <c r="J140" i="26" s="1"/>
  <c r="H140" i="26" a="1"/>
  <c r="H140" i="26" s="1"/>
  <c r="X139" i="26"/>
  <c r="T139" i="26"/>
  <c r="P139" i="26"/>
  <c r="E139" i="26"/>
  <c r="C139" i="26" a="1"/>
  <c r="C139" i="26" s="1"/>
  <c r="Y138" i="26"/>
  <c r="U138" i="26"/>
  <c r="Q138" i="26"/>
  <c r="M138" i="26"/>
  <c r="F138" i="26"/>
  <c r="H138" i="26" s="1" a="1"/>
  <c r="H138" i="26" s="1"/>
  <c r="V137" i="26"/>
  <c r="R137" i="26"/>
  <c r="N137" i="26"/>
  <c r="D137" i="26" a="1"/>
  <c r="D137" i="26" s="1"/>
  <c r="B137" i="26" a="1"/>
  <c r="B137" i="26" s="1"/>
  <c r="W136" i="26"/>
  <c r="S136" i="26"/>
  <c r="O136" i="26"/>
  <c r="J136" i="26" a="1"/>
  <c r="J136" i="26" s="1"/>
  <c r="H136" i="26" a="1"/>
  <c r="H136" i="26" s="1"/>
  <c r="X135" i="26"/>
  <c r="T135" i="26"/>
  <c r="P135" i="26"/>
  <c r="E135" i="26"/>
  <c r="C135" i="26" a="1"/>
  <c r="C135" i="26" s="1"/>
  <c r="Y134" i="26"/>
  <c r="U134" i="26"/>
  <c r="Q134" i="26"/>
  <c r="M134" i="26"/>
  <c r="F134" i="26"/>
  <c r="H134" i="26" s="1" a="1"/>
  <c r="H134" i="26" s="1"/>
  <c r="V133" i="26"/>
  <c r="R133" i="26"/>
  <c r="N133" i="26"/>
  <c r="D133" i="26" a="1"/>
  <c r="D133" i="26" s="1"/>
  <c r="B133" i="26" a="1"/>
  <c r="B133" i="26" s="1"/>
  <c r="W132" i="26"/>
  <c r="S132" i="26"/>
  <c r="O132" i="26"/>
  <c r="J132" i="26" a="1"/>
  <c r="J132" i="26" s="1"/>
  <c r="H132" i="26" a="1"/>
  <c r="H132" i="26" s="1"/>
  <c r="X131" i="26"/>
  <c r="T131" i="26"/>
  <c r="P131" i="26"/>
  <c r="E131" i="26"/>
  <c r="G131" i="26" s="1"/>
  <c r="C131" i="26" a="1"/>
  <c r="C131" i="26" s="1"/>
  <c r="Y130" i="26"/>
  <c r="U130" i="26"/>
  <c r="Q130" i="26"/>
  <c r="M130" i="26"/>
  <c r="W173" i="26"/>
  <c r="M172" i="26"/>
  <c r="B170" i="26" a="1"/>
  <c r="B170" i="26" s="1"/>
  <c r="B169" i="26" a="1"/>
  <c r="B169" i="26" s="1"/>
  <c r="C167" i="26" a="1"/>
  <c r="C167" i="26" s="1"/>
  <c r="J166" i="26" a="1"/>
  <c r="J166" i="26" s="1"/>
  <c r="R165" i="26"/>
  <c r="Z165" i="26" s="1"/>
  <c r="T163" i="26"/>
  <c r="W161" i="26"/>
  <c r="J161" i="26" a="1"/>
  <c r="J161" i="26" s="1"/>
  <c r="X160" i="26"/>
  <c r="Y159" i="26"/>
  <c r="B158" i="26" a="1"/>
  <c r="B158" i="26" s="1"/>
  <c r="C156" i="26" a="1"/>
  <c r="C156" i="26" s="1"/>
  <c r="M155" i="26"/>
  <c r="N154" i="26"/>
  <c r="D154" i="26" a="1"/>
  <c r="D154" i="26" s="1"/>
  <c r="O153" i="26"/>
  <c r="T152" i="26"/>
  <c r="C152" i="26" a="1"/>
  <c r="C152" i="26" s="1"/>
  <c r="U151" i="26"/>
  <c r="M151" i="26"/>
  <c r="V150" i="26"/>
  <c r="N150" i="26"/>
  <c r="D150" i="26" a="1"/>
  <c r="D150" i="26" s="1"/>
  <c r="W149" i="26"/>
  <c r="O149" i="26"/>
  <c r="J149" i="26" a="1"/>
  <c r="J149" i="26" s="1"/>
  <c r="X148" i="26"/>
  <c r="P148" i="26"/>
  <c r="C148" i="26" a="1"/>
  <c r="C148" i="26" s="1"/>
  <c r="X147" i="26"/>
  <c r="S147" i="26"/>
  <c r="M147" i="26"/>
  <c r="H147" i="26" a="1"/>
  <c r="H147" i="26" s="1"/>
  <c r="Y146" i="26"/>
  <c r="T146" i="26"/>
  <c r="N146" i="26"/>
  <c r="D146" i="26" a="1"/>
  <c r="D146" i="26" s="1"/>
  <c r="U145" i="26"/>
  <c r="O145" i="26"/>
  <c r="B145" i="26" a="1"/>
  <c r="B145" i="26" s="1"/>
  <c r="V144" i="26"/>
  <c r="P144" i="26"/>
  <c r="E144" i="26"/>
  <c r="W143" i="26"/>
  <c r="Q143" i="26"/>
  <c r="J143" i="26" a="1"/>
  <c r="J143" i="26" s="1"/>
  <c r="F143" i="26"/>
  <c r="I143" i="26" s="1" a="1"/>
  <c r="I143" i="26" s="1"/>
  <c r="C143" i="26" a="1"/>
  <c r="C143" i="26" s="1"/>
  <c r="X142" i="26"/>
  <c r="T142" i="26"/>
  <c r="P142" i="26"/>
  <c r="E142" i="26"/>
  <c r="G142" i="26" s="1"/>
  <c r="C142" i="26" a="1"/>
  <c r="C142" i="26" s="1"/>
  <c r="Y141" i="26"/>
  <c r="U141" i="26"/>
  <c r="Q141" i="26"/>
  <c r="M141" i="26"/>
  <c r="F141" i="26"/>
  <c r="H141" i="26" s="1" a="1"/>
  <c r="H141" i="26" s="1"/>
  <c r="V140" i="26"/>
  <c r="R140" i="26"/>
  <c r="N140" i="26"/>
  <c r="D140" i="26" a="1"/>
  <c r="D140" i="26" s="1"/>
  <c r="B140" i="26" a="1"/>
  <c r="B140" i="26" s="1"/>
  <c r="W139" i="26"/>
  <c r="S139" i="26"/>
  <c r="O139" i="26"/>
  <c r="J139" i="26" a="1"/>
  <c r="J139" i="26" s="1"/>
  <c r="X138" i="26"/>
  <c r="T138" i="26"/>
  <c r="P138" i="26"/>
  <c r="E138" i="26"/>
  <c r="C138" i="26" a="1"/>
  <c r="C138" i="26" s="1"/>
  <c r="Y137" i="26"/>
  <c r="U137" i="26"/>
  <c r="Q137" i="26"/>
  <c r="M137" i="26"/>
  <c r="F137" i="26"/>
  <c r="V136" i="26"/>
  <c r="R136" i="26"/>
  <c r="N136" i="26"/>
  <c r="D136" i="26" a="1"/>
  <c r="D136" i="26" s="1"/>
  <c r="B136" i="26" a="1"/>
  <c r="B136" i="26" s="1"/>
  <c r="W135" i="26"/>
  <c r="S135" i="26"/>
  <c r="O135" i="26"/>
  <c r="J135" i="26" a="1"/>
  <c r="J135" i="26" s="1"/>
  <c r="X134" i="26"/>
  <c r="T134" i="26"/>
  <c r="P134" i="26"/>
  <c r="E134" i="26"/>
  <c r="C134" i="26" a="1"/>
  <c r="C134" i="26" s="1"/>
  <c r="Y133" i="26"/>
  <c r="U133" i="26"/>
  <c r="Q133" i="26"/>
  <c r="M133" i="26"/>
  <c r="F133" i="26"/>
  <c r="H133" i="26" s="1" a="1"/>
  <c r="H133" i="26" s="1"/>
  <c r="V132" i="26"/>
  <c r="R132" i="26"/>
  <c r="Z132" i="26" s="1"/>
  <c r="N132" i="26"/>
  <c r="D132" i="26" a="1"/>
  <c r="D132" i="26" s="1"/>
  <c r="B132" i="26" a="1"/>
  <c r="B132" i="26" s="1"/>
  <c r="W131" i="26"/>
  <c r="S131" i="26"/>
  <c r="O131" i="26"/>
  <c r="J131" i="26" a="1"/>
  <c r="J131" i="26" s="1"/>
  <c r="H131" i="26" a="1"/>
  <c r="H131" i="26" s="1"/>
  <c r="X130" i="26"/>
  <c r="T130" i="26"/>
  <c r="P130" i="26"/>
  <c r="E130" i="26"/>
  <c r="C130" i="26" a="1"/>
  <c r="C130" i="26" s="1"/>
  <c r="Y129" i="26"/>
  <c r="U129" i="26"/>
  <c r="Q129" i="26"/>
  <c r="M129" i="26"/>
  <c r="F129" i="26"/>
  <c r="H129" i="26" s="1" a="1"/>
  <c r="H129" i="26" s="1"/>
  <c r="V128" i="26"/>
  <c r="R128" i="26"/>
  <c r="N128" i="26"/>
  <c r="D128" i="26" a="1"/>
  <c r="D128" i="26" s="1"/>
  <c r="B128" i="26" a="1"/>
  <c r="B128" i="26" s="1"/>
  <c r="W127" i="26"/>
  <c r="S127" i="26"/>
  <c r="O127" i="26"/>
  <c r="J127" i="26" a="1"/>
  <c r="J127" i="26" s="1"/>
  <c r="X126" i="26"/>
  <c r="T126" i="26"/>
  <c r="P126" i="26"/>
  <c r="E126" i="26"/>
  <c r="C126" i="26" a="1"/>
  <c r="C126" i="26" s="1"/>
  <c r="Y125" i="26"/>
  <c r="U125" i="26"/>
  <c r="Q125" i="26"/>
  <c r="M125" i="26"/>
  <c r="F125" i="26"/>
  <c r="H125" i="26" s="1" a="1"/>
  <c r="H125" i="26" s="1"/>
  <c r="V124" i="26"/>
  <c r="R124" i="26"/>
  <c r="N124" i="26"/>
  <c r="D124" i="26" a="1"/>
  <c r="D124" i="26" s="1"/>
  <c r="B124" i="26" a="1"/>
  <c r="B124" i="26" s="1"/>
  <c r="W123" i="26"/>
  <c r="S123" i="26"/>
  <c r="O123" i="26"/>
  <c r="J123" i="26" a="1"/>
  <c r="J123" i="26" s="1"/>
  <c r="X122" i="26"/>
  <c r="T122" i="26"/>
  <c r="P122" i="26"/>
  <c r="E122" i="26"/>
  <c r="C122" i="26" a="1"/>
  <c r="C122" i="26" s="1"/>
  <c r="Y121" i="26"/>
  <c r="U121" i="26"/>
  <c r="Q121" i="26"/>
  <c r="M121" i="26"/>
  <c r="F121" i="26"/>
  <c r="V120" i="26"/>
  <c r="R120" i="26"/>
  <c r="N120" i="26"/>
  <c r="D120" i="26" a="1"/>
  <c r="D120" i="26" s="1"/>
  <c r="B120" i="26" a="1"/>
  <c r="B120" i="26" s="1"/>
  <c r="W119" i="26"/>
  <c r="S119" i="26"/>
  <c r="O119" i="26"/>
  <c r="J119" i="26" a="1"/>
  <c r="J119" i="26" s="1"/>
  <c r="X118" i="26"/>
  <c r="T118" i="26"/>
  <c r="P118" i="26"/>
  <c r="E118" i="26"/>
  <c r="C118" i="26" a="1"/>
  <c r="C118" i="26" s="1"/>
  <c r="Y117" i="26"/>
  <c r="U117" i="26"/>
  <c r="Q117" i="26"/>
  <c r="M117" i="26"/>
  <c r="F117" i="26"/>
  <c r="H117" i="26" s="1" a="1"/>
  <c r="H117" i="26" s="1"/>
  <c r="V116" i="26"/>
  <c r="R116" i="26"/>
  <c r="N116" i="26"/>
  <c r="D116" i="26" a="1"/>
  <c r="D116" i="26" s="1"/>
  <c r="B116" i="26" a="1"/>
  <c r="B116" i="26" s="1"/>
  <c r="W115" i="26"/>
  <c r="S115" i="26"/>
  <c r="O115" i="26"/>
  <c r="J115" i="26" a="1"/>
  <c r="J115" i="26" s="1"/>
  <c r="X114" i="26"/>
  <c r="T114" i="26"/>
  <c r="P114" i="26"/>
  <c r="E114" i="26"/>
  <c r="C114" i="26" a="1"/>
  <c r="C114" i="26" s="1"/>
  <c r="Y113" i="26"/>
  <c r="U113" i="26"/>
  <c r="Q113" i="26"/>
  <c r="M113" i="26"/>
  <c r="F113" i="26"/>
  <c r="H113" i="26" s="1" a="1"/>
  <c r="H113" i="26" s="1"/>
  <c r="V112" i="26"/>
  <c r="R112" i="26"/>
  <c r="N112" i="26"/>
  <c r="D112" i="26" a="1"/>
  <c r="D112" i="26" s="1"/>
  <c r="B112" i="26" a="1"/>
  <c r="B112" i="26" s="1"/>
  <c r="B129" i="26" a="1"/>
  <c r="B129" i="26" s="1"/>
  <c r="C127" i="26" a="1"/>
  <c r="C127" i="26" s="1"/>
  <c r="M126" i="26"/>
  <c r="N125" i="26"/>
  <c r="D125" i="26" a="1"/>
  <c r="D125" i="26" s="1"/>
  <c r="O124" i="26"/>
  <c r="P123" i="26"/>
  <c r="E123" i="26"/>
  <c r="Q122" i="26"/>
  <c r="F122" i="26"/>
  <c r="R121" i="26"/>
  <c r="S120" i="26"/>
  <c r="H120" i="26" a="1"/>
  <c r="H120" i="26" s="1"/>
  <c r="T119" i="26"/>
  <c r="U118" i="26"/>
  <c r="V117" i="26"/>
  <c r="W116" i="26"/>
  <c r="J116" i="26" a="1"/>
  <c r="J116" i="26" s="1"/>
  <c r="X115" i="26"/>
  <c r="Y114" i="26"/>
  <c r="B113" i="26" a="1"/>
  <c r="B113" i="26" s="1"/>
  <c r="S111" i="26"/>
  <c r="T110" i="26"/>
  <c r="C110" i="26" a="1"/>
  <c r="C110" i="26" s="1"/>
  <c r="U109" i="26"/>
  <c r="M109" i="26"/>
  <c r="V108" i="26"/>
  <c r="N108" i="26"/>
  <c r="D108" i="26" a="1"/>
  <c r="D108" i="26" s="1"/>
  <c r="W107" i="26"/>
  <c r="O107" i="26"/>
  <c r="J107" i="26" a="1"/>
  <c r="J107" i="26" s="1"/>
  <c r="X106" i="26"/>
  <c r="P106" i="26"/>
  <c r="E106" i="26"/>
  <c r="Y105" i="26"/>
  <c r="S105" i="26"/>
  <c r="N105" i="26"/>
  <c r="D105" i="26" a="1"/>
  <c r="D105" i="26" s="1"/>
  <c r="T104" i="26"/>
  <c r="O104" i="26"/>
  <c r="B104" i="26" a="1"/>
  <c r="B104" i="26" s="1"/>
  <c r="U103" i="26"/>
  <c r="P103" i="26"/>
  <c r="E103" i="26"/>
  <c r="V102" i="26"/>
  <c r="Q102" i="26"/>
  <c r="F102" i="26"/>
  <c r="H102" i="26" s="1" a="1"/>
  <c r="H102" i="26" s="1"/>
  <c r="C102" i="26" a="1"/>
  <c r="C102" i="26" s="1"/>
  <c r="W101" i="26"/>
  <c r="R101" i="26"/>
  <c r="M101" i="26"/>
  <c r="J101" i="26" a="1"/>
  <c r="J101" i="26" s="1"/>
  <c r="X100" i="26"/>
  <c r="S100" i="26"/>
  <c r="N100" i="26"/>
  <c r="D100" i="26" a="1"/>
  <c r="D100" i="26" s="1"/>
  <c r="Y99" i="26"/>
  <c r="T99" i="26"/>
  <c r="O99" i="26"/>
  <c r="U98" i="26"/>
  <c r="Q98" i="26"/>
  <c r="M98" i="26"/>
  <c r="F98" i="26"/>
  <c r="H98" i="26" s="1" a="1"/>
  <c r="H98" i="26" s="1"/>
  <c r="V97" i="26"/>
  <c r="R97" i="26"/>
  <c r="N97" i="26"/>
  <c r="D97" i="26" a="1"/>
  <c r="D97" i="26" s="1"/>
  <c r="B97" i="26" a="1"/>
  <c r="B97" i="26" s="1"/>
  <c r="W96" i="26"/>
  <c r="S96" i="26"/>
  <c r="O96" i="26"/>
  <c r="J96" i="26" a="1"/>
  <c r="J96" i="26" s="1"/>
  <c r="X95" i="26"/>
  <c r="T95" i="26"/>
  <c r="P95" i="26"/>
  <c r="E95" i="26"/>
  <c r="G95" i="26" s="1"/>
  <c r="C95" i="26" a="1"/>
  <c r="C95" i="26" s="1"/>
  <c r="Y94" i="26"/>
  <c r="U94" i="26"/>
  <c r="Q94" i="26"/>
  <c r="M94" i="26"/>
  <c r="F94" i="26"/>
  <c r="V93" i="26"/>
  <c r="R93" i="26"/>
  <c r="N93" i="26"/>
  <c r="D93" i="26" a="1"/>
  <c r="D93" i="26" s="1"/>
  <c r="B93" i="26" a="1"/>
  <c r="B93" i="26" s="1"/>
  <c r="W92" i="26"/>
  <c r="S92" i="26"/>
  <c r="O92" i="26"/>
  <c r="J92" i="26" a="1"/>
  <c r="J92" i="26" s="1"/>
  <c r="X91" i="26"/>
  <c r="T91" i="26"/>
  <c r="P91" i="26"/>
  <c r="E91" i="26"/>
  <c r="C91" i="26" a="1"/>
  <c r="C91" i="26" s="1"/>
  <c r="Y90" i="26"/>
  <c r="U90" i="26"/>
  <c r="Q90" i="26"/>
  <c r="M90" i="26"/>
  <c r="F90" i="26"/>
  <c r="I90" i="26" s="1" a="1"/>
  <c r="I90" i="26" s="1"/>
  <c r="V89" i="26"/>
  <c r="R89" i="26"/>
  <c r="N89" i="26"/>
  <c r="D89" i="26" a="1"/>
  <c r="D89" i="26" s="1"/>
  <c r="B89" i="26" a="1"/>
  <c r="B89" i="26" s="1"/>
  <c r="W88" i="26"/>
  <c r="S88" i="26"/>
  <c r="O88" i="26"/>
  <c r="J88" i="26" a="1"/>
  <c r="J88" i="26" s="1"/>
  <c r="X87" i="26"/>
  <c r="T87" i="26"/>
  <c r="P87" i="26"/>
  <c r="E87" i="26"/>
  <c r="G87" i="26" s="1"/>
  <c r="C87" i="26" a="1"/>
  <c r="C87" i="26" s="1"/>
  <c r="Y86" i="26"/>
  <c r="U86" i="26"/>
  <c r="Q86" i="26"/>
  <c r="M86" i="26"/>
  <c r="I86" i="26" a="1"/>
  <c r="I86" i="26" s="1"/>
  <c r="F86" i="26"/>
  <c r="V85" i="26"/>
  <c r="R85" i="26"/>
  <c r="N85" i="26"/>
  <c r="D85" i="26" a="1"/>
  <c r="D85" i="26" s="1"/>
  <c r="B85" i="26" a="1"/>
  <c r="B85" i="26" s="1"/>
  <c r="W84" i="26"/>
  <c r="S84" i="26"/>
  <c r="O84" i="26"/>
  <c r="J84" i="26" a="1"/>
  <c r="J84" i="26" s="1"/>
  <c r="X83" i="26"/>
  <c r="T83" i="26"/>
  <c r="P83" i="26"/>
  <c r="E83" i="26"/>
  <c r="G83" i="26" s="1"/>
  <c r="C83" i="26" a="1"/>
  <c r="C83" i="26" s="1"/>
  <c r="Y82" i="26"/>
  <c r="U82" i="26"/>
  <c r="Q82" i="26"/>
  <c r="M82" i="26"/>
  <c r="I82" i="26" a="1"/>
  <c r="I82" i="26" s="1"/>
  <c r="F82" i="26"/>
  <c r="V81" i="26"/>
  <c r="R81" i="26"/>
  <c r="N81" i="26"/>
  <c r="D81" i="26" a="1"/>
  <c r="D81" i="26" s="1"/>
  <c r="B81" i="26" a="1"/>
  <c r="B81" i="26" s="1"/>
  <c r="W80" i="26"/>
  <c r="S80" i="26"/>
  <c r="O80" i="26"/>
  <c r="J80" i="26" a="1"/>
  <c r="J80" i="26" s="1"/>
  <c r="X79" i="26"/>
  <c r="T79" i="26"/>
  <c r="P79" i="26"/>
  <c r="E79" i="26"/>
  <c r="G79" i="26" s="1"/>
  <c r="C79" i="26" a="1"/>
  <c r="C79" i="26" s="1"/>
  <c r="Y78" i="26"/>
  <c r="U78" i="26"/>
  <c r="Q78" i="26"/>
  <c r="M78" i="26"/>
  <c r="F78" i="26"/>
  <c r="V77" i="26"/>
  <c r="R77" i="26"/>
  <c r="N77" i="26"/>
  <c r="D77" i="26" a="1"/>
  <c r="D77" i="26" s="1"/>
  <c r="B77" i="26" a="1"/>
  <c r="B77" i="26" s="1"/>
  <c r="W76" i="26"/>
  <c r="S76" i="26"/>
  <c r="O76" i="26"/>
  <c r="J76" i="26" a="1"/>
  <c r="J76" i="26" s="1"/>
  <c r="X75" i="26"/>
  <c r="T75" i="26"/>
  <c r="P75" i="26"/>
  <c r="E75" i="26"/>
  <c r="C75" i="26" a="1"/>
  <c r="C75" i="26" s="1"/>
  <c r="Y74" i="26"/>
  <c r="U74" i="26"/>
  <c r="Q74" i="26"/>
  <c r="M74" i="26"/>
  <c r="F74" i="26"/>
  <c r="I74" i="26" s="1" a="1"/>
  <c r="I74" i="26" s="1"/>
  <c r="V73" i="26"/>
  <c r="R73" i="26"/>
  <c r="N73" i="26"/>
  <c r="D73" i="26" a="1"/>
  <c r="D73" i="26" s="1"/>
  <c r="B73" i="26" a="1"/>
  <c r="B73" i="26" s="1"/>
  <c r="W72" i="26"/>
  <c r="S72" i="26"/>
  <c r="O72" i="26"/>
  <c r="J72" i="26" a="1"/>
  <c r="J72" i="26" s="1"/>
  <c r="X71" i="26"/>
  <c r="T71" i="26"/>
  <c r="P71" i="26"/>
  <c r="E71" i="26"/>
  <c r="G71" i="26" s="1"/>
  <c r="C71" i="26" a="1"/>
  <c r="C71" i="26" s="1"/>
  <c r="Y70" i="26"/>
  <c r="U70" i="26"/>
  <c r="Q70" i="26"/>
  <c r="M70" i="26"/>
  <c r="F70" i="26"/>
  <c r="H70" i="26" s="1" a="1"/>
  <c r="H70" i="26" s="1"/>
  <c r="V69" i="26"/>
  <c r="R69" i="26"/>
  <c r="N69" i="26"/>
  <c r="D69" i="26" a="1"/>
  <c r="D69" i="26" s="1"/>
  <c r="B69" i="26" a="1"/>
  <c r="B69" i="26" s="1"/>
  <c r="W68" i="26"/>
  <c r="S68" i="26"/>
  <c r="O68" i="26"/>
  <c r="J68" i="26" a="1"/>
  <c r="J68" i="26" s="1"/>
  <c r="X67" i="26"/>
  <c r="T67" i="26"/>
  <c r="P67" i="26"/>
  <c r="E67" i="26"/>
  <c r="G67" i="26" s="1"/>
  <c r="C67" i="26" a="1"/>
  <c r="C67" i="26" s="1"/>
  <c r="Y66" i="26"/>
  <c r="U66" i="26"/>
  <c r="Q66" i="26"/>
  <c r="M66" i="26"/>
  <c r="F66" i="26"/>
  <c r="V65" i="26"/>
  <c r="R65" i="26"/>
  <c r="N65" i="26"/>
  <c r="D65" i="26" a="1"/>
  <c r="D65" i="26" s="1"/>
  <c r="B65" i="26" a="1"/>
  <c r="B65" i="26" s="1"/>
  <c r="V129" i="26"/>
  <c r="W128" i="26"/>
  <c r="J128" i="26" a="1"/>
  <c r="J128" i="26" s="1"/>
  <c r="X127" i="26"/>
  <c r="Y126" i="26"/>
  <c r="B125" i="26" a="1"/>
  <c r="B125" i="26" s="1"/>
  <c r="C123" i="26" a="1"/>
  <c r="C123" i="26" s="1"/>
  <c r="M122" i="26"/>
  <c r="N121" i="26"/>
  <c r="D121" i="26" a="1"/>
  <c r="D121" i="26" s="1"/>
  <c r="O120" i="26"/>
  <c r="P119" i="26"/>
  <c r="E119" i="26"/>
  <c r="Q118" i="26"/>
  <c r="F118" i="26"/>
  <c r="H118" i="26" s="1" a="1"/>
  <c r="H118" i="26" s="1"/>
  <c r="R117" i="26"/>
  <c r="S116" i="26"/>
  <c r="H116" i="26" a="1"/>
  <c r="H116" i="26" s="1"/>
  <c r="T115" i="26"/>
  <c r="U114" i="26"/>
  <c r="V113" i="26"/>
  <c r="W112" i="26"/>
  <c r="J112" i="26" a="1"/>
  <c r="J112" i="26" s="1"/>
  <c r="X111" i="26"/>
  <c r="P111" i="26"/>
  <c r="E111" i="26"/>
  <c r="G111" i="26" s="1"/>
  <c r="Y110" i="26"/>
  <c r="Q110" i="26"/>
  <c r="F110" i="26"/>
  <c r="R109" i="26"/>
  <c r="B109" i="26" a="1"/>
  <c r="B109" i="26" s="1"/>
  <c r="S108" i="26"/>
  <c r="H108" i="26" a="1"/>
  <c r="H108" i="26" s="1"/>
  <c r="T107" i="26"/>
  <c r="C107" i="26" a="1"/>
  <c r="C107" i="26" s="1"/>
  <c r="U106" i="26"/>
  <c r="M106" i="26"/>
  <c r="W105" i="26"/>
  <c r="R105" i="26"/>
  <c r="M105" i="26"/>
  <c r="J105" i="26" a="1"/>
  <c r="J105" i="26" s="1"/>
  <c r="X104" i="26"/>
  <c r="S104" i="26"/>
  <c r="N104" i="26"/>
  <c r="D104" i="26" a="1"/>
  <c r="D104" i="26" s="1"/>
  <c r="Y103" i="26"/>
  <c r="T103" i="26"/>
  <c r="O103" i="26"/>
  <c r="U102" i="26"/>
  <c r="P102" i="26"/>
  <c r="E102" i="26"/>
  <c r="B102" i="26" a="1"/>
  <c r="B102" i="26" s="1"/>
  <c r="V101" i="26"/>
  <c r="Q101" i="26"/>
  <c r="F101" i="26"/>
  <c r="W100" i="26"/>
  <c r="R100" i="26"/>
  <c r="J100" i="26" a="1"/>
  <c r="J100" i="26" s="1"/>
  <c r="C100" i="26" a="1"/>
  <c r="C100" i="26" s="1"/>
  <c r="X99" i="26"/>
  <c r="S99" i="26"/>
  <c r="M99" i="26"/>
  <c r="Y98" i="26"/>
  <c r="T98" i="26"/>
  <c r="P98" i="26"/>
  <c r="E98" i="26"/>
  <c r="C98" i="26" a="1"/>
  <c r="C98" i="26" s="1"/>
  <c r="Y97" i="26"/>
  <c r="U97" i="26"/>
  <c r="Q97" i="26"/>
  <c r="M97" i="26"/>
  <c r="F97" i="26"/>
  <c r="H97" i="26" s="1" a="1"/>
  <c r="H97" i="26" s="1"/>
  <c r="V96" i="26"/>
  <c r="R96" i="26"/>
  <c r="N96" i="26"/>
  <c r="D96" i="26" a="1"/>
  <c r="D96" i="26" s="1"/>
  <c r="B96" i="26" a="1"/>
  <c r="B96" i="26" s="1"/>
  <c r="W95" i="26"/>
  <c r="S95" i="26"/>
  <c r="O95" i="26"/>
  <c r="J95" i="26" a="1"/>
  <c r="J95" i="26" s="1"/>
  <c r="H95" i="26" a="1"/>
  <c r="H95" i="26" s="1"/>
  <c r="X94" i="26"/>
  <c r="T94" i="26"/>
  <c r="P94" i="26"/>
  <c r="E94" i="26"/>
  <c r="C94" i="26" a="1"/>
  <c r="C94" i="26" s="1"/>
  <c r="Y93" i="26"/>
  <c r="U93" i="26"/>
  <c r="Q93" i="26"/>
  <c r="M93" i="26"/>
  <c r="F93" i="26"/>
  <c r="H93" i="26" s="1" a="1"/>
  <c r="H93" i="26" s="1"/>
  <c r="V92" i="26"/>
  <c r="R92" i="26"/>
  <c r="N92" i="26"/>
  <c r="D92" i="26" a="1"/>
  <c r="D92" i="26" s="1"/>
  <c r="B92" i="26" a="1"/>
  <c r="B92" i="26" s="1"/>
  <c r="W91" i="26"/>
  <c r="S91" i="26"/>
  <c r="O91" i="26"/>
  <c r="J91" i="26" a="1"/>
  <c r="J91" i="26" s="1"/>
  <c r="X90" i="26"/>
  <c r="T90" i="26"/>
  <c r="P90" i="26"/>
  <c r="E90" i="26"/>
  <c r="C90" i="26" a="1"/>
  <c r="C90" i="26" s="1"/>
  <c r="Y89" i="26"/>
  <c r="U89" i="26"/>
  <c r="Q89" i="26"/>
  <c r="M89" i="26"/>
  <c r="F89" i="26"/>
  <c r="V88" i="26"/>
  <c r="R88" i="26"/>
  <c r="N88" i="26"/>
  <c r="D88" i="26" a="1"/>
  <c r="D88" i="26" s="1"/>
  <c r="B88" i="26" a="1"/>
  <c r="B88" i="26" s="1"/>
  <c r="W87" i="26"/>
  <c r="S87" i="26"/>
  <c r="O87" i="26"/>
  <c r="J87" i="26" a="1"/>
  <c r="J87" i="26" s="1"/>
  <c r="H87" i="26" a="1"/>
  <c r="H87" i="26" s="1"/>
  <c r="X86" i="26"/>
  <c r="T86" i="26"/>
  <c r="P86" i="26"/>
  <c r="E86" i="26"/>
  <c r="C86" i="26" a="1"/>
  <c r="C86" i="26" s="1"/>
  <c r="Y85" i="26"/>
  <c r="U85" i="26"/>
  <c r="Q85" i="26"/>
  <c r="M85" i="26"/>
  <c r="F85" i="26"/>
  <c r="V84" i="26"/>
  <c r="R84" i="26"/>
  <c r="N84" i="26"/>
  <c r="D84" i="26" a="1"/>
  <c r="D84" i="26" s="1"/>
  <c r="B84" i="26" a="1"/>
  <c r="B84" i="26" s="1"/>
  <c r="W83" i="26"/>
  <c r="S83" i="26"/>
  <c r="O83" i="26"/>
  <c r="J83" i="26" a="1"/>
  <c r="J83" i="26" s="1"/>
  <c r="H83" i="26" a="1"/>
  <c r="H83" i="26" s="1"/>
  <c r="X82" i="26"/>
  <c r="T82" i="26"/>
  <c r="P82" i="26"/>
  <c r="E82" i="26"/>
  <c r="G82" i="26" s="1"/>
  <c r="C82" i="26" a="1"/>
  <c r="C82" i="26" s="1"/>
  <c r="Y81" i="26"/>
  <c r="U81" i="26"/>
  <c r="Q81" i="26"/>
  <c r="M81" i="26"/>
  <c r="F81" i="26"/>
  <c r="H81" i="26" s="1" a="1"/>
  <c r="H81" i="26" s="1"/>
  <c r="V80" i="26"/>
  <c r="R80" i="26"/>
  <c r="N80" i="26"/>
  <c r="D80" i="26" a="1"/>
  <c r="D80" i="26" s="1"/>
  <c r="B80" i="26" a="1"/>
  <c r="B80" i="26" s="1"/>
  <c r="W79" i="26"/>
  <c r="S79" i="26"/>
  <c r="O79" i="26"/>
  <c r="J79" i="26" a="1"/>
  <c r="J79" i="26" s="1"/>
  <c r="H79" i="26" a="1"/>
  <c r="H79" i="26" s="1"/>
  <c r="X78" i="26"/>
  <c r="T78" i="26"/>
  <c r="P78" i="26"/>
  <c r="E78" i="26"/>
  <c r="C78" i="26" a="1"/>
  <c r="C78" i="26" s="1"/>
  <c r="Y77" i="26"/>
  <c r="U77" i="26"/>
  <c r="Q77" i="26"/>
  <c r="M77" i="26"/>
  <c r="F77" i="26"/>
  <c r="H77" i="26" s="1" a="1"/>
  <c r="H77" i="26" s="1"/>
  <c r="V76" i="26"/>
  <c r="R76" i="26"/>
  <c r="N76" i="26"/>
  <c r="D76" i="26" a="1"/>
  <c r="D76" i="26" s="1"/>
  <c r="B76" i="26" a="1"/>
  <c r="B76" i="26" s="1"/>
  <c r="W75" i="26"/>
  <c r="S75" i="26"/>
  <c r="O75" i="26"/>
  <c r="J75" i="26" a="1"/>
  <c r="J75" i="26" s="1"/>
  <c r="X74" i="26"/>
  <c r="T74" i="26"/>
  <c r="P74" i="26"/>
  <c r="E74" i="26"/>
  <c r="C74" i="26" a="1"/>
  <c r="C74" i="26" s="1"/>
  <c r="Y73" i="26"/>
  <c r="U73" i="26"/>
  <c r="Q73" i="26"/>
  <c r="M73" i="26"/>
  <c r="F73" i="26"/>
  <c r="V72" i="26"/>
  <c r="R72" i="26"/>
  <c r="N72" i="26"/>
  <c r="D72" i="26" a="1"/>
  <c r="D72" i="26" s="1"/>
  <c r="B72" i="26" a="1"/>
  <c r="B72" i="26" s="1"/>
  <c r="W71" i="26"/>
  <c r="S71" i="26"/>
  <c r="O71" i="26"/>
  <c r="J71" i="26" a="1"/>
  <c r="J71" i="26" s="1"/>
  <c r="H71" i="26" a="1"/>
  <c r="H71" i="26" s="1"/>
  <c r="X70" i="26"/>
  <c r="T70" i="26"/>
  <c r="P70" i="26"/>
  <c r="E70" i="26"/>
  <c r="C70" i="26" a="1"/>
  <c r="C70" i="26" s="1"/>
  <c r="Y69" i="26"/>
  <c r="U69" i="26"/>
  <c r="Q69" i="26"/>
  <c r="M69" i="26"/>
  <c r="F69" i="26"/>
  <c r="H69" i="26" s="1" a="1"/>
  <c r="H69" i="26" s="1"/>
  <c r="V68" i="26"/>
  <c r="R68" i="26"/>
  <c r="N68" i="26"/>
  <c r="D68" i="26" a="1"/>
  <c r="D68" i="26" s="1"/>
  <c r="B68" i="26" a="1"/>
  <c r="B68" i="26" s="1"/>
  <c r="W67" i="26"/>
  <c r="S67" i="26"/>
  <c r="O67" i="26"/>
  <c r="J67" i="26" a="1"/>
  <c r="J67" i="26" s="1"/>
  <c r="F130" i="26"/>
  <c r="H130" i="26" s="1" a="1"/>
  <c r="H130" i="26" s="1"/>
  <c r="R129" i="26"/>
  <c r="S128" i="26"/>
  <c r="H128" i="26" a="1"/>
  <c r="H128" i="26" s="1"/>
  <c r="T127" i="26"/>
  <c r="U126" i="26"/>
  <c r="V125" i="26"/>
  <c r="W124" i="26"/>
  <c r="J124" i="26" a="1"/>
  <c r="J124" i="26" s="1"/>
  <c r="X123" i="26"/>
  <c r="Y122" i="26"/>
  <c r="B121" i="26" a="1"/>
  <c r="B121" i="26" s="1"/>
  <c r="C119" i="26" a="1"/>
  <c r="C119" i="26" s="1"/>
  <c r="M118" i="26"/>
  <c r="N117" i="26"/>
  <c r="D117" i="26" a="1"/>
  <c r="D117" i="26" s="1"/>
  <c r="O116" i="26"/>
  <c r="P115" i="26"/>
  <c r="E115" i="26"/>
  <c r="G115" i="26" s="1"/>
  <c r="Q114" i="26"/>
  <c r="F114" i="26"/>
  <c r="H114" i="26" s="1" a="1"/>
  <c r="H114" i="26" s="1"/>
  <c r="R113" i="26"/>
  <c r="S112" i="26"/>
  <c r="H112" i="26" a="1"/>
  <c r="H112" i="26" s="1"/>
  <c r="W111" i="26"/>
  <c r="O111" i="26"/>
  <c r="J111" i="26" a="1"/>
  <c r="J111" i="26" s="1"/>
  <c r="X110" i="26"/>
  <c r="P110" i="26"/>
  <c r="E110" i="26"/>
  <c r="Y109" i="26"/>
  <c r="Q109" i="26"/>
  <c r="F109" i="26"/>
  <c r="H109" i="26" s="1" a="1"/>
  <c r="H109" i="26" s="1"/>
  <c r="R108" i="26"/>
  <c r="Z108" i="26" s="1"/>
  <c r="B108" i="26" a="1"/>
  <c r="B108" i="26" s="1"/>
  <c r="S107" i="26"/>
  <c r="H107" i="26" a="1"/>
  <c r="H107" i="26" s="1"/>
  <c r="T106" i="26"/>
  <c r="C106" i="26" a="1"/>
  <c r="C106" i="26" s="1"/>
  <c r="V105" i="26"/>
  <c r="Q105" i="26"/>
  <c r="F105" i="26"/>
  <c r="I105" i="26" s="1" a="1"/>
  <c r="I105" i="26" s="1"/>
  <c r="W104" i="26"/>
  <c r="R104" i="26"/>
  <c r="J104" i="26" a="1"/>
  <c r="J104" i="26" s="1"/>
  <c r="C104" i="26" a="1"/>
  <c r="C104" i="26" s="1"/>
  <c r="X103" i="26"/>
  <c r="S103" i="26"/>
  <c r="M103" i="26"/>
  <c r="Y102" i="26"/>
  <c r="T102" i="26"/>
  <c r="N102" i="26"/>
  <c r="D102" i="26" a="1"/>
  <c r="D102" i="26" s="1"/>
  <c r="U101" i="26"/>
  <c r="O101" i="26"/>
  <c r="B101" i="26" a="1"/>
  <c r="B101" i="26" s="1"/>
  <c r="V100" i="26"/>
  <c r="P100" i="26"/>
  <c r="E100" i="26"/>
  <c r="G100" i="26" s="1"/>
  <c r="W99" i="26"/>
  <c r="Q99" i="26"/>
  <c r="J99" i="26" a="1"/>
  <c r="J99" i="26" s="1"/>
  <c r="F99" i="26"/>
  <c r="H99" i="26" s="1" a="1"/>
  <c r="H99" i="26" s="1"/>
  <c r="C99" i="26" a="1"/>
  <c r="C99" i="26" s="1"/>
  <c r="X98" i="26"/>
  <c r="S98" i="26"/>
  <c r="O98" i="26"/>
  <c r="J98" i="26" a="1"/>
  <c r="J98" i="26" s="1"/>
  <c r="X97" i="26"/>
  <c r="T97" i="26"/>
  <c r="P97" i="26"/>
  <c r="E97" i="26"/>
  <c r="C97" i="26" a="1"/>
  <c r="C97" i="26" s="1"/>
  <c r="Y96" i="26"/>
  <c r="U96" i="26"/>
  <c r="Q96" i="26"/>
  <c r="M96" i="26"/>
  <c r="F96" i="26"/>
  <c r="H96" i="26" s="1" a="1"/>
  <c r="H96" i="26" s="1"/>
  <c r="V95" i="26"/>
  <c r="R95" i="26"/>
  <c r="N95" i="26"/>
  <c r="D95" i="26" a="1"/>
  <c r="D95" i="26" s="1"/>
  <c r="B95" i="26" a="1"/>
  <c r="B95" i="26" s="1"/>
  <c r="W94" i="26"/>
  <c r="S94" i="26"/>
  <c r="O94" i="26"/>
  <c r="J94" i="26" a="1"/>
  <c r="J94" i="26" s="1"/>
  <c r="X93" i="26"/>
  <c r="T93" i="26"/>
  <c r="P93" i="26"/>
  <c r="E93" i="26"/>
  <c r="C93" i="26" a="1"/>
  <c r="C93" i="26" s="1"/>
  <c r="Y92" i="26"/>
  <c r="U92" i="26"/>
  <c r="Q92" i="26"/>
  <c r="M92" i="26"/>
  <c r="F92" i="26"/>
  <c r="H92" i="26" s="1" a="1"/>
  <c r="H92" i="26" s="1"/>
  <c r="V91" i="26"/>
  <c r="R91" i="26"/>
  <c r="N91" i="26"/>
  <c r="D91" i="26" a="1"/>
  <c r="D91" i="26" s="1"/>
  <c r="B91" i="26" a="1"/>
  <c r="B91" i="26" s="1"/>
  <c r="W90" i="26"/>
  <c r="S90" i="26"/>
  <c r="O90" i="26"/>
  <c r="J90" i="26" a="1"/>
  <c r="J90" i="26" s="1"/>
  <c r="H90" i="26" a="1"/>
  <c r="H90" i="26" s="1"/>
  <c r="X89" i="26"/>
  <c r="T89" i="26"/>
  <c r="P89" i="26"/>
  <c r="E89" i="26"/>
  <c r="G89" i="26" s="1"/>
  <c r="C89" i="26" a="1"/>
  <c r="C89" i="26" s="1"/>
  <c r="Y88" i="26"/>
  <c r="U88" i="26"/>
  <c r="Q88" i="26"/>
  <c r="M88" i="26"/>
  <c r="F88" i="26"/>
  <c r="H88" i="26" s="1" a="1"/>
  <c r="H88" i="26" s="1"/>
  <c r="V87" i="26"/>
  <c r="R87" i="26"/>
  <c r="N87" i="26"/>
  <c r="D87" i="26" a="1"/>
  <c r="D87" i="26" s="1"/>
  <c r="B87" i="26" a="1"/>
  <c r="B87" i="26" s="1"/>
  <c r="W86" i="26"/>
  <c r="S86" i="26"/>
  <c r="O86" i="26"/>
  <c r="J86" i="26" a="1"/>
  <c r="J86" i="26" s="1"/>
  <c r="H86" i="26" a="1"/>
  <c r="H86" i="26" s="1"/>
  <c r="X85" i="26"/>
  <c r="T85" i="26"/>
  <c r="P85" i="26"/>
  <c r="E85" i="26"/>
  <c r="C85" i="26" a="1"/>
  <c r="C85" i="26" s="1"/>
  <c r="Y84" i="26"/>
  <c r="U84" i="26"/>
  <c r="Q84" i="26"/>
  <c r="M84" i="26"/>
  <c r="F84" i="26"/>
  <c r="H84" i="26" s="1" a="1"/>
  <c r="H84" i="26" s="1"/>
  <c r="V83" i="26"/>
  <c r="R83" i="26"/>
  <c r="N83" i="26"/>
  <c r="D83" i="26" a="1"/>
  <c r="D83" i="26" s="1"/>
  <c r="B83" i="26" a="1"/>
  <c r="B83" i="26" s="1"/>
  <c r="W82" i="26"/>
  <c r="S82" i="26"/>
  <c r="O82" i="26"/>
  <c r="J82" i="26" a="1"/>
  <c r="J82" i="26" s="1"/>
  <c r="H82" i="26" a="1"/>
  <c r="H82" i="26" s="1"/>
  <c r="X81" i="26"/>
  <c r="T81" i="26"/>
  <c r="P81" i="26"/>
  <c r="E81" i="26"/>
  <c r="C81" i="26" a="1"/>
  <c r="C81" i="26" s="1"/>
  <c r="Y80" i="26"/>
  <c r="U80" i="26"/>
  <c r="Q80" i="26"/>
  <c r="M80" i="26"/>
  <c r="F80" i="26"/>
  <c r="H80" i="26" s="1" a="1"/>
  <c r="H80" i="26" s="1"/>
  <c r="V79" i="26"/>
  <c r="R79" i="26"/>
  <c r="N79" i="26"/>
  <c r="D79" i="26" a="1"/>
  <c r="D79" i="26" s="1"/>
  <c r="B79" i="26" a="1"/>
  <c r="B79" i="26" s="1"/>
  <c r="W78" i="26"/>
  <c r="S78" i="26"/>
  <c r="O78" i="26"/>
  <c r="J78" i="26" a="1"/>
  <c r="J78" i="26" s="1"/>
  <c r="X77" i="26"/>
  <c r="T77" i="26"/>
  <c r="P77" i="26"/>
  <c r="E77" i="26"/>
  <c r="C77" i="26" a="1"/>
  <c r="C77" i="26" s="1"/>
  <c r="Y76" i="26"/>
  <c r="U76" i="26"/>
  <c r="Q76" i="26"/>
  <c r="M76" i="26"/>
  <c r="F76" i="26"/>
  <c r="H76" i="26" s="1" a="1"/>
  <c r="H76" i="26" s="1"/>
  <c r="V75" i="26"/>
  <c r="R75" i="26"/>
  <c r="N75" i="26"/>
  <c r="D75" i="26" a="1"/>
  <c r="D75" i="26" s="1"/>
  <c r="B75" i="26" a="1"/>
  <c r="B75" i="26" s="1"/>
  <c r="W74" i="26"/>
  <c r="S74" i="26"/>
  <c r="O74" i="26"/>
  <c r="J74" i="26" a="1"/>
  <c r="J74" i="26" s="1"/>
  <c r="X73" i="26"/>
  <c r="T73" i="26"/>
  <c r="P73" i="26"/>
  <c r="E73" i="26"/>
  <c r="C73" i="26" a="1"/>
  <c r="C73" i="26" s="1"/>
  <c r="Y72" i="26"/>
  <c r="U72" i="26"/>
  <c r="Q72" i="26"/>
  <c r="M72" i="26"/>
  <c r="F72" i="26"/>
  <c r="H72" i="26" s="1" a="1"/>
  <c r="H72" i="26" s="1"/>
  <c r="V71" i="26"/>
  <c r="R71" i="26"/>
  <c r="N71" i="26"/>
  <c r="D71" i="26" a="1"/>
  <c r="D71" i="26" s="1"/>
  <c r="B71" i="26" a="1"/>
  <c r="B71" i="26" s="1"/>
  <c r="W70" i="26"/>
  <c r="S70" i="26"/>
  <c r="O70" i="26"/>
  <c r="N129" i="26"/>
  <c r="D129" i="26" a="1"/>
  <c r="D129" i="26" s="1"/>
  <c r="O128" i="26"/>
  <c r="P127" i="26"/>
  <c r="E127" i="26"/>
  <c r="G127" i="26" s="1"/>
  <c r="Q126" i="26"/>
  <c r="F126" i="26"/>
  <c r="R125" i="26"/>
  <c r="S124" i="26"/>
  <c r="H124" i="26" a="1"/>
  <c r="H124" i="26" s="1"/>
  <c r="T123" i="26"/>
  <c r="U122" i="26"/>
  <c r="I122" i="26" a="1"/>
  <c r="I122" i="26" s="1"/>
  <c r="V121" i="26"/>
  <c r="W120" i="26"/>
  <c r="J120" i="26" a="1"/>
  <c r="J120" i="26" s="1"/>
  <c r="X119" i="26"/>
  <c r="Y118" i="26"/>
  <c r="B117" i="26" a="1"/>
  <c r="B117" i="26" s="1"/>
  <c r="C115" i="26" a="1"/>
  <c r="C115" i="26" s="1"/>
  <c r="M114" i="26"/>
  <c r="N113" i="26"/>
  <c r="D113" i="26" a="1"/>
  <c r="D113" i="26" s="1"/>
  <c r="O112" i="26"/>
  <c r="T111" i="26"/>
  <c r="C111" i="26" a="1"/>
  <c r="C111" i="26" s="1"/>
  <c r="U110" i="26"/>
  <c r="M110" i="26"/>
  <c r="V109" i="26"/>
  <c r="N109" i="26"/>
  <c r="D109" i="26" a="1"/>
  <c r="D109" i="26" s="1"/>
  <c r="W108" i="26"/>
  <c r="O108" i="26"/>
  <c r="J108" i="26" a="1"/>
  <c r="J108" i="26" s="1"/>
  <c r="X107" i="26"/>
  <c r="P107" i="26"/>
  <c r="E107" i="26"/>
  <c r="G107" i="26" s="1"/>
  <c r="Y106" i="26"/>
  <c r="Q106" i="26"/>
  <c r="F106" i="26"/>
  <c r="U105" i="26"/>
  <c r="O105" i="26"/>
  <c r="B105" i="26" a="1"/>
  <c r="B105" i="26" s="1"/>
  <c r="V104" i="26"/>
  <c r="P104" i="26"/>
  <c r="E104" i="26"/>
  <c r="G104" i="26" s="1"/>
  <c r="W103" i="26"/>
  <c r="Q103" i="26"/>
  <c r="J103" i="26" a="1"/>
  <c r="J103" i="26" s="1"/>
  <c r="F103" i="26"/>
  <c r="I103" i="26" s="1" a="1"/>
  <c r="I103" i="26" s="1"/>
  <c r="C103" i="26" a="1"/>
  <c r="C103" i="26" s="1"/>
  <c r="X102" i="26"/>
  <c r="R102" i="26"/>
  <c r="M102" i="26"/>
  <c r="Y101" i="26"/>
  <c r="S101" i="26"/>
  <c r="N101" i="26"/>
  <c r="D101" i="26" a="1"/>
  <c r="D101" i="26" s="1"/>
  <c r="T100" i="26"/>
  <c r="O100" i="26"/>
  <c r="B100" i="26" a="1"/>
  <c r="B100" i="26" s="1"/>
  <c r="U99" i="26"/>
  <c r="P99" i="26"/>
  <c r="E99" i="26"/>
  <c r="V98" i="26"/>
  <c r="R98" i="26"/>
  <c r="N98" i="26"/>
  <c r="D98" i="26" a="1"/>
  <c r="D98" i="26" s="1"/>
  <c r="B98" i="26" a="1"/>
  <c r="B98" i="26" s="1"/>
  <c r="H3" i="26" a="1"/>
  <c r="H3" i="26" s="1"/>
  <c r="J3" i="26" a="1"/>
  <c r="J3" i="26" s="1"/>
  <c r="O3" i="26"/>
  <c r="S3" i="26"/>
  <c r="W3" i="26"/>
  <c r="A2" i="26"/>
  <c r="C3" i="26" a="1"/>
  <c r="C3" i="26" s="1"/>
  <c r="E3" i="26"/>
  <c r="G3" i="26" s="1"/>
  <c r="P3" i="26"/>
  <c r="T3" i="26"/>
  <c r="X3" i="26"/>
  <c r="H4" i="26" a="1"/>
  <c r="H4" i="26" s="1"/>
  <c r="J4" i="26" a="1"/>
  <c r="J4" i="26" s="1"/>
  <c r="O4" i="26"/>
  <c r="S4" i="26"/>
  <c r="W4" i="26"/>
  <c r="B5" i="26" a="1"/>
  <c r="B5" i="26" s="1"/>
  <c r="D5" i="26" a="1"/>
  <c r="D5" i="26" s="1"/>
  <c r="N5" i="26"/>
  <c r="R5" i="26"/>
  <c r="V5" i="26"/>
  <c r="F6" i="26"/>
  <c r="M6" i="26"/>
  <c r="Q6" i="26"/>
  <c r="U6" i="26"/>
  <c r="Y6" i="26"/>
  <c r="Z6" i="26" s="1"/>
  <c r="C7" i="26" a="1"/>
  <c r="C7" i="26" s="1"/>
  <c r="E7" i="26"/>
  <c r="P7" i="26"/>
  <c r="T7" i="26"/>
  <c r="X7" i="26"/>
  <c r="H8" i="26" a="1"/>
  <c r="H8" i="26" s="1"/>
  <c r="J8" i="26" a="1"/>
  <c r="J8" i="26" s="1"/>
  <c r="O8" i="26"/>
  <c r="S8" i="26"/>
  <c r="W8" i="26"/>
  <c r="B9" i="26" a="1"/>
  <c r="B9" i="26" s="1"/>
  <c r="D9" i="26" a="1"/>
  <c r="D9" i="26" s="1"/>
  <c r="N9" i="26"/>
  <c r="R9" i="26"/>
  <c r="V9" i="26"/>
  <c r="F10" i="26"/>
  <c r="H10" i="26" s="1" a="1"/>
  <c r="H10" i="26" s="1"/>
  <c r="M10" i="26"/>
  <c r="Q10" i="26"/>
  <c r="U10" i="26"/>
  <c r="Y10" i="26"/>
  <c r="C11" i="26" a="1"/>
  <c r="C11" i="26" s="1"/>
  <c r="E11" i="26"/>
  <c r="G11" i="26" s="1"/>
  <c r="P11" i="26"/>
  <c r="T11" i="26"/>
  <c r="X11" i="26"/>
  <c r="H12" i="26" a="1"/>
  <c r="H12" i="26" s="1"/>
  <c r="J12" i="26" a="1"/>
  <c r="J12" i="26" s="1"/>
  <c r="O12" i="26"/>
  <c r="S12" i="26"/>
  <c r="W12" i="26"/>
  <c r="B13" i="26" a="1"/>
  <c r="B13" i="26" s="1"/>
  <c r="D13" i="26" a="1"/>
  <c r="D13" i="26" s="1"/>
  <c r="N13" i="26"/>
  <c r="R13" i="26"/>
  <c r="V13" i="26"/>
  <c r="F14" i="26"/>
  <c r="H14" i="26" s="1" a="1"/>
  <c r="H14" i="26" s="1"/>
  <c r="M14" i="26"/>
  <c r="Q14" i="26"/>
  <c r="U14" i="26"/>
  <c r="Y14" i="26"/>
  <c r="C15" i="26" a="1"/>
  <c r="C15" i="26" s="1"/>
  <c r="E15" i="26"/>
  <c r="G15" i="26" s="1"/>
  <c r="P15" i="26"/>
  <c r="T15" i="26"/>
  <c r="X15" i="26"/>
  <c r="H16" i="26" a="1"/>
  <c r="H16" i="26" s="1"/>
  <c r="J16" i="26" a="1"/>
  <c r="J16" i="26" s="1"/>
  <c r="O16" i="26"/>
  <c r="S16" i="26"/>
  <c r="W16" i="26"/>
  <c r="B17" i="26" a="1"/>
  <c r="B17" i="26" s="1"/>
  <c r="D17" i="26" a="1"/>
  <c r="D17" i="26" s="1"/>
  <c r="N17" i="26"/>
  <c r="R17" i="26"/>
  <c r="V17" i="26"/>
  <c r="F18" i="26"/>
  <c r="M18" i="26"/>
  <c r="Q18" i="26"/>
  <c r="U18" i="26"/>
  <c r="Y18" i="26"/>
  <c r="C19" i="26" a="1"/>
  <c r="C19" i="26" s="1"/>
  <c r="E19" i="26"/>
  <c r="G19" i="26" s="1"/>
  <c r="P19" i="26"/>
  <c r="T19" i="26"/>
  <c r="X19" i="26"/>
  <c r="H20" i="26" a="1"/>
  <c r="H20" i="26" s="1"/>
  <c r="J20" i="26" a="1"/>
  <c r="J20" i="26" s="1"/>
  <c r="O20" i="26"/>
  <c r="S20" i="26"/>
  <c r="W20" i="26"/>
  <c r="B21" i="26" a="1"/>
  <c r="B21" i="26" s="1"/>
  <c r="D21" i="26" a="1"/>
  <c r="D21" i="26" s="1"/>
  <c r="N21" i="26"/>
  <c r="R21" i="26"/>
  <c r="V21" i="26"/>
  <c r="F22" i="26"/>
  <c r="M22" i="26"/>
  <c r="Q22" i="26"/>
  <c r="U22" i="26"/>
  <c r="Y22" i="26"/>
  <c r="C23" i="26" a="1"/>
  <c r="C23" i="26" s="1"/>
  <c r="E23" i="26"/>
  <c r="G23" i="26" s="1"/>
  <c r="P23" i="26"/>
  <c r="T23" i="26"/>
  <c r="X23" i="26"/>
  <c r="H24" i="26" a="1"/>
  <c r="H24" i="26" s="1"/>
  <c r="J24" i="26" a="1"/>
  <c r="J24" i="26" s="1"/>
  <c r="O24" i="26"/>
  <c r="S24" i="26"/>
  <c r="W24" i="26"/>
  <c r="B25" i="26" a="1"/>
  <c r="B25" i="26" s="1"/>
  <c r="D25" i="26" a="1"/>
  <c r="D25" i="26" s="1"/>
  <c r="N25" i="26"/>
  <c r="R25" i="26"/>
  <c r="V25" i="26"/>
  <c r="F26" i="26"/>
  <c r="H26" i="26" s="1" a="1"/>
  <c r="H26" i="26" s="1"/>
  <c r="M26" i="26"/>
  <c r="Q26" i="26"/>
  <c r="U26" i="26"/>
  <c r="Y26" i="26"/>
  <c r="C27" i="26" a="1"/>
  <c r="C27" i="26" s="1"/>
  <c r="E27" i="26"/>
  <c r="G27" i="26" s="1"/>
  <c r="P27" i="26"/>
  <c r="T27" i="26"/>
  <c r="X27" i="26"/>
  <c r="H28" i="26" a="1"/>
  <c r="H28" i="26" s="1"/>
  <c r="J28" i="26" a="1"/>
  <c r="J28" i="26" s="1"/>
  <c r="O28" i="26"/>
  <c r="S28" i="26"/>
  <c r="W28" i="26"/>
  <c r="B29" i="26" a="1"/>
  <c r="B29" i="26" s="1"/>
  <c r="D29" i="26" a="1"/>
  <c r="D29" i="26" s="1"/>
  <c r="N29" i="26"/>
  <c r="R29" i="26"/>
  <c r="V29" i="26"/>
  <c r="F30" i="26"/>
  <c r="H30" i="26" s="1" a="1"/>
  <c r="H30" i="26" s="1"/>
  <c r="M30" i="26"/>
  <c r="Q30" i="26"/>
  <c r="U30" i="26"/>
  <c r="Y30" i="26"/>
  <c r="C31" i="26" a="1"/>
  <c r="C31" i="26" s="1"/>
  <c r="E31" i="26"/>
  <c r="G31" i="26" s="1"/>
  <c r="P31" i="26"/>
  <c r="T31" i="26"/>
  <c r="X31" i="26"/>
  <c r="H32" i="26" a="1"/>
  <c r="H32" i="26" s="1"/>
  <c r="J32" i="26" a="1"/>
  <c r="J32" i="26" s="1"/>
  <c r="O32" i="26"/>
  <c r="S32" i="26"/>
  <c r="W32" i="26"/>
  <c r="B33" i="26" a="1"/>
  <c r="B33" i="26" s="1"/>
  <c r="D33" i="26" a="1"/>
  <c r="D33" i="26" s="1"/>
  <c r="N33" i="26"/>
  <c r="R33" i="26"/>
  <c r="V33" i="26"/>
  <c r="F34" i="26"/>
  <c r="M34" i="26"/>
  <c r="Q34" i="26"/>
  <c r="U34" i="26"/>
  <c r="Y34" i="26"/>
  <c r="C35" i="26" a="1"/>
  <c r="C35" i="26" s="1"/>
  <c r="E35" i="26"/>
  <c r="G35" i="26" s="1"/>
  <c r="P35" i="26"/>
  <c r="T35" i="26"/>
  <c r="X35" i="26"/>
  <c r="H36" i="26" a="1"/>
  <c r="H36" i="26" s="1"/>
  <c r="J36" i="26" a="1"/>
  <c r="J36" i="26" s="1"/>
  <c r="O36" i="26"/>
  <c r="S36" i="26"/>
  <c r="W36" i="26"/>
  <c r="B37" i="26" a="1"/>
  <c r="B37" i="26" s="1"/>
  <c r="D37" i="26" a="1"/>
  <c r="D37" i="26" s="1"/>
  <c r="N37" i="26"/>
  <c r="R37" i="26"/>
  <c r="V37" i="26"/>
  <c r="F38" i="26"/>
  <c r="M38" i="26"/>
  <c r="Q38" i="26"/>
  <c r="U38" i="26"/>
  <c r="Y38" i="26"/>
  <c r="C39" i="26" a="1"/>
  <c r="C39" i="26" s="1"/>
  <c r="E39" i="26"/>
  <c r="G39" i="26" s="1"/>
  <c r="P39" i="26"/>
  <c r="T39" i="26"/>
  <c r="X39" i="26"/>
  <c r="H40" i="26" a="1"/>
  <c r="H40" i="26" s="1"/>
  <c r="J40" i="26" a="1"/>
  <c r="J40" i="26" s="1"/>
  <c r="O40" i="26"/>
  <c r="S40" i="26"/>
  <c r="W40" i="26"/>
  <c r="B41" i="26" a="1"/>
  <c r="B41" i="26" s="1"/>
  <c r="D41" i="26" a="1"/>
  <c r="D41" i="26" s="1"/>
  <c r="N41" i="26"/>
  <c r="R41" i="26"/>
  <c r="V41" i="26"/>
  <c r="F42" i="26"/>
  <c r="H42" i="26" s="1" a="1"/>
  <c r="H42" i="26" s="1"/>
  <c r="M42" i="26"/>
  <c r="Q42" i="26"/>
  <c r="U42" i="26"/>
  <c r="Y42" i="26"/>
  <c r="C43" i="26" a="1"/>
  <c r="C43" i="26" s="1"/>
  <c r="E43" i="26"/>
  <c r="G43" i="26" s="1"/>
  <c r="P43" i="26"/>
  <c r="T43" i="26"/>
  <c r="X43" i="26"/>
  <c r="H44" i="26" a="1"/>
  <c r="H44" i="26" s="1"/>
  <c r="J44" i="26" a="1"/>
  <c r="J44" i="26" s="1"/>
  <c r="O44" i="26"/>
  <c r="S44" i="26"/>
  <c r="W44" i="26"/>
  <c r="B45" i="26" a="1"/>
  <c r="B45" i="26" s="1"/>
  <c r="D45" i="26" a="1"/>
  <c r="D45" i="26" s="1"/>
  <c r="N45" i="26"/>
  <c r="R45" i="26"/>
  <c r="V45" i="26"/>
  <c r="F46" i="26"/>
  <c r="H46" i="26" s="1" a="1"/>
  <c r="H46" i="26" s="1"/>
  <c r="M46" i="26"/>
  <c r="Q46" i="26"/>
  <c r="U46" i="26"/>
  <c r="Y46" i="26"/>
  <c r="C47" i="26" a="1"/>
  <c r="C47" i="26" s="1"/>
  <c r="E47" i="26"/>
  <c r="G47" i="26" s="1"/>
  <c r="P47" i="26"/>
  <c r="T47" i="26"/>
  <c r="X47" i="26"/>
  <c r="H48" i="26" a="1"/>
  <c r="H48" i="26" s="1"/>
  <c r="J48" i="26" a="1"/>
  <c r="J48" i="26" s="1"/>
  <c r="O48" i="26"/>
  <c r="S48" i="26"/>
  <c r="W48" i="26"/>
  <c r="B49" i="26" a="1"/>
  <c r="B49" i="26" s="1"/>
  <c r="D49" i="26" a="1"/>
  <c r="D49" i="26" s="1"/>
  <c r="N49" i="26"/>
  <c r="R49" i="26"/>
  <c r="V49" i="26"/>
  <c r="F50" i="26"/>
  <c r="I50" i="26" a="1"/>
  <c r="I50" i="26" s="1"/>
  <c r="M50" i="26"/>
  <c r="Q50" i="26"/>
  <c r="U50" i="26"/>
  <c r="Y50" i="26"/>
  <c r="C51" i="26" a="1"/>
  <c r="C51" i="26" s="1"/>
  <c r="E51" i="26"/>
  <c r="G51" i="26" s="1"/>
  <c r="P51" i="26"/>
  <c r="T51" i="26"/>
  <c r="X51" i="26"/>
  <c r="H52" i="26" a="1"/>
  <c r="H52" i="26" s="1"/>
  <c r="J52" i="26" a="1"/>
  <c r="J52" i="26" s="1"/>
  <c r="O52" i="26"/>
  <c r="S52" i="26"/>
  <c r="W52" i="26"/>
  <c r="B53" i="26" a="1"/>
  <c r="B53" i="26" s="1"/>
  <c r="D53" i="26" a="1"/>
  <c r="D53" i="26" s="1"/>
  <c r="N53" i="26"/>
  <c r="R53" i="26"/>
  <c r="V53" i="26"/>
  <c r="F54" i="26"/>
  <c r="M54" i="26"/>
  <c r="Q54" i="26"/>
  <c r="U54" i="26"/>
  <c r="Y54" i="26"/>
  <c r="C55" i="26" a="1"/>
  <c r="C55" i="26" s="1"/>
  <c r="E55" i="26"/>
  <c r="G55" i="26" s="1"/>
  <c r="P55" i="26"/>
  <c r="T55" i="26"/>
  <c r="X55" i="26"/>
  <c r="H56" i="26" a="1"/>
  <c r="H56" i="26" s="1"/>
  <c r="J56" i="26" a="1"/>
  <c r="J56" i="26" s="1"/>
  <c r="O56" i="26"/>
  <c r="S56" i="26"/>
  <c r="W56" i="26"/>
  <c r="B57" i="26" a="1"/>
  <c r="B57" i="26" s="1"/>
  <c r="D57" i="26" a="1"/>
  <c r="D57" i="26" s="1"/>
  <c r="N57" i="26"/>
  <c r="R57" i="26"/>
  <c r="V57" i="26"/>
  <c r="F58" i="26"/>
  <c r="H58" i="26" s="1" a="1"/>
  <c r="H58" i="26" s="1"/>
  <c r="M58" i="26"/>
  <c r="Q58" i="26"/>
  <c r="U58" i="26"/>
  <c r="Y58" i="26"/>
  <c r="C59" i="26" a="1"/>
  <c r="C59" i="26" s="1"/>
  <c r="E59" i="26"/>
  <c r="G59" i="26" s="1"/>
  <c r="P59" i="26"/>
  <c r="T59" i="26"/>
  <c r="X59" i="26"/>
  <c r="H60" i="26" a="1"/>
  <c r="H60" i="26" s="1"/>
  <c r="J60" i="26" a="1"/>
  <c r="J60" i="26" s="1"/>
  <c r="O60" i="26"/>
  <c r="S60" i="26"/>
  <c r="W60" i="26"/>
  <c r="B61" i="26" a="1"/>
  <c r="B61" i="26" s="1"/>
  <c r="D61" i="26" a="1"/>
  <c r="D61" i="26" s="1"/>
  <c r="N61" i="26"/>
  <c r="R61" i="26"/>
  <c r="V61" i="26"/>
  <c r="F62" i="26"/>
  <c r="H62" i="26" s="1" a="1"/>
  <c r="H62" i="26" s="1"/>
  <c r="M62" i="26"/>
  <c r="Q62" i="26"/>
  <c r="U62" i="26"/>
  <c r="Y62" i="26"/>
  <c r="C63" i="26" a="1"/>
  <c r="C63" i="26" s="1"/>
  <c r="E63" i="26"/>
  <c r="G63" i="26" s="1"/>
  <c r="P63" i="26"/>
  <c r="T63" i="26"/>
  <c r="X63" i="26"/>
  <c r="H64" i="26" a="1"/>
  <c r="H64" i="26" s="1"/>
  <c r="J64" i="26" a="1"/>
  <c r="J64" i="26" s="1"/>
  <c r="O64" i="26"/>
  <c r="S64" i="26"/>
  <c r="W64" i="26"/>
  <c r="E65" i="26"/>
  <c r="G65" i="26" s="1"/>
  <c r="I65" i="26" a="1"/>
  <c r="I65" i="26" s="1"/>
  <c r="P65" i="26"/>
  <c r="U65" i="26"/>
  <c r="B66" i="26" a="1"/>
  <c r="B66" i="26" s="1"/>
  <c r="O66" i="26"/>
  <c r="T66" i="26"/>
  <c r="D67" i="26" a="1"/>
  <c r="D67" i="26" s="1"/>
  <c r="H67" i="26" a="1"/>
  <c r="H67" i="26" s="1"/>
  <c r="R67" i="26"/>
  <c r="Z67" i="26" s="1"/>
  <c r="F68" i="26"/>
  <c r="I68" i="26" s="1" a="1"/>
  <c r="I68" i="26" s="1"/>
  <c r="Q68" i="26"/>
  <c r="Y68" i="26"/>
  <c r="E69" i="26"/>
  <c r="G69" i="26" s="1"/>
  <c r="P69" i="26"/>
  <c r="X69" i="26"/>
  <c r="J70" i="26" a="1"/>
  <c r="J70" i="26" s="1"/>
  <c r="V70" i="26"/>
  <c r="I71" i="26" a="1"/>
  <c r="I71" i="26" s="1"/>
  <c r="U71" i="26"/>
  <c r="T72" i="26"/>
  <c r="H73" i="26" a="1"/>
  <c r="H73" i="26" s="1"/>
  <c r="S73" i="26"/>
  <c r="R74" i="26"/>
  <c r="Z74" i="26" s="1"/>
  <c r="F75" i="26"/>
  <c r="Q75" i="26"/>
  <c r="E76" i="26"/>
  <c r="G76" i="26" s="1"/>
  <c r="P76" i="26"/>
  <c r="O77" i="26"/>
  <c r="D78" i="26" a="1"/>
  <c r="D78" i="26" s="1"/>
  <c r="N78" i="26"/>
  <c r="M79" i="26"/>
  <c r="C80" i="26" a="1"/>
  <c r="C80" i="26" s="1"/>
  <c r="B82" i="26" a="1"/>
  <c r="B82" i="26" s="1"/>
  <c r="Y83" i="26"/>
  <c r="X84" i="26"/>
  <c r="J85" i="26" a="1"/>
  <c r="J85" i="26" s="1"/>
  <c r="W85" i="26"/>
  <c r="V86" i="26"/>
  <c r="I87" i="26" a="1"/>
  <c r="I87" i="26" s="1"/>
  <c r="U87" i="26"/>
  <c r="T88" i="26"/>
  <c r="H89" i="26" a="1"/>
  <c r="H89" i="26" s="1"/>
  <c r="S89" i="26"/>
  <c r="R90" i="26"/>
  <c r="Z90" i="26" s="1"/>
  <c r="F91" i="26"/>
  <c r="I91" i="26" s="1" a="1"/>
  <c r="I91" i="26" s="1"/>
  <c r="Q91" i="26"/>
  <c r="E92" i="26"/>
  <c r="G92" i="26" s="1"/>
  <c r="P92" i="26"/>
  <c r="O93" i="26"/>
  <c r="D94" i="26" a="1"/>
  <c r="D94" i="26" s="1"/>
  <c r="N94" i="26"/>
  <c r="M95" i="26"/>
  <c r="C96" i="26" a="1"/>
  <c r="C96" i="26" s="1"/>
  <c r="A2" i="25" a="1"/>
  <c r="B94" i="25" s="1" a="1"/>
  <c r="B94" i="25" s="1"/>
  <c r="L500" i="11"/>
  <c r="L496" i="11"/>
  <c r="B71" i="25" a="1"/>
  <c r="B71" i="25" s="1"/>
  <c r="B110" i="25" a="1"/>
  <c r="B110" i="25" s="1"/>
  <c r="B126" i="25" a="1"/>
  <c r="B126" i="25" s="1"/>
  <c r="B152" i="25" a="1"/>
  <c r="B152" i="25" s="1"/>
  <c r="B158" i="25" a="1"/>
  <c r="B158" i="25" s="1"/>
  <c r="B184" i="25" a="1"/>
  <c r="B184" i="25" s="1"/>
  <c r="B190" i="25" a="1"/>
  <c r="B190" i="25" s="1"/>
  <c r="B216" i="25" a="1"/>
  <c r="B216" i="25" s="1"/>
  <c r="B222" i="25" a="1"/>
  <c r="B222" i="25" s="1"/>
  <c r="B263" i="25" a="1"/>
  <c r="B263" i="25" s="1"/>
  <c r="B271" i="25" a="1"/>
  <c r="B271" i="25" s="1"/>
  <c r="B295" i="25" a="1"/>
  <c r="B295" i="25" s="1"/>
  <c r="B3" i="25" a="1"/>
  <c r="B3" i="25" s="1"/>
  <c r="B27" i="25" a="1"/>
  <c r="B27" i="25" s="1"/>
  <c r="B58" i="25" a="1"/>
  <c r="B58" i="25" s="1"/>
  <c r="B85" i="25" a="1"/>
  <c r="B85" i="25" s="1"/>
  <c r="B92" i="25" a="1"/>
  <c r="B92" i="25" s="1"/>
  <c r="B114" i="25" a="1"/>
  <c r="B114" i="25" s="1"/>
  <c r="B124" i="25" a="1"/>
  <c r="B124" i="25" s="1"/>
  <c r="B146" i="25" a="1"/>
  <c r="B146" i="25" s="1"/>
  <c r="B156" i="25" a="1"/>
  <c r="B156" i="25" s="1"/>
  <c r="B172" i="25" a="1"/>
  <c r="B172" i="25" s="1"/>
  <c r="B175" i="25" a="1"/>
  <c r="B175" i="25" s="1"/>
  <c r="B188" i="25" a="1"/>
  <c r="B188" i="25" s="1"/>
  <c r="B191" i="25" a="1"/>
  <c r="B191" i="25" s="1"/>
  <c r="B194" i="25" a="1"/>
  <c r="B194" i="25" s="1"/>
  <c r="B207" i="25" a="1"/>
  <c r="B207" i="25" s="1"/>
  <c r="B210" i="25" a="1"/>
  <c r="B210" i="25" s="1"/>
  <c r="B220" i="25" a="1"/>
  <c r="B220" i="25" s="1"/>
  <c r="B226" i="25" a="1"/>
  <c r="B226" i="25" s="1"/>
  <c r="B230" i="25" a="1"/>
  <c r="B230" i="25" s="1"/>
  <c r="B232" i="25" a="1"/>
  <c r="B232" i="25" s="1"/>
  <c r="B234" i="25" a="1"/>
  <c r="B234" i="25" s="1"/>
  <c r="B238" i="25" a="1"/>
  <c r="B238" i="25" s="1"/>
  <c r="B240" i="25" a="1"/>
  <c r="B240" i="25" s="1"/>
  <c r="B245" i="25" a="1"/>
  <c r="B245" i="25" s="1"/>
  <c r="B248" i="25" a="1"/>
  <c r="B248" i="25" s="1"/>
  <c r="B252" i="25" a="1"/>
  <c r="B252" i="25" s="1"/>
  <c r="B256" i="25" a="1"/>
  <c r="B256" i="25" s="1"/>
  <c r="B260" i="25" a="1"/>
  <c r="B260" i="25" s="1"/>
  <c r="B264" i="25" a="1"/>
  <c r="B264" i="25" s="1"/>
  <c r="B268" i="25" a="1"/>
  <c r="B268" i="25" s="1"/>
  <c r="B272" i="25" a="1"/>
  <c r="B272" i="25" s="1"/>
  <c r="B56" i="25" a="1"/>
  <c r="B56" i="25" s="1"/>
  <c r="B59" i="25" a="1"/>
  <c r="B59" i="25" s="1"/>
  <c r="B63" i="25" a="1"/>
  <c r="B63" i="25" s="1"/>
  <c r="B69" i="25" a="1"/>
  <c r="B69" i="25" s="1"/>
  <c r="B72" i="25" a="1"/>
  <c r="B72" i="25" s="1"/>
  <c r="B75" i="25" a="1"/>
  <c r="B75" i="25" s="1"/>
  <c r="B79" i="25" a="1"/>
  <c r="B79" i="25" s="1"/>
  <c r="B82" i="25" a="1"/>
  <c r="B82" i="25" s="1"/>
  <c r="B86" i="25" a="1"/>
  <c r="B86" i="25" s="1"/>
  <c r="B93" i="25" a="1"/>
  <c r="B93" i="25" s="1"/>
  <c r="B96" i="25" a="1"/>
  <c r="B96" i="25" s="1"/>
  <c r="B99" i="25" a="1"/>
  <c r="B99" i="25" s="1"/>
  <c r="B102" i="25" a="1"/>
  <c r="B102" i="25" s="1"/>
  <c r="B109" i="25" a="1"/>
  <c r="B109" i="25" s="1"/>
  <c r="B112" i="25" a="1"/>
  <c r="B112" i="25" s="1"/>
  <c r="B115" i="25" a="1"/>
  <c r="B115" i="25" s="1"/>
  <c r="B118" i="25" a="1"/>
  <c r="B118" i="25" s="1"/>
  <c r="B125" i="25" a="1"/>
  <c r="B125" i="25" s="1"/>
  <c r="B128" i="25" a="1"/>
  <c r="B128" i="25" s="1"/>
  <c r="B131" i="25" a="1"/>
  <c r="B131" i="25" s="1"/>
  <c r="B134" i="25" a="1"/>
  <c r="B134" i="25" s="1"/>
  <c r="B141" i="25" a="1"/>
  <c r="B141" i="25" s="1"/>
  <c r="B144" i="25" a="1"/>
  <c r="B144" i="25" s="1"/>
  <c r="B147" i="25" a="1"/>
  <c r="B147" i="25" s="1"/>
  <c r="B150" i="25" a="1"/>
  <c r="B150" i="25" s="1"/>
  <c r="B157" i="25" a="1"/>
  <c r="B157" i="25" s="1"/>
  <c r="B160" i="25" a="1"/>
  <c r="B160" i="25" s="1"/>
  <c r="B163" i="25" a="1"/>
  <c r="B163" i="25" s="1"/>
  <c r="B166" i="25" a="1"/>
  <c r="B166" i="25" s="1"/>
  <c r="B173" i="25" a="1"/>
  <c r="B173" i="25" s="1"/>
  <c r="B176" i="25" a="1"/>
  <c r="B176" i="25" s="1"/>
  <c r="B179" i="25" a="1"/>
  <c r="B179" i="25" s="1"/>
  <c r="B182" i="25" a="1"/>
  <c r="B182" i="25" s="1"/>
  <c r="B189" i="25" a="1"/>
  <c r="B189" i="25" s="1"/>
  <c r="B192" i="25" a="1"/>
  <c r="B192" i="25" s="1"/>
  <c r="B195" i="25" a="1"/>
  <c r="B195" i="25" s="1"/>
  <c r="B198" i="25" a="1"/>
  <c r="B198" i="25" s="1"/>
  <c r="B205" i="25" a="1"/>
  <c r="B205" i="25" s="1"/>
  <c r="B208" i="25" a="1"/>
  <c r="B208" i="25" s="1"/>
  <c r="B211" i="25" a="1"/>
  <c r="B211" i="25" s="1"/>
  <c r="B214" i="25" a="1"/>
  <c r="B214" i="25" s="1"/>
  <c r="B221" i="25" a="1"/>
  <c r="B221" i="25" s="1"/>
  <c r="B224" i="25" a="1"/>
  <c r="B224" i="25" s="1"/>
  <c r="B243" i="25" a="1"/>
  <c r="B243" i="25" s="1"/>
  <c r="B246" i="25" a="1"/>
  <c r="B246" i="25" s="1"/>
  <c r="B249" i="25" a="1"/>
  <c r="B249" i="25" s="1"/>
  <c r="B253" i="25" a="1"/>
  <c r="B253" i="25" s="1"/>
  <c r="B257" i="25" a="1"/>
  <c r="B257" i="25" s="1"/>
  <c r="B261" i="25" a="1"/>
  <c r="B261" i="25" s="1"/>
  <c r="B265" i="25" a="1"/>
  <c r="B265" i="25" s="1"/>
  <c r="B269" i="25" a="1"/>
  <c r="B269" i="25" s="1"/>
  <c r="B273" i="25" a="1"/>
  <c r="B273" i="25" s="1"/>
  <c r="B277" i="25" a="1"/>
  <c r="B277" i="25" s="1"/>
  <c r="B281" i="25" a="1"/>
  <c r="B281" i="25" s="1"/>
  <c r="B285" i="25" a="1"/>
  <c r="B285" i="25" s="1"/>
  <c r="B289" i="25" a="1"/>
  <c r="B289" i="25" s="1"/>
  <c r="B293" i="25" a="1"/>
  <c r="B293" i="25" s="1"/>
  <c r="B297" i="25" a="1"/>
  <c r="B297" i="25" s="1"/>
  <c r="B5" i="25" a="1"/>
  <c r="B5" i="25" s="1"/>
  <c r="B9" i="25" a="1"/>
  <c r="B9" i="25" s="1"/>
  <c r="B13" i="25" a="1"/>
  <c r="B13" i="25" s="1"/>
  <c r="B17" i="25" a="1"/>
  <c r="B17" i="25" s="1"/>
  <c r="B21" i="25" a="1"/>
  <c r="B21" i="25" s="1"/>
  <c r="B25" i="25" a="1"/>
  <c r="B25" i="25" s="1"/>
  <c r="B29" i="25" a="1"/>
  <c r="B29" i="25" s="1"/>
  <c r="B33" i="25" a="1"/>
  <c r="B33" i="25" s="1"/>
  <c r="B37" i="25" a="1"/>
  <c r="B37" i="25" s="1"/>
  <c r="B57" i="25" a="1"/>
  <c r="B57" i="25" s="1"/>
  <c r="B60" i="25" a="1"/>
  <c r="B60" i="25" s="1"/>
  <c r="B66" i="25" a="1"/>
  <c r="B66" i="25" s="1"/>
  <c r="B70" i="25" a="1"/>
  <c r="B70" i="25" s="1"/>
  <c r="B73" i="25" a="1"/>
  <c r="B73" i="25" s="1"/>
  <c r="B76" i="25" a="1"/>
  <c r="B76" i="25" s="1"/>
  <c r="B80" i="25" a="1"/>
  <c r="B80" i="25" s="1"/>
  <c r="B83" i="25" a="1"/>
  <c r="B83" i="25" s="1"/>
  <c r="B87" i="25" a="1"/>
  <c r="B87" i="25" s="1"/>
  <c r="B90" i="25" a="1"/>
  <c r="B90" i="25" s="1"/>
  <c r="B97" i="25" a="1"/>
  <c r="B97" i="25" s="1"/>
  <c r="B100" i="25" a="1"/>
  <c r="B100" i="25" s="1"/>
  <c r="B103" i="25" a="1"/>
  <c r="B103" i="25" s="1"/>
  <c r="B106" i="25" a="1"/>
  <c r="B106" i="25" s="1"/>
  <c r="B113" i="25" a="1"/>
  <c r="B113" i="25" s="1"/>
  <c r="B116" i="25" a="1"/>
  <c r="B116" i="25" s="1"/>
  <c r="B119" i="25" a="1"/>
  <c r="B119" i="25" s="1"/>
  <c r="B122" i="25" a="1"/>
  <c r="B122" i="25" s="1"/>
  <c r="B129" i="25" a="1"/>
  <c r="B129" i="25" s="1"/>
  <c r="B132" i="25" a="1"/>
  <c r="B132" i="25" s="1"/>
  <c r="B135" i="25" a="1"/>
  <c r="B135" i="25" s="1"/>
  <c r="B138" i="25" a="1"/>
  <c r="B138" i="25" s="1"/>
  <c r="B145" i="25" a="1"/>
  <c r="B145" i="25" s="1"/>
  <c r="B148" i="25" a="1"/>
  <c r="B148" i="25" s="1"/>
  <c r="B151" i="25" a="1"/>
  <c r="B151" i="25" s="1"/>
  <c r="B154" i="25" a="1"/>
  <c r="B154" i="25" s="1"/>
  <c r="B161" i="25" a="1"/>
  <c r="B161" i="25" s="1"/>
  <c r="B164" i="25" a="1"/>
  <c r="B164" i="25" s="1"/>
  <c r="B167" i="25" a="1"/>
  <c r="B167" i="25" s="1"/>
  <c r="B170" i="25" a="1"/>
  <c r="B170" i="25" s="1"/>
  <c r="B177" i="25" a="1"/>
  <c r="B177" i="25" s="1"/>
  <c r="B180" i="25" a="1"/>
  <c r="B180" i="25" s="1"/>
  <c r="B183" i="25" a="1"/>
  <c r="B183" i="25" s="1"/>
  <c r="B186" i="25" a="1"/>
  <c r="B186" i="25" s="1"/>
  <c r="B193" i="25" a="1"/>
  <c r="B193" i="25" s="1"/>
  <c r="B196" i="25" a="1"/>
  <c r="B196" i="25" s="1"/>
  <c r="B199" i="25" a="1"/>
  <c r="B199" i="25" s="1"/>
  <c r="B202" i="25" a="1"/>
  <c r="B202" i="25" s="1"/>
  <c r="B209" i="25" a="1"/>
  <c r="B209" i="25" s="1"/>
  <c r="B212" i="25" a="1"/>
  <c r="B212" i="25" s="1"/>
  <c r="B215" i="25" a="1"/>
  <c r="B215" i="25" s="1"/>
  <c r="B218" i="25" a="1"/>
  <c r="B218" i="25" s="1"/>
  <c r="B225" i="25" a="1"/>
  <c r="B225" i="25" s="1"/>
  <c r="B227" i="25" a="1"/>
  <c r="B227" i="25" s="1"/>
  <c r="B229" i="25" a="1"/>
  <c r="B229" i="25" s="1"/>
  <c r="B231" i="25" a="1"/>
  <c r="B231" i="25" s="1"/>
  <c r="B233" i="25" a="1"/>
  <c r="B233" i="25" s="1"/>
  <c r="B235" i="25" a="1"/>
  <c r="B235" i="25" s="1"/>
  <c r="B237" i="25" a="1"/>
  <c r="B237" i="25" s="1"/>
  <c r="B239" i="25" a="1"/>
  <c r="B239" i="25" s="1"/>
  <c r="B241" i="25" a="1"/>
  <c r="B241" i="25" s="1"/>
  <c r="B244" i="25" a="1"/>
  <c r="B244" i="25" s="1"/>
  <c r="B250" i="25" a="1"/>
  <c r="B250" i="25" s="1"/>
  <c r="B254" i="25" a="1"/>
  <c r="B254" i="25" s="1"/>
  <c r="B258" i="25" a="1"/>
  <c r="B258" i="25" s="1"/>
  <c r="B262" i="25" a="1"/>
  <c r="B262" i="25" s="1"/>
  <c r="B266" i="25" a="1"/>
  <c r="B266" i="25" s="1"/>
  <c r="B270" i="25" a="1"/>
  <c r="B270" i="25" s="1"/>
  <c r="B274" i="25" a="1"/>
  <c r="B274" i="25" s="1"/>
  <c r="B278" i="25" a="1"/>
  <c r="B278" i="25" s="1"/>
  <c r="B282" i="25" a="1"/>
  <c r="B282" i="25" s="1"/>
  <c r="B286" i="25" a="1"/>
  <c r="B286" i="25" s="1"/>
  <c r="B294" i="25" a="1"/>
  <c r="B294" i="25" s="1"/>
  <c r="B8" i="25" a="1"/>
  <c r="B8" i="25" s="1"/>
  <c r="B16" i="25" a="1"/>
  <c r="B16" i="25" s="1"/>
  <c r="B24" i="25" a="1"/>
  <c r="B24" i="25" s="1"/>
  <c r="B32" i="25" a="1"/>
  <c r="B32" i="25" s="1"/>
  <c r="B38" i="25" a="1"/>
  <c r="B38" i="25" s="1"/>
  <c r="B42" i="25" a="1"/>
  <c r="B42" i="25" s="1"/>
  <c r="B46" i="25" a="1"/>
  <c r="B46" i="25" s="1"/>
  <c r="B50" i="25" a="1"/>
  <c r="B50" i="25" s="1"/>
  <c r="B54" i="25" a="1"/>
  <c r="B54" i="25" s="1"/>
  <c r="C287" i="25" a="1"/>
  <c r="C287" i="25" s="1"/>
  <c r="C277" i="25" a="1"/>
  <c r="C277" i="25" s="1"/>
  <c r="C266" i="25" a="1"/>
  <c r="C266" i="25" s="1"/>
  <c r="C255" i="25" a="1"/>
  <c r="C255" i="25" s="1"/>
  <c r="C249" i="25" a="1"/>
  <c r="C249" i="25" s="1"/>
  <c r="C233" i="25" a="1"/>
  <c r="C233" i="25" s="1"/>
  <c r="C217" i="25" a="1"/>
  <c r="C217" i="25" s="1"/>
  <c r="C193" i="25" a="1"/>
  <c r="C193" i="25" s="1"/>
  <c r="C177" i="25" a="1"/>
  <c r="C177" i="25" s="1"/>
  <c r="C154" i="25" a="1"/>
  <c r="C154" i="25" s="1"/>
  <c r="C106" i="25" a="1"/>
  <c r="C106" i="25" s="1"/>
  <c r="C74" i="25" a="1"/>
  <c r="C74" i="25" s="1"/>
  <c r="C10" i="25" a="1"/>
  <c r="C10" i="25" s="1"/>
  <c r="D250" i="25" a="1"/>
  <c r="D250" i="25" s="1"/>
  <c r="D183" i="25" a="1"/>
  <c r="D183" i="25" s="1"/>
  <c r="E196" i="25"/>
  <c r="E299" i="25"/>
  <c r="B43" i="25" a="1"/>
  <c r="B43" i="25" s="1"/>
  <c r="C297" i="25" a="1"/>
  <c r="C297" i="25" s="1"/>
  <c r="B53" i="25" a="1"/>
  <c r="B53" i="25" s="1"/>
  <c r="B49" i="25" a="1"/>
  <c r="B49" i="25" s="1"/>
  <c r="B45" i="25" a="1"/>
  <c r="B45" i="25" s="1"/>
  <c r="B41" i="25" a="1"/>
  <c r="B41" i="25" s="1"/>
  <c r="B36" i="25" a="1"/>
  <c r="B36" i="25" s="1"/>
  <c r="B30" i="25" a="1"/>
  <c r="B30" i="25" s="1"/>
  <c r="B22" i="25" a="1"/>
  <c r="B22" i="25" s="1"/>
  <c r="B14" i="25" a="1"/>
  <c r="B14" i="25" s="1"/>
  <c r="B6" i="25" a="1"/>
  <c r="B6" i="25" s="1"/>
  <c r="B292" i="25" a="1"/>
  <c r="B292" i="25" s="1"/>
  <c r="B284" i="25" a="1"/>
  <c r="B284" i="25" s="1"/>
  <c r="B55" i="25" a="1"/>
  <c r="B55" i="25" s="1"/>
  <c r="B39" i="25" a="1"/>
  <c r="B39" i="25" s="1"/>
  <c r="C291" i="25" a="1"/>
  <c r="C291" i="25" s="1"/>
  <c r="C286" i="25" a="1"/>
  <c r="C286" i="25" s="1"/>
  <c r="C281" i="25" a="1"/>
  <c r="C281" i="25" s="1"/>
  <c r="C275" i="25" a="1"/>
  <c r="C275" i="25" s="1"/>
  <c r="C270" i="25" a="1"/>
  <c r="C270" i="25" s="1"/>
  <c r="C265" i="25" a="1"/>
  <c r="C265" i="25" s="1"/>
  <c r="C259" i="25" a="1"/>
  <c r="C259" i="25" s="1"/>
  <c r="C254" i="25" a="1"/>
  <c r="C254" i="25" s="1"/>
  <c r="C246" i="25" a="1"/>
  <c r="C246" i="25" s="1"/>
  <c r="C238" i="25" a="1"/>
  <c r="C238" i="25" s="1"/>
  <c r="C230" i="25" a="1"/>
  <c r="C230" i="25" s="1"/>
  <c r="C222" i="25" a="1"/>
  <c r="C222" i="25" s="1"/>
  <c r="C214" i="25" a="1"/>
  <c r="C214" i="25" s="1"/>
  <c r="C206" i="25" a="1"/>
  <c r="C206" i="25" s="1"/>
  <c r="C198" i="25" a="1"/>
  <c r="C198" i="25" s="1"/>
  <c r="C190" i="25" a="1"/>
  <c r="C190" i="25" s="1"/>
  <c r="C182" i="25" a="1"/>
  <c r="C182" i="25" s="1"/>
  <c r="C174" i="25" a="1"/>
  <c r="C174" i="25" s="1"/>
  <c r="C163" i="25" a="1"/>
  <c r="C163" i="25" s="1"/>
  <c r="C147" i="25" a="1"/>
  <c r="C147" i="25" s="1"/>
  <c r="C123" i="25" a="1"/>
  <c r="C123" i="25" s="1"/>
  <c r="C91" i="25" a="1"/>
  <c r="C91" i="25" s="1"/>
  <c r="C59" i="25" a="1"/>
  <c r="C59" i="25" s="1"/>
  <c r="C27" i="25" a="1"/>
  <c r="C27" i="25" s="1"/>
  <c r="D290" i="25" a="1"/>
  <c r="D290" i="25" s="1"/>
  <c r="D226" i="25" a="1"/>
  <c r="D226" i="25" s="1"/>
  <c r="D107" i="25" a="1"/>
  <c r="D107" i="25" s="1"/>
  <c r="J63" i="25" a="1"/>
  <c r="J63" i="25" s="1"/>
  <c r="C295" i="25" a="1"/>
  <c r="C295" i="25" s="1"/>
  <c r="C290" i="25" a="1"/>
  <c r="C290" i="25" s="1"/>
  <c r="C285" i="25" a="1"/>
  <c r="C285" i="25" s="1"/>
  <c r="C279" i="25" a="1"/>
  <c r="C279" i="25" s="1"/>
  <c r="C274" i="25" a="1"/>
  <c r="C274" i="25" s="1"/>
  <c r="C269" i="25" a="1"/>
  <c r="C269" i="25" s="1"/>
  <c r="C263" i="25" a="1"/>
  <c r="C263" i="25" s="1"/>
  <c r="C258" i="25" a="1"/>
  <c r="C258" i="25" s="1"/>
  <c r="C253" i="25" a="1"/>
  <c r="C253" i="25" s="1"/>
  <c r="C245" i="25" a="1"/>
  <c r="C245" i="25" s="1"/>
  <c r="C237" i="25" a="1"/>
  <c r="C237" i="25" s="1"/>
  <c r="C229" i="25" a="1"/>
  <c r="C229" i="25" s="1"/>
  <c r="C221" i="25" a="1"/>
  <c r="C221" i="25" s="1"/>
  <c r="C213" i="25" a="1"/>
  <c r="C213" i="25" s="1"/>
  <c r="C205" i="25" a="1"/>
  <c r="C205" i="25" s="1"/>
  <c r="C197" i="25" a="1"/>
  <c r="C197" i="25" s="1"/>
  <c r="C189" i="25" a="1"/>
  <c r="C189" i="25" s="1"/>
  <c r="C181" i="25" a="1"/>
  <c r="C181" i="25" s="1"/>
  <c r="C173" i="25" a="1"/>
  <c r="C173" i="25" s="1"/>
  <c r="C162" i="25" a="1"/>
  <c r="C162" i="25" s="1"/>
  <c r="C146" i="25" a="1"/>
  <c r="C146" i="25" s="1"/>
  <c r="C122" i="25" a="1"/>
  <c r="C122" i="25" s="1"/>
  <c r="C90" i="25" a="1"/>
  <c r="C90" i="25" s="1"/>
  <c r="C58" i="25" a="1"/>
  <c r="C58" i="25" s="1"/>
  <c r="C26" i="25" a="1"/>
  <c r="C26" i="25" s="1"/>
  <c r="D282" i="25" a="1"/>
  <c r="D282" i="25" s="1"/>
  <c r="D218" i="25" a="1"/>
  <c r="D218" i="25" s="1"/>
  <c r="D75" i="25" a="1"/>
  <c r="D75" i="25" s="1"/>
  <c r="C294" i="25" a="1"/>
  <c r="C294" i="25" s="1"/>
  <c r="C289" i="25" a="1"/>
  <c r="C289" i="25" s="1"/>
  <c r="C283" i="25" a="1"/>
  <c r="C283" i="25" s="1"/>
  <c r="C278" i="25" a="1"/>
  <c r="C278" i="25" s="1"/>
  <c r="C273" i="25" a="1"/>
  <c r="C273" i="25" s="1"/>
  <c r="C267" i="25" a="1"/>
  <c r="C267" i="25" s="1"/>
  <c r="C262" i="25" a="1"/>
  <c r="C262" i="25" s="1"/>
  <c r="C257" i="25" a="1"/>
  <c r="C257" i="25" s="1"/>
  <c r="C250" i="25" a="1"/>
  <c r="C250" i="25" s="1"/>
  <c r="C242" i="25" a="1"/>
  <c r="C242" i="25" s="1"/>
  <c r="C234" i="25" a="1"/>
  <c r="C234" i="25" s="1"/>
  <c r="C226" i="25" a="1"/>
  <c r="C226" i="25" s="1"/>
  <c r="C218" i="25" a="1"/>
  <c r="C218" i="25" s="1"/>
  <c r="C210" i="25" a="1"/>
  <c r="C210" i="25" s="1"/>
  <c r="C202" i="25" a="1"/>
  <c r="C202" i="25" s="1"/>
  <c r="C194" i="25" a="1"/>
  <c r="C194" i="25" s="1"/>
  <c r="C186" i="25" a="1"/>
  <c r="C186" i="25" s="1"/>
  <c r="C178" i="25" a="1"/>
  <c r="C178" i="25" s="1"/>
  <c r="C169" i="25" a="1"/>
  <c r="C169" i="25" s="1"/>
  <c r="C155" i="25" a="1"/>
  <c r="C155" i="25" s="1"/>
  <c r="C137" i="25" a="1"/>
  <c r="C137" i="25" s="1"/>
  <c r="C107" i="25" a="1"/>
  <c r="C107" i="25" s="1"/>
  <c r="C75" i="25" a="1"/>
  <c r="C75" i="25" s="1"/>
  <c r="C43" i="25" a="1"/>
  <c r="C43" i="25" s="1"/>
  <c r="C11" i="25" a="1"/>
  <c r="C11" i="25" s="1"/>
  <c r="D258" i="25" a="1"/>
  <c r="D258" i="25" s="1"/>
  <c r="D194" i="25" a="1"/>
  <c r="D194" i="25" s="1"/>
  <c r="E260" i="25"/>
  <c r="B52" i="25" a="1"/>
  <c r="B52" i="25" s="1"/>
  <c r="B48" i="25" a="1"/>
  <c r="B48" i="25" s="1"/>
  <c r="B44" i="25" a="1"/>
  <c r="B44" i="25" s="1"/>
  <c r="B40" i="25" a="1"/>
  <c r="B40" i="25" s="1"/>
  <c r="B35" i="25" a="1"/>
  <c r="B35" i="25" s="1"/>
  <c r="B28" i="25" a="1"/>
  <c r="B28" i="25" s="1"/>
  <c r="B20" i="25" a="1"/>
  <c r="B20" i="25" s="1"/>
  <c r="B12" i="25" a="1"/>
  <c r="B12" i="25" s="1"/>
  <c r="B4" i="25" a="1"/>
  <c r="B4" i="25" s="1"/>
  <c r="B298" i="25" a="1"/>
  <c r="B298" i="25" s="1"/>
  <c r="B290" i="25" a="1"/>
  <c r="B290" i="25" s="1"/>
  <c r="B280" i="25" a="1"/>
  <c r="B280" i="25" s="1"/>
  <c r="B51" i="25" a="1"/>
  <c r="B51" i="25" s="1"/>
  <c r="B34" i="25" a="1"/>
  <c r="B34" i="25" s="1"/>
  <c r="B26" i="25" a="1"/>
  <c r="B26" i="25" s="1"/>
  <c r="B18" i="25" a="1"/>
  <c r="B18" i="25" s="1"/>
  <c r="B10" i="25" a="1"/>
  <c r="B10" i="25" s="1"/>
  <c r="B296" i="25" a="1"/>
  <c r="B296" i="25" s="1"/>
  <c r="B288" i="25" a="1"/>
  <c r="B288" i="25" s="1"/>
  <c r="B276" i="25" a="1"/>
  <c r="B276" i="25" s="1"/>
  <c r="C298" i="25" a="1"/>
  <c r="C298" i="25" s="1"/>
  <c r="C293" i="25" a="1"/>
  <c r="C293" i="25" s="1"/>
  <c r="C282" i="25" a="1"/>
  <c r="C282" i="25" s="1"/>
  <c r="C271" i="25" a="1"/>
  <c r="C271" i="25" s="1"/>
  <c r="C261" i="25" a="1"/>
  <c r="C261" i="25" s="1"/>
  <c r="C241" i="25" a="1"/>
  <c r="C241" i="25" s="1"/>
  <c r="C225" i="25" a="1"/>
  <c r="C225" i="25" s="1"/>
  <c r="C209" i="25" a="1"/>
  <c r="C209" i="25" s="1"/>
  <c r="C201" i="25" a="1"/>
  <c r="C201" i="25" s="1"/>
  <c r="C185" i="25" a="1"/>
  <c r="C185" i="25" s="1"/>
  <c r="C167" i="25" a="1"/>
  <c r="C167" i="25" s="1"/>
  <c r="C136" i="25" a="1"/>
  <c r="C136" i="25" s="1"/>
  <c r="C42" i="25" a="1"/>
  <c r="C42" i="25" s="1"/>
  <c r="B47" i="25" a="1"/>
  <c r="B47" i="25" s="1"/>
  <c r="C296" i="25" a="1"/>
  <c r="C296" i="25" s="1"/>
  <c r="C292" i="25" a="1"/>
  <c r="C292" i="25" s="1"/>
  <c r="C288" i="25" a="1"/>
  <c r="C288" i="25" s="1"/>
  <c r="C284" i="25" a="1"/>
  <c r="C284" i="25" s="1"/>
  <c r="C280" i="25" a="1"/>
  <c r="C280" i="25" s="1"/>
  <c r="C276" i="25" a="1"/>
  <c r="C276" i="25" s="1"/>
  <c r="C272" i="25" a="1"/>
  <c r="C272" i="25" s="1"/>
  <c r="C268" i="25" a="1"/>
  <c r="C268" i="25" s="1"/>
  <c r="C264" i="25" a="1"/>
  <c r="C264" i="25" s="1"/>
  <c r="C260" i="25" a="1"/>
  <c r="C260" i="25" s="1"/>
  <c r="C256" i="25" a="1"/>
  <c r="C256" i="25" s="1"/>
  <c r="C252" i="25" a="1"/>
  <c r="C252" i="25" s="1"/>
  <c r="C248" i="25" a="1"/>
  <c r="C248" i="25" s="1"/>
  <c r="C244" i="25" a="1"/>
  <c r="C244" i="25" s="1"/>
  <c r="C240" i="25" a="1"/>
  <c r="C240" i="25" s="1"/>
  <c r="C236" i="25" a="1"/>
  <c r="C236" i="25" s="1"/>
  <c r="C232" i="25" a="1"/>
  <c r="C232" i="25" s="1"/>
  <c r="C228" i="25" a="1"/>
  <c r="C228" i="25" s="1"/>
  <c r="C224" i="25" a="1"/>
  <c r="C224" i="25" s="1"/>
  <c r="C220" i="25" a="1"/>
  <c r="C220" i="25" s="1"/>
  <c r="C216" i="25" a="1"/>
  <c r="C216" i="25" s="1"/>
  <c r="C212" i="25" a="1"/>
  <c r="C212" i="25" s="1"/>
  <c r="C208" i="25" a="1"/>
  <c r="C208" i="25" s="1"/>
  <c r="C204" i="25" a="1"/>
  <c r="C204" i="25" s="1"/>
  <c r="C200" i="25" a="1"/>
  <c r="C200" i="25" s="1"/>
  <c r="C196" i="25" a="1"/>
  <c r="C196" i="25" s="1"/>
  <c r="C192" i="25" a="1"/>
  <c r="C192" i="25" s="1"/>
  <c r="C188" i="25" a="1"/>
  <c r="C188" i="25" s="1"/>
  <c r="C184" i="25" a="1"/>
  <c r="C184" i="25" s="1"/>
  <c r="C180" i="25" a="1"/>
  <c r="C180" i="25" s="1"/>
  <c r="C176" i="25" a="1"/>
  <c r="C176" i="25" s="1"/>
  <c r="C171" i="25" a="1"/>
  <c r="C171" i="25" s="1"/>
  <c r="C166" i="25" a="1"/>
  <c r="C166" i="25" s="1"/>
  <c r="C159" i="25" a="1"/>
  <c r="C159" i="25" s="1"/>
  <c r="C151" i="25" a="1"/>
  <c r="C151" i="25" s="1"/>
  <c r="C143" i="25" a="1"/>
  <c r="C143" i="25" s="1"/>
  <c r="C131" i="25" a="1"/>
  <c r="C131" i="25" s="1"/>
  <c r="C115" i="25" a="1"/>
  <c r="C115" i="25" s="1"/>
  <c r="C99" i="25" a="1"/>
  <c r="C99" i="25" s="1"/>
  <c r="C83" i="25" a="1"/>
  <c r="C83" i="25" s="1"/>
  <c r="C67" i="25" a="1"/>
  <c r="C67" i="25" s="1"/>
  <c r="C51" i="25" a="1"/>
  <c r="C51" i="25" s="1"/>
  <c r="C35" i="25" a="1"/>
  <c r="C35" i="25" s="1"/>
  <c r="C19" i="25" a="1"/>
  <c r="C19" i="25" s="1"/>
  <c r="C3" i="25" a="1"/>
  <c r="C3" i="25" s="1"/>
  <c r="D274" i="25" a="1"/>
  <c r="D274" i="25" s="1"/>
  <c r="D242" i="25" a="1"/>
  <c r="D242" i="25" s="1"/>
  <c r="D210" i="25" a="1"/>
  <c r="D210" i="25" s="1"/>
  <c r="D167" i="25" a="1"/>
  <c r="D167" i="25" s="1"/>
  <c r="D43" i="25" a="1"/>
  <c r="D43" i="25" s="1"/>
  <c r="E132" i="25"/>
  <c r="F299" i="25"/>
  <c r="I299" i="25" s="1" a="1"/>
  <c r="I299" i="25" s="1"/>
  <c r="J299" i="25" a="1"/>
  <c r="J299" i="25" s="1"/>
  <c r="C251" i="25" a="1"/>
  <c r="C251" i="25" s="1"/>
  <c r="C247" i="25" a="1"/>
  <c r="C247" i="25" s="1"/>
  <c r="C243" i="25" a="1"/>
  <c r="C243" i="25" s="1"/>
  <c r="C239" i="25" a="1"/>
  <c r="C239" i="25" s="1"/>
  <c r="C235" i="25" a="1"/>
  <c r="C235" i="25" s="1"/>
  <c r="C231" i="25" a="1"/>
  <c r="C231" i="25" s="1"/>
  <c r="C227" i="25" a="1"/>
  <c r="C227" i="25" s="1"/>
  <c r="C223" i="25" a="1"/>
  <c r="C223" i="25" s="1"/>
  <c r="C219" i="25" a="1"/>
  <c r="C219" i="25" s="1"/>
  <c r="C215" i="25" a="1"/>
  <c r="C215" i="25" s="1"/>
  <c r="C211" i="25" a="1"/>
  <c r="C211" i="25" s="1"/>
  <c r="C207" i="25" a="1"/>
  <c r="C207" i="25" s="1"/>
  <c r="C203" i="25" a="1"/>
  <c r="C203" i="25" s="1"/>
  <c r="C199" i="25" a="1"/>
  <c r="C199" i="25" s="1"/>
  <c r="C195" i="25" a="1"/>
  <c r="C195" i="25" s="1"/>
  <c r="C191" i="25" a="1"/>
  <c r="C191" i="25" s="1"/>
  <c r="C187" i="25" a="1"/>
  <c r="C187" i="25" s="1"/>
  <c r="C183" i="25" a="1"/>
  <c r="C183" i="25" s="1"/>
  <c r="C179" i="25" a="1"/>
  <c r="C179" i="25" s="1"/>
  <c r="C175" i="25" a="1"/>
  <c r="C175" i="25" s="1"/>
  <c r="C170" i="25" a="1"/>
  <c r="C170" i="25" s="1"/>
  <c r="C165" i="25" a="1"/>
  <c r="C165" i="25" s="1"/>
  <c r="C158" i="25" a="1"/>
  <c r="C158" i="25" s="1"/>
  <c r="C150" i="25" a="1"/>
  <c r="C150" i="25" s="1"/>
  <c r="C141" i="25" a="1"/>
  <c r="C141" i="25" s="1"/>
  <c r="C130" i="25" a="1"/>
  <c r="C130" i="25" s="1"/>
  <c r="C114" i="25" a="1"/>
  <c r="C114" i="25" s="1"/>
  <c r="C98" i="25" a="1"/>
  <c r="C98" i="25" s="1"/>
  <c r="C82" i="25" a="1"/>
  <c r="C82" i="25" s="1"/>
  <c r="C66" i="25" a="1"/>
  <c r="C66" i="25" s="1"/>
  <c r="C50" i="25" a="1"/>
  <c r="C50" i="25" s="1"/>
  <c r="C34" i="25" a="1"/>
  <c r="C34" i="25" s="1"/>
  <c r="C18" i="25" a="1"/>
  <c r="C18" i="25" s="1"/>
  <c r="D298" i="25" a="1"/>
  <c r="D298" i="25" s="1"/>
  <c r="D266" i="25" a="1"/>
  <c r="D266" i="25" s="1"/>
  <c r="D234" i="25" a="1"/>
  <c r="D234" i="25" s="1"/>
  <c r="D202" i="25" a="1"/>
  <c r="D202" i="25" s="1"/>
  <c r="D139" i="25" a="1"/>
  <c r="D139" i="25" s="1"/>
  <c r="D11" i="25" a="1"/>
  <c r="D11" i="25" s="1"/>
  <c r="E45" i="25"/>
  <c r="C299" i="25" a="1"/>
  <c r="C299" i="25" s="1"/>
  <c r="D299" i="25" a="1"/>
  <c r="D299" i="25" s="1"/>
  <c r="F193" i="25"/>
  <c r="I193" i="25" s="1" a="1"/>
  <c r="I193" i="25" s="1"/>
  <c r="E92" i="25"/>
  <c r="E164" i="25"/>
  <c r="E228" i="25"/>
  <c r="E287" i="25"/>
  <c r="D27" i="25" a="1"/>
  <c r="D27" i="25" s="1"/>
  <c r="D59" i="25" a="1"/>
  <c r="D59" i="25" s="1"/>
  <c r="D91" i="25" a="1"/>
  <c r="D91" i="25" s="1"/>
  <c r="D123" i="25" a="1"/>
  <c r="D123" i="25" s="1"/>
  <c r="D155" i="25" a="1"/>
  <c r="D155" i="25" s="1"/>
  <c r="D175" i="25" a="1"/>
  <c r="D175" i="25" s="1"/>
  <c r="D190" i="25" a="1"/>
  <c r="D190" i="25" s="1"/>
  <c r="D198" i="25" a="1"/>
  <c r="D198" i="25" s="1"/>
  <c r="D206" i="25" a="1"/>
  <c r="D206" i="25" s="1"/>
  <c r="D214" i="25" a="1"/>
  <c r="D214" i="25" s="1"/>
  <c r="D222" i="25" a="1"/>
  <c r="D222" i="25" s="1"/>
  <c r="D230" i="25" a="1"/>
  <c r="D230" i="25" s="1"/>
  <c r="D238" i="25" a="1"/>
  <c r="D238" i="25" s="1"/>
  <c r="D246" i="25" a="1"/>
  <c r="D246" i="25" s="1"/>
  <c r="D254" i="25" a="1"/>
  <c r="D254" i="25" s="1"/>
  <c r="D262" i="25" a="1"/>
  <c r="D262" i="25" s="1"/>
  <c r="D270" i="25" a="1"/>
  <c r="D270" i="25" s="1"/>
  <c r="D278" i="25" a="1"/>
  <c r="D278" i="25" s="1"/>
  <c r="D286" i="25" a="1"/>
  <c r="D286" i="25" s="1"/>
  <c r="D294" i="25" a="1"/>
  <c r="D294" i="25" s="1"/>
  <c r="C6" i="25" a="1"/>
  <c r="C6" i="25" s="1"/>
  <c r="C14" i="25" a="1"/>
  <c r="C14" i="25" s="1"/>
  <c r="C22" i="25" a="1"/>
  <c r="C22" i="25" s="1"/>
  <c r="C30" i="25" a="1"/>
  <c r="C30" i="25" s="1"/>
  <c r="C38" i="25" a="1"/>
  <c r="C38" i="25" s="1"/>
  <c r="C46" i="25" a="1"/>
  <c r="C46" i="25" s="1"/>
  <c r="C54" i="25" a="1"/>
  <c r="C54" i="25" s="1"/>
  <c r="C62" i="25" a="1"/>
  <c r="C62" i="25" s="1"/>
  <c r="C70" i="25" a="1"/>
  <c r="C70" i="25" s="1"/>
  <c r="C78" i="25" a="1"/>
  <c r="C78" i="25" s="1"/>
  <c r="C86" i="25" a="1"/>
  <c r="C86" i="25" s="1"/>
  <c r="C94" i="25" a="1"/>
  <c r="C94" i="25" s="1"/>
  <c r="C102" i="25" a="1"/>
  <c r="C102" i="25" s="1"/>
  <c r="C110" i="25" a="1"/>
  <c r="C110" i="25" s="1"/>
  <c r="C118" i="25" a="1"/>
  <c r="C118" i="25" s="1"/>
  <c r="C126" i="25" a="1"/>
  <c r="C126" i="25" s="1"/>
  <c r="C132" i="25" a="1"/>
  <c r="C132" i="25" s="1"/>
  <c r="C139" i="25" a="1"/>
  <c r="C139" i="25" s="1"/>
  <c r="C144" i="25" a="1"/>
  <c r="C144" i="25" s="1"/>
  <c r="C148" i="25" a="1"/>
  <c r="C148" i="25" s="1"/>
  <c r="C152" i="25" a="1"/>
  <c r="C152" i="25" s="1"/>
  <c r="C156" i="25" a="1"/>
  <c r="C156" i="25" s="1"/>
  <c r="C160" i="25" a="1"/>
  <c r="C160" i="25" s="1"/>
  <c r="C164" i="25" a="1"/>
  <c r="C164" i="25" s="1"/>
  <c r="C168" i="25" a="1"/>
  <c r="C168" i="25" s="1"/>
  <c r="C172" i="25" a="1"/>
  <c r="C172" i="25" s="1"/>
  <c r="F241" i="25"/>
  <c r="E103" i="25"/>
  <c r="E172" i="25"/>
  <c r="E236" i="25"/>
  <c r="E292" i="25"/>
  <c r="D31" i="25" a="1"/>
  <c r="D31" i="25" s="1"/>
  <c r="D63" i="25" a="1"/>
  <c r="D63" i="25" s="1"/>
  <c r="D95" i="25" a="1"/>
  <c r="D95" i="25" s="1"/>
  <c r="D127" i="25" a="1"/>
  <c r="D127" i="25" s="1"/>
  <c r="D159" i="25" a="1"/>
  <c r="D159" i="25" s="1"/>
  <c r="D177" i="25" a="1"/>
  <c r="D177" i="25" s="1"/>
  <c r="D191" i="25" a="1"/>
  <c r="D191" i="25" s="1"/>
  <c r="D199" i="25" a="1"/>
  <c r="D199" i="25" s="1"/>
  <c r="D207" i="25" a="1"/>
  <c r="D207" i="25" s="1"/>
  <c r="D215" i="25" a="1"/>
  <c r="D215" i="25" s="1"/>
  <c r="D223" i="25" a="1"/>
  <c r="D223" i="25" s="1"/>
  <c r="D231" i="25" a="1"/>
  <c r="D231" i="25" s="1"/>
  <c r="D239" i="25" a="1"/>
  <c r="D239" i="25" s="1"/>
  <c r="D247" i="25" a="1"/>
  <c r="D247" i="25" s="1"/>
  <c r="D255" i="25" a="1"/>
  <c r="D255" i="25" s="1"/>
  <c r="D263" i="25" a="1"/>
  <c r="D263" i="25" s="1"/>
  <c r="D271" i="25" a="1"/>
  <c r="D271" i="25" s="1"/>
  <c r="D279" i="25" a="1"/>
  <c r="D279" i="25" s="1"/>
  <c r="D287" i="25" a="1"/>
  <c r="D287" i="25" s="1"/>
  <c r="D295" i="25" a="1"/>
  <c r="D295" i="25" s="1"/>
  <c r="C7" i="25" a="1"/>
  <c r="C7" i="25" s="1"/>
  <c r="C15" i="25" a="1"/>
  <c r="C15" i="25" s="1"/>
  <c r="C23" i="25" a="1"/>
  <c r="C23" i="25" s="1"/>
  <c r="C31" i="25" a="1"/>
  <c r="C31" i="25" s="1"/>
  <c r="C39" i="25" a="1"/>
  <c r="C39" i="25" s="1"/>
  <c r="C47" i="25" a="1"/>
  <c r="C47" i="25" s="1"/>
  <c r="C55" i="25" a="1"/>
  <c r="C55" i="25" s="1"/>
  <c r="C63" i="25" a="1"/>
  <c r="C63" i="25" s="1"/>
  <c r="C71" i="25" a="1"/>
  <c r="C71" i="25" s="1"/>
  <c r="C79" i="25" a="1"/>
  <c r="C79" i="25" s="1"/>
  <c r="C87" i="25" a="1"/>
  <c r="C87" i="25" s="1"/>
  <c r="C95" i="25" a="1"/>
  <c r="C95" i="25" s="1"/>
  <c r="C103" i="25" a="1"/>
  <c r="C103" i="25" s="1"/>
  <c r="C111" i="25" a="1"/>
  <c r="C111" i="25" s="1"/>
  <c r="C119" i="25" a="1"/>
  <c r="C119" i="25" s="1"/>
  <c r="C127" i="25" a="1"/>
  <c r="C127" i="25" s="1"/>
  <c r="C135" i="25" a="1"/>
  <c r="C135" i="25" s="1"/>
  <c r="C140" i="25" a="1"/>
  <c r="C140" i="25" s="1"/>
  <c r="C145" i="25" a="1"/>
  <c r="C145" i="25" s="1"/>
  <c r="C149" i="25" a="1"/>
  <c r="C149" i="25" s="1"/>
  <c r="C153" i="25" a="1"/>
  <c r="C153" i="25" s="1"/>
  <c r="C157" i="25" a="1"/>
  <c r="C157" i="25" s="1"/>
  <c r="C161" i="25" a="1"/>
  <c r="C161" i="25" s="1"/>
  <c r="D291" i="25" a="1"/>
  <c r="D291" i="25" s="1"/>
  <c r="D283" i="25" a="1"/>
  <c r="D283" i="25" s="1"/>
  <c r="D275" i="25" a="1"/>
  <c r="D275" i="25" s="1"/>
  <c r="D267" i="25" a="1"/>
  <c r="D267" i="25" s="1"/>
  <c r="D259" i="25" a="1"/>
  <c r="D259" i="25" s="1"/>
  <c r="D251" i="25" a="1"/>
  <c r="D251" i="25" s="1"/>
  <c r="D243" i="25" a="1"/>
  <c r="D243" i="25" s="1"/>
  <c r="D235" i="25" a="1"/>
  <c r="D235" i="25" s="1"/>
  <c r="D227" i="25" a="1"/>
  <c r="D227" i="25" s="1"/>
  <c r="D219" i="25" a="1"/>
  <c r="D219" i="25" s="1"/>
  <c r="D211" i="25" a="1"/>
  <c r="D211" i="25" s="1"/>
  <c r="D203" i="25" a="1"/>
  <c r="D203" i="25" s="1"/>
  <c r="D195" i="25" a="1"/>
  <c r="D195" i="25" s="1"/>
  <c r="D185" i="25" a="1"/>
  <c r="D185" i="25" s="1"/>
  <c r="D169" i="25" a="1"/>
  <c r="D169" i="25" s="1"/>
  <c r="D143" i="25" a="1"/>
  <c r="D143" i="25" s="1"/>
  <c r="D111" i="25" a="1"/>
  <c r="D111" i="25" s="1"/>
  <c r="D79" i="25" a="1"/>
  <c r="D79" i="25" s="1"/>
  <c r="D47" i="25" a="1"/>
  <c r="D47" i="25" s="1"/>
  <c r="D15" i="25" a="1"/>
  <c r="D15" i="25" s="1"/>
  <c r="E268" i="25"/>
  <c r="E204" i="25"/>
  <c r="E140" i="25"/>
  <c r="E60" i="25"/>
  <c r="J295" i="25" a="1"/>
  <c r="J295" i="25" s="1"/>
  <c r="J129" i="25" a="1"/>
  <c r="J129" i="25" s="1"/>
  <c r="F17" i="25"/>
  <c r="F81" i="25"/>
  <c r="I81" i="25" s="1" a="1"/>
  <c r="I81" i="25" s="1"/>
  <c r="F145" i="25"/>
  <c r="F209" i="25"/>
  <c r="H209" i="25" s="1" a="1"/>
  <c r="H209" i="25" s="1"/>
  <c r="F251" i="25"/>
  <c r="F287" i="25"/>
  <c r="I287" i="25" s="1" a="1"/>
  <c r="I287" i="25" s="1"/>
  <c r="E23" i="25"/>
  <c r="E47" i="25"/>
  <c r="E61" i="25"/>
  <c r="E72" i="25"/>
  <c r="E83" i="25"/>
  <c r="E93" i="25"/>
  <c r="E104" i="25"/>
  <c r="E115" i="25"/>
  <c r="E125" i="25"/>
  <c r="E133" i="25"/>
  <c r="E141" i="25"/>
  <c r="E149" i="25"/>
  <c r="E157" i="25"/>
  <c r="E165" i="25"/>
  <c r="E173" i="25"/>
  <c r="E181" i="25"/>
  <c r="E189" i="25"/>
  <c r="E197" i="25"/>
  <c r="E205" i="25"/>
  <c r="E213" i="25"/>
  <c r="E221" i="25"/>
  <c r="E229" i="25"/>
  <c r="E237" i="25"/>
  <c r="E245" i="25"/>
  <c r="E253" i="25"/>
  <c r="E261" i="25"/>
  <c r="E269" i="25"/>
  <c r="E277" i="25"/>
  <c r="E283" i="25"/>
  <c r="E288" i="25"/>
  <c r="E293" i="25"/>
  <c r="D3" i="25" a="1"/>
  <c r="D3" i="25" s="1"/>
  <c r="D8" i="25" a="1"/>
  <c r="D8" i="25" s="1"/>
  <c r="D12" i="25" a="1"/>
  <c r="D12" i="25" s="1"/>
  <c r="D16" i="25" a="1"/>
  <c r="D16" i="25" s="1"/>
  <c r="D20" i="25" a="1"/>
  <c r="D20" i="25" s="1"/>
  <c r="D24" i="25" a="1"/>
  <c r="D24" i="25" s="1"/>
  <c r="D28" i="25" a="1"/>
  <c r="D28" i="25" s="1"/>
  <c r="D32" i="25" a="1"/>
  <c r="D32" i="25" s="1"/>
  <c r="D36" i="25" a="1"/>
  <c r="D36" i="25" s="1"/>
  <c r="D40" i="25" a="1"/>
  <c r="D40" i="25" s="1"/>
  <c r="D44" i="25" a="1"/>
  <c r="D44" i="25" s="1"/>
  <c r="D48" i="25" a="1"/>
  <c r="D48" i="25" s="1"/>
  <c r="D52" i="25" a="1"/>
  <c r="D52" i="25" s="1"/>
  <c r="D56" i="25" a="1"/>
  <c r="D56" i="25" s="1"/>
  <c r="D60" i="25" a="1"/>
  <c r="D60" i="25" s="1"/>
  <c r="D64" i="25" a="1"/>
  <c r="D64" i="25" s="1"/>
  <c r="D68" i="25" a="1"/>
  <c r="D68" i="25" s="1"/>
  <c r="D72" i="25" a="1"/>
  <c r="D72" i="25" s="1"/>
  <c r="D76" i="25" a="1"/>
  <c r="D76" i="25" s="1"/>
  <c r="D80" i="25" a="1"/>
  <c r="D80" i="25" s="1"/>
  <c r="D84" i="25" a="1"/>
  <c r="D84" i="25" s="1"/>
  <c r="D88" i="25" a="1"/>
  <c r="D88" i="25" s="1"/>
  <c r="D92" i="25" a="1"/>
  <c r="D92" i="25" s="1"/>
  <c r="D96" i="25" a="1"/>
  <c r="D96" i="25" s="1"/>
  <c r="D100" i="25" a="1"/>
  <c r="D100" i="25" s="1"/>
  <c r="D104" i="25" a="1"/>
  <c r="D104" i="25" s="1"/>
  <c r="D108" i="25" a="1"/>
  <c r="D108" i="25" s="1"/>
  <c r="D112" i="25" a="1"/>
  <c r="D112" i="25" s="1"/>
  <c r="D116" i="25" a="1"/>
  <c r="D116" i="25" s="1"/>
  <c r="D120" i="25" a="1"/>
  <c r="D120" i="25" s="1"/>
  <c r="D124" i="25" a="1"/>
  <c r="D124" i="25" s="1"/>
  <c r="D128" i="25" a="1"/>
  <c r="D128" i="25" s="1"/>
  <c r="D132" i="25" a="1"/>
  <c r="D132" i="25" s="1"/>
  <c r="D136" i="25" a="1"/>
  <c r="D136" i="25" s="1"/>
  <c r="D140" i="25" a="1"/>
  <c r="D140" i="25" s="1"/>
  <c r="D144" i="25" a="1"/>
  <c r="D144" i="25" s="1"/>
  <c r="D148" i="25" a="1"/>
  <c r="D148" i="25" s="1"/>
  <c r="D152" i="25" a="1"/>
  <c r="D152" i="25" s="1"/>
  <c r="D156" i="25" a="1"/>
  <c r="D156" i="25" s="1"/>
  <c r="D160" i="25" a="1"/>
  <c r="D160" i="25" s="1"/>
  <c r="D164" i="25" a="1"/>
  <c r="D164" i="25" s="1"/>
  <c r="D168" i="25" a="1"/>
  <c r="D168" i="25" s="1"/>
  <c r="D172" i="25" a="1"/>
  <c r="D172" i="25" s="1"/>
  <c r="D176" i="25" a="1"/>
  <c r="D176" i="25" s="1"/>
  <c r="D180" i="25" a="1"/>
  <c r="D180" i="25" s="1"/>
  <c r="D184" i="25" a="1"/>
  <c r="D184" i="25" s="1"/>
  <c r="D188" i="25" a="1"/>
  <c r="D188" i="25" s="1"/>
  <c r="J192" i="25" a="1"/>
  <c r="J192" i="25" s="1"/>
  <c r="F33" i="25"/>
  <c r="H33" i="25" s="1" a="1"/>
  <c r="H33" i="25" s="1"/>
  <c r="F97" i="25"/>
  <c r="I97" i="25" s="1" a="1"/>
  <c r="I97" i="25" s="1"/>
  <c r="F161" i="25"/>
  <c r="H161" i="25" s="1" a="1"/>
  <c r="H161" i="25" s="1"/>
  <c r="F219" i="25"/>
  <c r="F262" i="25"/>
  <c r="I262" i="25" s="1" a="1"/>
  <c r="I262" i="25" s="1"/>
  <c r="F295" i="25"/>
  <c r="E31" i="25"/>
  <c r="E53" i="25"/>
  <c r="E65" i="25"/>
  <c r="E76" i="25"/>
  <c r="E87" i="25"/>
  <c r="E97" i="25"/>
  <c r="E108" i="25"/>
  <c r="E119" i="25"/>
  <c r="E128" i="25"/>
  <c r="E136" i="25"/>
  <c r="E144" i="25"/>
  <c r="E152" i="25"/>
  <c r="E160" i="25"/>
  <c r="E168" i="25"/>
  <c r="E176" i="25"/>
  <c r="E184" i="25"/>
  <c r="E192" i="25"/>
  <c r="E200" i="25"/>
  <c r="E208" i="25"/>
  <c r="E216" i="25"/>
  <c r="E224" i="25"/>
  <c r="E232" i="25"/>
  <c r="E240" i="25"/>
  <c r="E248" i="25"/>
  <c r="E256" i="25"/>
  <c r="E264" i="25"/>
  <c r="E272" i="25"/>
  <c r="E279" i="25"/>
  <c r="E284" i="25"/>
  <c r="E289" i="25"/>
  <c r="E295" i="25"/>
  <c r="D4" i="25" a="1"/>
  <c r="D4" i="25" s="1"/>
  <c r="D9" i="25" a="1"/>
  <c r="D9" i="25" s="1"/>
  <c r="D13" i="25" a="1"/>
  <c r="D13" i="25" s="1"/>
  <c r="D17" i="25" a="1"/>
  <c r="D17" i="25" s="1"/>
  <c r="D21" i="25" a="1"/>
  <c r="D21" i="25" s="1"/>
  <c r="D25" i="25" a="1"/>
  <c r="D25" i="25" s="1"/>
  <c r="D29" i="25" a="1"/>
  <c r="D29" i="25" s="1"/>
  <c r="D33" i="25" a="1"/>
  <c r="D33" i="25" s="1"/>
  <c r="D37" i="25" a="1"/>
  <c r="D37" i="25" s="1"/>
  <c r="D41" i="25" a="1"/>
  <c r="D41" i="25" s="1"/>
  <c r="D45" i="25" a="1"/>
  <c r="D45" i="25" s="1"/>
  <c r="D49" i="25" a="1"/>
  <c r="D49" i="25" s="1"/>
  <c r="D53" i="25" a="1"/>
  <c r="D53" i="25" s="1"/>
  <c r="D57" i="25" a="1"/>
  <c r="D57" i="25" s="1"/>
  <c r="D61" i="25" a="1"/>
  <c r="D61" i="25" s="1"/>
  <c r="D65" i="25" a="1"/>
  <c r="D65" i="25" s="1"/>
  <c r="D69" i="25" a="1"/>
  <c r="D69" i="25" s="1"/>
  <c r="D73" i="25" a="1"/>
  <c r="D73" i="25" s="1"/>
  <c r="D77" i="25" a="1"/>
  <c r="D77" i="25" s="1"/>
  <c r="D81" i="25" a="1"/>
  <c r="D81" i="25" s="1"/>
  <c r="D85" i="25" a="1"/>
  <c r="D85" i="25" s="1"/>
  <c r="D89" i="25" a="1"/>
  <c r="D89" i="25" s="1"/>
  <c r="D93" i="25" a="1"/>
  <c r="D93" i="25" s="1"/>
  <c r="D97" i="25" a="1"/>
  <c r="D97" i="25" s="1"/>
  <c r="D101" i="25" a="1"/>
  <c r="D101" i="25" s="1"/>
  <c r="D105" i="25" a="1"/>
  <c r="D105" i="25" s="1"/>
  <c r="D109" i="25" a="1"/>
  <c r="D109" i="25" s="1"/>
  <c r="D113" i="25" a="1"/>
  <c r="D113" i="25" s="1"/>
  <c r="D117" i="25" a="1"/>
  <c r="D117" i="25" s="1"/>
  <c r="D121" i="25" a="1"/>
  <c r="D121" i="25" s="1"/>
  <c r="D125" i="25" a="1"/>
  <c r="D125" i="25" s="1"/>
  <c r="D129" i="25" a="1"/>
  <c r="D129" i="25" s="1"/>
  <c r="D133" i="25" a="1"/>
  <c r="D133" i="25" s="1"/>
  <c r="D137" i="25" a="1"/>
  <c r="D137" i="25" s="1"/>
  <c r="D141" i="25" a="1"/>
  <c r="D141" i="25" s="1"/>
  <c r="D145" i="25" a="1"/>
  <c r="D145" i="25" s="1"/>
  <c r="D149" i="25" a="1"/>
  <c r="D149" i="25" s="1"/>
  <c r="D153" i="25" a="1"/>
  <c r="D153" i="25" s="1"/>
  <c r="D157" i="25" a="1"/>
  <c r="D157" i="25" s="1"/>
  <c r="D161" i="25" a="1"/>
  <c r="D161" i="25" s="1"/>
  <c r="J256" i="25" a="1"/>
  <c r="J256" i="25" s="1"/>
  <c r="F49" i="25"/>
  <c r="H49" i="25" s="1" a="1"/>
  <c r="H49" i="25" s="1"/>
  <c r="F113" i="25"/>
  <c r="F177" i="25"/>
  <c r="F230" i="25"/>
  <c r="F271" i="25"/>
  <c r="I271" i="25" s="1" a="1"/>
  <c r="I271" i="25" s="1"/>
  <c r="E7" i="25"/>
  <c r="E39" i="25"/>
  <c r="E55" i="25"/>
  <c r="E67" i="25"/>
  <c r="E77" i="25"/>
  <c r="E88" i="25"/>
  <c r="E99" i="25"/>
  <c r="E109" i="25"/>
  <c r="E120" i="25"/>
  <c r="E129" i="25"/>
  <c r="E137" i="25"/>
  <c r="E145" i="25"/>
  <c r="E153" i="25"/>
  <c r="E161" i="25"/>
  <c r="E169" i="25"/>
  <c r="E177" i="25"/>
  <c r="E185" i="25"/>
  <c r="E193" i="25"/>
  <c r="E201" i="25"/>
  <c r="E209" i="25"/>
  <c r="G209" i="25" s="1"/>
  <c r="E217" i="25"/>
  <c r="E225" i="25"/>
  <c r="E233" i="25"/>
  <c r="E241" i="25"/>
  <c r="E249" i="25"/>
  <c r="E257" i="25"/>
  <c r="E265" i="25"/>
  <c r="E273" i="25"/>
  <c r="E280" i="25"/>
  <c r="E285" i="25"/>
  <c r="E291" i="25"/>
  <c r="E296" i="25"/>
  <c r="D5" i="25" a="1"/>
  <c r="D5" i="25" s="1"/>
  <c r="D10" i="25" a="1"/>
  <c r="D10" i="25" s="1"/>
  <c r="D14" i="25" a="1"/>
  <c r="D14" i="25" s="1"/>
  <c r="D18" i="25" a="1"/>
  <c r="D18" i="25" s="1"/>
  <c r="D22" i="25" a="1"/>
  <c r="D22" i="25" s="1"/>
  <c r="D26" i="25" a="1"/>
  <c r="D26" i="25" s="1"/>
  <c r="D30" i="25" a="1"/>
  <c r="D30" i="25" s="1"/>
  <c r="D34" i="25" a="1"/>
  <c r="D34" i="25" s="1"/>
  <c r="D38" i="25" a="1"/>
  <c r="D38" i="25" s="1"/>
  <c r="D42" i="25" a="1"/>
  <c r="D42" i="25" s="1"/>
  <c r="D46" i="25" a="1"/>
  <c r="D46" i="25" s="1"/>
  <c r="D50" i="25" a="1"/>
  <c r="D50" i="25" s="1"/>
  <c r="D54" i="25" a="1"/>
  <c r="D54" i="25" s="1"/>
  <c r="D58" i="25" a="1"/>
  <c r="D58" i="25" s="1"/>
  <c r="D62" i="25" a="1"/>
  <c r="D62" i="25" s="1"/>
  <c r="D66" i="25" a="1"/>
  <c r="D66" i="25" s="1"/>
  <c r="D70" i="25" a="1"/>
  <c r="D70" i="25" s="1"/>
  <c r="D74" i="25" a="1"/>
  <c r="D74" i="25" s="1"/>
  <c r="D78" i="25" a="1"/>
  <c r="D78" i="25" s="1"/>
  <c r="D82" i="25" a="1"/>
  <c r="D82" i="25" s="1"/>
  <c r="D86" i="25" a="1"/>
  <c r="D86" i="25" s="1"/>
  <c r="D90" i="25" a="1"/>
  <c r="D90" i="25" s="1"/>
  <c r="D94" i="25" a="1"/>
  <c r="D94" i="25" s="1"/>
  <c r="D98" i="25" a="1"/>
  <c r="D98" i="25" s="1"/>
  <c r="D102" i="25" a="1"/>
  <c r="D102" i="25" s="1"/>
  <c r="D106" i="25" a="1"/>
  <c r="D106" i="25" s="1"/>
  <c r="D110" i="25" a="1"/>
  <c r="D110" i="25" s="1"/>
  <c r="D114" i="25" a="1"/>
  <c r="D114" i="25" s="1"/>
  <c r="D118" i="25" a="1"/>
  <c r="D118" i="25" s="1"/>
  <c r="D122" i="25" a="1"/>
  <c r="D122" i="25" s="1"/>
  <c r="D126" i="25" a="1"/>
  <c r="D126" i="25" s="1"/>
  <c r="D130" i="25" a="1"/>
  <c r="D130" i="25" s="1"/>
  <c r="D134" i="25" a="1"/>
  <c r="D134" i="25" s="1"/>
  <c r="D138" i="25" a="1"/>
  <c r="D138" i="25" s="1"/>
  <c r="D142" i="25" a="1"/>
  <c r="D142" i="25" s="1"/>
  <c r="D146" i="25" a="1"/>
  <c r="D146" i="25" s="1"/>
  <c r="D150" i="25" a="1"/>
  <c r="D150" i="25" s="1"/>
  <c r="D154" i="25" a="1"/>
  <c r="D154" i="25" s="1"/>
  <c r="D158" i="25" a="1"/>
  <c r="D158" i="25" s="1"/>
  <c r="D162" i="25" a="1"/>
  <c r="D162" i="25" s="1"/>
  <c r="D166" i="25" a="1"/>
  <c r="D166" i="25" s="1"/>
  <c r="D170" i="25" a="1"/>
  <c r="D170" i="25" s="1"/>
  <c r="D174" i="25" a="1"/>
  <c r="D174" i="25" s="1"/>
  <c r="D178" i="25" a="1"/>
  <c r="D178" i="25" s="1"/>
  <c r="D182" i="25" a="1"/>
  <c r="D182" i="25" s="1"/>
  <c r="D186" i="25" a="1"/>
  <c r="D186" i="25" s="1"/>
  <c r="C142" i="25" a="1"/>
  <c r="C142" i="25" s="1"/>
  <c r="C138" i="25" a="1"/>
  <c r="C138" i="25" s="1"/>
  <c r="C133" i="25" a="1"/>
  <c r="C133" i="25" s="1"/>
  <c r="C129" i="25" a="1"/>
  <c r="C129" i="25" s="1"/>
  <c r="C125" i="25" a="1"/>
  <c r="C125" i="25" s="1"/>
  <c r="C121" i="25" a="1"/>
  <c r="C121" i="25" s="1"/>
  <c r="C117" i="25" a="1"/>
  <c r="C117" i="25" s="1"/>
  <c r="C113" i="25" a="1"/>
  <c r="C113" i="25" s="1"/>
  <c r="C109" i="25" a="1"/>
  <c r="C109" i="25" s="1"/>
  <c r="C105" i="25" a="1"/>
  <c r="C105" i="25" s="1"/>
  <c r="C101" i="25" a="1"/>
  <c r="C101" i="25" s="1"/>
  <c r="C97" i="25" a="1"/>
  <c r="C97" i="25" s="1"/>
  <c r="C93" i="25" a="1"/>
  <c r="C93" i="25" s="1"/>
  <c r="C89" i="25" a="1"/>
  <c r="C89" i="25" s="1"/>
  <c r="C85" i="25" a="1"/>
  <c r="C85" i="25" s="1"/>
  <c r="C81" i="25" a="1"/>
  <c r="C81" i="25" s="1"/>
  <c r="C77" i="25" a="1"/>
  <c r="C77" i="25" s="1"/>
  <c r="C73" i="25" a="1"/>
  <c r="C73" i="25" s="1"/>
  <c r="C69" i="25" a="1"/>
  <c r="C69" i="25" s="1"/>
  <c r="C65" i="25" a="1"/>
  <c r="C65" i="25" s="1"/>
  <c r="C61" i="25" a="1"/>
  <c r="C61" i="25" s="1"/>
  <c r="C57" i="25" a="1"/>
  <c r="C57" i="25" s="1"/>
  <c r="C53" i="25" a="1"/>
  <c r="C53" i="25" s="1"/>
  <c r="C49" i="25" a="1"/>
  <c r="C49" i="25" s="1"/>
  <c r="C45" i="25" a="1"/>
  <c r="C45" i="25" s="1"/>
  <c r="C41" i="25" a="1"/>
  <c r="C41" i="25" s="1"/>
  <c r="C37" i="25" a="1"/>
  <c r="C37" i="25" s="1"/>
  <c r="C33" i="25" a="1"/>
  <c r="C33" i="25" s="1"/>
  <c r="C29" i="25" a="1"/>
  <c r="C29" i="25" s="1"/>
  <c r="C25" i="25" a="1"/>
  <c r="C25" i="25" s="1"/>
  <c r="C21" i="25" a="1"/>
  <c r="C21" i="25" s="1"/>
  <c r="C17" i="25" a="1"/>
  <c r="C17" i="25" s="1"/>
  <c r="C13" i="25" a="1"/>
  <c r="C13" i="25" s="1"/>
  <c r="C9" i="25" a="1"/>
  <c r="C9" i="25" s="1"/>
  <c r="C5" i="25" a="1"/>
  <c r="C5" i="25" s="1"/>
  <c r="D297" i="25" a="1"/>
  <c r="D297" i="25" s="1"/>
  <c r="D293" i="25" a="1"/>
  <c r="D293" i="25" s="1"/>
  <c r="D289" i="25" a="1"/>
  <c r="D289" i="25" s="1"/>
  <c r="D285" i="25" a="1"/>
  <c r="D285" i="25" s="1"/>
  <c r="D281" i="25" a="1"/>
  <c r="D281" i="25" s="1"/>
  <c r="D277" i="25" a="1"/>
  <c r="D277" i="25" s="1"/>
  <c r="D273" i="25" a="1"/>
  <c r="D273" i="25" s="1"/>
  <c r="D269" i="25" a="1"/>
  <c r="D269" i="25" s="1"/>
  <c r="D265" i="25" a="1"/>
  <c r="D265" i="25" s="1"/>
  <c r="D261" i="25" a="1"/>
  <c r="D261" i="25" s="1"/>
  <c r="D257" i="25" a="1"/>
  <c r="D257" i="25" s="1"/>
  <c r="D253" i="25" a="1"/>
  <c r="D253" i="25" s="1"/>
  <c r="D249" i="25" a="1"/>
  <c r="D249" i="25" s="1"/>
  <c r="D245" i="25" a="1"/>
  <c r="D245" i="25" s="1"/>
  <c r="D241" i="25" a="1"/>
  <c r="D241" i="25" s="1"/>
  <c r="D237" i="25" a="1"/>
  <c r="D237" i="25" s="1"/>
  <c r="D233" i="25" a="1"/>
  <c r="D233" i="25" s="1"/>
  <c r="D229" i="25" a="1"/>
  <c r="D229" i="25" s="1"/>
  <c r="D225" i="25" a="1"/>
  <c r="D225" i="25" s="1"/>
  <c r="D221" i="25" a="1"/>
  <c r="D221" i="25" s="1"/>
  <c r="D217" i="25" a="1"/>
  <c r="D217" i="25" s="1"/>
  <c r="D213" i="25" a="1"/>
  <c r="D213" i="25" s="1"/>
  <c r="D209" i="25" a="1"/>
  <c r="D209" i="25" s="1"/>
  <c r="D205" i="25" a="1"/>
  <c r="D205" i="25" s="1"/>
  <c r="D201" i="25" a="1"/>
  <c r="D201" i="25" s="1"/>
  <c r="D197" i="25" a="1"/>
  <c r="D197" i="25" s="1"/>
  <c r="D193" i="25" a="1"/>
  <c r="D193" i="25" s="1"/>
  <c r="D189" i="25" a="1"/>
  <c r="D189" i="25" s="1"/>
  <c r="D181" i="25" a="1"/>
  <c r="D181" i="25" s="1"/>
  <c r="D173" i="25" a="1"/>
  <c r="D173" i="25" s="1"/>
  <c r="D165" i="25" a="1"/>
  <c r="D165" i="25" s="1"/>
  <c r="D151" i="25" a="1"/>
  <c r="D151" i="25" s="1"/>
  <c r="D135" i="25" a="1"/>
  <c r="D135" i="25" s="1"/>
  <c r="D119" i="25" a="1"/>
  <c r="D119" i="25" s="1"/>
  <c r="D103" i="25" a="1"/>
  <c r="D103" i="25" s="1"/>
  <c r="D87" i="25" a="1"/>
  <c r="D87" i="25" s="1"/>
  <c r="D71" i="25" a="1"/>
  <c r="D71" i="25" s="1"/>
  <c r="D55" i="25" a="1"/>
  <c r="D55" i="25" s="1"/>
  <c r="D39" i="25" a="1"/>
  <c r="D39" i="25" s="1"/>
  <c r="D23" i="25" a="1"/>
  <c r="D23" i="25" s="1"/>
  <c r="D7" i="25" a="1"/>
  <c r="D7" i="25" s="1"/>
  <c r="E281" i="25"/>
  <c r="E252" i="25"/>
  <c r="E220" i="25"/>
  <c r="E188" i="25"/>
  <c r="E156" i="25"/>
  <c r="E124" i="25"/>
  <c r="E81" i="25"/>
  <c r="E15" i="25"/>
  <c r="F129" i="25"/>
  <c r="I129" i="25" s="1" a="1"/>
  <c r="I129" i="25" s="1"/>
  <c r="C128" i="25" a="1"/>
  <c r="C128" i="25" s="1"/>
  <c r="C124" i="25" a="1"/>
  <c r="C124" i="25" s="1"/>
  <c r="C120" i="25" a="1"/>
  <c r="C120" i="25" s="1"/>
  <c r="C116" i="25" a="1"/>
  <c r="C116" i="25" s="1"/>
  <c r="C112" i="25" a="1"/>
  <c r="C112" i="25" s="1"/>
  <c r="C108" i="25" a="1"/>
  <c r="C108" i="25" s="1"/>
  <c r="C104" i="25" a="1"/>
  <c r="C104" i="25" s="1"/>
  <c r="C100" i="25" a="1"/>
  <c r="C100" i="25" s="1"/>
  <c r="C96" i="25" a="1"/>
  <c r="C96" i="25" s="1"/>
  <c r="C92" i="25" a="1"/>
  <c r="C92" i="25" s="1"/>
  <c r="C88" i="25" a="1"/>
  <c r="C88" i="25" s="1"/>
  <c r="C84" i="25" a="1"/>
  <c r="C84" i="25" s="1"/>
  <c r="C80" i="25" a="1"/>
  <c r="C80" i="25" s="1"/>
  <c r="C76" i="25" a="1"/>
  <c r="C76" i="25" s="1"/>
  <c r="C72" i="25" a="1"/>
  <c r="C72" i="25" s="1"/>
  <c r="C68" i="25" a="1"/>
  <c r="C68" i="25" s="1"/>
  <c r="C64" i="25" a="1"/>
  <c r="C64" i="25" s="1"/>
  <c r="C60" i="25" a="1"/>
  <c r="C60" i="25" s="1"/>
  <c r="C56" i="25" a="1"/>
  <c r="C56" i="25" s="1"/>
  <c r="C52" i="25" a="1"/>
  <c r="C52" i="25" s="1"/>
  <c r="C48" i="25" a="1"/>
  <c r="C48" i="25" s="1"/>
  <c r="C44" i="25" a="1"/>
  <c r="C44" i="25" s="1"/>
  <c r="C40" i="25" a="1"/>
  <c r="C40" i="25" s="1"/>
  <c r="C36" i="25" a="1"/>
  <c r="C36" i="25" s="1"/>
  <c r="C32" i="25" a="1"/>
  <c r="C32" i="25" s="1"/>
  <c r="C28" i="25" a="1"/>
  <c r="C28" i="25" s="1"/>
  <c r="C24" i="25" a="1"/>
  <c r="C24" i="25" s="1"/>
  <c r="C20" i="25" a="1"/>
  <c r="C20" i="25" s="1"/>
  <c r="C16" i="25" a="1"/>
  <c r="C16" i="25" s="1"/>
  <c r="C12" i="25" a="1"/>
  <c r="C12" i="25" s="1"/>
  <c r="C8" i="25" a="1"/>
  <c r="C8" i="25" s="1"/>
  <c r="C4" i="25" a="1"/>
  <c r="C4" i="25" s="1"/>
  <c r="D296" i="25" a="1"/>
  <c r="D296" i="25" s="1"/>
  <c r="D292" i="25" a="1"/>
  <c r="D292" i="25" s="1"/>
  <c r="D288" i="25" a="1"/>
  <c r="D288" i="25" s="1"/>
  <c r="D284" i="25" a="1"/>
  <c r="D284" i="25" s="1"/>
  <c r="D280" i="25" a="1"/>
  <c r="D280" i="25" s="1"/>
  <c r="D276" i="25" a="1"/>
  <c r="D276" i="25" s="1"/>
  <c r="D272" i="25" a="1"/>
  <c r="D272" i="25" s="1"/>
  <c r="D268" i="25" a="1"/>
  <c r="D268" i="25" s="1"/>
  <c r="D264" i="25" a="1"/>
  <c r="D264" i="25" s="1"/>
  <c r="D260" i="25" a="1"/>
  <c r="D260" i="25" s="1"/>
  <c r="D256" i="25" a="1"/>
  <c r="D256" i="25" s="1"/>
  <c r="D252" i="25" a="1"/>
  <c r="D252" i="25" s="1"/>
  <c r="D248" i="25" a="1"/>
  <c r="D248" i="25" s="1"/>
  <c r="D244" i="25" a="1"/>
  <c r="D244" i="25" s="1"/>
  <c r="D240" i="25" a="1"/>
  <c r="D240" i="25" s="1"/>
  <c r="D236" i="25" a="1"/>
  <c r="D236" i="25" s="1"/>
  <c r="D232" i="25" a="1"/>
  <c r="D232" i="25" s="1"/>
  <c r="D228" i="25" a="1"/>
  <c r="D228" i="25" s="1"/>
  <c r="D224" i="25" a="1"/>
  <c r="D224" i="25" s="1"/>
  <c r="D220" i="25" a="1"/>
  <c r="D220" i="25" s="1"/>
  <c r="D216" i="25" a="1"/>
  <c r="D216" i="25" s="1"/>
  <c r="D212" i="25" a="1"/>
  <c r="D212" i="25" s="1"/>
  <c r="D208" i="25" a="1"/>
  <c r="D208" i="25" s="1"/>
  <c r="D204" i="25" a="1"/>
  <c r="D204" i="25" s="1"/>
  <c r="D200" i="25" a="1"/>
  <c r="D200" i="25" s="1"/>
  <c r="D196" i="25" a="1"/>
  <c r="D196" i="25" s="1"/>
  <c r="D192" i="25" a="1"/>
  <c r="D192" i="25" s="1"/>
  <c r="D187" i="25" a="1"/>
  <c r="D187" i="25" s="1"/>
  <c r="D179" i="25" a="1"/>
  <c r="D179" i="25" s="1"/>
  <c r="D171" i="25" a="1"/>
  <c r="D171" i="25" s="1"/>
  <c r="D163" i="25" a="1"/>
  <c r="D163" i="25" s="1"/>
  <c r="D147" i="25" a="1"/>
  <c r="D147" i="25" s="1"/>
  <c r="D131" i="25" a="1"/>
  <c r="D131" i="25" s="1"/>
  <c r="D115" i="25" a="1"/>
  <c r="D115" i="25" s="1"/>
  <c r="D99" i="25" a="1"/>
  <c r="D99" i="25" s="1"/>
  <c r="D83" i="25" a="1"/>
  <c r="D83" i="25" s="1"/>
  <c r="D67" i="25" a="1"/>
  <c r="D67" i="25" s="1"/>
  <c r="D51" i="25" a="1"/>
  <c r="D51" i="25" s="1"/>
  <c r="D35" i="25" a="1"/>
  <c r="D35" i="25" s="1"/>
  <c r="D19" i="25" a="1"/>
  <c r="D19" i="25" s="1"/>
  <c r="E297" i="25"/>
  <c r="E276" i="25"/>
  <c r="E244" i="25"/>
  <c r="E212" i="25"/>
  <c r="E180" i="25"/>
  <c r="E148" i="25"/>
  <c r="E113" i="25"/>
  <c r="E71" i="25"/>
  <c r="F279" i="25"/>
  <c r="I279" i="25" s="1" a="1"/>
  <c r="I279" i="25" s="1"/>
  <c r="F65" i="25"/>
  <c r="J274" i="25" a="1"/>
  <c r="J274" i="25" s="1"/>
  <c r="J289" i="25" a="1"/>
  <c r="J289" i="25" s="1"/>
  <c r="J5" i="25" a="1"/>
  <c r="J5" i="25" s="1"/>
  <c r="J16" i="25" a="1"/>
  <c r="J16" i="25" s="1"/>
  <c r="J32" i="25" a="1"/>
  <c r="J32" i="25" s="1"/>
  <c r="J74" i="25" a="1"/>
  <c r="J74" i="25" s="1"/>
  <c r="J105" i="25" a="1"/>
  <c r="J105" i="25" s="1"/>
  <c r="J137" i="25" a="1"/>
  <c r="J137" i="25" s="1"/>
  <c r="J168" i="25" a="1"/>
  <c r="J168" i="25" s="1"/>
  <c r="J200" i="25" a="1"/>
  <c r="J200" i="25" s="1"/>
  <c r="J232" i="25" a="1"/>
  <c r="J232" i="25" s="1"/>
  <c r="J264" i="25" a="1"/>
  <c r="J264" i="25" s="1"/>
  <c r="J287" i="25" a="1"/>
  <c r="J287" i="25" s="1"/>
  <c r="J298" i="25" a="1"/>
  <c r="J298" i="25" s="1"/>
  <c r="F11" i="25"/>
  <c r="H11" i="25" s="1" a="1"/>
  <c r="H11" i="25" s="1"/>
  <c r="F19" i="25"/>
  <c r="F27" i="25"/>
  <c r="H27" i="25" s="1" a="1"/>
  <c r="H27" i="25" s="1"/>
  <c r="F35" i="25"/>
  <c r="F43" i="25"/>
  <c r="H43" i="25" s="1" a="1"/>
  <c r="H43" i="25" s="1"/>
  <c r="F51" i="25"/>
  <c r="F59" i="25"/>
  <c r="H59" i="25" s="1" a="1"/>
  <c r="H59" i="25" s="1"/>
  <c r="F67" i="25"/>
  <c r="H67" i="25" s="1" a="1"/>
  <c r="H67" i="25" s="1"/>
  <c r="F75" i="25"/>
  <c r="H75" i="25" s="1" a="1"/>
  <c r="H75" i="25" s="1"/>
  <c r="F83" i="25"/>
  <c r="F91" i="25"/>
  <c r="H91" i="25" s="1" a="1"/>
  <c r="H91" i="25" s="1"/>
  <c r="F99" i="25"/>
  <c r="G99" i="25" s="1"/>
  <c r="F107" i="25"/>
  <c r="H107" i="25" s="1" a="1"/>
  <c r="H107" i="25" s="1"/>
  <c r="F115" i="25"/>
  <c r="F123" i="25"/>
  <c r="H123" i="25" s="1" a="1"/>
  <c r="H123" i="25" s="1"/>
  <c r="F131" i="25"/>
  <c r="F139" i="25"/>
  <c r="H139" i="25" s="1" a="1"/>
  <c r="H139" i="25" s="1"/>
  <c r="F147" i="25"/>
  <c r="F155" i="25"/>
  <c r="H155" i="25" s="1" a="1"/>
  <c r="H155" i="25" s="1"/>
  <c r="F163" i="25"/>
  <c r="F171" i="25"/>
  <c r="H171" i="25" s="1" a="1"/>
  <c r="H171" i="25" s="1"/>
  <c r="F179" i="25"/>
  <c r="H179" i="25" s="1" a="1"/>
  <c r="H179" i="25" s="1"/>
  <c r="F187" i="25"/>
  <c r="H187" i="25" s="1" a="1"/>
  <c r="H187" i="25" s="1"/>
  <c r="F195" i="25"/>
  <c r="I195" i="25" s="1" a="1"/>
  <c r="I195" i="25" s="1"/>
  <c r="F203" i="25"/>
  <c r="H203" i="25" s="1" a="1"/>
  <c r="H203" i="25" s="1"/>
  <c r="F210" i="25"/>
  <c r="F215" i="25"/>
  <c r="I215" i="25" s="1" a="1"/>
  <c r="I215" i="25" s="1"/>
  <c r="F221" i="25"/>
  <c r="G221" i="25" s="1"/>
  <c r="F226" i="25"/>
  <c r="I226" i="25" s="1" a="1"/>
  <c r="I226" i="25" s="1"/>
  <c r="F231" i="25"/>
  <c r="F237" i="25"/>
  <c r="G237" i="25" s="1"/>
  <c r="F242" i="25"/>
  <c r="F247" i="25"/>
  <c r="I247" i="25" s="1" a="1"/>
  <c r="I247" i="25" s="1"/>
  <c r="F253" i="25"/>
  <c r="I253" i="25" s="1" a="1"/>
  <c r="I253" i="25" s="1"/>
  <c r="F258" i="25"/>
  <c r="F263" i="25"/>
  <c r="F268" i="25"/>
  <c r="I268" i="25" s="1" a="1"/>
  <c r="I268" i="25" s="1"/>
  <c r="F272" i="25"/>
  <c r="F276" i="25"/>
  <c r="I276" i="25" s="1" a="1"/>
  <c r="I276" i="25" s="1"/>
  <c r="F280" i="25"/>
  <c r="I280" i="25" s="1" a="1"/>
  <c r="I280" i="25" s="1"/>
  <c r="F284" i="25"/>
  <c r="I284" i="25" s="1" a="1"/>
  <c r="I284" i="25" s="1"/>
  <c r="F288" i="25"/>
  <c r="F292" i="25"/>
  <c r="I292" i="25" s="1" a="1"/>
  <c r="I292" i="25" s="1"/>
  <c r="F296" i="25"/>
  <c r="E4" i="25"/>
  <c r="E8" i="25"/>
  <c r="E12" i="25"/>
  <c r="E16" i="25"/>
  <c r="E20" i="25"/>
  <c r="E24" i="25"/>
  <c r="E28" i="25"/>
  <c r="E32" i="25"/>
  <c r="E36" i="25"/>
  <c r="E40" i="25"/>
  <c r="E44" i="25"/>
  <c r="E48" i="25"/>
  <c r="E52" i="25"/>
  <c r="E56" i="25"/>
  <c r="J51" i="25" a="1"/>
  <c r="J51" i="25" s="1"/>
  <c r="J89" i="25" a="1"/>
  <c r="J89" i="25" s="1"/>
  <c r="J121" i="25" a="1"/>
  <c r="J121" i="25" s="1"/>
  <c r="J153" i="25" a="1"/>
  <c r="J153" i="25" s="1"/>
  <c r="J184" i="25" a="1"/>
  <c r="J184" i="25" s="1"/>
  <c r="J216" i="25" a="1"/>
  <c r="J216" i="25" s="1"/>
  <c r="J248" i="25" a="1"/>
  <c r="J248" i="25" s="1"/>
  <c r="J279" i="25" a="1"/>
  <c r="J279" i="25" s="1"/>
  <c r="J292" i="25" a="1"/>
  <c r="J292" i="25" s="1"/>
  <c r="F7" i="25"/>
  <c r="H7" i="25" s="1" a="1"/>
  <c r="H7" i="25" s="1"/>
  <c r="F15" i="25"/>
  <c r="H15" i="25" s="1" a="1"/>
  <c r="H15" i="25" s="1"/>
  <c r="F23" i="25"/>
  <c r="F31" i="25"/>
  <c r="H31" i="25" s="1" a="1"/>
  <c r="H31" i="25" s="1"/>
  <c r="F39" i="25"/>
  <c r="I39" i="25" s="1" a="1"/>
  <c r="I39" i="25" s="1"/>
  <c r="F47" i="25"/>
  <c r="H47" i="25" s="1" a="1"/>
  <c r="H47" i="25" s="1"/>
  <c r="F55" i="25"/>
  <c r="F63" i="25"/>
  <c r="H63" i="25" s="1" a="1"/>
  <c r="H63" i="25" s="1"/>
  <c r="F71" i="25"/>
  <c r="G71" i="25" s="1"/>
  <c r="F79" i="25"/>
  <c r="H79" i="25" s="1" a="1"/>
  <c r="H79" i="25" s="1"/>
  <c r="F87" i="25"/>
  <c r="F95" i="25"/>
  <c r="H95" i="25" s="1" a="1"/>
  <c r="H95" i="25" s="1"/>
  <c r="F103" i="25"/>
  <c r="F111" i="25"/>
  <c r="H111" i="25" s="1" a="1"/>
  <c r="H111" i="25" s="1"/>
  <c r="F119" i="25"/>
  <c r="F127" i="25"/>
  <c r="H127" i="25" s="1" a="1"/>
  <c r="H127" i="25" s="1"/>
  <c r="F135" i="25"/>
  <c r="H135" i="25" s="1" a="1"/>
  <c r="H135" i="25" s="1"/>
  <c r="F143" i="25"/>
  <c r="H143" i="25" s="1" a="1"/>
  <c r="H143" i="25" s="1"/>
  <c r="F151" i="25"/>
  <c r="F159" i="25"/>
  <c r="H159" i="25" s="1" a="1"/>
  <c r="H159" i="25" s="1"/>
  <c r="F167" i="25"/>
  <c r="I167" i="25" s="1" a="1"/>
  <c r="I167" i="25" s="1"/>
  <c r="F175" i="25"/>
  <c r="I175" i="25" s="1" a="1"/>
  <c r="I175" i="25" s="1"/>
  <c r="F183" i="25"/>
  <c r="F191" i="25"/>
  <c r="I191" i="25" s="1" a="1"/>
  <c r="I191" i="25" s="1"/>
  <c r="F199" i="25"/>
  <c r="F207" i="25"/>
  <c r="I207" i="25" s="1" a="1"/>
  <c r="I207" i="25" s="1"/>
  <c r="F213" i="25"/>
  <c r="F218" i="25"/>
  <c r="F223" i="25"/>
  <c r="I223" i="25" s="1" a="1"/>
  <c r="I223" i="25" s="1"/>
  <c r="F229" i="25"/>
  <c r="G229" i="25" s="1"/>
  <c r="F234" i="25"/>
  <c r="F239" i="25"/>
  <c r="I239" i="25" s="1" a="1"/>
  <c r="I239" i="25" s="1"/>
  <c r="F245" i="25"/>
  <c r="F250" i="25"/>
  <c r="I250" i="25" s="1" a="1"/>
  <c r="I250" i="25" s="1"/>
  <c r="F255" i="25"/>
  <c r="F261" i="25"/>
  <c r="F266" i="25"/>
  <c r="F270" i="25"/>
  <c r="I270" i="25" s="1" a="1"/>
  <c r="I270" i="25" s="1"/>
  <c r="F274" i="25"/>
  <c r="F278" i="25"/>
  <c r="I278" i="25" s="1" a="1"/>
  <c r="I278" i="25" s="1"/>
  <c r="F282" i="25"/>
  <c r="I282" i="25" s="1" a="1"/>
  <c r="I282" i="25" s="1"/>
  <c r="F286" i="25"/>
  <c r="I286" i="25" s="1" a="1"/>
  <c r="I286" i="25" s="1"/>
  <c r="F290" i="25"/>
  <c r="F294" i="25"/>
  <c r="I294" i="25" s="1" a="1"/>
  <c r="I294" i="25" s="1"/>
  <c r="F298" i="25"/>
  <c r="E6" i="25"/>
  <c r="E10" i="25"/>
  <c r="E14" i="25"/>
  <c r="E18" i="25"/>
  <c r="E22" i="25"/>
  <c r="E26" i="25"/>
  <c r="E30" i="25"/>
  <c r="E34" i="25"/>
  <c r="E38" i="25"/>
  <c r="E42" i="25"/>
  <c r="E46" i="25"/>
  <c r="E50" i="25"/>
  <c r="E54" i="25"/>
  <c r="E58" i="25"/>
  <c r="E62" i="25"/>
  <c r="E66" i="25"/>
  <c r="E70" i="25"/>
  <c r="E74" i="25"/>
  <c r="E78" i="25"/>
  <c r="E82" i="25"/>
  <c r="E86" i="25"/>
  <c r="E90" i="25"/>
  <c r="E94" i="25"/>
  <c r="E98" i="25"/>
  <c r="E102" i="25"/>
  <c r="E106" i="25"/>
  <c r="E110" i="25"/>
  <c r="E114" i="25"/>
  <c r="E118" i="25"/>
  <c r="E122" i="25"/>
  <c r="J39" i="25" a="1"/>
  <c r="J39" i="25" s="1"/>
  <c r="J113" i="25" a="1"/>
  <c r="J113" i="25" s="1"/>
  <c r="J176" i="25" a="1"/>
  <c r="J176" i="25" s="1"/>
  <c r="J240" i="25" a="1"/>
  <c r="J240" i="25" s="1"/>
  <c r="J290" i="25" a="1"/>
  <c r="J290" i="25" s="1"/>
  <c r="F13" i="25"/>
  <c r="F29" i="25"/>
  <c r="H29" i="25" s="1" a="1"/>
  <c r="H29" i="25" s="1"/>
  <c r="F45" i="25"/>
  <c r="G45" i="25" s="1"/>
  <c r="F61" i="25"/>
  <c r="G61" i="25" s="1"/>
  <c r="F77" i="25"/>
  <c r="H77" i="25" s="1" a="1"/>
  <c r="H77" i="25" s="1"/>
  <c r="F93" i="25"/>
  <c r="G93" i="25" s="1"/>
  <c r="F109" i="25"/>
  <c r="F125" i="25"/>
  <c r="H125" i="25" s="1" a="1"/>
  <c r="H125" i="25" s="1"/>
  <c r="F141" i="25"/>
  <c r="I141" i="25" s="1" a="1"/>
  <c r="I141" i="25" s="1"/>
  <c r="F157" i="25"/>
  <c r="H157" i="25" s="1" a="1"/>
  <c r="H157" i="25" s="1"/>
  <c r="F173" i="25"/>
  <c r="G173" i="25" s="1"/>
  <c r="F189" i="25"/>
  <c r="G189" i="25" s="1"/>
  <c r="F205" i="25"/>
  <c r="F217" i="25"/>
  <c r="I217" i="25" s="1" a="1"/>
  <c r="I217" i="25" s="1"/>
  <c r="F227" i="25"/>
  <c r="F238" i="25"/>
  <c r="I238" i="25" s="1" a="1"/>
  <c r="I238" i="25" s="1"/>
  <c r="F249" i="25"/>
  <c r="F259" i="25"/>
  <c r="H259" i="25" s="1" a="1"/>
  <c r="H259" i="25" s="1"/>
  <c r="F269" i="25"/>
  <c r="G269" i="25" s="1"/>
  <c r="F277" i="25"/>
  <c r="F285" i="25"/>
  <c r="H285" i="25" s="1" a="1"/>
  <c r="H285" i="25" s="1"/>
  <c r="F293" i="25"/>
  <c r="I293" i="25" s="1" a="1"/>
  <c r="I293" i="25" s="1"/>
  <c r="E5" i="25"/>
  <c r="E13" i="25"/>
  <c r="E21" i="25"/>
  <c r="E29" i="25"/>
  <c r="G29" i="25" s="1"/>
  <c r="E37" i="25"/>
  <c r="G277" i="25"/>
  <c r="E275" i="25"/>
  <c r="E271" i="25"/>
  <c r="G271" i="25" s="1"/>
  <c r="E267" i="25"/>
  <c r="E263" i="25"/>
  <c r="E259" i="25"/>
  <c r="E255" i="25"/>
  <c r="E251" i="25"/>
  <c r="G251" i="25" s="1"/>
  <c r="E247" i="25"/>
  <c r="E243" i="25"/>
  <c r="E239" i="25"/>
  <c r="E235" i="25"/>
  <c r="E231" i="25"/>
  <c r="E227" i="25"/>
  <c r="E223" i="25"/>
  <c r="E219" i="25"/>
  <c r="E215" i="25"/>
  <c r="E211" i="25"/>
  <c r="E207" i="25"/>
  <c r="E203" i="25"/>
  <c r="E199" i="25"/>
  <c r="E195" i="25"/>
  <c r="E191" i="25"/>
  <c r="E187" i="25"/>
  <c r="E183" i="25"/>
  <c r="E179" i="25"/>
  <c r="E175" i="25"/>
  <c r="E171" i="25"/>
  <c r="E167" i="25"/>
  <c r="E163" i="25"/>
  <c r="E159" i="25"/>
  <c r="E155" i="25"/>
  <c r="E151" i="25"/>
  <c r="E147" i="25"/>
  <c r="E143" i="25"/>
  <c r="E139" i="25"/>
  <c r="E135" i="25"/>
  <c r="E131" i="25"/>
  <c r="E127" i="25"/>
  <c r="E123" i="25"/>
  <c r="E117" i="25"/>
  <c r="E112" i="25"/>
  <c r="E107" i="25"/>
  <c r="G107" i="25" s="1"/>
  <c r="E101" i="25"/>
  <c r="E96" i="25"/>
  <c r="E91" i="25"/>
  <c r="E85" i="25"/>
  <c r="E80" i="25"/>
  <c r="E75" i="25"/>
  <c r="E69" i="25"/>
  <c r="E64" i="25"/>
  <c r="E59" i="25"/>
  <c r="E51" i="25"/>
  <c r="E43" i="25"/>
  <c r="E35" i="25"/>
  <c r="E27" i="25"/>
  <c r="E19" i="25"/>
  <c r="E11" i="25"/>
  <c r="E3" i="25"/>
  <c r="F291" i="25"/>
  <c r="F283" i="25"/>
  <c r="G283" i="25" s="1"/>
  <c r="F275" i="25"/>
  <c r="I275" i="25" s="1" a="1"/>
  <c r="I275" i="25" s="1"/>
  <c r="F267" i="25"/>
  <c r="H267" i="25" s="1" a="1"/>
  <c r="H267" i="25" s="1"/>
  <c r="F257" i="25"/>
  <c r="F246" i="25"/>
  <c r="I246" i="25" s="1" a="1"/>
  <c r="I246" i="25" s="1"/>
  <c r="F235" i="25"/>
  <c r="F225" i="25"/>
  <c r="H225" i="25" s="1" a="1"/>
  <c r="H225" i="25" s="1"/>
  <c r="F214" i="25"/>
  <c r="F201" i="25"/>
  <c r="I201" i="25" s="1" a="1"/>
  <c r="I201" i="25" s="1"/>
  <c r="F185" i="25"/>
  <c r="F169" i="25"/>
  <c r="I169" i="25" s="1" a="1"/>
  <c r="I169" i="25" s="1"/>
  <c r="F153" i="25"/>
  <c r="F137" i="25"/>
  <c r="H137" i="25" s="1" a="1"/>
  <c r="H137" i="25" s="1"/>
  <c r="F121" i="25"/>
  <c r="H121" i="25" s="1" a="1"/>
  <c r="H121" i="25" s="1"/>
  <c r="F105" i="25"/>
  <c r="H105" i="25" s="1" a="1"/>
  <c r="H105" i="25" s="1"/>
  <c r="F89" i="25"/>
  <c r="F73" i="25"/>
  <c r="H73" i="25" s="1" a="1"/>
  <c r="H73" i="25" s="1"/>
  <c r="F57" i="25"/>
  <c r="I57" i="25" s="1" a="1"/>
  <c r="I57" i="25" s="1"/>
  <c r="F41" i="25"/>
  <c r="H41" i="25" s="1" a="1"/>
  <c r="H41" i="25" s="1"/>
  <c r="F25" i="25"/>
  <c r="F9" i="25"/>
  <c r="H9" i="25" s="1" a="1"/>
  <c r="H9" i="25" s="1"/>
  <c r="J283" i="25" a="1"/>
  <c r="J283" i="25" s="1"/>
  <c r="J224" i="25" a="1"/>
  <c r="J224" i="25" s="1"/>
  <c r="J161" i="25" a="1"/>
  <c r="J161" i="25" s="1"/>
  <c r="J97" i="25" a="1"/>
  <c r="J97" i="25" s="1"/>
  <c r="J20" i="25" a="1"/>
  <c r="J20" i="25" s="1"/>
  <c r="D6" i="25" a="1"/>
  <c r="D6" i="25" s="1"/>
  <c r="E298" i="25"/>
  <c r="E294" i="25"/>
  <c r="E290" i="25"/>
  <c r="E286" i="25"/>
  <c r="E282" i="25"/>
  <c r="E278" i="25"/>
  <c r="E274" i="25"/>
  <c r="E270" i="25"/>
  <c r="E266" i="25"/>
  <c r="E262" i="25"/>
  <c r="G262" i="25" s="1"/>
  <c r="E258" i="25"/>
  <c r="E254" i="25"/>
  <c r="E250" i="25"/>
  <c r="E246" i="25"/>
  <c r="G246" i="25" s="1"/>
  <c r="E242" i="25"/>
  <c r="E238" i="25"/>
  <c r="E234" i="25"/>
  <c r="E230" i="25"/>
  <c r="E226" i="25"/>
  <c r="E222" i="25"/>
  <c r="E218" i="25"/>
  <c r="E214" i="25"/>
  <c r="E210" i="25"/>
  <c r="E206" i="25"/>
  <c r="E202" i="25"/>
  <c r="E198" i="25"/>
  <c r="E194" i="25"/>
  <c r="E190" i="25"/>
  <c r="E186" i="25"/>
  <c r="E182" i="25"/>
  <c r="E178" i="25"/>
  <c r="E174" i="25"/>
  <c r="E170" i="25"/>
  <c r="E166" i="25"/>
  <c r="E162" i="25"/>
  <c r="E158" i="25"/>
  <c r="E154" i="25"/>
  <c r="E150" i="25"/>
  <c r="E146" i="25"/>
  <c r="E142" i="25"/>
  <c r="E138" i="25"/>
  <c r="E134" i="25"/>
  <c r="E130" i="25"/>
  <c r="E126" i="25"/>
  <c r="E121" i="25"/>
  <c r="E116" i="25"/>
  <c r="E111" i="25"/>
  <c r="E105" i="25"/>
  <c r="E100" i="25"/>
  <c r="E95" i="25"/>
  <c r="G95" i="25" s="1"/>
  <c r="E89" i="25"/>
  <c r="E84" i="25"/>
  <c r="E79" i="25"/>
  <c r="E73" i="25"/>
  <c r="G73" i="25" s="1"/>
  <c r="E68" i="25"/>
  <c r="E63" i="25"/>
  <c r="E57" i="25"/>
  <c r="E49" i="25"/>
  <c r="E41" i="25"/>
  <c r="E33" i="25"/>
  <c r="G33" i="25" s="1"/>
  <c r="E25" i="25"/>
  <c r="G25" i="25" s="1"/>
  <c r="E17" i="25"/>
  <c r="G17" i="25" s="1"/>
  <c r="E9" i="25"/>
  <c r="F297" i="25"/>
  <c r="H297" i="25" s="1" a="1"/>
  <c r="H297" i="25" s="1"/>
  <c r="F289" i="25"/>
  <c r="G289" i="25" s="1"/>
  <c r="F281" i="25"/>
  <c r="F273" i="25"/>
  <c r="H273" i="25" s="1" a="1"/>
  <c r="H273" i="25" s="1"/>
  <c r="F265" i="25"/>
  <c r="I265" i="25" s="1" a="1"/>
  <c r="I265" i="25" s="1"/>
  <c r="F254" i="25"/>
  <c r="F243" i="25"/>
  <c r="H243" i="25" s="1" a="1"/>
  <c r="H243" i="25" s="1"/>
  <c r="F233" i="25"/>
  <c r="H233" i="25" s="1" a="1"/>
  <c r="H233" i="25" s="1"/>
  <c r="F222" i="25"/>
  <c r="I222" i="25" s="1" a="1"/>
  <c r="I222" i="25" s="1"/>
  <c r="F211" i="25"/>
  <c r="F197" i="25"/>
  <c r="F181" i="25"/>
  <c r="I181" i="25" s="1" a="1"/>
  <c r="I181" i="25" s="1"/>
  <c r="F165" i="25"/>
  <c r="G165" i="25" s="1"/>
  <c r="F149" i="25"/>
  <c r="F133" i="25"/>
  <c r="F117" i="25"/>
  <c r="I117" i="25" s="1" a="1"/>
  <c r="I117" i="25" s="1"/>
  <c r="F101" i="25"/>
  <c r="H101" i="25" s="1" a="1"/>
  <c r="H101" i="25" s="1"/>
  <c r="F85" i="25"/>
  <c r="F69" i="25"/>
  <c r="I69" i="25" s="1" a="1"/>
  <c r="I69" i="25" s="1"/>
  <c r="F53" i="25"/>
  <c r="I53" i="25" s="1" a="1"/>
  <c r="I53" i="25" s="1"/>
  <c r="F37" i="25"/>
  <c r="H37" i="25" s="1" a="1"/>
  <c r="H37" i="25" s="1"/>
  <c r="F21" i="25"/>
  <c r="F5" i="25"/>
  <c r="I5" i="25" s="1" a="1"/>
  <c r="I5" i="25" s="1"/>
  <c r="J272" i="25" a="1"/>
  <c r="J272" i="25" s="1"/>
  <c r="J208" i="25" a="1"/>
  <c r="J208" i="25" s="1"/>
  <c r="J145" i="25" a="1"/>
  <c r="J145" i="25" s="1"/>
  <c r="J82" i="25" a="1"/>
  <c r="J82" i="25" s="1"/>
  <c r="J8" i="25" a="1"/>
  <c r="J8" i="25" s="1"/>
  <c r="F206" i="25"/>
  <c r="G206" i="25" s="1"/>
  <c r="F202" i="25"/>
  <c r="F198" i="25"/>
  <c r="G198" i="25" s="1"/>
  <c r="F194" i="25"/>
  <c r="G194" i="25" s="1"/>
  <c r="F190" i="25"/>
  <c r="G190" i="25" s="1"/>
  <c r="F186" i="25"/>
  <c r="F182" i="25"/>
  <c r="H182" i="25" s="1" a="1"/>
  <c r="H182" i="25" s="1"/>
  <c r="F178" i="25"/>
  <c r="H178" i="25" s="1" a="1"/>
  <c r="H178" i="25" s="1"/>
  <c r="F174" i="25"/>
  <c r="H174" i="25" s="1" a="1"/>
  <c r="H174" i="25" s="1"/>
  <c r="F170" i="25"/>
  <c r="F166" i="25"/>
  <c r="G166" i="25" s="1"/>
  <c r="F162" i="25"/>
  <c r="G162" i="25" s="1"/>
  <c r="F158" i="25"/>
  <c r="G158" i="25" s="1"/>
  <c r="F154" i="25"/>
  <c r="F150" i="25"/>
  <c r="G150" i="25" s="1"/>
  <c r="F146" i="25"/>
  <c r="G146" i="25" s="1"/>
  <c r="F142" i="25"/>
  <c r="G142" i="25" s="1"/>
  <c r="F138" i="25"/>
  <c r="F134" i="25"/>
  <c r="G134" i="25" s="1"/>
  <c r="F130" i="25"/>
  <c r="G130" i="25" s="1"/>
  <c r="F126" i="25"/>
  <c r="G126" i="25" s="1"/>
  <c r="F122" i="25"/>
  <c r="F118" i="25"/>
  <c r="H118" i="25" s="1" a="1"/>
  <c r="H118" i="25" s="1"/>
  <c r="F114" i="25"/>
  <c r="H114" i="25" s="1" a="1"/>
  <c r="H114" i="25" s="1"/>
  <c r="F110" i="25"/>
  <c r="H110" i="25" s="1" a="1"/>
  <c r="H110" i="25" s="1"/>
  <c r="F106" i="25"/>
  <c r="F102" i="25"/>
  <c r="H102" i="25" s="1" a="1"/>
  <c r="H102" i="25" s="1"/>
  <c r="F98" i="25"/>
  <c r="I98" i="25" s="1" a="1"/>
  <c r="I98" i="25" s="1"/>
  <c r="F94" i="25"/>
  <c r="H94" i="25" s="1" a="1"/>
  <c r="H94" i="25" s="1"/>
  <c r="F90" i="25"/>
  <c r="F86" i="25"/>
  <c r="H86" i="25" s="1" a="1"/>
  <c r="H86" i="25" s="1"/>
  <c r="F82" i="25"/>
  <c r="F78" i="25"/>
  <c r="H78" i="25" s="1" a="1"/>
  <c r="H78" i="25" s="1"/>
  <c r="F74" i="25"/>
  <c r="F70" i="25"/>
  <c r="H70" i="25" s="1" a="1"/>
  <c r="H70" i="25" s="1"/>
  <c r="F66" i="25"/>
  <c r="H66" i="25" s="1" a="1"/>
  <c r="H66" i="25" s="1"/>
  <c r="F62" i="25"/>
  <c r="H62" i="25" s="1" a="1"/>
  <c r="H62" i="25" s="1"/>
  <c r="F58" i="25"/>
  <c r="F54" i="25"/>
  <c r="H54" i="25" s="1" a="1"/>
  <c r="H54" i="25" s="1"/>
  <c r="F50" i="25"/>
  <c r="F46" i="25"/>
  <c r="H46" i="25" s="1" a="1"/>
  <c r="H46" i="25" s="1"/>
  <c r="F42" i="25"/>
  <c r="F38" i="25"/>
  <c r="H38" i="25" s="1" a="1"/>
  <c r="H38" i="25" s="1"/>
  <c r="F34" i="25"/>
  <c r="F30" i="25"/>
  <c r="H30" i="25" s="1" a="1"/>
  <c r="H30" i="25" s="1"/>
  <c r="F26" i="25"/>
  <c r="F22" i="25"/>
  <c r="H22" i="25" s="1" a="1"/>
  <c r="H22" i="25" s="1"/>
  <c r="F18" i="25"/>
  <c r="I18" i="25" s="1" a="1"/>
  <c r="I18" i="25" s="1"/>
  <c r="F14" i="25"/>
  <c r="H14" i="25" s="1" a="1"/>
  <c r="H14" i="25" s="1"/>
  <c r="F10" i="25"/>
  <c r="F6" i="25"/>
  <c r="H6" i="25" s="1" a="1"/>
  <c r="H6" i="25" s="1"/>
  <c r="J296" i="25" a="1"/>
  <c r="J296" i="25" s="1"/>
  <c r="J291" i="25" a="1"/>
  <c r="J291" i="25" s="1"/>
  <c r="J284" i="25" a="1"/>
  <c r="J284" i="25" s="1"/>
  <c r="J276" i="25" a="1"/>
  <c r="J276" i="25" s="1"/>
  <c r="J260" i="25" a="1"/>
  <c r="J260" i="25" s="1"/>
  <c r="J244" i="25" a="1"/>
  <c r="J244" i="25" s="1"/>
  <c r="J228" i="25" a="1"/>
  <c r="J228" i="25" s="1"/>
  <c r="J212" i="25" a="1"/>
  <c r="J212" i="25" s="1"/>
  <c r="J196" i="25" a="1"/>
  <c r="J196" i="25" s="1"/>
  <c r="J180" i="25" a="1"/>
  <c r="J180" i="25" s="1"/>
  <c r="J165" i="25" a="1"/>
  <c r="J165" i="25" s="1"/>
  <c r="J149" i="25" a="1"/>
  <c r="J149" i="25" s="1"/>
  <c r="J133" i="25" a="1"/>
  <c r="J133" i="25" s="1"/>
  <c r="J117" i="25" a="1"/>
  <c r="J117" i="25" s="1"/>
  <c r="J101" i="25" a="1"/>
  <c r="J101" i="25" s="1"/>
  <c r="J86" i="25" a="1"/>
  <c r="J86" i="25" s="1"/>
  <c r="J67" i="25" a="1"/>
  <c r="J67" i="25" s="1"/>
  <c r="J47" i="25" a="1"/>
  <c r="J47" i="25" s="1"/>
  <c r="J24" i="25" a="1"/>
  <c r="J24" i="25" s="1"/>
  <c r="J4" i="25" a="1"/>
  <c r="J4" i="25" s="1"/>
  <c r="F264" i="25"/>
  <c r="H264" i="25" s="1" a="1"/>
  <c r="H264" i="25" s="1"/>
  <c r="F260" i="25"/>
  <c r="I260" i="25" s="1" a="1"/>
  <c r="I260" i="25" s="1"/>
  <c r="F256" i="25"/>
  <c r="F252" i="25"/>
  <c r="F248" i="25"/>
  <c r="I248" i="25" s="1" a="1"/>
  <c r="I248" i="25" s="1"/>
  <c r="F244" i="25"/>
  <c r="I244" i="25" s="1" a="1"/>
  <c r="I244" i="25" s="1"/>
  <c r="F240" i="25"/>
  <c r="F236" i="25"/>
  <c r="I236" i="25" s="1" a="1"/>
  <c r="I236" i="25" s="1"/>
  <c r="F232" i="25"/>
  <c r="F228" i="25"/>
  <c r="G228" i="25" s="1"/>
  <c r="F224" i="25"/>
  <c r="F220" i="25"/>
  <c r="G220" i="25" s="1"/>
  <c r="F216" i="25"/>
  <c r="I216" i="25" s="1" a="1"/>
  <c r="I216" i="25" s="1"/>
  <c r="F212" i="25"/>
  <c r="I212" i="25" s="1" a="1"/>
  <c r="I212" i="25" s="1"/>
  <c r="F208" i="25"/>
  <c r="F204" i="25"/>
  <c r="F200" i="25"/>
  <c r="F196" i="25"/>
  <c r="I196" i="25" s="1" a="1"/>
  <c r="I196" i="25" s="1"/>
  <c r="F192" i="25"/>
  <c r="F188" i="25"/>
  <c r="I188" i="25" s="1" a="1"/>
  <c r="I188" i="25" s="1"/>
  <c r="F184" i="25"/>
  <c r="I184" i="25" s="1" a="1"/>
  <c r="I184" i="25" s="1"/>
  <c r="F180" i="25"/>
  <c r="I180" i="25" s="1" a="1"/>
  <c r="I180" i="25" s="1"/>
  <c r="F176" i="25"/>
  <c r="F172" i="25"/>
  <c r="G172" i="25" s="1"/>
  <c r="F168" i="25"/>
  <c r="I168" i="25" s="1" a="1"/>
  <c r="I168" i="25" s="1"/>
  <c r="F164" i="25"/>
  <c r="I164" i="25" s="1" a="1"/>
  <c r="I164" i="25" s="1"/>
  <c r="F160" i="25"/>
  <c r="F156" i="25"/>
  <c r="H156" i="25" s="1" a="1"/>
  <c r="H156" i="25" s="1"/>
  <c r="F152" i="25"/>
  <c r="I152" i="25" s="1" a="1"/>
  <c r="I152" i="25" s="1"/>
  <c r="F148" i="25"/>
  <c r="G148" i="25" s="1"/>
  <c r="F144" i="25"/>
  <c r="F140" i="25"/>
  <c r="G140" i="25" s="1"/>
  <c r="F136" i="25"/>
  <c r="F132" i="25"/>
  <c r="G132" i="25" s="1"/>
  <c r="F128" i="25"/>
  <c r="F124" i="25"/>
  <c r="F120" i="25"/>
  <c r="H120" i="25" s="1" a="1"/>
  <c r="H120" i="25" s="1"/>
  <c r="F116" i="25"/>
  <c r="I116" i="25" s="1" a="1"/>
  <c r="I116" i="25" s="1"/>
  <c r="F112" i="25"/>
  <c r="F108" i="25"/>
  <c r="I108" i="25" s="1" a="1"/>
  <c r="I108" i="25" s="1"/>
  <c r="F104" i="25"/>
  <c r="G104" i="25" s="1"/>
  <c r="F100" i="25"/>
  <c r="I100" i="25" s="1" a="1"/>
  <c r="I100" i="25" s="1"/>
  <c r="F96" i="25"/>
  <c r="F92" i="25"/>
  <c r="G92" i="25" s="1"/>
  <c r="F88" i="25"/>
  <c r="I88" i="25" s="1" a="1"/>
  <c r="I88" i="25" s="1"/>
  <c r="F84" i="25"/>
  <c r="H84" i="25" s="1" a="1"/>
  <c r="H84" i="25" s="1"/>
  <c r="F80" i="25"/>
  <c r="G80" i="25" s="1"/>
  <c r="F76" i="25"/>
  <c r="G76" i="25" s="1"/>
  <c r="F72" i="25"/>
  <c r="I72" i="25" s="1" a="1"/>
  <c r="I72" i="25" s="1"/>
  <c r="F68" i="25"/>
  <c r="I68" i="25" s="1" a="1"/>
  <c r="I68" i="25" s="1"/>
  <c r="F64" i="25"/>
  <c r="F60" i="25"/>
  <c r="I60" i="25" s="1" a="1"/>
  <c r="I60" i="25" s="1"/>
  <c r="F56" i="25"/>
  <c r="F52" i="25"/>
  <c r="I52" i="25" s="1" a="1"/>
  <c r="I52" i="25" s="1"/>
  <c r="F48" i="25"/>
  <c r="F44" i="25"/>
  <c r="I44" i="25" s="1" a="1"/>
  <c r="I44" i="25" s="1"/>
  <c r="F40" i="25"/>
  <c r="H40" i="25" s="1" a="1"/>
  <c r="H40" i="25" s="1"/>
  <c r="F36" i="25"/>
  <c r="I36" i="25" s="1" a="1"/>
  <c r="I36" i="25" s="1"/>
  <c r="F32" i="25"/>
  <c r="F28" i="25"/>
  <c r="I28" i="25" s="1" a="1"/>
  <c r="I28" i="25" s="1"/>
  <c r="F24" i="25"/>
  <c r="H24" i="25" s="1" a="1"/>
  <c r="H24" i="25" s="1"/>
  <c r="F20" i="25"/>
  <c r="I20" i="25" s="1" a="1"/>
  <c r="I20" i="25" s="1"/>
  <c r="F16" i="25"/>
  <c r="F12" i="25"/>
  <c r="I12" i="25" s="1" a="1"/>
  <c r="I12" i="25" s="1"/>
  <c r="F8" i="25"/>
  <c r="I8" i="25" s="1" a="1"/>
  <c r="I8" i="25" s="1"/>
  <c r="F4" i="25"/>
  <c r="I4" i="25" s="1" a="1"/>
  <c r="I4" i="25" s="1"/>
  <c r="J294" i="25" a="1"/>
  <c r="J294" i="25" s="1"/>
  <c r="J288" i="25" a="1"/>
  <c r="J288" i="25" s="1"/>
  <c r="J280" i="25" a="1"/>
  <c r="J280" i="25" s="1"/>
  <c r="J268" i="25" a="1"/>
  <c r="J268" i="25" s="1"/>
  <c r="J252" i="25" a="1"/>
  <c r="J252" i="25" s="1"/>
  <c r="J236" i="25" a="1"/>
  <c r="J236" i="25" s="1"/>
  <c r="J220" i="25" a="1"/>
  <c r="J220" i="25" s="1"/>
  <c r="J204" i="25" a="1"/>
  <c r="J204" i="25" s="1"/>
  <c r="J188" i="25" a="1"/>
  <c r="J188" i="25" s="1"/>
  <c r="J172" i="25" a="1"/>
  <c r="J172" i="25" s="1"/>
  <c r="J157" i="25" a="1"/>
  <c r="J157" i="25" s="1"/>
  <c r="J141" i="25" a="1"/>
  <c r="J141" i="25" s="1"/>
  <c r="J125" i="25" a="1"/>
  <c r="J125" i="25" s="1"/>
  <c r="J109" i="25" a="1"/>
  <c r="J109" i="25" s="1"/>
  <c r="J93" i="25" a="1"/>
  <c r="J93" i="25" s="1"/>
  <c r="J78" i="25" a="1"/>
  <c r="J78" i="25" s="1"/>
  <c r="J55" i="25" a="1"/>
  <c r="J55" i="25" s="1"/>
  <c r="J36" i="25" a="1"/>
  <c r="J36" i="25" s="1"/>
  <c r="C134" i="25" a="1"/>
  <c r="C134" i="25" s="1"/>
  <c r="J59" i="25" a="1"/>
  <c r="J59" i="25" s="1"/>
  <c r="J43" i="25" a="1"/>
  <c r="J43" i="25" s="1"/>
  <c r="J28" i="25" a="1"/>
  <c r="J28" i="25" s="1"/>
  <c r="J12" i="25" a="1"/>
  <c r="J12" i="25" s="1"/>
  <c r="F3" i="25"/>
  <c r="G3" i="25" s="1"/>
  <c r="J286" i="25" a="1"/>
  <c r="J286" i="25" s="1"/>
  <c r="J282" i="25" a="1"/>
  <c r="J282" i="25" s="1"/>
  <c r="J297" i="25" a="1"/>
  <c r="J297" i="25" s="1"/>
  <c r="J278" i="25" a="1"/>
  <c r="J278" i="25" s="1"/>
  <c r="J293" i="25" a="1"/>
  <c r="J293" i="25" s="1"/>
  <c r="J275" i="25" a="1"/>
  <c r="J275" i="25" s="1"/>
  <c r="J271" i="25" a="1"/>
  <c r="J271" i="25" s="1"/>
  <c r="J267" i="25" a="1"/>
  <c r="J267" i="25" s="1"/>
  <c r="J263" i="25" a="1"/>
  <c r="J263" i="25" s="1"/>
  <c r="J259" i="25" a="1"/>
  <c r="J259" i="25" s="1"/>
  <c r="J255" i="25" a="1"/>
  <c r="J255" i="25" s="1"/>
  <c r="J251" i="25" a="1"/>
  <c r="J251" i="25" s="1"/>
  <c r="J247" i="25" a="1"/>
  <c r="J247" i="25" s="1"/>
  <c r="J243" i="25" a="1"/>
  <c r="J243" i="25" s="1"/>
  <c r="J239" i="25" a="1"/>
  <c r="J239" i="25" s="1"/>
  <c r="J235" i="25" a="1"/>
  <c r="J235" i="25" s="1"/>
  <c r="J231" i="25" a="1"/>
  <c r="J231" i="25" s="1"/>
  <c r="J227" i="25" a="1"/>
  <c r="J227" i="25" s="1"/>
  <c r="J223" i="25" a="1"/>
  <c r="J223" i="25" s="1"/>
  <c r="J219" i="25" a="1"/>
  <c r="J219" i="25" s="1"/>
  <c r="J215" i="25" a="1"/>
  <c r="J215" i="25" s="1"/>
  <c r="J211" i="25" a="1"/>
  <c r="J211" i="25" s="1"/>
  <c r="J207" i="25" a="1"/>
  <c r="J207" i="25" s="1"/>
  <c r="J203" i="25" a="1"/>
  <c r="J203" i="25" s="1"/>
  <c r="J199" i="25" a="1"/>
  <c r="J199" i="25" s="1"/>
  <c r="J195" i="25" a="1"/>
  <c r="J195" i="25" s="1"/>
  <c r="J191" i="25" a="1"/>
  <c r="J191" i="25" s="1"/>
  <c r="J187" i="25" a="1"/>
  <c r="J187" i="25" s="1"/>
  <c r="J183" i="25" a="1"/>
  <c r="J183" i="25" s="1"/>
  <c r="J179" i="25" a="1"/>
  <c r="J179" i="25" s="1"/>
  <c r="J175" i="25" a="1"/>
  <c r="J175" i="25" s="1"/>
  <c r="J171" i="25" a="1"/>
  <c r="J171" i="25" s="1"/>
  <c r="J167" i="25" a="1"/>
  <c r="J167" i="25" s="1"/>
  <c r="J164" i="25" a="1"/>
  <c r="J164" i="25" s="1"/>
  <c r="J160" i="25" a="1"/>
  <c r="J160" i="25" s="1"/>
  <c r="J156" i="25" a="1"/>
  <c r="J156" i="25" s="1"/>
  <c r="J152" i="25" a="1"/>
  <c r="J152" i="25" s="1"/>
  <c r="J148" i="25" a="1"/>
  <c r="J148" i="25" s="1"/>
  <c r="J144" i="25" a="1"/>
  <c r="J144" i="25" s="1"/>
  <c r="J140" i="25" a="1"/>
  <c r="J140" i="25" s="1"/>
  <c r="J136" i="25" a="1"/>
  <c r="J136" i="25" s="1"/>
  <c r="J132" i="25" a="1"/>
  <c r="J132" i="25" s="1"/>
  <c r="J128" i="25" a="1"/>
  <c r="J128" i="25" s="1"/>
  <c r="J124" i="25" a="1"/>
  <c r="J124" i="25" s="1"/>
  <c r="J120" i="25" a="1"/>
  <c r="J120" i="25" s="1"/>
  <c r="J116" i="25" a="1"/>
  <c r="J116" i="25" s="1"/>
  <c r="J112" i="25" a="1"/>
  <c r="J112" i="25" s="1"/>
  <c r="J108" i="25" a="1"/>
  <c r="J108" i="25" s="1"/>
  <c r="J104" i="25" a="1"/>
  <c r="J104" i="25" s="1"/>
  <c r="J100" i="25" a="1"/>
  <c r="J100" i="25" s="1"/>
  <c r="J96" i="25" a="1"/>
  <c r="J96" i="25" s="1"/>
  <c r="J92" i="25" a="1"/>
  <c r="J92" i="25" s="1"/>
  <c r="J88" i="25" a="1"/>
  <c r="J88" i="25" s="1"/>
  <c r="J85" i="25" a="1"/>
  <c r="J85" i="25" s="1"/>
  <c r="J81" i="25" a="1"/>
  <c r="J81" i="25" s="1"/>
  <c r="J77" i="25" a="1"/>
  <c r="J77" i="25" s="1"/>
  <c r="J73" i="25" a="1"/>
  <c r="J73" i="25" s="1"/>
  <c r="J70" i="25" a="1"/>
  <c r="J70" i="25" s="1"/>
  <c r="J66" i="25" a="1"/>
  <c r="J66" i="25" s="1"/>
  <c r="J62" i="25" a="1"/>
  <c r="J62" i="25" s="1"/>
  <c r="J58" i="25" a="1"/>
  <c r="J58" i="25" s="1"/>
  <c r="J54" i="25" a="1"/>
  <c r="J54" i="25" s="1"/>
  <c r="J50" i="25" a="1"/>
  <c r="J50" i="25" s="1"/>
  <c r="J46" i="25" a="1"/>
  <c r="J46" i="25" s="1"/>
  <c r="J42" i="25" a="1"/>
  <c r="J42" i="25" s="1"/>
  <c r="J35" i="25" a="1"/>
  <c r="J35" i="25" s="1"/>
  <c r="J31" i="25" a="1"/>
  <c r="J31" i="25" s="1"/>
  <c r="J27" i="25" a="1"/>
  <c r="J27" i="25" s="1"/>
  <c r="J23" i="25" a="1"/>
  <c r="J23" i="25" s="1"/>
  <c r="J19" i="25" a="1"/>
  <c r="J19" i="25" s="1"/>
  <c r="J15" i="25" a="1"/>
  <c r="J15" i="25" s="1"/>
  <c r="J11" i="25" a="1"/>
  <c r="J11" i="25" s="1"/>
  <c r="J7" i="25" a="1"/>
  <c r="J7" i="25" s="1"/>
  <c r="J3" i="25" a="1"/>
  <c r="J3" i="25" s="1"/>
  <c r="J270" i="25" a="1"/>
  <c r="J270" i="25" s="1"/>
  <c r="J266" i="25" a="1"/>
  <c r="J266" i="25" s="1"/>
  <c r="J262" i="25" a="1"/>
  <c r="J262" i="25" s="1"/>
  <c r="J258" i="25" a="1"/>
  <c r="J258" i="25" s="1"/>
  <c r="J254" i="25" a="1"/>
  <c r="J254" i="25" s="1"/>
  <c r="J250" i="25" a="1"/>
  <c r="J250" i="25" s="1"/>
  <c r="J246" i="25" a="1"/>
  <c r="J246" i="25" s="1"/>
  <c r="J242" i="25" a="1"/>
  <c r="J242" i="25" s="1"/>
  <c r="J238" i="25" a="1"/>
  <c r="J238" i="25" s="1"/>
  <c r="J234" i="25" a="1"/>
  <c r="J234" i="25" s="1"/>
  <c r="J230" i="25" a="1"/>
  <c r="J230" i="25" s="1"/>
  <c r="J226" i="25" a="1"/>
  <c r="J226" i="25" s="1"/>
  <c r="J222" i="25" a="1"/>
  <c r="J222" i="25" s="1"/>
  <c r="J218" i="25" a="1"/>
  <c r="J218" i="25" s="1"/>
  <c r="J214" i="25" a="1"/>
  <c r="J214" i="25" s="1"/>
  <c r="J210" i="25" a="1"/>
  <c r="J210" i="25" s="1"/>
  <c r="J206" i="25" a="1"/>
  <c r="J206" i="25" s="1"/>
  <c r="J202" i="25" a="1"/>
  <c r="J202" i="25" s="1"/>
  <c r="J198" i="25" a="1"/>
  <c r="J198" i="25" s="1"/>
  <c r="J194" i="25" a="1"/>
  <c r="J194" i="25" s="1"/>
  <c r="J190" i="25" a="1"/>
  <c r="J190" i="25" s="1"/>
  <c r="J186" i="25" a="1"/>
  <c r="J186" i="25" s="1"/>
  <c r="J182" i="25" a="1"/>
  <c r="J182" i="25" s="1"/>
  <c r="J178" i="25" a="1"/>
  <c r="J178" i="25" s="1"/>
  <c r="J174" i="25" a="1"/>
  <c r="J174" i="25" s="1"/>
  <c r="J170" i="25" a="1"/>
  <c r="J170" i="25" s="1"/>
  <c r="J163" i="25" a="1"/>
  <c r="J163" i="25" s="1"/>
  <c r="J159" i="25" a="1"/>
  <c r="J159" i="25" s="1"/>
  <c r="J155" i="25" a="1"/>
  <c r="J155" i="25" s="1"/>
  <c r="J151" i="25" a="1"/>
  <c r="J151" i="25" s="1"/>
  <c r="J147" i="25" a="1"/>
  <c r="J147" i="25" s="1"/>
  <c r="J143" i="25" a="1"/>
  <c r="J143" i="25" s="1"/>
  <c r="J139" i="25" a="1"/>
  <c r="J139" i="25" s="1"/>
  <c r="J135" i="25" a="1"/>
  <c r="J135" i="25" s="1"/>
  <c r="J131" i="25" a="1"/>
  <c r="J131" i="25" s="1"/>
  <c r="J127" i="25" a="1"/>
  <c r="J127" i="25" s="1"/>
  <c r="J123" i="25" a="1"/>
  <c r="J123" i="25" s="1"/>
  <c r="J119" i="25" a="1"/>
  <c r="J119" i="25" s="1"/>
  <c r="J115" i="25" a="1"/>
  <c r="J115" i="25" s="1"/>
  <c r="J111" i="25" a="1"/>
  <c r="J111" i="25" s="1"/>
  <c r="J107" i="25" a="1"/>
  <c r="J107" i="25" s="1"/>
  <c r="J103" i="25" a="1"/>
  <c r="J103" i="25" s="1"/>
  <c r="J99" i="25" a="1"/>
  <c r="J99" i="25" s="1"/>
  <c r="J95" i="25" a="1"/>
  <c r="J95" i="25" s="1"/>
  <c r="J91" i="25" a="1"/>
  <c r="J91" i="25" s="1"/>
  <c r="J87" i="25" a="1"/>
  <c r="J87" i="25" s="1"/>
  <c r="J84" i="25" a="1"/>
  <c r="J84" i="25" s="1"/>
  <c r="J80" i="25" a="1"/>
  <c r="J80" i="25" s="1"/>
  <c r="J76" i="25" a="1"/>
  <c r="J76" i="25" s="1"/>
  <c r="J72" i="25" a="1"/>
  <c r="J72" i="25" s="1"/>
  <c r="J69" i="25" a="1"/>
  <c r="J69" i="25" s="1"/>
  <c r="J65" i="25" a="1"/>
  <c r="J65" i="25" s="1"/>
  <c r="J61" i="25" a="1"/>
  <c r="J61" i="25" s="1"/>
  <c r="J57" i="25" a="1"/>
  <c r="J57" i="25" s="1"/>
  <c r="J53" i="25" a="1"/>
  <c r="J53" i="25" s="1"/>
  <c r="J49" i="25" a="1"/>
  <c r="J49" i="25" s="1"/>
  <c r="J45" i="25" a="1"/>
  <c r="J45" i="25" s="1"/>
  <c r="J41" i="25" a="1"/>
  <c r="J41" i="25" s="1"/>
  <c r="J38" i="25" a="1"/>
  <c r="J38" i="25" s="1"/>
  <c r="J34" i="25" a="1"/>
  <c r="J34" i="25" s="1"/>
  <c r="J30" i="25" a="1"/>
  <c r="J30" i="25" s="1"/>
  <c r="J26" i="25" a="1"/>
  <c r="J26" i="25" s="1"/>
  <c r="J22" i="25" a="1"/>
  <c r="J22" i="25" s="1"/>
  <c r="J18" i="25" a="1"/>
  <c r="J18" i="25" s="1"/>
  <c r="J14" i="25" a="1"/>
  <c r="J14" i="25" s="1"/>
  <c r="J10" i="25" a="1"/>
  <c r="J10" i="25" s="1"/>
  <c r="J6" i="25" a="1"/>
  <c r="J6" i="25" s="1"/>
  <c r="J285" i="25" a="1"/>
  <c r="J285" i="25" s="1"/>
  <c r="J281" i="25" a="1"/>
  <c r="J281" i="25" s="1"/>
  <c r="J277" i="25" a="1"/>
  <c r="J277" i="25" s="1"/>
  <c r="J273" i="25" a="1"/>
  <c r="J273" i="25" s="1"/>
  <c r="J269" i="25" a="1"/>
  <c r="J269" i="25" s="1"/>
  <c r="J265" i="25" a="1"/>
  <c r="J265" i="25" s="1"/>
  <c r="J261" i="25" a="1"/>
  <c r="J261" i="25" s="1"/>
  <c r="J257" i="25" a="1"/>
  <c r="J257" i="25" s="1"/>
  <c r="J253" i="25" a="1"/>
  <c r="J253" i="25" s="1"/>
  <c r="J249" i="25" a="1"/>
  <c r="J249" i="25" s="1"/>
  <c r="J245" i="25" a="1"/>
  <c r="J245" i="25" s="1"/>
  <c r="J241" i="25" a="1"/>
  <c r="J241" i="25" s="1"/>
  <c r="J237" i="25" a="1"/>
  <c r="J237" i="25" s="1"/>
  <c r="J233" i="25" a="1"/>
  <c r="J233" i="25" s="1"/>
  <c r="J229" i="25" a="1"/>
  <c r="J229" i="25" s="1"/>
  <c r="J225" i="25" a="1"/>
  <c r="J225" i="25" s="1"/>
  <c r="J221" i="25" a="1"/>
  <c r="J221" i="25" s="1"/>
  <c r="J217" i="25" a="1"/>
  <c r="J217" i="25" s="1"/>
  <c r="J213" i="25" a="1"/>
  <c r="J213" i="25" s="1"/>
  <c r="J209" i="25" a="1"/>
  <c r="J209" i="25" s="1"/>
  <c r="J205" i="25" a="1"/>
  <c r="J205" i="25" s="1"/>
  <c r="J201" i="25" a="1"/>
  <c r="J201" i="25" s="1"/>
  <c r="J197" i="25" a="1"/>
  <c r="J197" i="25" s="1"/>
  <c r="J193" i="25" a="1"/>
  <c r="J193" i="25" s="1"/>
  <c r="J189" i="25" a="1"/>
  <c r="J189" i="25" s="1"/>
  <c r="J185" i="25" a="1"/>
  <c r="J185" i="25" s="1"/>
  <c r="J181" i="25" a="1"/>
  <c r="J181" i="25" s="1"/>
  <c r="J177" i="25" a="1"/>
  <c r="J177" i="25" s="1"/>
  <c r="J173" i="25" a="1"/>
  <c r="J173" i="25" s="1"/>
  <c r="J169" i="25" a="1"/>
  <c r="J169" i="25" s="1"/>
  <c r="J166" i="25" a="1"/>
  <c r="J166" i="25" s="1"/>
  <c r="J162" i="25" a="1"/>
  <c r="J162" i="25" s="1"/>
  <c r="J158" i="25" a="1"/>
  <c r="J158" i="25" s="1"/>
  <c r="J154" i="25" a="1"/>
  <c r="J154" i="25" s="1"/>
  <c r="J150" i="25" a="1"/>
  <c r="J150" i="25" s="1"/>
  <c r="J146" i="25" a="1"/>
  <c r="J146" i="25" s="1"/>
  <c r="J142" i="25" a="1"/>
  <c r="J142" i="25" s="1"/>
  <c r="J138" i="25" a="1"/>
  <c r="J138" i="25" s="1"/>
  <c r="J134" i="25" a="1"/>
  <c r="J134" i="25" s="1"/>
  <c r="J130" i="25" a="1"/>
  <c r="J130" i="25" s="1"/>
  <c r="J126" i="25" a="1"/>
  <c r="J126" i="25" s="1"/>
  <c r="J122" i="25" a="1"/>
  <c r="J122" i="25" s="1"/>
  <c r="J118" i="25" a="1"/>
  <c r="J118" i="25" s="1"/>
  <c r="J114" i="25" a="1"/>
  <c r="J114" i="25" s="1"/>
  <c r="J110" i="25" a="1"/>
  <c r="J110" i="25" s="1"/>
  <c r="J106" i="25" a="1"/>
  <c r="J106" i="25" s="1"/>
  <c r="J102" i="25" a="1"/>
  <c r="J102" i="25" s="1"/>
  <c r="J98" i="25" a="1"/>
  <c r="J98" i="25" s="1"/>
  <c r="J94" i="25" a="1"/>
  <c r="J94" i="25" s="1"/>
  <c r="J90" i="25" a="1"/>
  <c r="J90" i="25" s="1"/>
  <c r="J83" i="25" a="1"/>
  <c r="J83" i="25" s="1"/>
  <c r="J79" i="25" a="1"/>
  <c r="J79" i="25" s="1"/>
  <c r="J75" i="25" a="1"/>
  <c r="J75" i="25" s="1"/>
  <c r="J71" i="25" a="1"/>
  <c r="J71" i="25" s="1"/>
  <c r="J68" i="25" a="1"/>
  <c r="J68" i="25" s="1"/>
  <c r="J64" i="25" a="1"/>
  <c r="J64" i="25" s="1"/>
  <c r="J60" i="25" a="1"/>
  <c r="J60" i="25" s="1"/>
  <c r="J56" i="25" a="1"/>
  <c r="J56" i="25" s="1"/>
  <c r="J52" i="25" a="1"/>
  <c r="J52" i="25" s="1"/>
  <c r="J48" i="25" a="1"/>
  <c r="J48" i="25" s="1"/>
  <c r="J44" i="25" a="1"/>
  <c r="J44" i="25" s="1"/>
  <c r="J40" i="25" a="1"/>
  <c r="J40" i="25" s="1"/>
  <c r="J37" i="25" a="1"/>
  <c r="J37" i="25" s="1"/>
  <c r="J33" i="25" a="1"/>
  <c r="J33" i="25" s="1"/>
  <c r="J29" i="25" a="1"/>
  <c r="J29" i="25" s="1"/>
  <c r="J25" i="25" a="1"/>
  <c r="J25" i="25" s="1"/>
  <c r="J21" i="25" a="1"/>
  <c r="J21" i="25" s="1"/>
  <c r="J17" i="25" a="1"/>
  <c r="J17" i="25" s="1"/>
  <c r="J13" i="25" a="1"/>
  <c r="J13" i="25" s="1"/>
  <c r="J9" i="25" a="1"/>
  <c r="J9" i="25" s="1"/>
  <c r="I297" i="25" a="1"/>
  <c r="I297" i="25" s="1"/>
  <c r="I289" i="25" a="1"/>
  <c r="I289" i="25" s="1"/>
  <c r="I277" i="25" a="1"/>
  <c r="I277" i="25" s="1"/>
  <c r="I273" i="25" a="1"/>
  <c r="I273" i="25" s="1"/>
  <c r="I269" i="25" a="1"/>
  <c r="I269" i="25" s="1"/>
  <c r="I257" i="25" a="1"/>
  <c r="I257" i="25" s="1"/>
  <c r="I249" i="25" a="1"/>
  <c r="I249" i="25" s="1"/>
  <c r="I245" i="25" a="1"/>
  <c r="I245" i="25" s="1"/>
  <c r="I241" i="25" a="1"/>
  <c r="I241" i="25" s="1"/>
  <c r="I213" i="25" a="1"/>
  <c r="I213" i="25" s="1"/>
  <c r="I205" i="25" a="1"/>
  <c r="I205" i="25" s="1"/>
  <c r="I185" i="25" a="1"/>
  <c r="I185" i="25" s="1"/>
  <c r="I177" i="25" a="1"/>
  <c r="I177" i="25" s="1"/>
  <c r="I173" i="25" a="1"/>
  <c r="I173" i="25" s="1"/>
  <c r="I153" i="25" a="1"/>
  <c r="I153" i="25" s="1"/>
  <c r="H153" i="25" a="1"/>
  <c r="H153" i="25" s="1"/>
  <c r="I149" i="25" a="1"/>
  <c r="I149" i="25" s="1"/>
  <c r="H149" i="25" a="1"/>
  <c r="H149" i="25" s="1"/>
  <c r="I145" i="25" a="1"/>
  <c r="I145" i="25" s="1"/>
  <c r="H145" i="25" a="1"/>
  <c r="H145" i="25" s="1"/>
  <c r="H141" i="25" a="1"/>
  <c r="H141" i="25" s="1"/>
  <c r="H129" i="25" a="1"/>
  <c r="H129" i="25" s="1"/>
  <c r="I121" i="25" a="1"/>
  <c r="I121" i="25" s="1"/>
  <c r="H117" i="25" a="1"/>
  <c r="H117" i="25" s="1"/>
  <c r="I113" i="25" a="1"/>
  <c r="I113" i="25" s="1"/>
  <c r="H113" i="25" a="1"/>
  <c r="H113" i="25" s="1"/>
  <c r="I109" i="25" a="1"/>
  <c r="I109" i="25" s="1"/>
  <c r="H109" i="25" a="1"/>
  <c r="H109" i="25" s="1"/>
  <c r="H97" i="25" a="1"/>
  <c r="H97" i="25" s="1"/>
  <c r="I89" i="25" a="1"/>
  <c r="I89" i="25" s="1"/>
  <c r="H89" i="25" a="1"/>
  <c r="H89" i="25" s="1"/>
  <c r="I85" i="25" a="1"/>
  <c r="I85" i="25" s="1"/>
  <c r="H85" i="25" a="1"/>
  <c r="H85" i="25" s="1"/>
  <c r="H81" i="25" a="1"/>
  <c r="H81" i="25" s="1"/>
  <c r="I77" i="25" a="1"/>
  <c r="I77" i="25" s="1"/>
  <c r="I65" i="25" a="1"/>
  <c r="I65" i="25" s="1"/>
  <c r="H65" i="25" a="1"/>
  <c r="H65" i="25" s="1"/>
  <c r="I61" i="25" a="1"/>
  <c r="I61" i="25" s="1"/>
  <c r="I49" i="25" a="1"/>
  <c r="I49" i="25" s="1"/>
  <c r="I45" i="25" a="1"/>
  <c r="I45" i="25" s="1"/>
  <c r="H45" i="25" a="1"/>
  <c r="H45" i="25" s="1"/>
  <c r="I33" i="25" a="1"/>
  <c r="I33" i="25" s="1"/>
  <c r="I29" i="25" a="1"/>
  <c r="I29" i="25" s="1"/>
  <c r="I25" i="25" a="1"/>
  <c r="I25" i="25" s="1"/>
  <c r="H25" i="25" a="1"/>
  <c r="H25" i="25" s="1"/>
  <c r="I21" i="25" a="1"/>
  <c r="I21" i="25" s="1"/>
  <c r="H21" i="25" a="1"/>
  <c r="H21" i="25" s="1"/>
  <c r="I17" i="25" a="1"/>
  <c r="I17" i="25" s="1"/>
  <c r="H17" i="25" a="1"/>
  <c r="H17" i="25" s="1"/>
  <c r="I13" i="25" a="1"/>
  <c r="I13" i="25" s="1"/>
  <c r="H13" i="25" a="1"/>
  <c r="H13" i="25" s="1"/>
  <c r="H289" i="25" a="1"/>
  <c r="H289" i="25" s="1"/>
  <c r="H277" i="25" a="1"/>
  <c r="H277" i="25" s="1"/>
  <c r="H269" i="25" a="1"/>
  <c r="H269" i="25" s="1"/>
  <c r="H257" i="25" a="1"/>
  <c r="H257" i="25" s="1"/>
  <c r="H253" i="25" a="1"/>
  <c r="H253" i="25" s="1"/>
  <c r="H249" i="25" a="1"/>
  <c r="H249" i="25" s="1"/>
  <c r="H245" i="25" a="1"/>
  <c r="H245" i="25" s="1"/>
  <c r="H241" i="25" a="1"/>
  <c r="H241" i="25" s="1"/>
  <c r="H221" i="25" a="1"/>
  <c r="H221" i="25" s="1"/>
  <c r="H213" i="25" a="1"/>
  <c r="H213" i="25" s="1"/>
  <c r="H205" i="25" a="1"/>
  <c r="H205" i="25" s="1"/>
  <c r="H193" i="25" a="1"/>
  <c r="H193" i="25" s="1"/>
  <c r="H185" i="25" a="1"/>
  <c r="H185" i="25" s="1"/>
  <c r="I296" i="25" a="1"/>
  <c r="I296" i="25" s="1"/>
  <c r="I288" i="25" a="1"/>
  <c r="I288" i="25" s="1"/>
  <c r="I272" i="25" a="1"/>
  <c r="I272" i="25" s="1"/>
  <c r="I264" i="25" a="1"/>
  <c r="I264" i="25" s="1"/>
  <c r="I256" i="25" a="1"/>
  <c r="I256" i="25" s="1"/>
  <c r="I240" i="25" a="1"/>
  <c r="I240" i="25" s="1"/>
  <c r="I232" i="25" a="1"/>
  <c r="I232" i="25" s="1"/>
  <c r="I224" i="25" a="1"/>
  <c r="I224" i="25" s="1"/>
  <c r="I208" i="25" a="1"/>
  <c r="I208" i="25" s="1"/>
  <c r="I200" i="25" a="1"/>
  <c r="I200" i="25" s="1"/>
  <c r="I192" i="25" a="1"/>
  <c r="I192" i="25" s="1"/>
  <c r="I176" i="25" a="1"/>
  <c r="I176" i="25" s="1"/>
  <c r="H168" i="25" a="1"/>
  <c r="H168" i="25" s="1"/>
  <c r="I160" i="25" a="1"/>
  <c r="I160" i="25" s="1"/>
  <c r="H160" i="25" a="1"/>
  <c r="H160" i="25" s="1"/>
  <c r="H152" i="25" a="1"/>
  <c r="H152" i="25" s="1"/>
  <c r="I144" i="25" a="1"/>
  <c r="I144" i="25" s="1"/>
  <c r="H144" i="25" a="1"/>
  <c r="H144" i="25" s="1"/>
  <c r="H140" i="25" a="1"/>
  <c r="H140" i="25" s="1"/>
  <c r="I136" i="25" a="1"/>
  <c r="I136" i="25" s="1"/>
  <c r="H136" i="25" a="1"/>
  <c r="H136" i="25" s="1"/>
  <c r="I128" i="25" a="1"/>
  <c r="I128" i="25" s="1"/>
  <c r="H128" i="25" a="1"/>
  <c r="H128" i="25" s="1"/>
  <c r="H124" i="25" a="1"/>
  <c r="H124" i="25" s="1"/>
  <c r="I120" i="25" a="1"/>
  <c r="I120" i="25" s="1"/>
  <c r="I112" i="25" a="1"/>
  <c r="I112" i="25" s="1"/>
  <c r="H112" i="25" a="1"/>
  <c r="H112" i="25" s="1"/>
  <c r="H108" i="25" a="1"/>
  <c r="H108" i="25" s="1"/>
  <c r="H104" i="25" a="1"/>
  <c r="H104" i="25" s="1"/>
  <c r="I96" i="25" a="1"/>
  <c r="I96" i="25" s="1"/>
  <c r="H96" i="25" a="1"/>
  <c r="H96" i="25" s="1"/>
  <c r="H88" i="25" a="1"/>
  <c r="H88" i="25" s="1"/>
  <c r="I80" i="25" a="1"/>
  <c r="I80" i="25" s="1"/>
  <c r="H80" i="25" a="1"/>
  <c r="H80" i="25" s="1"/>
  <c r="H72" i="25" a="1"/>
  <c r="H72" i="25" s="1"/>
  <c r="I64" i="25" a="1"/>
  <c r="I64" i="25" s="1"/>
  <c r="H64" i="25" a="1"/>
  <c r="H64" i="25" s="1"/>
  <c r="H60" i="25" a="1"/>
  <c r="H60" i="25" s="1"/>
  <c r="I56" i="25" a="1"/>
  <c r="I56" i="25" s="1"/>
  <c r="H56" i="25" a="1"/>
  <c r="H56" i="25" s="1"/>
  <c r="I48" i="25" a="1"/>
  <c r="I48" i="25" s="1"/>
  <c r="H48" i="25" a="1"/>
  <c r="H48" i="25" s="1"/>
  <c r="H44" i="25" a="1"/>
  <c r="H44" i="25" s="1"/>
  <c r="I40" i="25" a="1"/>
  <c r="I40" i="25" s="1"/>
  <c r="I32" i="25" a="1"/>
  <c r="I32" i="25" s="1"/>
  <c r="H32" i="25" a="1"/>
  <c r="H32" i="25" s="1"/>
  <c r="I24" i="25" a="1"/>
  <c r="I24" i="25" s="1"/>
  <c r="I16" i="25" a="1"/>
  <c r="I16" i="25" s="1"/>
  <c r="H16" i="25" a="1"/>
  <c r="H16" i="25" s="1"/>
  <c r="H12" i="25" a="1"/>
  <c r="H12" i="25" s="1"/>
  <c r="H296" i="25" a="1"/>
  <c r="H296" i="25" s="1"/>
  <c r="H292" i="25" a="1"/>
  <c r="H292" i="25" s="1"/>
  <c r="H288" i="25" a="1"/>
  <c r="H288" i="25" s="1"/>
  <c r="H280" i="25" a="1"/>
  <c r="H280" i="25" s="1"/>
  <c r="H276" i="25" a="1"/>
  <c r="H276" i="25" s="1"/>
  <c r="H272" i="25" a="1"/>
  <c r="H272" i="25" s="1"/>
  <c r="H260" i="25" a="1"/>
  <c r="H260" i="25" s="1"/>
  <c r="H256" i="25" a="1"/>
  <c r="H256" i="25" s="1"/>
  <c r="H248" i="25" a="1"/>
  <c r="H248" i="25" s="1"/>
  <c r="H240" i="25" a="1"/>
  <c r="H240" i="25" s="1"/>
  <c r="H232" i="25" a="1"/>
  <c r="H232" i="25" s="1"/>
  <c r="H224" i="25" a="1"/>
  <c r="H224" i="25" s="1"/>
  <c r="H216" i="25" a="1"/>
  <c r="H216" i="25" s="1"/>
  <c r="H208" i="25" a="1"/>
  <c r="H208" i="25" s="1"/>
  <c r="H200" i="25" a="1"/>
  <c r="H200" i="25" s="1"/>
  <c r="H196" i="25" a="1"/>
  <c r="H196" i="25" s="1"/>
  <c r="H192" i="25" a="1"/>
  <c r="H192" i="25" s="1"/>
  <c r="H184" i="25" a="1"/>
  <c r="H184" i="25" s="1"/>
  <c r="H181" i="25" a="1"/>
  <c r="H181" i="25" s="1"/>
  <c r="H176" i="25" a="1"/>
  <c r="H176" i="25" s="1"/>
  <c r="H173" i="25" a="1"/>
  <c r="H173" i="25" s="1"/>
  <c r="I295" i="25" a="1"/>
  <c r="I295" i="25" s="1"/>
  <c r="I291" i="25" a="1"/>
  <c r="I291" i="25" s="1"/>
  <c r="I283" i="25" a="1"/>
  <c r="I283" i="25" s="1"/>
  <c r="I263" i="25" a="1"/>
  <c r="I263" i="25" s="1"/>
  <c r="I255" i="25" a="1"/>
  <c r="I255" i="25" s="1"/>
  <c r="I251" i="25" a="1"/>
  <c r="I251" i="25" s="1"/>
  <c r="I235" i="25" a="1"/>
  <c r="I235" i="25" s="1"/>
  <c r="I231" i="25" a="1"/>
  <c r="I231" i="25" s="1"/>
  <c r="I227" i="25" a="1"/>
  <c r="I227" i="25" s="1"/>
  <c r="I219" i="25" a="1"/>
  <c r="I219" i="25" s="1"/>
  <c r="I211" i="25" a="1"/>
  <c r="I211" i="25" s="1"/>
  <c r="I199" i="25" a="1"/>
  <c r="I199" i="25" s="1"/>
  <c r="I187" i="25" a="1"/>
  <c r="I187" i="25" s="1"/>
  <c r="I183" i="25" a="1"/>
  <c r="I183" i="25" s="1"/>
  <c r="I179" i="25" a="1"/>
  <c r="I179" i="25" s="1"/>
  <c r="H167" i="25" a="1"/>
  <c r="H167" i="25" s="1"/>
  <c r="I163" i="25" a="1"/>
  <c r="I163" i="25" s="1"/>
  <c r="H163" i="25" a="1"/>
  <c r="H163" i="25" s="1"/>
  <c r="I159" i="25" a="1"/>
  <c r="I159" i="25" s="1"/>
  <c r="I155" i="25" a="1"/>
  <c r="I155" i="25" s="1"/>
  <c r="I151" i="25" a="1"/>
  <c r="I151" i="25" s="1"/>
  <c r="H151" i="25" a="1"/>
  <c r="H151" i="25" s="1"/>
  <c r="I147" i="25" a="1"/>
  <c r="I147" i="25" s="1"/>
  <c r="H147" i="25" a="1"/>
  <c r="H147" i="25" s="1"/>
  <c r="I143" i="25" a="1"/>
  <c r="I143" i="25" s="1"/>
  <c r="I135" i="25" a="1"/>
  <c r="I135" i="25" s="1"/>
  <c r="I131" i="25" a="1"/>
  <c r="I131" i="25" s="1"/>
  <c r="H131" i="25" a="1"/>
  <c r="H131" i="25" s="1"/>
  <c r="I127" i="25" a="1"/>
  <c r="I127" i="25" s="1"/>
  <c r="I123" i="25" a="1"/>
  <c r="I123" i="25" s="1"/>
  <c r="I119" i="25" a="1"/>
  <c r="I119" i="25" s="1"/>
  <c r="H119" i="25" a="1"/>
  <c r="H119" i="25" s="1"/>
  <c r="I115" i="25" a="1"/>
  <c r="I115" i="25" s="1"/>
  <c r="H115" i="25" a="1"/>
  <c r="H115" i="25" s="1"/>
  <c r="I111" i="25" a="1"/>
  <c r="I111" i="25" s="1"/>
  <c r="I103" i="25" a="1"/>
  <c r="I103" i="25" s="1"/>
  <c r="H103" i="25" a="1"/>
  <c r="H103" i="25" s="1"/>
  <c r="H99" i="25" a="1"/>
  <c r="H99" i="25" s="1"/>
  <c r="I95" i="25" a="1"/>
  <c r="I95" i="25" s="1"/>
  <c r="I91" i="25" a="1"/>
  <c r="I91" i="25" s="1"/>
  <c r="I87" i="25" a="1"/>
  <c r="I87" i="25" s="1"/>
  <c r="H87" i="25" a="1"/>
  <c r="H87" i="25" s="1"/>
  <c r="I83" i="25" a="1"/>
  <c r="I83" i="25" s="1"/>
  <c r="H83" i="25" a="1"/>
  <c r="H83" i="25" s="1"/>
  <c r="I71" i="25" a="1"/>
  <c r="I71" i="25" s="1"/>
  <c r="H71" i="25" a="1"/>
  <c r="H71" i="25" s="1"/>
  <c r="I67" i="25" a="1"/>
  <c r="I67" i="25" s="1"/>
  <c r="I63" i="25" a="1"/>
  <c r="I63" i="25" s="1"/>
  <c r="I59" i="25" a="1"/>
  <c r="I59" i="25" s="1"/>
  <c r="I55" i="25" a="1"/>
  <c r="I55" i="25" s="1"/>
  <c r="H55" i="25" a="1"/>
  <c r="H55" i="25" s="1"/>
  <c r="I51" i="25" a="1"/>
  <c r="I51" i="25" s="1"/>
  <c r="H51" i="25" a="1"/>
  <c r="H51" i="25" s="1"/>
  <c r="I47" i="25" a="1"/>
  <c r="I47" i="25" s="1"/>
  <c r="H39" i="25" a="1"/>
  <c r="H39" i="25" s="1"/>
  <c r="I35" i="25" a="1"/>
  <c r="I35" i="25" s="1"/>
  <c r="H35" i="25" a="1"/>
  <c r="H35" i="25" s="1"/>
  <c r="I31" i="25" a="1"/>
  <c r="I31" i="25" s="1"/>
  <c r="I27" i="25" a="1"/>
  <c r="I27" i="25" s="1"/>
  <c r="I23" i="25" a="1"/>
  <c r="I23" i="25" s="1"/>
  <c r="H23" i="25" a="1"/>
  <c r="H23" i="25" s="1"/>
  <c r="I19" i="25" a="1"/>
  <c r="I19" i="25" s="1"/>
  <c r="H19" i="25" a="1"/>
  <c r="H19" i="25" s="1"/>
  <c r="I15" i="25" a="1"/>
  <c r="I15" i="25" s="1"/>
  <c r="I7" i="25" a="1"/>
  <c r="I7" i="25" s="1"/>
  <c r="H295" i="25" a="1"/>
  <c r="H295" i="25" s="1"/>
  <c r="H291" i="25" a="1"/>
  <c r="H291" i="25" s="1"/>
  <c r="H287" i="25" a="1"/>
  <c r="H287" i="25" s="1"/>
  <c r="H279" i="25" a="1"/>
  <c r="H279" i="25" s="1"/>
  <c r="H275" i="25" a="1"/>
  <c r="H275" i="25" s="1"/>
  <c r="H263" i="25" a="1"/>
  <c r="H263" i="25" s="1"/>
  <c r="H255" i="25" a="1"/>
  <c r="H255" i="25" s="1"/>
  <c r="H251" i="25" a="1"/>
  <c r="H251" i="25" s="1"/>
  <c r="H239" i="25" a="1"/>
  <c r="H239" i="25" s="1"/>
  <c r="H235" i="25" a="1"/>
  <c r="H235" i="25" s="1"/>
  <c r="H231" i="25" a="1"/>
  <c r="H231" i="25" s="1"/>
  <c r="H227" i="25" a="1"/>
  <c r="H227" i="25" s="1"/>
  <c r="H223" i="25" a="1"/>
  <c r="H223" i="25" s="1"/>
  <c r="H219" i="25" a="1"/>
  <c r="H219" i="25" s="1"/>
  <c r="H215" i="25" a="1"/>
  <c r="H215" i="25" s="1"/>
  <c r="H211" i="25" a="1"/>
  <c r="H211" i="25" s="1"/>
  <c r="H199" i="25" a="1"/>
  <c r="H199" i="25" s="1"/>
  <c r="H195" i="25" a="1"/>
  <c r="H195" i="25" s="1"/>
  <c r="H191" i="25" a="1"/>
  <c r="H191" i="25" s="1"/>
  <c r="H183" i="25" a="1"/>
  <c r="H183" i="25" s="1"/>
  <c r="I298" i="25" a="1"/>
  <c r="I298" i="25" s="1"/>
  <c r="I290" i="25" a="1"/>
  <c r="I290" i="25" s="1"/>
  <c r="I274" i="25" a="1"/>
  <c r="I274" i="25" s="1"/>
  <c r="I266" i="25" a="1"/>
  <c r="I266" i="25" s="1"/>
  <c r="I258" i="25" a="1"/>
  <c r="I258" i="25" s="1"/>
  <c r="I254" i="25" a="1"/>
  <c r="I254" i="25" s="1"/>
  <c r="I242" i="25" a="1"/>
  <c r="I242" i="25" s="1"/>
  <c r="I234" i="25" a="1"/>
  <c r="I234" i="25" s="1"/>
  <c r="I230" i="25" a="1"/>
  <c r="I230" i="25" s="1"/>
  <c r="I218" i="25" a="1"/>
  <c r="I218" i="25" s="1"/>
  <c r="I214" i="25" a="1"/>
  <c r="I214" i="25" s="1"/>
  <c r="I210" i="25" a="1"/>
  <c r="I210" i="25" s="1"/>
  <c r="I202" i="25" a="1"/>
  <c r="I202" i="25" s="1"/>
  <c r="I186" i="25" a="1"/>
  <c r="I186" i="25" s="1"/>
  <c r="I178" i="25" a="1"/>
  <c r="I178" i="25" s="1"/>
  <c r="I170" i="25" a="1"/>
  <c r="I170" i="25" s="1"/>
  <c r="H170" i="25" a="1"/>
  <c r="H170" i="25" s="1"/>
  <c r="I166" i="25" a="1"/>
  <c r="I166" i="25" s="1"/>
  <c r="I162" i="25" a="1"/>
  <c r="I162" i="25" s="1"/>
  <c r="H162" i="25" a="1"/>
  <c r="H162" i="25" s="1"/>
  <c r="I154" i="25" a="1"/>
  <c r="I154" i="25" s="1"/>
  <c r="H154" i="25" a="1"/>
  <c r="H154" i="25" s="1"/>
  <c r="I150" i="25" a="1"/>
  <c r="I150" i="25" s="1"/>
  <c r="H146" i="25" a="1"/>
  <c r="H146" i="25" s="1"/>
  <c r="I138" i="25" a="1"/>
  <c r="I138" i="25" s="1"/>
  <c r="H138" i="25" a="1"/>
  <c r="H138" i="25" s="1"/>
  <c r="I134" i="25" a="1"/>
  <c r="I134" i="25" s="1"/>
  <c r="I130" i="25" a="1"/>
  <c r="I130" i="25" s="1"/>
  <c r="H130" i="25" a="1"/>
  <c r="H130" i="25" s="1"/>
  <c r="I126" i="25" a="1"/>
  <c r="I126" i="25" s="1"/>
  <c r="I122" i="25" a="1"/>
  <c r="I122" i="25" s="1"/>
  <c r="H122" i="25" a="1"/>
  <c r="H122" i="25" s="1"/>
  <c r="I118" i="25" a="1"/>
  <c r="I118" i="25" s="1"/>
  <c r="I114" i="25" a="1"/>
  <c r="I114" i="25" s="1"/>
  <c r="I106" i="25" a="1"/>
  <c r="I106" i="25" s="1"/>
  <c r="H106" i="25" a="1"/>
  <c r="H106" i="25" s="1"/>
  <c r="I102" i="25" a="1"/>
  <c r="I102" i="25" s="1"/>
  <c r="H98" i="25" a="1"/>
  <c r="H98" i="25" s="1"/>
  <c r="I94" i="25" a="1"/>
  <c r="I94" i="25" s="1"/>
  <c r="I90" i="25" a="1"/>
  <c r="I90" i="25" s="1"/>
  <c r="H90" i="25" a="1"/>
  <c r="H90" i="25" s="1"/>
  <c r="I86" i="25" a="1"/>
  <c r="I86" i="25" s="1"/>
  <c r="I82" i="25" a="1"/>
  <c r="I82" i="25" s="1"/>
  <c r="H82" i="25" a="1"/>
  <c r="H82" i="25" s="1"/>
  <c r="I74" i="25" a="1"/>
  <c r="I74" i="25" s="1"/>
  <c r="H74" i="25" a="1"/>
  <c r="H74" i="25" s="1"/>
  <c r="I70" i="25" a="1"/>
  <c r="I70" i="25" s="1"/>
  <c r="I66" i="25" a="1"/>
  <c r="I66" i="25" s="1"/>
  <c r="I62" i="25" a="1"/>
  <c r="I62" i="25" s="1"/>
  <c r="I58" i="25" a="1"/>
  <c r="I58" i="25" s="1"/>
  <c r="H58" i="25" a="1"/>
  <c r="H58" i="25" s="1"/>
  <c r="I54" i="25" a="1"/>
  <c r="I54" i="25" s="1"/>
  <c r="I50" i="25" a="1"/>
  <c r="I50" i="25" s="1"/>
  <c r="H50" i="25" a="1"/>
  <c r="H50" i="25" s="1"/>
  <c r="I42" i="25" a="1"/>
  <c r="I42" i="25" s="1"/>
  <c r="H42" i="25" a="1"/>
  <c r="H42" i="25" s="1"/>
  <c r="I38" i="25" a="1"/>
  <c r="I38" i="25" s="1"/>
  <c r="I34" i="25" a="1"/>
  <c r="I34" i="25" s="1"/>
  <c r="H34" i="25" a="1"/>
  <c r="H34" i="25" s="1"/>
  <c r="I26" i="25" a="1"/>
  <c r="I26" i="25" s="1"/>
  <c r="H26" i="25" a="1"/>
  <c r="H26" i="25" s="1"/>
  <c r="I22" i="25" a="1"/>
  <c r="I22" i="25" s="1"/>
  <c r="H18" i="25" a="1"/>
  <c r="H18" i="25" s="1"/>
  <c r="I10" i="25" a="1"/>
  <c r="I10" i="25" s="1"/>
  <c r="H10" i="25" a="1"/>
  <c r="H10" i="25" s="1"/>
  <c r="I6" i="25" a="1"/>
  <c r="I6" i="25" s="1"/>
  <c r="H298" i="25" a="1"/>
  <c r="H298" i="25" s="1"/>
  <c r="H290" i="25" a="1"/>
  <c r="H290" i="25" s="1"/>
  <c r="H282" i="25" a="1"/>
  <c r="H282" i="25" s="1"/>
  <c r="H274" i="25" a="1"/>
  <c r="H274" i="25" s="1"/>
  <c r="H266" i="25" a="1"/>
  <c r="H266" i="25" s="1"/>
  <c r="H262" i="25" a="1"/>
  <c r="H262" i="25" s="1"/>
  <c r="H258" i="25" a="1"/>
  <c r="H258" i="25" s="1"/>
  <c r="H254" i="25" a="1"/>
  <c r="H254" i="25" s="1"/>
  <c r="H242" i="25" a="1"/>
  <c r="H242" i="25" s="1"/>
  <c r="H234" i="25" a="1"/>
  <c r="H234" i="25" s="1"/>
  <c r="H230" i="25" a="1"/>
  <c r="H230" i="25" s="1"/>
  <c r="H218" i="25" a="1"/>
  <c r="H218" i="25" s="1"/>
  <c r="H214" i="25" a="1"/>
  <c r="H214" i="25" s="1"/>
  <c r="H210" i="25" a="1"/>
  <c r="H210" i="25" s="1"/>
  <c r="H202" i="25" a="1"/>
  <c r="H202" i="25" s="1"/>
  <c r="H186" i="25" a="1"/>
  <c r="H186" i="25" s="1"/>
  <c r="H177" i="25" a="1"/>
  <c r="H177" i="25" s="1"/>
  <c r="L355" i="11"/>
  <c r="K355" i="11"/>
  <c r="L351" i="11"/>
  <c r="K351" i="11"/>
  <c r="L347" i="11"/>
  <c r="K347" i="11"/>
  <c r="L343" i="11"/>
  <c r="K343" i="11"/>
  <c r="L339" i="11"/>
  <c r="K339" i="11"/>
  <c r="L335" i="11"/>
  <c r="K335" i="11"/>
  <c r="L331" i="11"/>
  <c r="K331" i="11"/>
  <c r="L327" i="11"/>
  <c r="K327" i="11"/>
  <c r="L323" i="11"/>
  <c r="K323" i="11"/>
  <c r="L319" i="11"/>
  <c r="K319" i="11"/>
  <c r="L315" i="11"/>
  <c r="K315" i="11"/>
  <c r="L311" i="11"/>
  <c r="K311" i="11"/>
  <c r="L307" i="11"/>
  <c r="K307" i="11"/>
  <c r="L303" i="11"/>
  <c r="K303" i="11"/>
  <c r="L299" i="11"/>
  <c r="K299" i="11"/>
  <c r="L295" i="11"/>
  <c r="K295" i="11"/>
  <c r="L291" i="11"/>
  <c r="K291" i="11"/>
  <c r="L287" i="11"/>
  <c r="K287" i="11"/>
  <c r="L283" i="11"/>
  <c r="K283" i="11"/>
  <c r="L279" i="11"/>
  <c r="K279" i="11"/>
  <c r="L275" i="11"/>
  <c r="K275" i="11"/>
  <c r="L271" i="11"/>
  <c r="K271" i="11"/>
  <c r="L267" i="11"/>
  <c r="K267" i="11"/>
  <c r="L263" i="11"/>
  <c r="K263" i="11"/>
  <c r="L259" i="11"/>
  <c r="K259" i="11"/>
  <c r="L255" i="11"/>
  <c r="K255" i="11"/>
  <c r="L251" i="11"/>
  <c r="K251" i="11"/>
  <c r="L247" i="11"/>
  <c r="K247" i="11"/>
  <c r="L243" i="11"/>
  <c r="K243" i="11"/>
  <c r="L239" i="11"/>
  <c r="K239" i="11"/>
  <c r="L235" i="11"/>
  <c r="K235" i="11"/>
  <c r="L231" i="11"/>
  <c r="K231" i="11"/>
  <c r="L227" i="11"/>
  <c r="K227" i="11"/>
  <c r="L223" i="11"/>
  <c r="K223" i="11"/>
  <c r="L219" i="11"/>
  <c r="K219" i="11"/>
  <c r="L215" i="11"/>
  <c r="K215" i="11"/>
  <c r="L211" i="11"/>
  <c r="K211" i="11"/>
  <c r="L207" i="11"/>
  <c r="K207" i="11"/>
  <c r="L203" i="11"/>
  <c r="K203" i="11"/>
  <c r="L199" i="11"/>
  <c r="K199" i="11"/>
  <c r="L195" i="11"/>
  <c r="K195" i="11"/>
  <c r="L191" i="11"/>
  <c r="K191" i="11"/>
  <c r="L187" i="11"/>
  <c r="K187" i="11"/>
  <c r="L183" i="11"/>
  <c r="K183" i="11"/>
  <c r="L180" i="11"/>
  <c r="K180" i="11"/>
  <c r="L176" i="11"/>
  <c r="K176" i="11"/>
  <c r="L172" i="11"/>
  <c r="K172" i="11"/>
  <c r="L168" i="11"/>
  <c r="K168" i="11"/>
  <c r="L164" i="11"/>
  <c r="K164" i="11"/>
  <c r="L160" i="11"/>
  <c r="K160" i="11"/>
  <c r="L156" i="11"/>
  <c r="K156" i="11"/>
  <c r="L152" i="11"/>
  <c r="K152" i="11"/>
  <c r="L148" i="11"/>
  <c r="K148" i="11"/>
  <c r="L144" i="11"/>
  <c r="K144" i="11"/>
  <c r="L140" i="11"/>
  <c r="K140" i="11"/>
  <c r="L136" i="11"/>
  <c r="K136" i="11"/>
  <c r="L132" i="11"/>
  <c r="K132" i="11"/>
  <c r="L128" i="11"/>
  <c r="K128" i="11"/>
  <c r="L124" i="11"/>
  <c r="K124" i="11"/>
  <c r="L120" i="11"/>
  <c r="K120" i="11"/>
  <c r="L117" i="11"/>
  <c r="K117" i="11"/>
  <c r="L113" i="11"/>
  <c r="K113" i="11"/>
  <c r="L109" i="11"/>
  <c r="K109" i="11"/>
  <c r="L105" i="11"/>
  <c r="K105" i="11"/>
  <c r="L101" i="11"/>
  <c r="K101" i="11"/>
  <c r="L97" i="11"/>
  <c r="K97" i="11"/>
  <c r="L93" i="11"/>
  <c r="K93" i="11"/>
  <c r="L89" i="11"/>
  <c r="K89" i="11"/>
  <c r="L85" i="11"/>
  <c r="K85" i="11"/>
  <c r="L81" i="11"/>
  <c r="K81" i="11"/>
  <c r="L77" i="11"/>
  <c r="K77" i="11"/>
  <c r="L73" i="11"/>
  <c r="K73" i="11"/>
  <c r="L69" i="11"/>
  <c r="K69" i="11"/>
  <c r="L65" i="11"/>
  <c r="K65" i="11"/>
  <c r="L61" i="11"/>
  <c r="K61" i="11"/>
  <c r="L57" i="11"/>
  <c r="K57" i="11"/>
  <c r="L53" i="11"/>
  <c r="K53" i="11"/>
  <c r="L49" i="11"/>
  <c r="K49" i="11"/>
  <c r="L45" i="11"/>
  <c r="K45" i="11"/>
  <c r="L41" i="11"/>
  <c r="K41" i="11"/>
  <c r="L37" i="11"/>
  <c r="K37" i="11"/>
  <c r="L33" i="11"/>
  <c r="K33" i="11"/>
  <c r="L29" i="11"/>
  <c r="K29" i="11"/>
  <c r="L25" i="11"/>
  <c r="K25" i="11"/>
  <c r="L21" i="11"/>
  <c r="K21" i="11"/>
  <c r="L17" i="11"/>
  <c r="K17" i="11"/>
  <c r="L13" i="11"/>
  <c r="K13" i="11"/>
  <c r="L9" i="11"/>
  <c r="K9" i="11"/>
  <c r="L5" i="11"/>
  <c r="K5" i="11"/>
  <c r="K495" i="11"/>
  <c r="K491" i="11"/>
  <c r="K487" i="11"/>
  <c r="K483" i="11"/>
  <c r="K479" i="11"/>
  <c r="K475" i="11"/>
  <c r="K471" i="11"/>
  <c r="K467" i="11"/>
  <c r="K463" i="11"/>
  <c r="K459" i="11"/>
  <c r="K455" i="11"/>
  <c r="K451" i="11"/>
  <c r="K447" i="11"/>
  <c r="K443" i="11"/>
  <c r="K439" i="11"/>
  <c r="K435" i="11"/>
  <c r="K431" i="11"/>
  <c r="K427" i="11"/>
  <c r="K423" i="11"/>
  <c r="K419" i="11"/>
  <c r="K415" i="11"/>
  <c r="K411" i="11"/>
  <c r="K407" i="11"/>
  <c r="K403" i="11"/>
  <c r="K399" i="11"/>
  <c r="K395" i="11"/>
  <c r="K391" i="11"/>
  <c r="K387" i="11"/>
  <c r="K383" i="11"/>
  <c r="K379" i="11"/>
  <c r="K375" i="11"/>
  <c r="K371" i="11"/>
  <c r="K367" i="11"/>
  <c r="K363" i="11"/>
  <c r="K359" i="11"/>
  <c r="K354" i="11"/>
  <c r="K346" i="11"/>
  <c r="K338" i="11"/>
  <c r="K330" i="11"/>
  <c r="K322" i="11"/>
  <c r="K314" i="11"/>
  <c r="K306" i="11"/>
  <c r="K298" i="11"/>
  <c r="K290" i="11"/>
  <c r="K282" i="11"/>
  <c r="K274" i="11"/>
  <c r="K266" i="11"/>
  <c r="K258" i="11"/>
  <c r="K250" i="11"/>
  <c r="K242" i="11"/>
  <c r="K234" i="11"/>
  <c r="K226" i="11"/>
  <c r="K218" i="11"/>
  <c r="K210" i="11"/>
  <c r="K202" i="11"/>
  <c r="K194" i="11"/>
  <c r="K186" i="11"/>
  <c r="K179" i="11"/>
  <c r="K171" i="11"/>
  <c r="K163" i="11"/>
  <c r="K155" i="11"/>
  <c r="K147" i="11"/>
  <c r="K139" i="11"/>
  <c r="K131" i="11"/>
  <c r="K123" i="11"/>
  <c r="K116" i="11"/>
  <c r="K108" i="11"/>
  <c r="K100" i="11"/>
  <c r="K92" i="11"/>
  <c r="K84" i="11"/>
  <c r="K76" i="11"/>
  <c r="K68" i="11"/>
  <c r="K60" i="11"/>
  <c r="K52" i="11"/>
  <c r="K44" i="11"/>
  <c r="K36" i="11"/>
  <c r="K28" i="11"/>
  <c r="K20" i="11"/>
  <c r="K12" i="11"/>
  <c r="K4" i="11"/>
  <c r="L490" i="11"/>
  <c r="L482" i="11"/>
  <c r="L474" i="11"/>
  <c r="L466" i="11"/>
  <c r="K494" i="11"/>
  <c r="K486" i="11"/>
  <c r="K478" i="11"/>
  <c r="K470" i="11"/>
  <c r="K462" i="11"/>
  <c r="K458" i="11"/>
  <c r="K454" i="11"/>
  <c r="K450" i="11"/>
  <c r="K446" i="11"/>
  <c r="K442" i="11"/>
  <c r="K438" i="11"/>
  <c r="K434" i="11"/>
  <c r="K430" i="11"/>
  <c r="K426" i="11"/>
  <c r="K422" i="11"/>
  <c r="K418" i="11"/>
  <c r="K414" i="11"/>
  <c r="K410" i="11"/>
  <c r="K406" i="11"/>
  <c r="K402" i="11"/>
  <c r="K398" i="11"/>
  <c r="K394" i="11"/>
  <c r="K390" i="11"/>
  <c r="K386" i="11"/>
  <c r="K382" i="11"/>
  <c r="K378" i="11"/>
  <c r="K374" i="11"/>
  <c r="K370" i="11"/>
  <c r="K366" i="11"/>
  <c r="K362" i="11"/>
  <c r="K358" i="11"/>
  <c r="K352" i="11"/>
  <c r="K344" i="11"/>
  <c r="K336" i="11"/>
  <c r="K328" i="11"/>
  <c r="K320" i="11"/>
  <c r="K312" i="11"/>
  <c r="K304" i="11"/>
  <c r="K296" i="11"/>
  <c r="K288" i="11"/>
  <c r="K280" i="11"/>
  <c r="K272" i="11"/>
  <c r="K264" i="11"/>
  <c r="K256" i="11"/>
  <c r="K248" i="11"/>
  <c r="K240" i="11"/>
  <c r="K232" i="11"/>
  <c r="K224" i="11"/>
  <c r="K216" i="11"/>
  <c r="K208" i="11"/>
  <c r="K200" i="11"/>
  <c r="K192" i="11"/>
  <c r="K184" i="11"/>
  <c r="K177" i="11"/>
  <c r="K169" i="11"/>
  <c r="K161" i="11"/>
  <c r="K153" i="11"/>
  <c r="K145" i="11"/>
  <c r="K137" i="11"/>
  <c r="K129" i="11"/>
  <c r="K121" i="11"/>
  <c r="K114" i="11"/>
  <c r="K106" i="11"/>
  <c r="K98" i="11"/>
  <c r="K90" i="11"/>
  <c r="K82" i="11"/>
  <c r="K74" i="11"/>
  <c r="K66" i="11"/>
  <c r="K58" i="11"/>
  <c r="K50" i="11"/>
  <c r="K42" i="11"/>
  <c r="K34" i="11"/>
  <c r="K26" i="11"/>
  <c r="K18" i="11"/>
  <c r="K10" i="11"/>
  <c r="K2" i="11"/>
  <c r="L488" i="11"/>
  <c r="L480" i="11"/>
  <c r="L472" i="11"/>
  <c r="L464" i="11"/>
  <c r="L353" i="11"/>
  <c r="K353" i="11"/>
  <c r="L349" i="11"/>
  <c r="K349" i="11"/>
  <c r="L345" i="11"/>
  <c r="K345" i="11"/>
  <c r="L341" i="11"/>
  <c r="K341" i="11"/>
  <c r="L337" i="11"/>
  <c r="K337" i="11"/>
  <c r="L333" i="11"/>
  <c r="K333" i="11"/>
  <c r="L329" i="11"/>
  <c r="K329" i="11"/>
  <c r="L325" i="11"/>
  <c r="K325" i="11"/>
  <c r="L321" i="11"/>
  <c r="K321" i="11"/>
  <c r="L317" i="11"/>
  <c r="K317" i="11"/>
  <c r="L313" i="11"/>
  <c r="K313" i="11"/>
  <c r="L309" i="11"/>
  <c r="K309" i="11"/>
  <c r="L305" i="11"/>
  <c r="K305" i="11"/>
  <c r="L301" i="11"/>
  <c r="K301" i="11"/>
  <c r="L297" i="11"/>
  <c r="K297" i="11"/>
  <c r="L293" i="11"/>
  <c r="K293" i="11"/>
  <c r="L289" i="11"/>
  <c r="K289" i="11"/>
  <c r="L285" i="11"/>
  <c r="K285" i="11"/>
  <c r="L281" i="11"/>
  <c r="K281" i="11"/>
  <c r="L277" i="11"/>
  <c r="K277" i="11"/>
  <c r="L273" i="11"/>
  <c r="K273" i="11"/>
  <c r="L269" i="11"/>
  <c r="K269" i="11"/>
  <c r="L265" i="11"/>
  <c r="K265" i="11"/>
  <c r="L261" i="11"/>
  <c r="K261" i="11"/>
  <c r="L257" i="11"/>
  <c r="K257" i="11"/>
  <c r="L253" i="11"/>
  <c r="K253" i="11"/>
  <c r="L249" i="11"/>
  <c r="K249" i="11"/>
  <c r="L245" i="11"/>
  <c r="K245" i="11"/>
  <c r="L241" i="11"/>
  <c r="K241" i="11"/>
  <c r="L237" i="11"/>
  <c r="K237" i="11"/>
  <c r="L233" i="11"/>
  <c r="K233" i="11"/>
  <c r="L229" i="11"/>
  <c r="K229" i="11"/>
  <c r="L225" i="11"/>
  <c r="K225" i="11"/>
  <c r="L221" i="11"/>
  <c r="K221" i="11"/>
  <c r="L217" i="11"/>
  <c r="K217" i="11"/>
  <c r="L213" i="11"/>
  <c r="K213" i="11"/>
  <c r="L209" i="11"/>
  <c r="K209" i="11"/>
  <c r="L205" i="11"/>
  <c r="K205" i="11"/>
  <c r="L201" i="11"/>
  <c r="K201" i="11"/>
  <c r="L197" i="11"/>
  <c r="K197" i="11"/>
  <c r="L193" i="11"/>
  <c r="K193" i="11"/>
  <c r="L189" i="11"/>
  <c r="K189" i="11"/>
  <c r="L185" i="11"/>
  <c r="K185" i="11"/>
  <c r="L182" i="11"/>
  <c r="K182" i="11"/>
  <c r="L178" i="11"/>
  <c r="K178" i="11"/>
  <c r="L174" i="11"/>
  <c r="K174" i="11"/>
  <c r="L170" i="11"/>
  <c r="K170" i="11"/>
  <c r="L166" i="11"/>
  <c r="K166" i="11"/>
  <c r="L162" i="11"/>
  <c r="K162" i="11"/>
  <c r="L158" i="11"/>
  <c r="K158" i="11"/>
  <c r="L154" i="11"/>
  <c r="K154" i="11"/>
  <c r="L150" i="11"/>
  <c r="K150" i="11"/>
  <c r="L146" i="11"/>
  <c r="K146" i="11"/>
  <c r="L142" i="11"/>
  <c r="K142" i="11"/>
  <c r="L138" i="11"/>
  <c r="K138" i="11"/>
  <c r="L134" i="11"/>
  <c r="K134" i="11"/>
  <c r="L130" i="11"/>
  <c r="K130" i="11"/>
  <c r="L126" i="11"/>
  <c r="K126" i="11"/>
  <c r="L122" i="11"/>
  <c r="K122" i="11"/>
  <c r="L115" i="11"/>
  <c r="K115" i="11"/>
  <c r="L111" i="11"/>
  <c r="K111" i="11"/>
  <c r="L107" i="11"/>
  <c r="K107" i="11"/>
  <c r="L103" i="11"/>
  <c r="K103" i="11"/>
  <c r="L99" i="11"/>
  <c r="K99" i="11"/>
  <c r="L95" i="11"/>
  <c r="K95" i="11"/>
  <c r="L91" i="11"/>
  <c r="K91" i="11"/>
  <c r="L87" i="11"/>
  <c r="K87" i="11"/>
  <c r="L83" i="11"/>
  <c r="K83" i="11"/>
  <c r="L79" i="11"/>
  <c r="K79" i="11"/>
  <c r="L75" i="11"/>
  <c r="K75" i="11"/>
  <c r="L71" i="11"/>
  <c r="K71" i="11"/>
  <c r="L67" i="11"/>
  <c r="K67" i="11"/>
  <c r="L63" i="11"/>
  <c r="K63" i="11"/>
  <c r="L59" i="11"/>
  <c r="K59" i="11"/>
  <c r="L55" i="11"/>
  <c r="K55" i="11"/>
  <c r="L51" i="11"/>
  <c r="K51" i="11"/>
  <c r="L47" i="11"/>
  <c r="K47" i="11"/>
  <c r="L43" i="11"/>
  <c r="K43" i="11"/>
  <c r="L39" i="11"/>
  <c r="K39" i="11"/>
  <c r="L35" i="11"/>
  <c r="K35" i="11"/>
  <c r="L31" i="11"/>
  <c r="K31" i="11"/>
  <c r="L27" i="11"/>
  <c r="K27" i="11"/>
  <c r="L23" i="11"/>
  <c r="K23" i="11"/>
  <c r="L19" i="11"/>
  <c r="K19" i="11"/>
  <c r="L15" i="11"/>
  <c r="K15" i="11"/>
  <c r="L11" i="11"/>
  <c r="K11" i="11"/>
  <c r="L7" i="11"/>
  <c r="K7" i="11"/>
  <c r="L3" i="11"/>
  <c r="L95" i="26" s="1" a="1"/>
  <c r="L95" i="26" s="1"/>
  <c r="K3" i="11"/>
  <c r="K493" i="11"/>
  <c r="K489" i="11"/>
  <c r="K485" i="11"/>
  <c r="K481" i="11"/>
  <c r="K477" i="11"/>
  <c r="K473" i="11"/>
  <c r="K469" i="11"/>
  <c r="K465" i="11"/>
  <c r="K461" i="11"/>
  <c r="K457" i="11"/>
  <c r="K453" i="11"/>
  <c r="K449" i="11"/>
  <c r="K445" i="11"/>
  <c r="K441" i="11"/>
  <c r="K437" i="11"/>
  <c r="K433" i="11"/>
  <c r="K429" i="11"/>
  <c r="K425" i="11"/>
  <c r="K421" i="11"/>
  <c r="K417" i="11"/>
  <c r="K413" i="11"/>
  <c r="K409" i="11"/>
  <c r="K405" i="11"/>
  <c r="K401" i="11"/>
  <c r="K397" i="11"/>
  <c r="K393" i="11"/>
  <c r="K389" i="11"/>
  <c r="K385" i="11"/>
  <c r="K381" i="11"/>
  <c r="K377" i="11"/>
  <c r="K373" i="11"/>
  <c r="K369" i="11"/>
  <c r="K365" i="11"/>
  <c r="K361" i="11"/>
  <c r="K357" i="11"/>
  <c r="K350" i="11"/>
  <c r="K342" i="11"/>
  <c r="K334" i="11"/>
  <c r="K326" i="11"/>
  <c r="K318" i="11"/>
  <c r="K310" i="11"/>
  <c r="K302" i="11"/>
  <c r="K294" i="11"/>
  <c r="K286" i="11"/>
  <c r="K278" i="11"/>
  <c r="K270" i="11"/>
  <c r="K262" i="11"/>
  <c r="K254" i="11"/>
  <c r="K246" i="11"/>
  <c r="K238" i="11"/>
  <c r="K230" i="11"/>
  <c r="K222" i="11"/>
  <c r="K214" i="11"/>
  <c r="K206" i="11"/>
  <c r="K198" i="11"/>
  <c r="K190" i="11"/>
  <c r="K175" i="11"/>
  <c r="K167" i="11"/>
  <c r="K159" i="11"/>
  <c r="K151" i="11"/>
  <c r="K143" i="11"/>
  <c r="K135" i="11"/>
  <c r="K127" i="11"/>
  <c r="K119" i="11"/>
  <c r="K112" i="11"/>
  <c r="K104" i="11"/>
  <c r="K96" i="11"/>
  <c r="K88" i="11"/>
  <c r="K80" i="11"/>
  <c r="K72" i="11"/>
  <c r="K64" i="11"/>
  <c r="K56" i="11"/>
  <c r="K48" i="11"/>
  <c r="K40" i="11"/>
  <c r="K32" i="11"/>
  <c r="K24" i="11"/>
  <c r="K16" i="11"/>
  <c r="K8" i="11"/>
  <c r="K492" i="11"/>
  <c r="K484" i="11"/>
  <c r="K476" i="11"/>
  <c r="K468" i="11"/>
  <c r="K460" i="11"/>
  <c r="K456" i="11"/>
  <c r="K452" i="11"/>
  <c r="K448" i="11"/>
  <c r="K444" i="11"/>
  <c r="K440" i="11"/>
  <c r="K436" i="11"/>
  <c r="K432" i="11"/>
  <c r="K428" i="11"/>
  <c r="K424" i="11"/>
  <c r="K420" i="11"/>
  <c r="K416" i="11"/>
  <c r="K412" i="11"/>
  <c r="K408" i="11"/>
  <c r="K404" i="11"/>
  <c r="K400" i="11"/>
  <c r="K396" i="11"/>
  <c r="K392" i="11"/>
  <c r="K388" i="11"/>
  <c r="K384" i="11"/>
  <c r="K380" i="11"/>
  <c r="K376" i="11"/>
  <c r="K372" i="11"/>
  <c r="K368" i="11"/>
  <c r="K364" i="11"/>
  <c r="K360" i="11"/>
  <c r="K356" i="11"/>
  <c r="K348" i="11"/>
  <c r="K340" i="11"/>
  <c r="K332" i="11"/>
  <c r="K324" i="11"/>
  <c r="K316" i="11"/>
  <c r="K308" i="11"/>
  <c r="K300" i="11"/>
  <c r="K292" i="11"/>
  <c r="K284" i="11"/>
  <c r="K276" i="11"/>
  <c r="K268" i="11"/>
  <c r="K260" i="11"/>
  <c r="K252" i="11"/>
  <c r="K244" i="11"/>
  <c r="K236" i="11"/>
  <c r="K228" i="11"/>
  <c r="K220" i="11"/>
  <c r="K212" i="11"/>
  <c r="K204" i="11"/>
  <c r="K196" i="11"/>
  <c r="K188" i="11"/>
  <c r="K181" i="11"/>
  <c r="K173" i="11"/>
  <c r="K165" i="11"/>
  <c r="K157" i="11"/>
  <c r="K149" i="11"/>
  <c r="K141" i="11"/>
  <c r="K133" i="11"/>
  <c r="K125" i="11"/>
  <c r="K118" i="11"/>
  <c r="K110" i="11"/>
  <c r="K102" i="11"/>
  <c r="K94" i="11"/>
  <c r="K86" i="11"/>
  <c r="K78" i="11"/>
  <c r="K70" i="11"/>
  <c r="K62" i="11"/>
  <c r="K54" i="11"/>
  <c r="K46" i="11"/>
  <c r="K38" i="11"/>
  <c r="K30" i="11"/>
  <c r="K22" i="11"/>
  <c r="K14" i="11"/>
  <c r="K6" i="11"/>
  <c r="B81" i="25" l="1" a="1"/>
  <c r="B81" i="25" s="1"/>
  <c r="Z53" i="26"/>
  <c r="G198" i="26"/>
  <c r="Z270" i="26"/>
  <c r="I3" i="25" a="1"/>
  <c r="I3" i="25" s="1"/>
  <c r="H8" i="25" a="1"/>
  <c r="H8" i="25" s="1"/>
  <c r="H53" i="25" a="1"/>
  <c r="H53" i="25" s="1"/>
  <c r="B162" i="25" a="1"/>
  <c r="B162" i="25" s="1"/>
  <c r="B140" i="25" a="1"/>
  <c r="B140" i="25" s="1"/>
  <c r="B108" i="25" a="1"/>
  <c r="B108" i="25" s="1"/>
  <c r="B74" i="25" a="1"/>
  <c r="B74" i="25" s="1"/>
  <c r="B19" i="25" a="1"/>
  <c r="B19" i="25" s="1"/>
  <c r="B287" i="25" a="1"/>
  <c r="B287" i="25" s="1"/>
  <c r="B255" i="25" a="1"/>
  <c r="B255" i="25" s="1"/>
  <c r="B206" i="25" a="1"/>
  <c r="B206" i="25" s="1"/>
  <c r="B174" i="25" a="1"/>
  <c r="B174" i="25" s="1"/>
  <c r="B142" i="25" a="1"/>
  <c r="B142" i="25" s="1"/>
  <c r="B104" i="25" a="1"/>
  <c r="B104" i="25" s="1"/>
  <c r="B64" i="25" a="1"/>
  <c r="B64" i="25" s="1"/>
  <c r="Z188" i="26"/>
  <c r="H194" i="25" a="1"/>
  <c r="H194" i="25" s="1"/>
  <c r="I30" i="25" a="1"/>
  <c r="I30" i="25" s="1"/>
  <c r="I146" i="25" a="1"/>
  <c r="I146" i="25" s="1"/>
  <c r="I158" i="25" a="1"/>
  <c r="I158" i="25" s="1"/>
  <c r="I194" i="25" a="1"/>
  <c r="I194" i="25" s="1"/>
  <c r="I79" i="25" a="1"/>
  <c r="I79" i="25" s="1"/>
  <c r="I99" i="25" a="1"/>
  <c r="I99" i="25" s="1"/>
  <c r="I243" i="25" a="1"/>
  <c r="I243" i="25" s="1"/>
  <c r="H188" i="25" a="1"/>
  <c r="H188" i="25" s="1"/>
  <c r="H229" i="25" a="1"/>
  <c r="H229" i="25" s="1"/>
  <c r="B223" i="25" a="1"/>
  <c r="B223" i="25" s="1"/>
  <c r="B204" i="25" a="1"/>
  <c r="B204" i="25" s="1"/>
  <c r="B178" i="25" a="1"/>
  <c r="B178" i="25" s="1"/>
  <c r="B159" i="25" a="1"/>
  <c r="B159" i="25" s="1"/>
  <c r="B130" i="25" a="1"/>
  <c r="B130" i="25" s="1"/>
  <c r="B98" i="25" a="1"/>
  <c r="B98" i="25" s="1"/>
  <c r="B65" i="25" a="1"/>
  <c r="B65" i="25" s="1"/>
  <c r="B11" i="25" a="1"/>
  <c r="B11" i="25" s="1"/>
  <c r="B279" i="25" a="1"/>
  <c r="B279" i="25" s="1"/>
  <c r="B247" i="25" a="1"/>
  <c r="B247" i="25" s="1"/>
  <c r="B200" i="25" a="1"/>
  <c r="B200" i="25" s="1"/>
  <c r="B168" i="25" a="1"/>
  <c r="B168" i="25" s="1"/>
  <c r="B136" i="25" a="1"/>
  <c r="B136" i="25" s="1"/>
  <c r="G108" i="26"/>
  <c r="H185" i="26" a="1"/>
  <c r="H185" i="26" s="1"/>
  <c r="H200" i="26" a="1"/>
  <c r="H200" i="26" s="1"/>
  <c r="G218" i="26"/>
  <c r="G275" i="26"/>
  <c r="G300" i="26"/>
  <c r="H250" i="25" a="1"/>
  <c r="H250" i="25" s="1"/>
  <c r="I46" i="25" a="1"/>
  <c r="I46" i="25" s="1"/>
  <c r="I110" i="25" a="1"/>
  <c r="I110" i="25" s="1"/>
  <c r="H271" i="25" a="1"/>
  <c r="H271" i="25" s="1"/>
  <c r="H284" i="25" a="1"/>
  <c r="H284" i="25" s="1"/>
  <c r="I93" i="25" a="1"/>
  <c r="I93" i="25" s="1"/>
  <c r="G124" i="25"/>
  <c r="G204" i="25"/>
  <c r="G252" i="25"/>
  <c r="G133" i="25"/>
  <c r="G197" i="25"/>
  <c r="G49" i="25"/>
  <c r="G261" i="25"/>
  <c r="G194" i="26"/>
  <c r="G202" i="26"/>
  <c r="I248" i="26" a="1"/>
  <c r="I248" i="26" s="1"/>
  <c r="G259" i="26"/>
  <c r="H226" i="25" a="1"/>
  <c r="H226" i="25" s="1"/>
  <c r="I14" i="25" a="1"/>
  <c r="I14" i="25" s="1"/>
  <c r="I78" i="25" a="1"/>
  <c r="I78" i="25" s="1"/>
  <c r="I142" i="25" a="1"/>
  <c r="I142" i="25" s="1"/>
  <c r="H247" i="25" a="1"/>
  <c r="H247" i="25" s="1"/>
  <c r="H228" i="25" a="1"/>
  <c r="H228" i="25" s="1"/>
  <c r="H268" i="25" a="1"/>
  <c r="H268" i="25" s="1"/>
  <c r="I157" i="25" a="1"/>
  <c r="I157" i="25" s="1"/>
  <c r="I11" i="25" a="1"/>
  <c r="I11" i="25" s="1"/>
  <c r="I43" i="25" a="1"/>
  <c r="I43" i="25" s="1"/>
  <c r="I75" i="25" a="1"/>
  <c r="I75" i="25" s="1"/>
  <c r="I107" i="25" a="1"/>
  <c r="I107" i="25" s="1"/>
  <c r="I139" i="25" a="1"/>
  <c r="I139" i="25" s="1"/>
  <c r="I171" i="25" a="1"/>
  <c r="I171" i="25" s="1"/>
  <c r="I259" i="25" a="1"/>
  <c r="I259" i="25" s="1"/>
  <c r="H212" i="25" a="1"/>
  <c r="H212" i="25" s="1"/>
  <c r="H76" i="25" a="1"/>
  <c r="H76" i="25" s="1"/>
  <c r="I104" i="25" a="1"/>
  <c r="I104" i="25" s="1"/>
  <c r="H5" i="25" a="1"/>
  <c r="H5" i="25" s="1"/>
  <c r="H57" i="25" a="1"/>
  <c r="H57" i="25" s="1"/>
  <c r="I125" i="25" a="1"/>
  <c r="I125" i="25" s="1"/>
  <c r="I221" i="25" a="1"/>
  <c r="I221" i="25" s="1"/>
  <c r="G282" i="26"/>
  <c r="H207" i="25" a="1"/>
  <c r="H207" i="25" s="1"/>
  <c r="I203" i="25" a="1"/>
  <c r="I203" i="25" s="1"/>
  <c r="I267" i="25" a="1"/>
  <c r="I267" i="25" s="1"/>
  <c r="H244" i="25" a="1"/>
  <c r="H244" i="25" s="1"/>
  <c r="H164" i="25" a="1"/>
  <c r="H164" i="25" s="1"/>
  <c r="I209" i="25" a="1"/>
  <c r="I209" i="25" s="1"/>
  <c r="Z33" i="26"/>
  <c r="H216" i="26" a="1"/>
  <c r="H216" i="26" s="1"/>
  <c r="G241" i="26"/>
  <c r="G216" i="26"/>
  <c r="G220" i="26"/>
  <c r="G249" i="26"/>
  <c r="H239" i="26" a="1"/>
  <c r="H239" i="26" s="1"/>
  <c r="I246" i="26" a="1"/>
  <c r="I246" i="26" s="1"/>
  <c r="G279" i="26"/>
  <c r="H275" i="26" a="1"/>
  <c r="H275" i="26" s="1"/>
  <c r="Z8" i="26"/>
  <c r="Z35" i="26"/>
  <c r="K11" i="26" a="1"/>
  <c r="K11" i="26" s="1"/>
  <c r="K13" i="26" a="1"/>
  <c r="K13" i="26" s="1"/>
  <c r="K65" i="26" a="1"/>
  <c r="K65" i="26" s="1"/>
  <c r="K67" i="26" a="1"/>
  <c r="K67" i="26" s="1"/>
  <c r="K259" i="26" a="1"/>
  <c r="K259" i="26" s="1"/>
  <c r="K260" i="26" a="1"/>
  <c r="K260" i="26" s="1"/>
  <c r="K228" i="26" a="1"/>
  <c r="K228" i="26" s="1"/>
  <c r="K216" i="26" a="1"/>
  <c r="K216" i="26" s="1"/>
  <c r="K189" i="26" a="1"/>
  <c r="K189" i="26" s="1"/>
  <c r="K140" i="26" a="1"/>
  <c r="K140" i="26" s="1"/>
  <c r="K41" i="26" a="1"/>
  <c r="K41" i="26" s="1"/>
  <c r="K79" i="26" a="1"/>
  <c r="K79" i="26" s="1"/>
  <c r="K246" i="26" a="1"/>
  <c r="K246" i="26" s="1"/>
  <c r="K223" i="26" a="1"/>
  <c r="K223" i="26" s="1"/>
  <c r="K211" i="26" a="1"/>
  <c r="K211" i="26" s="1"/>
  <c r="K207" i="26" a="1"/>
  <c r="K207" i="26" s="1"/>
  <c r="K235" i="26" a="1"/>
  <c r="K235" i="26" s="1"/>
  <c r="K173" i="26" a="1"/>
  <c r="K173" i="26" s="1"/>
  <c r="K233" i="26" a="1"/>
  <c r="K233" i="26" s="1"/>
  <c r="K167" i="26" a="1"/>
  <c r="K167" i="26" s="1"/>
  <c r="K178" i="26" a="1"/>
  <c r="K178" i="26" s="1"/>
  <c r="K66" i="26" a="1"/>
  <c r="K66" i="26" s="1"/>
  <c r="K18" i="26" a="1"/>
  <c r="K18" i="26" s="1"/>
  <c r="K9" i="26" a="1"/>
  <c r="K9" i="26" s="1"/>
  <c r="K95" i="26" a="1"/>
  <c r="K95" i="26" s="1"/>
  <c r="K285" i="26" a="1"/>
  <c r="K285" i="26" s="1"/>
  <c r="K222" i="26" a="1"/>
  <c r="K222" i="26" s="1"/>
  <c r="K213" i="26" a="1"/>
  <c r="K213" i="26" s="1"/>
  <c r="K244" i="26" a="1"/>
  <c r="K244" i="26" s="1"/>
  <c r="K171" i="26" a="1"/>
  <c r="K171" i="26" s="1"/>
  <c r="K159" i="26" a="1"/>
  <c r="K159" i="26" s="1"/>
  <c r="K86" i="26" a="1"/>
  <c r="K86" i="26" s="1"/>
  <c r="K74" i="26" a="1"/>
  <c r="K74" i="26" s="1"/>
  <c r="K32" i="26" a="1"/>
  <c r="K32" i="26" s="1"/>
  <c r="K269" i="26" a="1"/>
  <c r="K269" i="26" s="1"/>
  <c r="K271" i="26" a="1"/>
  <c r="K271" i="26" s="1"/>
  <c r="K265" i="26" a="1"/>
  <c r="K265" i="26" s="1"/>
  <c r="K248" i="26" a="1"/>
  <c r="K248" i="26" s="1"/>
  <c r="K241" i="26" a="1"/>
  <c r="K241" i="26" s="1"/>
  <c r="K184" i="26" a="1"/>
  <c r="K184" i="26" s="1"/>
  <c r="K217" i="26" a="1"/>
  <c r="K217" i="26" s="1"/>
  <c r="K169" i="26" a="1"/>
  <c r="K169" i="26" s="1"/>
  <c r="K142" i="26" a="1"/>
  <c r="K142" i="26" s="1"/>
  <c r="V301" i="25"/>
  <c r="R301" i="25"/>
  <c r="N301" i="25"/>
  <c r="J301" i="25" a="1"/>
  <c r="J301" i="25" s="1"/>
  <c r="F301" i="25"/>
  <c r="I301" i="25" s="1" a="1"/>
  <c r="I301" i="25" s="1"/>
  <c r="Y301" i="25"/>
  <c r="U301" i="25"/>
  <c r="Q301" i="25"/>
  <c r="M301" i="25"/>
  <c r="E301" i="25"/>
  <c r="X301" i="25"/>
  <c r="T301" i="25"/>
  <c r="P301" i="25"/>
  <c r="D301" i="25" a="1"/>
  <c r="D301" i="25" s="1"/>
  <c r="B301" i="25" a="1"/>
  <c r="B301" i="25" s="1"/>
  <c r="W301" i="25"/>
  <c r="S301" i="25"/>
  <c r="O301" i="25"/>
  <c r="C301" i="25" a="1"/>
  <c r="C301" i="25" s="1"/>
  <c r="L81" i="26" a="1"/>
  <c r="L81" i="26" s="1"/>
  <c r="L65" i="26" a="1"/>
  <c r="L65" i="26" s="1"/>
  <c r="L56" i="26" a="1"/>
  <c r="L56" i="26" s="1"/>
  <c r="L54" i="26" a="1"/>
  <c r="L54" i="26" s="1"/>
  <c r="L48" i="26" a="1"/>
  <c r="L48" i="26" s="1"/>
  <c r="L34" i="26" a="1"/>
  <c r="L34" i="26" s="1"/>
  <c r="L18" i="26" a="1"/>
  <c r="L18" i="26" s="1"/>
  <c r="K122" i="26" a="1"/>
  <c r="K122" i="26" s="1"/>
  <c r="L85" i="26" a="1"/>
  <c r="L85" i="26" s="1"/>
  <c r="L87" i="26" a="1"/>
  <c r="L87" i="26" s="1"/>
  <c r="L15" i="26" a="1"/>
  <c r="L15" i="26" s="1"/>
  <c r="L27" i="26" a="1"/>
  <c r="L27" i="26" s="1"/>
  <c r="L55" i="26" a="1"/>
  <c r="L55" i="26" s="1"/>
  <c r="L288" i="26" a="1"/>
  <c r="L288" i="26" s="1"/>
  <c r="L255" i="26" a="1"/>
  <c r="L255" i="26" s="1"/>
  <c r="L247" i="26" a="1"/>
  <c r="L247" i="26" s="1"/>
  <c r="L220" i="26" a="1"/>
  <c r="L220" i="26" s="1"/>
  <c r="L216" i="26" a="1"/>
  <c r="L216" i="26" s="1"/>
  <c r="L211" i="26" a="1"/>
  <c r="L211" i="26" s="1"/>
  <c r="L223" i="26" a="1"/>
  <c r="L223" i="26" s="1"/>
  <c r="L207" i="26" a="1"/>
  <c r="L207" i="26" s="1"/>
  <c r="L219" i="26" a="1"/>
  <c r="L219" i="26" s="1"/>
  <c r="L190" i="26" a="1"/>
  <c r="L190" i="26" s="1"/>
  <c r="L200" i="26" a="1"/>
  <c r="L200" i="26" s="1"/>
  <c r="L215" i="26" a="1"/>
  <c r="L215" i="26" s="1"/>
  <c r="L193" i="26" a="1"/>
  <c r="L193" i="26" s="1"/>
  <c r="L189" i="26" a="1"/>
  <c r="L189" i="26" s="1"/>
  <c r="L153" i="26" a="1"/>
  <c r="L153" i="26" s="1"/>
  <c r="L168" i="26" a="1"/>
  <c r="L168" i="26" s="1"/>
  <c r="L174" i="26" a="1"/>
  <c r="L174" i="26" s="1"/>
  <c r="L148" i="26" a="1"/>
  <c r="L148" i="26" s="1"/>
  <c r="L157" i="26" a="1"/>
  <c r="L157" i="26" s="1"/>
  <c r="L139" i="26" a="1"/>
  <c r="L139" i="26" s="1"/>
  <c r="L112" i="26" a="1"/>
  <c r="L112" i="26" s="1"/>
  <c r="L83" i="26" a="1"/>
  <c r="L83" i="26" s="1"/>
  <c r="L19" i="26" a="1"/>
  <c r="L19" i="26" s="1"/>
  <c r="L31" i="26" a="1"/>
  <c r="L31" i="26" s="1"/>
  <c r="L43" i="26" a="1"/>
  <c r="L43" i="26" s="1"/>
  <c r="L300" i="26" a="1"/>
  <c r="L300" i="26" s="1"/>
  <c r="L279" i="26" a="1"/>
  <c r="L279" i="26" s="1"/>
  <c r="L263" i="26" a="1"/>
  <c r="L263" i="26" s="1"/>
  <c r="L248" i="26" a="1"/>
  <c r="L248" i="26" s="1"/>
  <c r="L235" i="26" a="1"/>
  <c r="L235" i="26" s="1"/>
  <c r="L228" i="26" a="1"/>
  <c r="L228" i="26" s="1"/>
  <c r="L201" i="26" a="1"/>
  <c r="L201" i="26" s="1"/>
  <c r="L185" i="26" a="1"/>
  <c r="L185" i="26" s="1"/>
  <c r="L231" i="26" a="1"/>
  <c r="L231" i="26" s="1"/>
  <c r="L197" i="26" a="1"/>
  <c r="L197" i="26" s="1"/>
  <c r="L140" i="26" a="1"/>
  <c r="L140" i="26" s="1"/>
  <c r="L79" i="26" a="1"/>
  <c r="L79" i="26" s="1"/>
  <c r="L71" i="26" a="1"/>
  <c r="L71" i="26" s="1"/>
  <c r="L120" i="26" a="1"/>
  <c r="L120" i="26" s="1"/>
  <c r="L94" i="26" a="1"/>
  <c r="L94" i="26" s="1"/>
  <c r="L86" i="26" a="1"/>
  <c r="L86" i="26" s="1"/>
  <c r="L12" i="26" a="1"/>
  <c r="L12" i="26" s="1"/>
  <c r="L20" i="26" a="1"/>
  <c r="L20" i="26" s="1"/>
  <c r="L11" i="26" a="1"/>
  <c r="L11" i="26" s="1"/>
  <c r="L23" i="26" a="1"/>
  <c r="L23" i="26" s="1"/>
  <c r="L35" i="26" a="1"/>
  <c r="L35" i="26" s="1"/>
  <c r="L47" i="26" a="1"/>
  <c r="L47" i="26" s="1"/>
  <c r="L59" i="26" a="1"/>
  <c r="L59" i="26" s="1"/>
  <c r="L299" i="26" a="1"/>
  <c r="L299" i="26" s="1"/>
  <c r="L296" i="26" a="1"/>
  <c r="L296" i="26" s="1"/>
  <c r="L276" i="26" a="1"/>
  <c r="L276" i="26" s="1"/>
  <c r="L260" i="26" a="1"/>
  <c r="L260" i="26" s="1"/>
  <c r="L258" i="26" a="1"/>
  <c r="L258" i="26" s="1"/>
  <c r="L224" i="26" a="1"/>
  <c r="L224" i="26" s="1"/>
  <c r="L208" i="26" a="1"/>
  <c r="L208" i="26" s="1"/>
  <c r="L227" i="26" a="1"/>
  <c r="L227" i="26" s="1"/>
  <c r="L169" i="26" a="1"/>
  <c r="L169" i="26" s="1"/>
  <c r="L173" i="26" a="1"/>
  <c r="L173" i="26" s="1"/>
  <c r="L156" i="26" a="1"/>
  <c r="L156" i="26" s="1"/>
  <c r="L108" i="26" a="1"/>
  <c r="L108" i="26" s="1"/>
  <c r="L67" i="26" a="1"/>
  <c r="L67" i="26" s="1"/>
  <c r="L107" i="26" a="1"/>
  <c r="L107" i="26" s="1"/>
  <c r="L100" i="26" a="1"/>
  <c r="L100" i="26" s="1"/>
  <c r="L82" i="26" a="1"/>
  <c r="L82" i="26" s="1"/>
  <c r="L39" i="26" a="1"/>
  <c r="L39" i="26" s="1"/>
  <c r="L51" i="26" a="1"/>
  <c r="L51" i="26" s="1"/>
  <c r="L63" i="26" a="1"/>
  <c r="L63" i="26" s="1"/>
  <c r="L295" i="26" a="1"/>
  <c r="L295" i="26" s="1"/>
  <c r="L275" i="26" a="1"/>
  <c r="L275" i="26" s="1"/>
  <c r="L282" i="26" a="1"/>
  <c r="L282" i="26" s="1"/>
  <c r="L272" i="26" a="1"/>
  <c r="L272" i="26" s="1"/>
  <c r="L267" i="26" a="1"/>
  <c r="L267" i="26" s="1"/>
  <c r="L259" i="26" a="1"/>
  <c r="L259" i="26" s="1"/>
  <c r="L254" i="26" a="1"/>
  <c r="L254" i="26" s="1"/>
  <c r="L204" i="26" a="1"/>
  <c r="L204" i="26" s="1"/>
  <c r="L242" i="26" a="1"/>
  <c r="L242" i="26" s="1"/>
  <c r="L177" i="26" a="1"/>
  <c r="L177" i="26" s="1"/>
  <c r="L161" i="26" a="1"/>
  <c r="L161" i="26" s="1"/>
  <c r="L131" i="26" a="1"/>
  <c r="L131" i="26" s="1"/>
  <c r="L128" i="26" a="1"/>
  <c r="L128" i="26" s="1"/>
  <c r="L124" i="26" a="1"/>
  <c r="L124" i="26" s="1"/>
  <c r="H204" i="25" a="1"/>
  <c r="H204" i="25" s="1"/>
  <c r="H220" i="25" a="1"/>
  <c r="H220" i="25" s="1"/>
  <c r="H236" i="25" a="1"/>
  <c r="H236" i="25" s="1"/>
  <c r="H252" i="25" a="1"/>
  <c r="H252" i="25" s="1"/>
  <c r="H4" i="25" a="1"/>
  <c r="H4" i="25" s="1"/>
  <c r="H28" i="25" a="1"/>
  <c r="H28" i="25" s="1"/>
  <c r="H92" i="25" a="1"/>
  <c r="H92" i="25" s="1"/>
  <c r="H172" i="25" a="1"/>
  <c r="H172" i="25" s="1"/>
  <c r="I41" i="25" a="1"/>
  <c r="I41" i="25" s="1"/>
  <c r="G205" i="25"/>
  <c r="G141" i="25"/>
  <c r="G77" i="25"/>
  <c r="B120" i="25" a="1"/>
  <c r="B120" i="25" s="1"/>
  <c r="B88" i="25" a="1"/>
  <c r="B88" i="25" s="1"/>
  <c r="F300" i="25"/>
  <c r="I300" i="25" s="1" a="1"/>
  <c r="I300" i="25" s="1"/>
  <c r="L97" i="26" a="1"/>
  <c r="L97" i="26" s="1"/>
  <c r="K75" i="26" a="1"/>
  <c r="K75" i="26" s="1"/>
  <c r="L52" i="26" a="1"/>
  <c r="L52" i="26" s="1"/>
  <c r="K50" i="26" a="1"/>
  <c r="K50" i="26" s="1"/>
  <c r="L44" i="26" a="1"/>
  <c r="L44" i="26" s="1"/>
  <c r="L32" i="26" a="1"/>
  <c r="L32" i="26" s="1"/>
  <c r="Z21" i="26"/>
  <c r="L16" i="26" a="1"/>
  <c r="L16" i="26" s="1"/>
  <c r="K105" i="26" a="1"/>
  <c r="K105" i="26" s="1"/>
  <c r="K83" i="26" a="1"/>
  <c r="K83" i="26" s="1"/>
  <c r="L64" i="26" a="1"/>
  <c r="L64" i="26" s="1"/>
  <c r="L40" i="26" a="1"/>
  <c r="L40" i="26" s="1"/>
  <c r="L38" i="26" a="1"/>
  <c r="L38" i="26" s="1"/>
  <c r="L28" i="26" a="1"/>
  <c r="L28" i="26" s="1"/>
  <c r="L8" i="26" a="1"/>
  <c r="L8" i="26" s="1"/>
  <c r="L6" i="26" a="1"/>
  <c r="L6" i="26" s="1"/>
  <c r="L104" i="26" a="1"/>
  <c r="L104" i="26" s="1"/>
  <c r="K106" i="26" a="1"/>
  <c r="K106" i="26" s="1"/>
  <c r="L74" i="26" a="1"/>
  <c r="L74" i="26" s="1"/>
  <c r="L78" i="26" a="1"/>
  <c r="L78" i="26" s="1"/>
  <c r="L98" i="26" a="1"/>
  <c r="L98" i="26" s="1"/>
  <c r="K102" i="26" a="1"/>
  <c r="K102" i="26" s="1"/>
  <c r="L60" i="26" a="1"/>
  <c r="L60" i="26" s="1"/>
  <c r="L50" i="26" a="1"/>
  <c r="L50" i="26" s="1"/>
  <c r="L36" i="26" a="1"/>
  <c r="L36" i="26" s="1"/>
  <c r="K34" i="26" a="1"/>
  <c r="K34" i="26" s="1"/>
  <c r="L24" i="26" a="1"/>
  <c r="L24" i="26" s="1"/>
  <c r="L22" i="26" a="1"/>
  <c r="L22" i="26" s="1"/>
  <c r="I18" i="26" a="1"/>
  <c r="I18" i="26" s="1"/>
  <c r="L4" i="26" a="1"/>
  <c r="L4" i="26" s="1"/>
  <c r="L3" i="26" a="1"/>
  <c r="L3" i="26" s="1"/>
  <c r="L116" i="26" a="1"/>
  <c r="L116" i="26" s="1"/>
  <c r="L66" i="26" a="1"/>
  <c r="L66" i="26" s="1"/>
  <c r="K78" i="26" a="1"/>
  <c r="K78" i="26" s="1"/>
  <c r="L137" i="26" a="1"/>
  <c r="L137" i="26" s="1"/>
  <c r="L146" i="26" a="1"/>
  <c r="L146" i="26" s="1"/>
  <c r="K100" i="26" a="1"/>
  <c r="K100" i="26" s="1"/>
  <c r="K116" i="26" a="1"/>
  <c r="K116" i="26" s="1"/>
  <c r="L132" i="26" a="1"/>
  <c r="L132" i="26" s="1"/>
  <c r="K148" i="26" a="1"/>
  <c r="K148" i="26" s="1"/>
  <c r="L162" i="26" a="1"/>
  <c r="L162" i="26" s="1"/>
  <c r="L225" i="26" a="1"/>
  <c r="L225" i="26" s="1"/>
  <c r="L192" i="26" a="1"/>
  <c r="L192" i="26" s="1"/>
  <c r="K181" i="26" a="1"/>
  <c r="K181" i="26" s="1"/>
  <c r="K219" i="26" a="1"/>
  <c r="K219" i="26" s="1"/>
  <c r="L236" i="26" a="1"/>
  <c r="L236" i="26" s="1"/>
  <c r="K208" i="26" a="1"/>
  <c r="K208" i="26" s="1"/>
  <c r="K242" i="26" a="1"/>
  <c r="K242" i="26" s="1"/>
  <c r="K251" i="26" a="1"/>
  <c r="K251" i="26" s="1"/>
  <c r="L270" i="26" a="1"/>
  <c r="L270" i="26" s="1"/>
  <c r="L271" i="26" a="1"/>
  <c r="L271" i="26" s="1"/>
  <c r="K276" i="26" a="1"/>
  <c r="K276" i="26" s="1"/>
  <c r="L273" i="26" a="1"/>
  <c r="L273" i="26" s="1"/>
  <c r="K300" i="26" a="1"/>
  <c r="K300" i="26" s="1"/>
  <c r="K71" i="26" a="1"/>
  <c r="K71" i="26" s="1"/>
  <c r="L61" i="26" a="1"/>
  <c r="L61" i="26" s="1"/>
  <c r="K49" i="26" a="1"/>
  <c r="K49" i="26" s="1"/>
  <c r="L25" i="26" a="1"/>
  <c r="L25" i="26" s="1"/>
  <c r="K5" i="26" a="1"/>
  <c r="K5" i="26" s="1"/>
  <c r="K64" i="26" a="1"/>
  <c r="K64" i="26" s="1"/>
  <c r="K20" i="26" a="1"/>
  <c r="K20" i="26" s="1"/>
  <c r="K4" i="26" a="1"/>
  <c r="K4" i="26" s="1"/>
  <c r="K23" i="26" a="1"/>
  <c r="K23" i="26" s="1"/>
  <c r="K51" i="26" a="1"/>
  <c r="K51" i="26" s="1"/>
  <c r="K35" i="26" a="1"/>
  <c r="K35" i="26" s="1"/>
  <c r="L126" i="26" a="1"/>
  <c r="L126" i="26" s="1"/>
  <c r="L89" i="26" a="1"/>
  <c r="L89" i="26" s="1"/>
  <c r="L110" i="26" a="1"/>
  <c r="L110" i="26" s="1"/>
  <c r="I66" i="26" a="1"/>
  <c r="I66" i="26" s="1"/>
  <c r="H111" i="26" a="1"/>
  <c r="H111" i="26" s="1"/>
  <c r="L121" i="26" a="1"/>
  <c r="L121" i="26" s="1"/>
  <c r="Z141" i="26"/>
  <c r="K107" i="26" a="1"/>
  <c r="K107" i="26" s="1"/>
  <c r="G116" i="26"/>
  <c r="K123" i="26" a="1"/>
  <c r="K123" i="26" s="1"/>
  <c r="Z130" i="26"/>
  <c r="G132" i="26"/>
  <c r="K139" i="26" a="1"/>
  <c r="K139" i="26" s="1"/>
  <c r="K112" i="26" a="1"/>
  <c r="K112" i="26" s="1"/>
  <c r="K128" i="26" a="1"/>
  <c r="K128" i="26" s="1"/>
  <c r="K157" i="26" a="1"/>
  <c r="K157" i="26" s="1"/>
  <c r="K170" i="26" a="1"/>
  <c r="K170" i="26" s="1"/>
  <c r="K177" i="26" a="1"/>
  <c r="K177" i="26" s="1"/>
  <c r="K197" i="26" a="1"/>
  <c r="K197" i="26" s="1"/>
  <c r="K182" i="26" a="1"/>
  <c r="K182" i="26" s="1"/>
  <c r="L198" i="26" a="1"/>
  <c r="L198" i="26" s="1"/>
  <c r="K215" i="26" a="1"/>
  <c r="K215" i="26" s="1"/>
  <c r="K204" i="26" a="1"/>
  <c r="K204" i="26" s="1"/>
  <c r="K224" i="26" a="1"/>
  <c r="K224" i="26" s="1"/>
  <c r="K254" i="26" a="1"/>
  <c r="K254" i="26" s="1"/>
  <c r="K258" i="26" a="1"/>
  <c r="K258" i="26" s="1"/>
  <c r="K247" i="26" a="1"/>
  <c r="K247" i="26" s="1"/>
  <c r="L280" i="26" a="1"/>
  <c r="L280" i="26" s="1"/>
  <c r="K267" i="26" a="1"/>
  <c r="K267" i="26" s="1"/>
  <c r="L277" i="26" a="1"/>
  <c r="L277" i="26" s="1"/>
  <c r="K288" i="26" a="1"/>
  <c r="K288" i="26" s="1"/>
  <c r="K279" i="26" a="1"/>
  <c r="K279" i="26" s="1"/>
  <c r="K291" i="26" a="1"/>
  <c r="K291" i="26" s="1"/>
  <c r="L297" i="26" a="1"/>
  <c r="L297" i="26" s="1"/>
  <c r="L45" i="26" a="1"/>
  <c r="L45" i="26" s="1"/>
  <c r="K33" i="26" a="1"/>
  <c r="K33" i="26" s="1"/>
  <c r="L21" i="26" a="1"/>
  <c r="L21" i="26" s="1"/>
  <c r="K52" i="26" a="1"/>
  <c r="K52" i="26" s="1"/>
  <c r="K36" i="26" a="1"/>
  <c r="K36" i="26" s="1"/>
  <c r="L106" i="26" a="1"/>
  <c r="L106" i="26" s="1"/>
  <c r="H74" i="26" a="1"/>
  <c r="H74" i="26" s="1"/>
  <c r="G86" i="26"/>
  <c r="K101" i="26" a="1"/>
  <c r="K101" i="26" s="1"/>
  <c r="G102" i="26"/>
  <c r="Z105" i="26"/>
  <c r="K98" i="26" a="1"/>
  <c r="K98" i="26" s="1"/>
  <c r="H100" i="26" a="1"/>
  <c r="H100" i="26" s="1"/>
  <c r="H127" i="26" a="1"/>
  <c r="H127" i="26" s="1"/>
  <c r="G138" i="26"/>
  <c r="I138" i="26" a="1"/>
  <c r="I138" i="26" s="1"/>
  <c r="Z149" i="26"/>
  <c r="K119" i="26" a="1"/>
  <c r="K119" i="26" s="1"/>
  <c r="K135" i="26" a="1"/>
  <c r="K135" i="26" s="1"/>
  <c r="K153" i="26" a="1"/>
  <c r="K153" i="26" s="1"/>
  <c r="L158" i="26" a="1"/>
  <c r="L158" i="26" s="1"/>
  <c r="K156" i="26" a="1"/>
  <c r="K156" i="26" s="1"/>
  <c r="L187" i="26" a="1"/>
  <c r="L187" i="26" s="1"/>
  <c r="G177" i="26"/>
  <c r="K193" i="26" a="1"/>
  <c r="K193" i="26" s="1"/>
  <c r="I197" i="26" a="1"/>
  <c r="I197" i="26" s="1"/>
  <c r="L214" i="26" a="1"/>
  <c r="L214" i="26" s="1"/>
  <c r="L232" i="26" a="1"/>
  <c r="L232" i="26" s="1"/>
  <c r="I233" i="26" a="1"/>
  <c r="I233" i="26" s="1"/>
  <c r="K220" i="26" a="1"/>
  <c r="K220" i="26" s="1"/>
  <c r="I224" i="26" a="1"/>
  <c r="I224" i="26" s="1"/>
  <c r="G253" i="26"/>
  <c r="H251" i="26" a="1"/>
  <c r="H251" i="26" s="1"/>
  <c r="G254" i="26"/>
  <c r="G258" i="26"/>
  <c r="L250" i="26" a="1"/>
  <c r="L250" i="26" s="1"/>
  <c r="I254" i="26" a="1"/>
  <c r="I254" i="26" s="1"/>
  <c r="I258" i="26" a="1"/>
  <c r="I258" i="26" s="1"/>
  <c r="L274" i="26" a="1"/>
  <c r="L274" i="26" s="1"/>
  <c r="G273" i="26"/>
  <c r="I277" i="26" a="1"/>
  <c r="I277" i="26" s="1"/>
  <c r="L286" i="26" a="1"/>
  <c r="L286" i="26" s="1"/>
  <c r="L298" i="26" a="1"/>
  <c r="L298" i="26" s="1"/>
  <c r="K292" i="26" a="1"/>
  <c r="K292" i="26" s="1"/>
  <c r="Z60" i="26"/>
  <c r="L57" i="26" a="1"/>
  <c r="L57" i="26" s="1"/>
  <c r="L29" i="26" a="1"/>
  <c r="L29" i="26" s="1"/>
  <c r="L17" i="26" a="1"/>
  <c r="L17" i="26" s="1"/>
  <c r="K28" i="26" a="1"/>
  <c r="K28" i="26" s="1"/>
  <c r="K12" i="26" a="1"/>
  <c r="K12" i="26" s="1"/>
  <c r="K59" i="26" a="1"/>
  <c r="K59" i="26" s="1"/>
  <c r="L73" i="26" a="1"/>
  <c r="L73" i="26" s="1"/>
  <c r="K82" i="26" a="1"/>
  <c r="K82" i="26" s="1"/>
  <c r="K94" i="26" a="1"/>
  <c r="K94" i="26" s="1"/>
  <c r="L122" i="26" a="1"/>
  <c r="L122" i="26" s="1"/>
  <c r="L142" i="26" a="1"/>
  <c r="L142" i="26" s="1"/>
  <c r="L151" i="26" a="1"/>
  <c r="L151" i="26" s="1"/>
  <c r="K104" i="26" a="1"/>
  <c r="K104" i="26" s="1"/>
  <c r="K120" i="26" a="1"/>
  <c r="K120" i="26" s="1"/>
  <c r="K136" i="26" a="1"/>
  <c r="K136" i="26" s="1"/>
  <c r="L147" i="26" a="1"/>
  <c r="L147" i="26" s="1"/>
  <c r="L149" i="26" a="1"/>
  <c r="L149" i="26" s="1"/>
  <c r="L152" i="26" a="1"/>
  <c r="L152" i="26" s="1"/>
  <c r="L209" i="26" a="1"/>
  <c r="L209" i="26" s="1"/>
  <c r="L184" i="26" a="1"/>
  <c r="L184" i="26" s="1"/>
  <c r="L229" i="26" a="1"/>
  <c r="L229" i="26" s="1"/>
  <c r="G207" i="26"/>
  <c r="G223" i="26"/>
  <c r="L230" i="26" a="1"/>
  <c r="L230" i="26" s="1"/>
  <c r="G228" i="26"/>
  <c r="L241" i="26" a="1"/>
  <c r="L241" i="26" s="1"/>
  <c r="K243" i="26" a="1"/>
  <c r="K243" i="26" s="1"/>
  <c r="L265" i="26" a="1"/>
  <c r="L265" i="26" s="1"/>
  <c r="G267" i="26"/>
  <c r="H282" i="26" a="1"/>
  <c r="H282" i="26" s="1"/>
  <c r="G288" i="26"/>
  <c r="H273" i="26" a="1"/>
  <c r="H273" i="26" s="1"/>
  <c r="L285" i="26" a="1"/>
  <c r="L285" i="26" s="1"/>
  <c r="G283" i="26"/>
  <c r="K293" i="26" a="1"/>
  <c r="K293" i="26" s="1"/>
  <c r="Z296" i="26"/>
  <c r="K290" i="26" a="1"/>
  <c r="K290" i="26" s="1"/>
  <c r="K299" i="26" a="1"/>
  <c r="K299" i="26" s="1"/>
  <c r="K87" i="26" a="1"/>
  <c r="K87" i="26" s="1"/>
  <c r="L41" i="26" a="1"/>
  <c r="L41" i="26" s="1"/>
  <c r="K15" i="26" a="1"/>
  <c r="K15" i="26" s="1"/>
  <c r="K60" i="26" a="1"/>
  <c r="K60" i="26" s="1"/>
  <c r="K44" i="26" a="1"/>
  <c r="K44" i="26" s="1"/>
  <c r="K27" i="26" a="1"/>
  <c r="K27" i="26" s="1"/>
  <c r="K3" i="26" a="1"/>
  <c r="K3" i="26" s="1"/>
  <c r="W97" i="26"/>
  <c r="B18" i="26" a="1"/>
  <c r="B18" i="26" s="1"/>
  <c r="T8" i="26"/>
  <c r="V6" i="26"/>
  <c r="P4" i="26"/>
  <c r="B14" i="26" a="1"/>
  <c r="B14" i="26" s="1"/>
  <c r="Y7" i="26"/>
  <c r="B6" i="26" a="1"/>
  <c r="B6" i="26" s="1"/>
  <c r="U3" i="26"/>
  <c r="B10" i="26" a="1"/>
  <c r="B10" i="26" s="1"/>
  <c r="U7" i="26"/>
  <c r="S5" i="26"/>
  <c r="Q3" i="26"/>
  <c r="J9" i="26" a="1"/>
  <c r="J9" i="26" s="1"/>
  <c r="F7" i="26"/>
  <c r="G7" i="26" s="1"/>
  <c r="T4" i="26"/>
  <c r="I62" i="26" a="1"/>
  <c r="I62" i="26" s="1"/>
  <c r="Z49" i="26"/>
  <c r="Z17" i="26"/>
  <c r="K92" i="26" a="1"/>
  <c r="K92" i="26" s="1"/>
  <c r="K89" i="26" a="1"/>
  <c r="K89" i="26" s="1"/>
  <c r="H104" i="26" a="1"/>
  <c r="H104" i="26" s="1"/>
  <c r="L115" i="26" a="1"/>
  <c r="L115" i="26" s="1"/>
  <c r="I147" i="26" a="1"/>
  <c r="I147" i="26" s="1"/>
  <c r="I162" i="26" a="1"/>
  <c r="I162" i="26" s="1"/>
  <c r="K165" i="26" a="1"/>
  <c r="K165" i="26" s="1"/>
  <c r="L181" i="26" a="1"/>
  <c r="L181" i="26" s="1"/>
  <c r="L194" i="26" a="1"/>
  <c r="L194" i="26" s="1"/>
  <c r="L196" i="26" a="1"/>
  <c r="L196" i="26" s="1"/>
  <c r="G206" i="26"/>
  <c r="G247" i="26"/>
  <c r="Z279" i="26"/>
  <c r="Z286" i="26"/>
  <c r="Z85" i="26"/>
  <c r="G99" i="26"/>
  <c r="Z125" i="26"/>
  <c r="L70" i="26" a="1"/>
  <c r="L70" i="26" s="1"/>
  <c r="Z79" i="26"/>
  <c r="Z95" i="26"/>
  <c r="Z104" i="26"/>
  <c r="H115" i="26" a="1"/>
  <c r="H115" i="26" s="1"/>
  <c r="I117" i="26" a="1"/>
  <c r="I117" i="26" s="1"/>
  <c r="I129" i="26" a="1"/>
  <c r="I129" i="26" s="1"/>
  <c r="G144" i="26"/>
  <c r="I151" i="26" a="1"/>
  <c r="I151" i="26" s="1"/>
  <c r="K138" i="26" a="1"/>
  <c r="K138" i="26" s="1"/>
  <c r="I170" i="26" a="1"/>
  <c r="I170" i="26" s="1"/>
  <c r="K115" i="26" a="1"/>
  <c r="K115" i="26" s="1"/>
  <c r="G124" i="26"/>
  <c r="G140" i="26"/>
  <c r="I153" i="26" a="1"/>
  <c r="I153" i="26" s="1"/>
  <c r="I157" i="26" a="1"/>
  <c r="I157" i="26" s="1"/>
  <c r="H156" i="26" a="1"/>
  <c r="H156" i="26" s="1"/>
  <c r="K144" i="26" a="1"/>
  <c r="K144" i="26" s="1"/>
  <c r="L170" i="26" a="1"/>
  <c r="L170" i="26" s="1"/>
  <c r="G171" i="26"/>
  <c r="G196" i="26"/>
  <c r="L182" i="26" a="1"/>
  <c r="L182" i="26" s="1"/>
  <c r="G185" i="26"/>
  <c r="H194" i="26" a="1"/>
  <c r="H194" i="26" s="1"/>
  <c r="I196" i="26" a="1"/>
  <c r="I196" i="26" s="1"/>
  <c r="I225" i="26" a="1"/>
  <c r="I225" i="26" s="1"/>
  <c r="G230" i="26"/>
  <c r="I198" i="26" a="1"/>
  <c r="I198" i="26" s="1"/>
  <c r="K206" i="26" a="1"/>
  <c r="K206" i="26" s="1"/>
  <c r="H247" i="26" a="1"/>
  <c r="H247" i="26" s="1"/>
  <c r="L246" i="26" a="1"/>
  <c r="L246" i="26" s="1"/>
  <c r="H254" i="26" a="1"/>
  <c r="H254" i="26" s="1"/>
  <c r="Z263" i="26"/>
  <c r="G277" i="26"/>
  <c r="L283" i="26" a="1"/>
  <c r="L283" i="26" s="1"/>
  <c r="H286" i="26" a="1"/>
  <c r="H286" i="26" s="1"/>
  <c r="H288" i="26" a="1"/>
  <c r="H288" i="26" s="1"/>
  <c r="G286" i="26"/>
  <c r="K297" i="26" a="1"/>
  <c r="K297" i="26" s="1"/>
  <c r="K62" i="26" a="1"/>
  <c r="K62" i="26" s="1"/>
  <c r="Z37" i="26"/>
  <c r="I34" i="26" a="1"/>
  <c r="I34" i="26" s="1"/>
  <c r="Z5" i="26"/>
  <c r="I92" i="26" a="1"/>
  <c r="I92" i="26" s="1"/>
  <c r="I89" i="26" a="1"/>
  <c r="I89" i="26" s="1"/>
  <c r="L92" i="26" a="1"/>
  <c r="L92" i="26" s="1"/>
  <c r="Z116" i="26"/>
  <c r="K117" i="26" a="1"/>
  <c r="K117" i="26" s="1"/>
  <c r="K137" i="26" a="1"/>
  <c r="K137" i="26" s="1"/>
  <c r="L144" i="26" a="1"/>
  <c r="L144" i="26" s="1"/>
  <c r="L136" i="26" a="1"/>
  <c r="L136" i="26" s="1"/>
  <c r="K147" i="26" a="1"/>
  <c r="K147" i="26" s="1"/>
  <c r="G151" i="26"/>
  <c r="Z154" i="26"/>
  <c r="G136" i="26"/>
  <c r="H144" i="26" a="1"/>
  <c r="H144" i="26" s="1"/>
  <c r="G147" i="26"/>
  <c r="H157" i="26" a="1"/>
  <c r="H157" i="26" s="1"/>
  <c r="G162" i="26"/>
  <c r="H167" i="26" a="1"/>
  <c r="H167" i="26" s="1"/>
  <c r="L165" i="26" a="1"/>
  <c r="L165" i="26" s="1"/>
  <c r="G168" i="26"/>
  <c r="H169" i="26" a="1"/>
  <c r="H169" i="26" s="1"/>
  <c r="K196" i="26" a="1"/>
  <c r="K196" i="26" s="1"/>
  <c r="G182" i="26"/>
  <c r="K225" i="26" a="1"/>
  <c r="K225" i="26" s="1"/>
  <c r="L212" i="26" a="1"/>
  <c r="L212" i="26" s="1"/>
  <c r="G248" i="26"/>
  <c r="K263" i="26" a="1"/>
  <c r="K263" i="26" s="1"/>
  <c r="I267" i="26" a="1"/>
  <c r="I267" i="26" s="1"/>
  <c r="K282" i="26" a="1"/>
  <c r="K282" i="26" s="1"/>
  <c r="I286" i="26" a="1"/>
  <c r="I286" i="26" s="1"/>
  <c r="K275" i="26" a="1"/>
  <c r="K275" i="26" s="1"/>
  <c r="H285" i="26" a="1"/>
  <c r="H285" i="26" s="1"/>
  <c r="Z292" i="26"/>
  <c r="G299" i="26"/>
  <c r="Z28" i="26"/>
  <c r="I64" i="26" a="1"/>
  <c r="I64" i="26" s="1"/>
  <c r="I60" i="26" a="1"/>
  <c r="I60" i="26" s="1"/>
  <c r="Z47" i="26"/>
  <c r="Z3" i="26"/>
  <c r="K38" i="26" a="1"/>
  <c r="K38" i="26" s="1"/>
  <c r="K22" i="26" a="1"/>
  <c r="K22" i="26" s="1"/>
  <c r="K6" i="26" a="1"/>
  <c r="K6" i="26" s="1"/>
  <c r="I72" i="26" a="1"/>
  <c r="I72" i="26" s="1"/>
  <c r="Z75" i="26"/>
  <c r="K76" i="26" a="1"/>
  <c r="K76" i="26" s="1"/>
  <c r="K88" i="26" a="1"/>
  <c r="K88" i="26" s="1"/>
  <c r="L90" i="26" a="1"/>
  <c r="L90" i="26" s="1"/>
  <c r="H103" i="26" a="1"/>
  <c r="H103" i="26" s="1"/>
  <c r="I69" i="26" a="1"/>
  <c r="I69" i="26" s="1"/>
  <c r="Z72" i="26"/>
  <c r="K73" i="26" a="1"/>
  <c r="K73" i="26" s="1"/>
  <c r="K85" i="26" a="1"/>
  <c r="K85" i="26" s="1"/>
  <c r="K93" i="26" a="1"/>
  <c r="K93" i="26" s="1"/>
  <c r="Z69" i="26"/>
  <c r="K70" i="26" a="1"/>
  <c r="K70" i="26" s="1"/>
  <c r="L76" i="26" a="1"/>
  <c r="L76" i="26" s="1"/>
  <c r="L103" i="26" a="1"/>
  <c r="L103" i="26" s="1"/>
  <c r="L111" i="26" a="1"/>
  <c r="L111" i="26" s="1"/>
  <c r="G123" i="26"/>
  <c r="Z120" i="26"/>
  <c r="L127" i="26" a="1"/>
  <c r="L127" i="26" s="1"/>
  <c r="I133" i="26" a="1"/>
  <c r="I133" i="26" s="1"/>
  <c r="L135" i="26" a="1"/>
  <c r="L135" i="26" s="1"/>
  <c r="H139" i="26" a="1"/>
  <c r="H139" i="26" s="1"/>
  <c r="I134" i="26" a="1"/>
  <c r="I134" i="26" s="1"/>
  <c r="K111" i="26" a="1"/>
  <c r="K111" i="26" s="1"/>
  <c r="G120" i="26"/>
  <c r="H121" i="26" a="1"/>
  <c r="H121" i="26" s="1"/>
  <c r="K127" i="26" a="1"/>
  <c r="K127" i="26" s="1"/>
  <c r="H137" i="26" a="1"/>
  <c r="H137" i="26" s="1"/>
  <c r="Z142" i="26"/>
  <c r="I100" i="26" a="1"/>
  <c r="I100" i="26" s="1"/>
  <c r="I104" i="26" a="1"/>
  <c r="I104" i="26" s="1"/>
  <c r="I116" i="26" a="1"/>
  <c r="I116" i="26" s="1"/>
  <c r="I120" i="26" a="1"/>
  <c r="I120" i="26" s="1"/>
  <c r="I132" i="26" a="1"/>
  <c r="I132" i="26" s="1"/>
  <c r="I136" i="26" a="1"/>
  <c r="I136" i="26" s="1"/>
  <c r="L138" i="26" a="1"/>
  <c r="L138" i="26" s="1"/>
  <c r="G154" i="26"/>
  <c r="K161" i="26" a="1"/>
  <c r="K161" i="26" s="1"/>
  <c r="G166" i="26"/>
  <c r="I160" i="26" a="1"/>
  <c r="I160" i="26" s="1"/>
  <c r="K160" i="26" a="1"/>
  <c r="K160" i="26" s="1"/>
  <c r="Z177" i="26"/>
  <c r="Z174" i="26"/>
  <c r="H171" i="26" a="1"/>
  <c r="H171" i="26" s="1"/>
  <c r="L171" i="26" a="1"/>
  <c r="L171" i="26" s="1"/>
  <c r="L172" i="26" a="1"/>
  <c r="L172" i="26" s="1"/>
  <c r="H176" i="26" a="1"/>
  <c r="H176" i="26" s="1"/>
  <c r="L176" i="26" a="1"/>
  <c r="L176" i="26" s="1"/>
  <c r="K180" i="26" a="1"/>
  <c r="K180" i="26" s="1"/>
  <c r="L180" i="26" a="1"/>
  <c r="L180" i="26" s="1"/>
  <c r="K186" i="26" a="1"/>
  <c r="K186" i="26" s="1"/>
  <c r="L186" i="26" a="1"/>
  <c r="L186" i="26" s="1"/>
  <c r="I186" i="26" a="1"/>
  <c r="I186" i="26" s="1"/>
  <c r="I227" i="26" a="1"/>
  <c r="I227" i="26" s="1"/>
  <c r="K227" i="26" a="1"/>
  <c r="K227" i="26" s="1"/>
  <c r="I46" i="26" a="1"/>
  <c r="I46" i="26" s="1"/>
  <c r="I30" i="26" a="1"/>
  <c r="I30" i="26" s="1"/>
  <c r="I14" i="26" a="1"/>
  <c r="I14" i="26" s="1"/>
  <c r="K72" i="26" a="1"/>
  <c r="K72" i="26" s="1"/>
  <c r="G110" i="26"/>
  <c r="Z113" i="26"/>
  <c r="K69" i="26" a="1"/>
  <c r="K69" i="26" s="1"/>
  <c r="L88" i="26" a="1"/>
  <c r="L88" i="26" s="1"/>
  <c r="L119" i="26" a="1"/>
  <c r="L119" i="26" s="1"/>
  <c r="H123" i="26" a="1"/>
  <c r="H123" i="26" s="1"/>
  <c r="K133" i="26" a="1"/>
  <c r="K133" i="26" s="1"/>
  <c r="L117" i="26" a="1"/>
  <c r="L117" i="26" s="1"/>
  <c r="K131" i="26" a="1"/>
  <c r="K131" i="26" s="1"/>
  <c r="L133" i="26" a="1"/>
  <c r="L133" i="26" s="1"/>
  <c r="K151" i="26" a="1"/>
  <c r="K151" i="26" s="1"/>
  <c r="K108" i="26" a="1"/>
  <c r="K108" i="26" s="1"/>
  <c r="Z119" i="26"/>
  <c r="K124" i="26" a="1"/>
  <c r="K124" i="26" s="1"/>
  <c r="Z135" i="26"/>
  <c r="I159" i="26" a="1"/>
  <c r="I159" i="26" s="1"/>
  <c r="H172" i="26" a="1"/>
  <c r="H172" i="26" s="1"/>
  <c r="I152" i="26" a="1"/>
  <c r="I152" i="26" s="1"/>
  <c r="I156" i="26" a="1"/>
  <c r="I156" i="26" s="1"/>
  <c r="K172" i="26" a="1"/>
  <c r="K172" i="26" s="1"/>
  <c r="I168" i="26" a="1"/>
  <c r="I168" i="26" s="1"/>
  <c r="K168" i="26" a="1"/>
  <c r="K168" i="26" s="1"/>
  <c r="Z221" i="26"/>
  <c r="L261" i="26" a="1"/>
  <c r="L261" i="26" s="1"/>
  <c r="K261" i="26" a="1"/>
  <c r="K261" i="26" s="1"/>
  <c r="I261" i="26" a="1"/>
  <c r="I261" i="26" s="1"/>
  <c r="L91" i="26" a="1"/>
  <c r="L91" i="26" s="1"/>
  <c r="G106" i="26"/>
  <c r="H143" i="26" a="1"/>
  <c r="H143" i="26" s="1"/>
  <c r="L159" i="26" a="1"/>
  <c r="L159" i="26" s="1"/>
  <c r="I154" i="26" a="1"/>
  <c r="I154" i="26" s="1"/>
  <c r="H154" i="26" a="1"/>
  <c r="H154" i="26" s="1"/>
  <c r="K163" i="26" a="1"/>
  <c r="K163" i="26" s="1"/>
  <c r="L163" i="26" a="1"/>
  <c r="L163" i="26" s="1"/>
  <c r="H179" i="26" a="1"/>
  <c r="H179" i="26" s="1"/>
  <c r="K179" i="26" a="1"/>
  <c r="K179" i="26" s="1"/>
  <c r="I191" i="26" a="1"/>
  <c r="I191" i="26" s="1"/>
  <c r="L191" i="26" a="1"/>
  <c r="L191" i="26" s="1"/>
  <c r="K191" i="26" a="1"/>
  <c r="K191" i="26" s="1"/>
  <c r="H199" i="26" a="1"/>
  <c r="H199" i="26" s="1"/>
  <c r="I199" i="26" a="1"/>
  <c r="I199" i="26" s="1"/>
  <c r="K199" i="26" a="1"/>
  <c r="K199" i="26" s="1"/>
  <c r="L175" i="26" a="1"/>
  <c r="L175" i="26" s="1"/>
  <c r="K175" i="26" a="1"/>
  <c r="K175" i="26" s="1"/>
  <c r="H203" i="26" a="1"/>
  <c r="H203" i="26" s="1"/>
  <c r="K238" i="26" a="1"/>
  <c r="K238" i="26" s="1"/>
  <c r="L238" i="26" a="1"/>
  <c r="L238" i="26" s="1"/>
  <c r="H238" i="26" a="1"/>
  <c r="H238" i="26" s="1"/>
  <c r="H256" i="26" a="1"/>
  <c r="H256" i="26" s="1"/>
  <c r="K256" i="26" a="1"/>
  <c r="K256" i="26" s="1"/>
  <c r="G73" i="26"/>
  <c r="I76" i="26" a="1"/>
  <c r="I76" i="26" s="1"/>
  <c r="G85" i="26"/>
  <c r="I88" i="26" a="1"/>
  <c r="I88" i="26" s="1"/>
  <c r="Z91" i="26"/>
  <c r="G70" i="26"/>
  <c r="I73" i="26" a="1"/>
  <c r="I73" i="26" s="1"/>
  <c r="L75" i="26" a="1"/>
  <c r="L75" i="26" s="1"/>
  <c r="I85" i="26" a="1"/>
  <c r="I85" i="26" s="1"/>
  <c r="Z88" i="26"/>
  <c r="G98" i="26"/>
  <c r="I70" i="26" a="1"/>
  <c r="I70" i="26" s="1"/>
  <c r="L72" i="26" a="1"/>
  <c r="L72" i="26" s="1"/>
  <c r="K90" i="26" a="1"/>
  <c r="K90" i="26" s="1"/>
  <c r="I98" i="26" a="1"/>
  <c r="I98" i="26" s="1"/>
  <c r="I113" i="26" a="1"/>
  <c r="I113" i="26" s="1"/>
  <c r="K121" i="26" a="1"/>
  <c r="K121" i="26" s="1"/>
  <c r="L123" i="26" a="1"/>
  <c r="L123" i="26" s="1"/>
  <c r="Z136" i="26"/>
  <c r="Z137" i="26"/>
  <c r="K150" i="26" a="1"/>
  <c r="K150" i="26" s="1"/>
  <c r="I107" i="26" a="1"/>
  <c r="I107" i="26" s="1"/>
  <c r="L113" i="26" a="1"/>
  <c r="L113" i="26" s="1"/>
  <c r="I123" i="26" a="1"/>
  <c r="I123" i="26" s="1"/>
  <c r="L129" i="26" a="1"/>
  <c r="L129" i="26" s="1"/>
  <c r="I139" i="26" a="1"/>
  <c r="I139" i="26" s="1"/>
  <c r="H151" i="26" a="1"/>
  <c r="H151" i="26" s="1"/>
  <c r="Z156" i="26"/>
  <c r="H174" i="26" a="1"/>
  <c r="H174" i="26" s="1"/>
  <c r="I174" i="26" a="1"/>
  <c r="I174" i="26" s="1"/>
  <c r="K154" i="26" a="1"/>
  <c r="K154" i="26" s="1"/>
  <c r="K162" i="26" a="1"/>
  <c r="K162" i="26" s="1"/>
  <c r="H162" i="26" a="1"/>
  <c r="H162" i="26" s="1"/>
  <c r="G163" i="26"/>
  <c r="I163" i="26" a="1"/>
  <c r="I163" i="26" s="1"/>
  <c r="K174" i="26" a="1"/>
  <c r="K174" i="26" s="1"/>
  <c r="G175" i="26"/>
  <c r="I192" i="26" a="1"/>
  <c r="I192" i="26" s="1"/>
  <c r="L203" i="26" a="1"/>
  <c r="L203" i="26" s="1"/>
  <c r="H213" i="26" a="1"/>
  <c r="H213" i="26" s="1"/>
  <c r="I213" i="26" a="1"/>
  <c r="I213" i="26" s="1"/>
  <c r="L213" i="26" a="1"/>
  <c r="L213" i="26" s="1"/>
  <c r="K190" i="26" a="1"/>
  <c r="K190" i="26" s="1"/>
  <c r="I190" i="26" a="1"/>
  <c r="I190" i="26" s="1"/>
  <c r="I201" i="26" a="1"/>
  <c r="I201" i="26" s="1"/>
  <c r="K201" i="26" a="1"/>
  <c r="K201" i="26" s="1"/>
  <c r="H218" i="26" a="1"/>
  <c r="H218" i="26" s="1"/>
  <c r="L218" i="26" a="1"/>
  <c r="L218" i="26" s="1"/>
  <c r="K218" i="26" a="1"/>
  <c r="K218" i="26" s="1"/>
  <c r="I218" i="26" a="1"/>
  <c r="I218" i="26" s="1"/>
  <c r="K231" i="26" a="1"/>
  <c r="K231" i="26" s="1"/>
  <c r="H231" i="26" a="1"/>
  <c r="H231" i="26" s="1"/>
  <c r="Z215" i="26"/>
  <c r="K237" i="26" a="1"/>
  <c r="K237" i="26" s="1"/>
  <c r="I237" i="26" a="1"/>
  <c r="I237" i="26" s="1"/>
  <c r="L237" i="26" a="1"/>
  <c r="L237" i="26" s="1"/>
  <c r="I234" i="26" a="1"/>
  <c r="I234" i="26" s="1"/>
  <c r="L234" i="26" a="1"/>
  <c r="L234" i="26" s="1"/>
  <c r="K234" i="26" a="1"/>
  <c r="K234" i="26" s="1"/>
  <c r="H234" i="26" a="1"/>
  <c r="H234" i="26" s="1"/>
  <c r="K185" i="26" a="1"/>
  <c r="K185" i="26" s="1"/>
  <c r="Z193" i="26"/>
  <c r="Z201" i="26"/>
  <c r="K202" i="26" a="1"/>
  <c r="K202" i="26" s="1"/>
  <c r="I240" i="26" a="1"/>
  <c r="I240" i="26" s="1"/>
  <c r="G245" i="26"/>
  <c r="K212" i="26" a="1"/>
  <c r="K212" i="26" s="1"/>
  <c r="L243" i="26" a="1"/>
  <c r="L243" i="26" s="1"/>
  <c r="G235" i="26"/>
  <c r="Z238" i="26"/>
  <c r="L251" i="26" a="1"/>
  <c r="L251" i="26" s="1"/>
  <c r="K257" i="26" a="1"/>
  <c r="K257" i="26" s="1"/>
  <c r="Z264" i="26"/>
  <c r="L266" i="26" a="1"/>
  <c r="L266" i="26" s="1"/>
  <c r="Z254" i="26"/>
  <c r="K255" i="26" a="1"/>
  <c r="K255" i="26" s="1"/>
  <c r="Z277" i="26"/>
  <c r="K272" i="26" a="1"/>
  <c r="K272" i="26" s="1"/>
  <c r="H278" i="26" a="1"/>
  <c r="H278" i="26" s="1"/>
  <c r="I272" i="26" a="1"/>
  <c r="I272" i="26" s="1"/>
  <c r="L289" i="26" a="1"/>
  <c r="L289" i="26" s="1"/>
  <c r="Z287" i="26"/>
  <c r="G292" i="26"/>
  <c r="I297" i="26" a="1"/>
  <c r="I297" i="26" s="1"/>
  <c r="Z291" i="26"/>
  <c r="G289" i="26"/>
  <c r="K289" i="26" a="1"/>
  <c r="K289" i="26" s="1"/>
  <c r="H295" i="26" a="1"/>
  <c r="H295" i="26" s="1"/>
  <c r="H292" i="26" a="1"/>
  <c r="H292" i="26" s="1"/>
  <c r="H296" i="26" a="1"/>
  <c r="H296" i="26" s="1"/>
  <c r="G296" i="26"/>
  <c r="K296" i="26" a="1"/>
  <c r="K296" i="26" s="1"/>
  <c r="K57" i="26" a="1"/>
  <c r="K57" i="26" s="1"/>
  <c r="K25" i="26" a="1"/>
  <c r="K25" i="26" s="1"/>
  <c r="I5" i="26" a="1"/>
  <c r="I5" i="26" s="1"/>
  <c r="K48" i="26" a="1"/>
  <c r="K48" i="26" s="1"/>
  <c r="L278" i="26" a="1"/>
  <c r="L278" i="26" s="1"/>
  <c r="Z63" i="26"/>
  <c r="I44" i="26" a="1"/>
  <c r="I44" i="26" s="1"/>
  <c r="Z19" i="26"/>
  <c r="K43" i="26" a="1"/>
  <c r="K43" i="26" s="1"/>
  <c r="I35" i="26" a="1"/>
  <c r="I35" i="26" s="1"/>
  <c r="G190" i="26"/>
  <c r="G199" i="26"/>
  <c r="G215" i="26"/>
  <c r="Z210" i="26"/>
  <c r="G234" i="26"/>
  <c r="G237" i="26"/>
  <c r="L202" i="26" a="1"/>
  <c r="L202" i="26" s="1"/>
  <c r="Z231" i="26"/>
  <c r="Z240" i="26"/>
  <c r="Z251" i="26"/>
  <c r="Z267" i="26"/>
  <c r="Z245" i="26"/>
  <c r="G261" i="26"/>
  <c r="Z257" i="26"/>
  <c r="G266" i="26"/>
  <c r="K278" i="26" a="1"/>
  <c r="K278" i="26" s="1"/>
  <c r="Z268" i="26"/>
  <c r="L290" i="26" a="1"/>
  <c r="L290" i="26" s="1"/>
  <c r="K281" i="26" a="1"/>
  <c r="K281" i="26" s="1"/>
  <c r="L292" i="26" a="1"/>
  <c r="L292" i="26" s="1"/>
  <c r="Z293" i="26"/>
  <c r="K295" i="26" a="1"/>
  <c r="K295" i="26" s="1"/>
  <c r="I299" i="26" a="1"/>
  <c r="I299" i="26" s="1"/>
  <c r="I292" i="26" a="1"/>
  <c r="I292" i="26" s="1"/>
  <c r="K16" i="26" a="1"/>
  <c r="K16" i="26" s="1"/>
  <c r="K55" i="26" a="1"/>
  <c r="K55" i="26" s="1"/>
  <c r="I51" i="26" a="1"/>
  <c r="I51" i="26" s="1"/>
  <c r="Z160" i="26"/>
  <c r="G165" i="26"/>
  <c r="Z153" i="26"/>
  <c r="G179" i="26"/>
  <c r="Z182" i="26"/>
  <c r="Z162" i="26"/>
  <c r="G192" i="26"/>
  <c r="Z179" i="26"/>
  <c r="Z200" i="26"/>
  <c r="Z228" i="26"/>
  <c r="I181" i="26" a="1"/>
  <c r="I181" i="26" s="1"/>
  <c r="H184" i="26" a="1"/>
  <c r="H184" i="26" s="1"/>
  <c r="K194" i="26" a="1"/>
  <c r="K194" i="26" s="1"/>
  <c r="K229" i="26" a="1"/>
  <c r="K229" i="26" s="1"/>
  <c r="I202" i="26" a="1"/>
  <c r="I202" i="26" s="1"/>
  <c r="G227" i="26"/>
  <c r="I230" i="26" a="1"/>
  <c r="I230" i="26" s="1"/>
  <c r="G212" i="26"/>
  <c r="Z226" i="26"/>
  <c r="Z232" i="26"/>
  <c r="K236" i="26" a="1"/>
  <c r="K236" i="26" s="1"/>
  <c r="K200" i="26" a="1"/>
  <c r="K200" i="26" s="1"/>
  <c r="I208" i="26" a="1"/>
  <c r="I208" i="26" s="1"/>
  <c r="H266" i="26" a="1"/>
  <c r="H266" i="26" s="1"/>
  <c r="L239" i="26" a="1"/>
  <c r="L239" i="26" s="1"/>
  <c r="G239" i="26"/>
  <c r="K239" i="26" a="1"/>
  <c r="K239" i="26" s="1"/>
  <c r="Z259" i="26"/>
  <c r="H255" i="26" a="1"/>
  <c r="H255" i="26" s="1"/>
  <c r="I257" i="26" a="1"/>
  <c r="I257" i="26" s="1"/>
  <c r="K266" i="26" a="1"/>
  <c r="K266" i="26" s="1"/>
  <c r="G251" i="26"/>
  <c r="G255" i="26"/>
  <c r="I251" i="26" a="1"/>
  <c r="I251" i="26" s="1"/>
  <c r="L257" i="26" a="1"/>
  <c r="L257" i="26" s="1"/>
  <c r="I270" i="26" a="1"/>
  <c r="I270" i="26" s="1"/>
  <c r="G272" i="26"/>
  <c r="G281" i="26"/>
  <c r="K286" i="26" a="1"/>
  <c r="K286" i="26" s="1"/>
  <c r="G295" i="26"/>
  <c r="L291" i="26" a="1"/>
  <c r="L291" i="26" s="1"/>
  <c r="G291" i="26"/>
  <c r="K298" i="26" a="1"/>
  <c r="K298" i="26" s="1"/>
  <c r="Z44" i="26"/>
  <c r="I41" i="26" a="1"/>
  <c r="I41" i="26" s="1"/>
  <c r="I21" i="26" a="1"/>
  <c r="I21" i="26" s="1"/>
  <c r="I13" i="26" a="1"/>
  <c r="I13" i="26" s="1"/>
  <c r="Z51" i="26"/>
  <c r="Z31" i="26"/>
  <c r="I12" i="26" a="1"/>
  <c r="I12" i="26" s="1"/>
  <c r="K54" i="26" a="1"/>
  <c r="K54" i="26" s="1"/>
  <c r="G81" i="26"/>
  <c r="I84" i="26" a="1"/>
  <c r="I84" i="26" s="1"/>
  <c r="Z87" i="26"/>
  <c r="G97" i="26"/>
  <c r="I101" i="26" a="1"/>
  <c r="I101" i="26" s="1"/>
  <c r="K109" i="26" a="1"/>
  <c r="K109" i="26" s="1"/>
  <c r="Z68" i="26"/>
  <c r="G78" i="26"/>
  <c r="I81" i="26" a="1"/>
  <c r="I81" i="26" s="1"/>
  <c r="Z84" i="26"/>
  <c r="G94" i="26"/>
  <c r="I97" i="26" a="1"/>
  <c r="I97" i="26" s="1"/>
  <c r="L101" i="26" a="1"/>
  <c r="L101" i="26" s="1"/>
  <c r="K103" i="26" a="1"/>
  <c r="K103" i="26" s="1"/>
  <c r="K110" i="26" a="1"/>
  <c r="K110" i="26" s="1"/>
  <c r="I130" i="26" a="1"/>
  <c r="I130" i="26" s="1"/>
  <c r="Z65" i="26"/>
  <c r="L68" i="26" a="1"/>
  <c r="L68" i="26" s="1"/>
  <c r="G75" i="26"/>
  <c r="I78" i="26" a="1"/>
  <c r="I78" i="26" s="1"/>
  <c r="Z81" i="26"/>
  <c r="L84" i="26" a="1"/>
  <c r="L84" i="26" s="1"/>
  <c r="G91" i="26"/>
  <c r="I94" i="26" a="1"/>
  <c r="I94" i="26" s="1"/>
  <c r="Z97" i="26"/>
  <c r="K99" i="26" a="1"/>
  <c r="K99" i="26" s="1"/>
  <c r="I109" i="26" a="1"/>
  <c r="I109" i="26" s="1"/>
  <c r="I118" i="26" a="1"/>
  <c r="I118" i="26" s="1"/>
  <c r="Z112" i="26"/>
  <c r="K113" i="26" a="1"/>
  <c r="K113" i="26" s="1"/>
  <c r="G122" i="26"/>
  <c r="I125" i="26" a="1"/>
  <c r="I125" i="26" s="1"/>
  <c r="Z128" i="26"/>
  <c r="K129" i="26" a="1"/>
  <c r="K129" i="26" s="1"/>
  <c r="I141" i="26" a="1"/>
  <c r="I141" i="26" s="1"/>
  <c r="Z133" i="26"/>
  <c r="K134" i="26" a="1"/>
  <c r="K134" i="26" s="1"/>
  <c r="L145" i="26" a="1"/>
  <c r="L145" i="26" s="1"/>
  <c r="G146" i="26"/>
  <c r="Z106" i="26"/>
  <c r="L109" i="26" a="1"/>
  <c r="L109" i="26" s="1"/>
  <c r="I119" i="26" a="1"/>
  <c r="I119" i="26" s="1"/>
  <c r="Z122" i="26"/>
  <c r="L125" i="26" a="1"/>
  <c r="L125" i="26" s="1"/>
  <c r="I135" i="26" a="1"/>
  <c r="I135" i="26" s="1"/>
  <c r="Z138" i="26"/>
  <c r="L141" i="26" a="1"/>
  <c r="L141" i="26" s="1"/>
  <c r="Z145" i="26"/>
  <c r="I155" i="26" a="1"/>
  <c r="I155" i="26" s="1"/>
  <c r="Z99" i="26"/>
  <c r="L102" i="26" a="1"/>
  <c r="L102" i="26" s="1"/>
  <c r="G109" i="26"/>
  <c r="H110" i="26" a="1"/>
  <c r="H110" i="26" s="1"/>
  <c r="I112" i="26" a="1"/>
  <c r="I112" i="26" s="1"/>
  <c r="Z115" i="26"/>
  <c r="L118" i="26" a="1"/>
  <c r="L118" i="26" s="1"/>
  <c r="G125" i="26"/>
  <c r="H126" i="26" a="1"/>
  <c r="H126" i="26" s="1"/>
  <c r="I128" i="26" a="1"/>
  <c r="I128" i="26" s="1"/>
  <c r="Z131" i="26"/>
  <c r="K132" i="26" a="1"/>
  <c r="K132" i="26" s="1"/>
  <c r="L134" i="26" a="1"/>
  <c r="L134" i="26" s="1"/>
  <c r="G141" i="26"/>
  <c r="H142" i="26" a="1"/>
  <c r="H142" i="26" s="1"/>
  <c r="L143" i="26" a="1"/>
  <c r="L143" i="26" s="1"/>
  <c r="K145" i="26" a="1"/>
  <c r="K145" i="26" s="1"/>
  <c r="G148" i="26"/>
  <c r="H152" i="26" a="1"/>
  <c r="H152" i="26" s="1"/>
  <c r="I149" i="26" a="1"/>
  <c r="I149" i="26" s="1"/>
  <c r="Z152" i="26"/>
  <c r="L155" i="26" a="1"/>
  <c r="L155" i="26" s="1"/>
  <c r="L164" i="26" a="1"/>
  <c r="L164" i="26" s="1"/>
  <c r="K166" i="26" a="1"/>
  <c r="K166" i="26" s="1"/>
  <c r="G155" i="26"/>
  <c r="I158" i="26" a="1"/>
  <c r="I158" i="26" s="1"/>
  <c r="Z161" i="26"/>
  <c r="I166" i="26" a="1"/>
  <c r="I166" i="26" s="1"/>
  <c r="Z168" i="26"/>
  <c r="H170" i="26" a="1"/>
  <c r="H170" i="26" s="1"/>
  <c r="G145" i="26"/>
  <c r="H146" i="26" a="1"/>
  <c r="H146" i="26" s="1"/>
  <c r="I148" i="26" a="1"/>
  <c r="I148" i="26" s="1"/>
  <c r="Z151" i="26"/>
  <c r="K152" i="26" a="1"/>
  <c r="K152" i="26" s="1"/>
  <c r="L154" i="26" a="1"/>
  <c r="L154" i="26" s="1"/>
  <c r="G161" i="26"/>
  <c r="I195" i="26" a="1"/>
  <c r="I195" i="26" s="1"/>
  <c r="I175" i="26" a="1"/>
  <c r="I175" i="26" s="1"/>
  <c r="I183" i="26" a="1"/>
  <c r="I183" i="26" s="1"/>
  <c r="G188" i="26"/>
  <c r="G169" i="26"/>
  <c r="G172" i="26"/>
  <c r="Z190" i="26"/>
  <c r="H193" i="26" a="1"/>
  <c r="H193" i="26" s="1"/>
  <c r="Z175" i="26"/>
  <c r="K176" i="26" a="1"/>
  <c r="K176" i="26" s="1"/>
  <c r="L178" i="26" a="1"/>
  <c r="L178" i="26" s="1"/>
  <c r="H186" i="26" a="1"/>
  <c r="H186" i="26" s="1"/>
  <c r="I188" i="26" a="1"/>
  <c r="I188" i="26" s="1"/>
  <c r="Z191" i="26"/>
  <c r="K192" i="26" a="1"/>
  <c r="K192" i="26" s="1"/>
  <c r="K205" i="26" a="1"/>
  <c r="K205" i="26" s="1"/>
  <c r="Z212" i="26"/>
  <c r="K221" i="26" a="1"/>
  <c r="K221" i="26" s="1"/>
  <c r="G174" i="26"/>
  <c r="H175" i="26" a="1"/>
  <c r="H175" i="26" s="1"/>
  <c r="I177" i="26" a="1"/>
  <c r="I177" i="26" s="1"/>
  <c r="Z180" i="26"/>
  <c r="L183" i="26" a="1"/>
  <c r="L183" i="26" s="1"/>
  <c r="H191" i="26" a="1"/>
  <c r="H191" i="26" s="1"/>
  <c r="I193" i="26" a="1"/>
  <c r="I193" i="26" s="1"/>
  <c r="Z196" i="26"/>
  <c r="K209" i="26" a="1"/>
  <c r="K209" i="26" s="1"/>
  <c r="I182" i="26" a="1"/>
  <c r="I182" i="26" s="1"/>
  <c r="Z185" i="26"/>
  <c r="L188" i="26" a="1"/>
  <c r="L188" i="26" s="1"/>
  <c r="G195" i="26"/>
  <c r="L199" i="26" a="1"/>
  <c r="L199" i="26" s="1"/>
  <c r="Z235" i="26"/>
  <c r="I210" i="26" a="1"/>
  <c r="I210" i="26" s="1"/>
  <c r="Z213" i="26"/>
  <c r="K214" i="26" a="1"/>
  <c r="K214" i="26" s="1"/>
  <c r="I226" i="26" a="1"/>
  <c r="I226" i="26" s="1"/>
  <c r="Z229" i="26"/>
  <c r="K230" i="26" a="1"/>
  <c r="K230" i="26" s="1"/>
  <c r="L233" i="26" a="1"/>
  <c r="L233" i="26" s="1"/>
  <c r="G236" i="26"/>
  <c r="Z239" i="26"/>
  <c r="I215" i="26" a="1"/>
  <c r="I215" i="26" s="1"/>
  <c r="Z218" i="26"/>
  <c r="L221" i="26" a="1"/>
  <c r="L221" i="26" s="1"/>
  <c r="H229" i="26" a="1"/>
  <c r="H229" i="26" s="1"/>
  <c r="I231" i="26" a="1"/>
  <c r="I231" i="26" s="1"/>
  <c r="G201" i="26"/>
  <c r="I204" i="26" a="1"/>
  <c r="I204" i="26" s="1"/>
  <c r="Z207" i="26"/>
  <c r="L210" i="26" a="1"/>
  <c r="L210" i="26" s="1"/>
  <c r="G217" i="26"/>
  <c r="I220" i="26" a="1"/>
  <c r="I220" i="26" s="1"/>
  <c r="Z223" i="26"/>
  <c r="L226" i="26" a="1"/>
  <c r="L226" i="26" s="1"/>
  <c r="K240" i="26" a="1"/>
  <c r="K240" i="26" s="1"/>
  <c r="G242" i="26"/>
  <c r="H243" i="26" a="1"/>
  <c r="H243" i="26" s="1"/>
  <c r="I245" i="26" a="1"/>
  <c r="I245" i="26" s="1"/>
  <c r="H236" i="26" a="1"/>
  <c r="H236" i="26" s="1"/>
  <c r="I238" i="26" a="1"/>
  <c r="I238" i="26" s="1"/>
  <c r="Z241" i="26"/>
  <c r="L244" i="26" a="1"/>
  <c r="L244" i="26" s="1"/>
  <c r="G240" i="26"/>
  <c r="H241" i="26" a="1"/>
  <c r="H241" i="26" s="1"/>
  <c r="I243" i="26" a="1"/>
  <c r="I243" i="26" s="1"/>
  <c r="K252" i="26" a="1"/>
  <c r="K252" i="26" s="1"/>
  <c r="G250" i="26"/>
  <c r="I253" i="26" a="1"/>
  <c r="I253" i="26" s="1"/>
  <c r="Z256" i="26"/>
  <c r="H262" i="26" a="1"/>
  <c r="H262" i="26" s="1"/>
  <c r="I250" i="26" a="1"/>
  <c r="I250" i="26" s="1"/>
  <c r="Z253" i="26"/>
  <c r="L256" i="26" a="1"/>
  <c r="L256" i="26" s="1"/>
  <c r="K262" i="26" a="1"/>
  <c r="K262" i="26" s="1"/>
  <c r="I247" i="26" a="1"/>
  <c r="I247" i="26" s="1"/>
  <c r="Z250" i="26"/>
  <c r="L253" i="26" a="1"/>
  <c r="L253" i="26" s="1"/>
  <c r="G260" i="26"/>
  <c r="H261" i="26" a="1"/>
  <c r="H261" i="26" s="1"/>
  <c r="L262" i="26" a="1"/>
  <c r="L262" i="26" s="1"/>
  <c r="K264" i="26" a="1"/>
  <c r="K264" i="26" s="1"/>
  <c r="K268" i="26" a="1"/>
  <c r="K268" i="26" s="1"/>
  <c r="Z269" i="26"/>
  <c r="I271" i="26" a="1"/>
  <c r="I271" i="26" s="1"/>
  <c r="I284" i="26" a="1"/>
  <c r="I284" i="26" s="1"/>
  <c r="H280" i="26" a="1"/>
  <c r="H280" i="26" s="1"/>
  <c r="G264" i="26"/>
  <c r="H265" i="26" a="1"/>
  <c r="H265" i="26" s="1"/>
  <c r="I280" i="26" a="1"/>
  <c r="I280" i="26" s="1"/>
  <c r="G274" i="26"/>
  <c r="Z280" i="26"/>
  <c r="Z281" i="26"/>
  <c r="L284" i="26" a="1"/>
  <c r="L284" i="26" s="1"/>
  <c r="G276" i="26"/>
  <c r="H277" i="26" a="1"/>
  <c r="H277" i="26" s="1"/>
  <c r="I279" i="26" a="1"/>
  <c r="I279" i="26" s="1"/>
  <c r="Z282" i="26"/>
  <c r="K283" i="26" a="1"/>
  <c r="K283" i="26" s="1"/>
  <c r="L287" i="26" a="1"/>
  <c r="L287" i="26" s="1"/>
  <c r="L293" i="26" a="1"/>
  <c r="L293" i="26" s="1"/>
  <c r="I301" i="26" a="1"/>
  <c r="I301" i="26" s="1"/>
  <c r="I290" i="26" a="1"/>
  <c r="I290" i="26" s="1"/>
  <c r="I294" i="26" a="1"/>
  <c r="I294" i="26" s="1"/>
  <c r="K301" i="26" a="1"/>
  <c r="K301" i="26" s="1"/>
  <c r="I291" i="26" a="1"/>
  <c r="I291" i="26" s="1"/>
  <c r="H297" i="26" a="1"/>
  <c r="H297" i="26" s="1"/>
  <c r="L294" i="26" a="1"/>
  <c r="L294" i="26" s="1"/>
  <c r="G301" i="26"/>
  <c r="G88" i="26"/>
  <c r="L77" i="26" a="1"/>
  <c r="L77" i="26" s="1"/>
  <c r="H66" i="26" a="1"/>
  <c r="H66" i="26" s="1"/>
  <c r="G62" i="26"/>
  <c r="K53" i="26" a="1"/>
  <c r="K53" i="26" s="1"/>
  <c r="Z52" i="26"/>
  <c r="I49" i="26" a="1"/>
  <c r="I49" i="26" s="1"/>
  <c r="G46" i="26"/>
  <c r="K37" i="26" a="1"/>
  <c r="K37" i="26" s="1"/>
  <c r="Z36" i="26"/>
  <c r="I33" i="26" a="1"/>
  <c r="I33" i="26" s="1"/>
  <c r="G30" i="26"/>
  <c r="K21" i="26" a="1"/>
  <c r="K21" i="26" s="1"/>
  <c r="Z20" i="26"/>
  <c r="I17" i="26" a="1"/>
  <c r="I17" i="26" s="1"/>
  <c r="G14" i="26"/>
  <c r="Z4" i="26"/>
  <c r="I15" i="26" a="1"/>
  <c r="I15" i="26" s="1"/>
  <c r="K91" i="26" a="1"/>
  <c r="K91" i="26" s="1"/>
  <c r="Z82" i="26"/>
  <c r="L58" i="26" a="1"/>
  <c r="L58" i="26" s="1"/>
  <c r="K56" i="26" a="1"/>
  <c r="K56" i="26" s="1"/>
  <c r="Z55" i="26"/>
  <c r="I52" i="26" a="1"/>
  <c r="I52" i="26" s="1"/>
  <c r="H50" i="26" a="1"/>
  <c r="H50" i="26" s="1"/>
  <c r="G49" i="26"/>
  <c r="L42" i="26" a="1"/>
  <c r="L42" i="26" s="1"/>
  <c r="K40" i="26" a="1"/>
  <c r="K40" i="26" s="1"/>
  <c r="Z39" i="26"/>
  <c r="I36" i="26" a="1"/>
  <c r="I36" i="26" s="1"/>
  <c r="H34" i="26" a="1"/>
  <c r="H34" i="26" s="1"/>
  <c r="G33" i="26"/>
  <c r="L26" i="26" a="1"/>
  <c r="L26" i="26" s="1"/>
  <c r="K24" i="26" a="1"/>
  <c r="K24" i="26" s="1"/>
  <c r="Z23" i="26"/>
  <c r="I20" i="26" a="1"/>
  <c r="I20" i="26" s="1"/>
  <c r="H18" i="26" a="1"/>
  <c r="H18" i="26" s="1"/>
  <c r="G17" i="26"/>
  <c r="L10" i="26" a="1"/>
  <c r="L10" i="26" s="1"/>
  <c r="K8" i="26" a="1"/>
  <c r="K8" i="26" s="1"/>
  <c r="Z7" i="26"/>
  <c r="I4" i="26" a="1"/>
  <c r="I4" i="26" s="1"/>
  <c r="H25" i="26" a="1"/>
  <c r="H25" i="26" s="1"/>
  <c r="G24" i="26"/>
  <c r="Z78" i="26"/>
  <c r="K63" i="26" a="1"/>
  <c r="K63" i="26" s="1"/>
  <c r="Z62" i="26"/>
  <c r="H57" i="26" a="1"/>
  <c r="H57" i="26" s="1"/>
  <c r="G56" i="26"/>
  <c r="L49" i="26" a="1"/>
  <c r="L49" i="26" s="1"/>
  <c r="K47" i="26" a="1"/>
  <c r="K47" i="26" s="1"/>
  <c r="Z46" i="26"/>
  <c r="H41" i="26" a="1"/>
  <c r="H41" i="26" s="1"/>
  <c r="G40" i="26"/>
  <c r="L33" i="26" a="1"/>
  <c r="L33" i="26" s="1"/>
  <c r="K31" i="26" a="1"/>
  <c r="K31" i="26" s="1"/>
  <c r="Z30" i="26"/>
  <c r="H21" i="26" a="1"/>
  <c r="H21" i="26" s="1"/>
  <c r="G20" i="26"/>
  <c r="Y2" i="26"/>
  <c r="U2" i="26"/>
  <c r="Q2" i="26"/>
  <c r="M2" i="26"/>
  <c r="F2" i="26"/>
  <c r="K2" i="26" s="1" a="1"/>
  <c r="K2" i="26" s="1"/>
  <c r="X2" i="26"/>
  <c r="T2" i="26"/>
  <c r="P2" i="26"/>
  <c r="E2" i="26"/>
  <c r="G2" i="26" s="1"/>
  <c r="C2" i="26" a="1"/>
  <c r="C2" i="26" s="1"/>
  <c r="W2" i="26"/>
  <c r="S2" i="26"/>
  <c r="O2" i="26"/>
  <c r="J2" i="26" a="1"/>
  <c r="J2" i="26" s="1"/>
  <c r="V2" i="26"/>
  <c r="R2" i="26"/>
  <c r="N2" i="26"/>
  <c r="D2" i="26" a="1"/>
  <c r="D2" i="26" s="1"/>
  <c r="B2" i="26" a="1"/>
  <c r="B2" i="26" s="1"/>
  <c r="I99" i="26" a="1"/>
  <c r="I99" i="26" s="1"/>
  <c r="H101" i="26" a="1"/>
  <c r="H101" i="26" s="1"/>
  <c r="Z71" i="26"/>
  <c r="K58" i="26" a="1"/>
  <c r="K58" i="26" s="1"/>
  <c r="Z57" i="26"/>
  <c r="I54" i="26" a="1"/>
  <c r="I54" i="26" s="1"/>
  <c r="K42" i="26" a="1"/>
  <c r="K42" i="26" s="1"/>
  <c r="Z41" i="26"/>
  <c r="I38" i="26" a="1"/>
  <c r="I38" i="26" s="1"/>
  <c r="K26" i="26" a="1"/>
  <c r="K26" i="26" s="1"/>
  <c r="Z25" i="26"/>
  <c r="I22" i="26" a="1"/>
  <c r="I22" i="26" s="1"/>
  <c r="K10" i="26" a="1"/>
  <c r="K10" i="26" s="1"/>
  <c r="Z9" i="26"/>
  <c r="I6" i="26" a="1"/>
  <c r="I6" i="26" s="1"/>
  <c r="Z98" i="26"/>
  <c r="L99" i="26" a="1"/>
  <c r="L99" i="26" s="1"/>
  <c r="G77" i="26"/>
  <c r="H78" i="26" a="1"/>
  <c r="H78" i="26" s="1"/>
  <c r="I80" i="26" a="1"/>
  <c r="I80" i="26" s="1"/>
  <c r="Z83" i="26"/>
  <c r="K84" i="26" a="1"/>
  <c r="K84" i="26" s="1"/>
  <c r="G93" i="26"/>
  <c r="H94" i="26" a="1"/>
  <c r="H94" i="26" s="1"/>
  <c r="I96" i="26" a="1"/>
  <c r="I96" i="26" s="1"/>
  <c r="L105" i="26" a="1"/>
  <c r="L105" i="26" s="1"/>
  <c r="I126" i="26" a="1"/>
  <c r="I126" i="26" s="1"/>
  <c r="G74" i="26"/>
  <c r="H75" i="26" a="1"/>
  <c r="H75" i="26" s="1"/>
  <c r="I77" i="26" a="1"/>
  <c r="I77" i="26" s="1"/>
  <c r="Z80" i="26"/>
  <c r="K81" i="26" a="1"/>
  <c r="K81" i="26" s="1"/>
  <c r="G90" i="26"/>
  <c r="H91" i="26" a="1"/>
  <c r="H91" i="26" s="1"/>
  <c r="I93" i="26" a="1"/>
  <c r="I93" i="26" s="1"/>
  <c r="Z96" i="26"/>
  <c r="K97" i="26" a="1"/>
  <c r="K97" i="26" s="1"/>
  <c r="Z100" i="26"/>
  <c r="I102" i="26" a="1"/>
  <c r="I102" i="26" s="1"/>
  <c r="I106" i="26" a="1"/>
  <c r="I106" i="26" s="1"/>
  <c r="I114" i="26" a="1"/>
  <c r="I114" i="26" s="1"/>
  <c r="G119" i="26"/>
  <c r="Z77" i="26"/>
  <c r="L80" i="26" a="1"/>
  <c r="L80" i="26" s="1"/>
  <c r="Z93" i="26"/>
  <c r="L96" i="26" a="1"/>
  <c r="L96" i="26" s="1"/>
  <c r="G103" i="26"/>
  <c r="Z121" i="26"/>
  <c r="G118" i="26"/>
  <c r="H119" i="26" a="1"/>
  <c r="H119" i="26" s="1"/>
  <c r="I121" i="26" a="1"/>
  <c r="I121" i="26" s="1"/>
  <c r="Z124" i="26"/>
  <c r="K125" i="26" a="1"/>
  <c r="K125" i="26" s="1"/>
  <c r="G134" i="26"/>
  <c r="H135" i="26" a="1"/>
  <c r="H135" i="26" s="1"/>
  <c r="I137" i="26" a="1"/>
  <c r="I137" i="26" s="1"/>
  <c r="Z140" i="26"/>
  <c r="K141" i="26" a="1"/>
  <c r="K141" i="26" s="1"/>
  <c r="I145" i="26" a="1"/>
  <c r="I145" i="26" s="1"/>
  <c r="K146" i="26" a="1"/>
  <c r="K146" i="26" s="1"/>
  <c r="K164" i="26" a="1"/>
  <c r="K164" i="26" s="1"/>
  <c r="K130" i="26" a="1"/>
  <c r="K130" i="26" s="1"/>
  <c r="G139" i="26"/>
  <c r="I142" i="26" a="1"/>
  <c r="I142" i="26" s="1"/>
  <c r="Z144" i="26"/>
  <c r="I146" i="26" a="1"/>
  <c r="I146" i="26" s="1"/>
  <c r="H148" i="26" a="1"/>
  <c r="H148" i="26" s="1"/>
  <c r="G112" i="26"/>
  <c r="Z118" i="26"/>
  <c r="G128" i="26"/>
  <c r="Z134" i="26"/>
  <c r="K143" i="26" a="1"/>
  <c r="K143" i="26" s="1"/>
  <c r="H149" i="26" a="1"/>
  <c r="H149" i="26" s="1"/>
  <c r="Z150" i="26"/>
  <c r="Z158" i="26"/>
  <c r="G105" i="26"/>
  <c r="H106" i="26" a="1"/>
  <c r="H106" i="26" s="1"/>
  <c r="Z111" i="26"/>
  <c r="L114" i="26" a="1"/>
  <c r="L114" i="26" s="1"/>
  <c r="G121" i="26"/>
  <c r="H122" i="26" a="1"/>
  <c r="H122" i="26" s="1"/>
  <c r="Z127" i="26"/>
  <c r="L130" i="26" a="1"/>
  <c r="L130" i="26" s="1"/>
  <c r="G137" i="26"/>
  <c r="Z146" i="26"/>
  <c r="K155" i="26" a="1"/>
  <c r="K155" i="26" s="1"/>
  <c r="Z148" i="26"/>
  <c r="K149" i="26" a="1"/>
  <c r="K149" i="26" s="1"/>
  <c r="G158" i="26"/>
  <c r="Z163" i="26"/>
  <c r="I165" i="26" a="1"/>
  <c r="I165" i="26" s="1"/>
  <c r="Z157" i="26"/>
  <c r="K158" i="26" a="1"/>
  <c r="K158" i="26" s="1"/>
  <c r="L160" i="26" a="1"/>
  <c r="L160" i="26" s="1"/>
  <c r="Z164" i="26"/>
  <c r="L166" i="26" a="1"/>
  <c r="L166" i="26" s="1"/>
  <c r="L167" i="26" a="1"/>
  <c r="L167" i="26" s="1"/>
  <c r="Z147" i="26"/>
  <c r="L150" i="26" a="1"/>
  <c r="L150" i="26" s="1"/>
  <c r="G157" i="26"/>
  <c r="H158" i="26" a="1"/>
  <c r="H158" i="26" s="1"/>
  <c r="Z202" i="26"/>
  <c r="G164" i="26"/>
  <c r="H177" i="26" a="1"/>
  <c r="H177" i="26" s="1"/>
  <c r="Z178" i="26"/>
  <c r="Z186" i="26"/>
  <c r="K195" i="26" a="1"/>
  <c r="K195" i="26" s="1"/>
  <c r="K183" i="26" a="1"/>
  <c r="K183" i="26" s="1"/>
  <c r="Z198" i="26"/>
  <c r="K203" i="26" a="1"/>
  <c r="K203" i="26" s="1"/>
  <c r="G181" i="26"/>
  <c r="H182" i="26" a="1"/>
  <c r="H182" i="26" s="1"/>
  <c r="I184" i="26" a="1"/>
  <c r="I184" i="26" s="1"/>
  <c r="Z187" i="26"/>
  <c r="K188" i="26" a="1"/>
  <c r="K188" i="26" s="1"/>
  <c r="G197" i="26"/>
  <c r="K198" i="26" a="1"/>
  <c r="K198" i="26" s="1"/>
  <c r="G232" i="26"/>
  <c r="G170" i="26"/>
  <c r="Z176" i="26"/>
  <c r="L179" i="26" a="1"/>
  <c r="L179" i="26" s="1"/>
  <c r="G186" i="26"/>
  <c r="H187" i="26" a="1"/>
  <c r="H187" i="26" s="1"/>
  <c r="Z192" i="26"/>
  <c r="L195" i="26" a="1"/>
  <c r="L195" i="26" s="1"/>
  <c r="H215" i="26" a="1"/>
  <c r="H215" i="26" s="1"/>
  <c r="I229" i="26" a="1"/>
  <c r="I229" i="26" s="1"/>
  <c r="Z181" i="26"/>
  <c r="G191" i="26"/>
  <c r="H192" i="26" a="1"/>
  <c r="H192" i="26" s="1"/>
  <c r="Z197" i="26"/>
  <c r="I217" i="26" a="1"/>
  <c r="I217" i="26" s="1"/>
  <c r="G222" i="26"/>
  <c r="G203" i="26"/>
  <c r="H204" i="26" a="1"/>
  <c r="H204" i="26" s="1"/>
  <c r="I206" i="26" a="1"/>
  <c r="I206" i="26" s="1"/>
  <c r="Z209" i="26"/>
  <c r="K210" i="26" a="1"/>
  <c r="K210" i="26" s="1"/>
  <c r="G219" i="26"/>
  <c r="H220" i="26" a="1"/>
  <c r="H220" i="26" s="1"/>
  <c r="I222" i="26" a="1"/>
  <c r="I222" i="26" s="1"/>
  <c r="Z225" i="26"/>
  <c r="K226" i="26" a="1"/>
  <c r="K226" i="26" s="1"/>
  <c r="G208" i="26"/>
  <c r="H209" i="26" a="1"/>
  <c r="H209" i="26" s="1"/>
  <c r="Z214" i="26"/>
  <c r="L217" i="26" a="1"/>
  <c r="L217" i="26" s="1"/>
  <c r="G224" i="26"/>
  <c r="H225" i="26" a="1"/>
  <c r="H225" i="26" s="1"/>
  <c r="Z230" i="26"/>
  <c r="Z243" i="26"/>
  <c r="H198" i="26" a="1"/>
  <c r="H198" i="26" s="1"/>
  <c r="Z203" i="26"/>
  <c r="L206" i="26" a="1"/>
  <c r="L206" i="26" s="1"/>
  <c r="G213" i="26"/>
  <c r="H214" i="26" a="1"/>
  <c r="H214" i="26" s="1"/>
  <c r="Z219" i="26"/>
  <c r="L222" i="26" a="1"/>
  <c r="L222" i="26" s="1"/>
  <c r="G229" i="26"/>
  <c r="H230" i="26" a="1"/>
  <c r="H230" i="26" s="1"/>
  <c r="K232" i="26" a="1"/>
  <c r="K232" i="26" s="1"/>
  <c r="G238" i="26"/>
  <c r="I241" i="26" a="1"/>
  <c r="I241" i="26" s="1"/>
  <c r="Z244" i="26"/>
  <c r="K245" i="26" a="1"/>
  <c r="K245" i="26" s="1"/>
  <c r="H250" i="26" a="1"/>
  <c r="H250" i="26" s="1"/>
  <c r="H232" i="26" a="1"/>
  <c r="H232" i="26" s="1"/>
  <c r="Z237" i="26"/>
  <c r="L240" i="26" a="1"/>
  <c r="L240" i="26" s="1"/>
  <c r="I252" i="26" a="1"/>
  <c r="I252" i="26" s="1"/>
  <c r="G257" i="26"/>
  <c r="Z242" i="26"/>
  <c r="L245" i="26" a="1"/>
  <c r="L245" i="26" s="1"/>
  <c r="I249" i="26" a="1"/>
  <c r="I249" i="26" s="1"/>
  <c r="Z252" i="26"/>
  <c r="K253" i="26" a="1"/>
  <c r="K253" i="26" s="1"/>
  <c r="L264" i="26" a="1"/>
  <c r="L264" i="26" s="1"/>
  <c r="G265" i="26"/>
  <c r="Z249" i="26"/>
  <c r="K250" i="26" a="1"/>
  <c r="K250" i="26" s="1"/>
  <c r="L252" i="26" a="1"/>
  <c r="L252" i="26" s="1"/>
  <c r="I268" i="26" a="1"/>
  <c r="I268" i="26" s="1"/>
  <c r="Z246" i="26"/>
  <c r="L249" i="26" a="1"/>
  <c r="L249" i="26" s="1"/>
  <c r="G256" i="26"/>
  <c r="Z265" i="26"/>
  <c r="I269" i="26" a="1"/>
  <c r="I269" i="26" s="1"/>
  <c r="K280" i="26" a="1"/>
  <c r="K280" i="26" s="1"/>
  <c r="L268" i="26" a="1"/>
  <c r="L268" i="26" s="1"/>
  <c r="Z266" i="26"/>
  <c r="L269" i="26" a="1"/>
  <c r="L269" i="26" s="1"/>
  <c r="H270" i="26" a="1"/>
  <c r="H270" i="26" s="1"/>
  <c r="G270" i="26"/>
  <c r="H271" i="26" a="1"/>
  <c r="H271" i="26" s="1"/>
  <c r="I273" i="26" a="1"/>
  <c r="I273" i="26" s="1"/>
  <c r="Z276" i="26"/>
  <c r="K277" i="26" a="1"/>
  <c r="K277" i="26" s="1"/>
  <c r="H290" i="26" a="1"/>
  <c r="H290" i="26" s="1"/>
  <c r="Z278" i="26"/>
  <c r="L281" i="26" a="1"/>
  <c r="L281" i="26" s="1"/>
  <c r="G287" i="26"/>
  <c r="G290" i="26"/>
  <c r="H291" i="26" a="1"/>
  <c r="H291" i="26" s="1"/>
  <c r="Z289" i="26"/>
  <c r="Z290" i="26"/>
  <c r="H293" i="26" a="1"/>
  <c r="H293" i="26" s="1"/>
  <c r="G298" i="26"/>
  <c r="I298" i="26" a="1"/>
  <c r="I298" i="26" s="1"/>
  <c r="Z301" i="26"/>
  <c r="Z298" i="26"/>
  <c r="L301" i="26" a="1"/>
  <c r="L301" i="26" s="1"/>
  <c r="G297" i="26"/>
  <c r="H298" i="26" a="1"/>
  <c r="H298" i="26" s="1"/>
  <c r="I300" i="26" a="1"/>
  <c r="I300" i="26" s="1"/>
  <c r="L93" i="26" a="1"/>
  <c r="L93" i="26" s="1"/>
  <c r="H85" i="26" a="1"/>
  <c r="H85" i="26" s="1"/>
  <c r="G68" i="26"/>
  <c r="Z56" i="26"/>
  <c r="I53" i="26" a="1"/>
  <c r="I53" i="26" s="1"/>
  <c r="G50" i="26"/>
  <c r="Z40" i="26"/>
  <c r="I37" i="26" a="1"/>
  <c r="I37" i="26" s="1"/>
  <c r="G34" i="26"/>
  <c r="Z24" i="26"/>
  <c r="G18" i="26"/>
  <c r="H17" i="26" a="1"/>
  <c r="H17" i="26" s="1"/>
  <c r="G84" i="26"/>
  <c r="L62" i="26" a="1"/>
  <c r="L62" i="26" s="1"/>
  <c r="Z59" i="26"/>
  <c r="H54" i="26" a="1"/>
  <c r="H54" i="26" s="1"/>
  <c r="G53" i="26"/>
  <c r="L46" i="26" a="1"/>
  <c r="L46" i="26" s="1"/>
  <c r="Z43" i="26"/>
  <c r="H38" i="26" a="1"/>
  <c r="H38" i="26" s="1"/>
  <c r="G37" i="26"/>
  <c r="L30" i="26" a="1"/>
  <c r="L30" i="26" s="1"/>
  <c r="Z27" i="26"/>
  <c r="H22" i="26" a="1"/>
  <c r="H22" i="26" s="1"/>
  <c r="G21" i="26"/>
  <c r="L14" i="26" a="1"/>
  <c r="L14" i="26" s="1"/>
  <c r="Z11" i="26"/>
  <c r="I8" i="26" a="1"/>
  <c r="I8" i="26" s="1"/>
  <c r="H6" i="26" a="1"/>
  <c r="H6" i="26" s="1"/>
  <c r="G5" i="26"/>
  <c r="L13" i="26" a="1"/>
  <c r="L13" i="26" s="1"/>
  <c r="Z10" i="26"/>
  <c r="Z94" i="26"/>
  <c r="G80" i="26"/>
  <c r="I75" i="26" a="1"/>
  <c r="I75" i="26" s="1"/>
  <c r="G66" i="26"/>
  <c r="H61" i="26" a="1"/>
  <c r="H61" i="26" s="1"/>
  <c r="G60" i="26"/>
  <c r="L53" i="26" a="1"/>
  <c r="L53" i="26" s="1"/>
  <c r="Z50" i="26"/>
  <c r="H45" i="26" a="1"/>
  <c r="H45" i="26" s="1"/>
  <c r="G44" i="26"/>
  <c r="L37" i="26" a="1"/>
  <c r="L37" i="26" s="1"/>
  <c r="Z34" i="26"/>
  <c r="H29" i="26" a="1"/>
  <c r="H29" i="26" s="1"/>
  <c r="G28" i="26"/>
  <c r="K68" i="26" a="1"/>
  <c r="K68" i="26" s="1"/>
  <c r="Z61" i="26"/>
  <c r="I58" i="26" a="1"/>
  <c r="I58" i="26" s="1"/>
  <c r="K46" i="26" a="1"/>
  <c r="K46" i="26" s="1"/>
  <c r="Z45" i="26"/>
  <c r="I42" i="26" a="1"/>
  <c r="I42" i="26" s="1"/>
  <c r="K30" i="26" a="1"/>
  <c r="K30" i="26" s="1"/>
  <c r="Z29" i="26"/>
  <c r="I26" i="26" a="1"/>
  <c r="I26" i="26" s="1"/>
  <c r="K14" i="26" a="1"/>
  <c r="K14" i="26" s="1"/>
  <c r="Z13" i="26"/>
  <c r="I10" i="26" a="1"/>
  <c r="I10" i="26" s="1"/>
  <c r="Z102" i="26"/>
  <c r="I110" i="26" a="1"/>
  <c r="I110" i="26" s="1"/>
  <c r="K118" i="26" a="1"/>
  <c r="K118" i="26" s="1"/>
  <c r="K80" i="26" a="1"/>
  <c r="K80" i="26" s="1"/>
  <c r="K96" i="26" a="1"/>
  <c r="K96" i="26" s="1"/>
  <c r="Z129" i="26"/>
  <c r="Z76" i="26"/>
  <c r="K77" i="26" a="1"/>
  <c r="K77" i="26" s="1"/>
  <c r="Z92" i="26"/>
  <c r="Z109" i="26"/>
  <c r="Z117" i="26"/>
  <c r="K126" i="26" a="1"/>
  <c r="K126" i="26" s="1"/>
  <c r="H68" i="26" a="1"/>
  <c r="H68" i="26" s="1"/>
  <c r="Z73" i="26"/>
  <c r="Z89" i="26"/>
  <c r="H105" i="26" a="1"/>
  <c r="H105" i="26" s="1"/>
  <c r="K114" i="26" a="1"/>
  <c r="K114" i="26" s="1"/>
  <c r="G114" i="26"/>
  <c r="G130" i="26"/>
  <c r="G135" i="26"/>
  <c r="Z114" i="26"/>
  <c r="G101" i="26"/>
  <c r="Z107" i="26"/>
  <c r="G117" i="26"/>
  <c r="Z123" i="26"/>
  <c r="G133" i="26"/>
  <c r="Z139" i="26"/>
  <c r="G143" i="26"/>
  <c r="Z169" i="26"/>
  <c r="Z143" i="26"/>
  <c r="G153" i="26"/>
  <c r="Z159" i="26"/>
  <c r="Z171" i="26"/>
  <c r="Z166" i="26"/>
  <c r="Z167" i="26"/>
  <c r="Z170" i="26"/>
  <c r="Z194" i="26"/>
  <c r="H178" i="26" a="1"/>
  <c r="H178" i="26" s="1"/>
  <c r="Z183" i="26"/>
  <c r="Z172" i="26"/>
  <c r="H205" i="26" a="1"/>
  <c r="H205" i="26" s="1"/>
  <c r="G187" i="26"/>
  <c r="Z220" i="26"/>
  <c r="Z205" i="26"/>
  <c r="Z199" i="26"/>
  <c r="G209" i="26"/>
  <c r="G225" i="26"/>
  <c r="I244" i="26" a="1"/>
  <c r="I244" i="26" s="1"/>
  <c r="Z233" i="26"/>
  <c r="G243" i="26"/>
  <c r="Z255" i="26"/>
  <c r="I256" i="26" a="1"/>
  <c r="I256" i="26" s="1"/>
  <c r="Z248" i="26"/>
  <c r="K249" i="26" a="1"/>
  <c r="K249" i="26" s="1"/>
  <c r="Z261" i="26"/>
  <c r="G252" i="26"/>
  <c r="Z258" i="26"/>
  <c r="G262" i="26"/>
  <c r="K284" i="26" a="1"/>
  <c r="K284" i="26" s="1"/>
  <c r="Z262" i="26"/>
  <c r="K270" i="26" a="1"/>
  <c r="K270" i="26" s="1"/>
  <c r="H274" i="26" a="1"/>
  <c r="H274" i="26" s="1"/>
  <c r="Z275" i="26"/>
  <c r="Z272" i="26"/>
  <c r="K273" i="26" a="1"/>
  <c r="K273" i="26" s="1"/>
  <c r="K287" i="26" a="1"/>
  <c r="K287" i="26" s="1"/>
  <c r="K294" i="26" a="1"/>
  <c r="K294" i="26" s="1"/>
  <c r="Z274" i="26"/>
  <c r="G284" i="26"/>
  <c r="I287" i="26" a="1"/>
  <c r="I287" i="26" s="1"/>
  <c r="G294" i="26"/>
  <c r="Z297" i="26"/>
  <c r="Z294" i="26"/>
  <c r="G293" i="26"/>
  <c r="Z299" i="26"/>
  <c r="Z70" i="26"/>
  <c r="K61" i="26" a="1"/>
  <c r="K61" i="26" s="1"/>
  <c r="G54" i="26"/>
  <c r="K45" i="26" a="1"/>
  <c r="K45" i="26" s="1"/>
  <c r="G38" i="26"/>
  <c r="K29" i="26" a="1"/>
  <c r="K29" i="26" s="1"/>
  <c r="G22" i="26"/>
  <c r="Z12" i="26"/>
  <c r="G6" i="26"/>
  <c r="H5" i="26" a="1"/>
  <c r="H5" i="26" s="1"/>
  <c r="L5" i="26" a="1"/>
  <c r="L5" i="26" s="1"/>
  <c r="G57" i="26"/>
  <c r="G41" i="26"/>
  <c r="G25" i="26"/>
  <c r="Z15" i="26"/>
  <c r="G9" i="26"/>
  <c r="Z22" i="26"/>
  <c r="G96" i="26"/>
  <c r="L69" i="26" a="1"/>
  <c r="L69" i="26" s="1"/>
  <c r="G64" i="26"/>
  <c r="Z54" i="26"/>
  <c r="H49" i="26" a="1"/>
  <c r="H49" i="26" s="1"/>
  <c r="G48" i="26"/>
  <c r="K39" i="26" a="1"/>
  <c r="K39" i="26" s="1"/>
  <c r="Z38" i="26"/>
  <c r="H33" i="26" a="1"/>
  <c r="H33" i="26" s="1"/>
  <c r="G32" i="26"/>
  <c r="K19" i="26" a="1"/>
  <c r="K19" i="26" s="1"/>
  <c r="Z18" i="26"/>
  <c r="G4" i="26"/>
  <c r="Z101" i="26"/>
  <c r="G126" i="26"/>
  <c r="Z110" i="26"/>
  <c r="Z126" i="26"/>
  <c r="Z103" i="26"/>
  <c r="G113" i="26"/>
  <c r="G129" i="26"/>
  <c r="I150" i="26" a="1"/>
  <c r="I150" i="26" s="1"/>
  <c r="G150" i="26"/>
  <c r="G159" i="26"/>
  <c r="G149" i="26"/>
  <c r="Z155" i="26"/>
  <c r="I187" i="26" a="1"/>
  <c r="I187" i="26" s="1"/>
  <c r="I179" i="26" a="1"/>
  <c r="I179" i="26" s="1"/>
  <c r="K187" i="26" a="1"/>
  <c r="K187" i="26" s="1"/>
  <c r="Z195" i="26"/>
  <c r="I209" i="26" a="1"/>
  <c r="I209" i="26" s="1"/>
  <c r="G178" i="26"/>
  <c r="Z184" i="26"/>
  <c r="L205" i="26" a="1"/>
  <c r="L205" i="26" s="1"/>
  <c r="Z216" i="26"/>
  <c r="G183" i="26"/>
  <c r="Z189" i="26"/>
  <c r="Z217" i="26"/>
  <c r="Z206" i="26"/>
  <c r="Z222" i="26"/>
  <c r="G205" i="26"/>
  <c r="Z211" i="26"/>
  <c r="G221" i="26"/>
  <c r="Z227" i="26"/>
  <c r="Z234" i="26"/>
  <c r="Z236" i="26"/>
  <c r="G244" i="26"/>
  <c r="Z260" i="26"/>
  <c r="K274" i="26" a="1"/>
  <c r="K274" i="26" s="1"/>
  <c r="G268" i="26"/>
  <c r="Z271" i="26"/>
  <c r="G278" i="26"/>
  <c r="I281" i="26" a="1"/>
  <c r="I281" i="26" s="1"/>
  <c r="Z284" i="26"/>
  <c r="Z285" i="26"/>
  <c r="G280" i="26"/>
  <c r="Z288" i="26"/>
  <c r="Z295" i="26"/>
  <c r="Z86" i="26"/>
  <c r="G72" i="26"/>
  <c r="Z64" i="26"/>
  <c r="I61" i="26" a="1"/>
  <c r="I61" i="26" s="1"/>
  <c r="G58" i="26"/>
  <c r="Z48" i="26"/>
  <c r="I45" i="26" a="1"/>
  <c r="I45" i="26" s="1"/>
  <c r="G42" i="26"/>
  <c r="Z32" i="26"/>
  <c r="I29" i="26" a="1"/>
  <c r="I29" i="26" s="1"/>
  <c r="G26" i="26"/>
  <c r="K17" i="26" a="1"/>
  <c r="K17" i="26" s="1"/>
  <c r="Z16" i="26"/>
  <c r="G10" i="26"/>
  <c r="L9" i="26" a="1"/>
  <c r="L9" i="26" s="1"/>
  <c r="H9" i="26" a="1"/>
  <c r="H9" i="26" s="1"/>
  <c r="Z14" i="26"/>
  <c r="Z66" i="26"/>
  <c r="G61" i="26"/>
  <c r="G45" i="26"/>
  <c r="G29" i="26"/>
  <c r="G13" i="26"/>
  <c r="G12" i="26"/>
  <c r="Z58" i="26"/>
  <c r="G52" i="26"/>
  <c r="Z42" i="26"/>
  <c r="G36" i="26"/>
  <c r="Z26" i="26"/>
  <c r="X5" i="25"/>
  <c r="X9" i="25"/>
  <c r="X13" i="25"/>
  <c r="X17" i="25"/>
  <c r="X4" i="25"/>
  <c r="X10" i="25"/>
  <c r="X15" i="25"/>
  <c r="X20" i="25"/>
  <c r="X24" i="25"/>
  <c r="X28" i="25"/>
  <c r="X32" i="25"/>
  <c r="X36" i="25"/>
  <c r="X40" i="25"/>
  <c r="X44" i="25"/>
  <c r="X48" i="25"/>
  <c r="X52" i="25"/>
  <c r="X56" i="25"/>
  <c r="X60" i="25"/>
  <c r="X64" i="25"/>
  <c r="X68" i="25"/>
  <c r="X72" i="25"/>
  <c r="X76" i="25"/>
  <c r="X80" i="25"/>
  <c r="X84" i="25"/>
  <c r="X88" i="25"/>
  <c r="X92" i="25"/>
  <c r="X96" i="25"/>
  <c r="X100" i="25"/>
  <c r="X104" i="25"/>
  <c r="X108" i="25"/>
  <c r="X112" i="25"/>
  <c r="X116" i="25"/>
  <c r="X120" i="25"/>
  <c r="X124" i="25"/>
  <c r="X128" i="25"/>
  <c r="X132" i="25"/>
  <c r="X136" i="25"/>
  <c r="X140" i="25"/>
  <c r="X144" i="25"/>
  <c r="X148" i="25"/>
  <c r="X152" i="25"/>
  <c r="X156" i="25"/>
  <c r="X160" i="25"/>
  <c r="X164" i="25"/>
  <c r="X168" i="25"/>
  <c r="X172" i="25"/>
  <c r="X176" i="25"/>
  <c r="X180" i="25"/>
  <c r="X184" i="25"/>
  <c r="X188" i="25"/>
  <c r="X192" i="25"/>
  <c r="X196" i="25"/>
  <c r="X200" i="25"/>
  <c r="X204" i="25"/>
  <c r="X208" i="25"/>
  <c r="X212" i="25"/>
  <c r="X216" i="25"/>
  <c r="X220" i="25"/>
  <c r="X224" i="25"/>
  <c r="X228" i="25"/>
  <c r="X232" i="25"/>
  <c r="X236" i="25"/>
  <c r="X240" i="25"/>
  <c r="X244" i="25"/>
  <c r="X248" i="25"/>
  <c r="X252" i="25"/>
  <c r="X256" i="25"/>
  <c r="X260" i="25"/>
  <c r="X264" i="25"/>
  <c r="X268" i="25"/>
  <c r="X272" i="25"/>
  <c r="X276" i="25"/>
  <c r="X280" i="25"/>
  <c r="X284" i="25"/>
  <c r="X288" i="25"/>
  <c r="X292" i="25"/>
  <c r="X296" i="25"/>
  <c r="X300" i="25"/>
  <c r="W5" i="25"/>
  <c r="W9" i="25"/>
  <c r="W13" i="25"/>
  <c r="W17" i="25"/>
  <c r="W21" i="25"/>
  <c r="W25" i="25"/>
  <c r="W29" i="25"/>
  <c r="W33" i="25"/>
  <c r="W37" i="25"/>
  <c r="W41" i="25"/>
  <c r="W45" i="25"/>
  <c r="W49" i="25"/>
  <c r="W53" i="25"/>
  <c r="W57" i="25"/>
  <c r="W61" i="25"/>
  <c r="W65" i="25"/>
  <c r="W69" i="25"/>
  <c r="W73" i="25"/>
  <c r="W77" i="25"/>
  <c r="W81" i="25"/>
  <c r="W85" i="25"/>
  <c r="W89" i="25"/>
  <c r="W93" i="25"/>
  <c r="W97" i="25"/>
  <c r="W101" i="25"/>
  <c r="W105" i="25"/>
  <c r="W109" i="25"/>
  <c r="W113" i="25"/>
  <c r="W117" i="25"/>
  <c r="W121" i="25"/>
  <c r="W125" i="25"/>
  <c r="W129" i="25"/>
  <c r="W133" i="25"/>
  <c r="W137" i="25"/>
  <c r="W141" i="25"/>
  <c r="W145" i="25"/>
  <c r="X6" i="25"/>
  <c r="X12" i="25"/>
  <c r="X19" i="25"/>
  <c r="X25" i="25"/>
  <c r="X30" i="25"/>
  <c r="X35" i="25"/>
  <c r="X41" i="25"/>
  <c r="X46" i="25"/>
  <c r="X51" i="25"/>
  <c r="X57" i="25"/>
  <c r="X62" i="25"/>
  <c r="X67" i="25"/>
  <c r="X73" i="25"/>
  <c r="X78" i="25"/>
  <c r="X83" i="25"/>
  <c r="X89" i="25"/>
  <c r="X94" i="25"/>
  <c r="X99" i="25"/>
  <c r="X105" i="25"/>
  <c r="X110" i="25"/>
  <c r="X115" i="25"/>
  <c r="X121" i="25"/>
  <c r="X126" i="25"/>
  <c r="X131" i="25"/>
  <c r="X137" i="25"/>
  <c r="X142" i="25"/>
  <c r="X147" i="25"/>
  <c r="X153" i="25"/>
  <c r="X158" i="25"/>
  <c r="X163" i="25"/>
  <c r="X169" i="25"/>
  <c r="X174" i="25"/>
  <c r="X179" i="25"/>
  <c r="X185" i="25"/>
  <c r="X190" i="25"/>
  <c r="X195" i="25"/>
  <c r="X201" i="25"/>
  <c r="X206" i="25"/>
  <c r="X211" i="25"/>
  <c r="X217" i="25"/>
  <c r="X222" i="25"/>
  <c r="X227" i="25"/>
  <c r="X233" i="25"/>
  <c r="X238" i="25"/>
  <c r="X243" i="25"/>
  <c r="X249" i="25"/>
  <c r="X254" i="25"/>
  <c r="X259" i="25"/>
  <c r="X265" i="25"/>
  <c r="X270" i="25"/>
  <c r="X275" i="25"/>
  <c r="X281" i="25"/>
  <c r="X286" i="25"/>
  <c r="X291" i="25"/>
  <c r="X297" i="25"/>
  <c r="W3" i="25"/>
  <c r="W8" i="25"/>
  <c r="W14" i="25"/>
  <c r="W19" i="25"/>
  <c r="W24" i="25"/>
  <c r="W30" i="25"/>
  <c r="W35" i="25"/>
  <c r="W40" i="25"/>
  <c r="W46" i="25"/>
  <c r="W51" i="25"/>
  <c r="W56" i="25"/>
  <c r="W62" i="25"/>
  <c r="W67" i="25"/>
  <c r="W72" i="25"/>
  <c r="W78" i="25"/>
  <c r="W83" i="25"/>
  <c r="W88" i="25"/>
  <c r="W94" i="25"/>
  <c r="W99" i="25"/>
  <c r="W104" i="25"/>
  <c r="W110" i="25"/>
  <c r="W115" i="25"/>
  <c r="W120" i="25"/>
  <c r="W126" i="25"/>
  <c r="W131" i="25"/>
  <c r="W136" i="25"/>
  <c r="W142" i="25"/>
  <c r="W147" i="25"/>
  <c r="W151" i="25"/>
  <c r="W155" i="25"/>
  <c r="W159" i="25"/>
  <c r="W163" i="25"/>
  <c r="W167" i="25"/>
  <c r="W171" i="25"/>
  <c r="W175" i="25"/>
  <c r="W179" i="25"/>
  <c r="W183" i="25"/>
  <c r="W187" i="25"/>
  <c r="W191" i="25"/>
  <c r="W195" i="25"/>
  <c r="W199" i="25"/>
  <c r="W203" i="25"/>
  <c r="W207" i="25"/>
  <c r="W211" i="25"/>
  <c r="W215" i="25"/>
  <c r="W219" i="25"/>
  <c r="W223" i="25"/>
  <c r="W227" i="25"/>
  <c r="W231" i="25"/>
  <c r="W235" i="25"/>
  <c r="W239" i="25"/>
  <c r="W243" i="25"/>
  <c r="W247" i="25"/>
  <c r="W251" i="25"/>
  <c r="W255" i="25"/>
  <c r="W259" i="25"/>
  <c r="W263" i="25"/>
  <c r="X7" i="25"/>
  <c r="X14" i="25"/>
  <c r="X21" i="25"/>
  <c r="X26" i="25"/>
  <c r="X31" i="25"/>
  <c r="X37" i="25"/>
  <c r="X42" i="25"/>
  <c r="X47" i="25"/>
  <c r="X53" i="25"/>
  <c r="X58" i="25"/>
  <c r="X63" i="25"/>
  <c r="X69" i="25"/>
  <c r="X74" i="25"/>
  <c r="X79" i="25"/>
  <c r="X85" i="25"/>
  <c r="X90" i="25"/>
  <c r="X95" i="25"/>
  <c r="X101" i="25"/>
  <c r="X106" i="25"/>
  <c r="X111" i="25"/>
  <c r="X117" i="25"/>
  <c r="X122" i="25"/>
  <c r="X127" i="25"/>
  <c r="X133" i="25"/>
  <c r="X138" i="25"/>
  <c r="X143" i="25"/>
  <c r="X149" i="25"/>
  <c r="X154" i="25"/>
  <c r="X159" i="25"/>
  <c r="X165" i="25"/>
  <c r="X170" i="25"/>
  <c r="X175" i="25"/>
  <c r="X181" i="25"/>
  <c r="X186" i="25"/>
  <c r="X191" i="25"/>
  <c r="X197" i="25"/>
  <c r="X202" i="25"/>
  <c r="X207" i="25"/>
  <c r="X213" i="25"/>
  <c r="X218" i="25"/>
  <c r="X223" i="25"/>
  <c r="X16" i="25"/>
  <c r="X27" i="25"/>
  <c r="X38" i="25"/>
  <c r="X49" i="25"/>
  <c r="X59" i="25"/>
  <c r="X70" i="25"/>
  <c r="X81" i="25"/>
  <c r="X91" i="25"/>
  <c r="X102" i="25"/>
  <c r="X113" i="25"/>
  <c r="X123" i="25"/>
  <c r="X134" i="25"/>
  <c r="X145" i="25"/>
  <c r="X155" i="25"/>
  <c r="X166" i="25"/>
  <c r="X177" i="25"/>
  <c r="X187" i="25"/>
  <c r="X198" i="25"/>
  <c r="X209" i="25"/>
  <c r="X219" i="25"/>
  <c r="X229" i="25"/>
  <c r="X235" i="25"/>
  <c r="X242" i="25"/>
  <c r="X3" i="25"/>
  <c r="X18" i="25"/>
  <c r="X29" i="25"/>
  <c r="X39" i="25"/>
  <c r="X50" i="25"/>
  <c r="X61" i="25"/>
  <c r="X71" i="25"/>
  <c r="X82" i="25"/>
  <c r="X93" i="25"/>
  <c r="X103" i="25"/>
  <c r="X114" i="25"/>
  <c r="X125" i="25"/>
  <c r="X135" i="25"/>
  <c r="X146" i="25"/>
  <c r="X157" i="25"/>
  <c r="X167" i="25"/>
  <c r="X178" i="25"/>
  <c r="X189" i="25"/>
  <c r="X199" i="25"/>
  <c r="X210" i="25"/>
  <c r="X221" i="25"/>
  <c r="X230" i="25"/>
  <c r="X237" i="25"/>
  <c r="X245" i="25"/>
  <c r="X251" i="25"/>
  <c r="X258" i="25"/>
  <c r="X266" i="25"/>
  <c r="X273" i="25"/>
  <c r="X279" i="25"/>
  <c r="X287" i="25"/>
  <c r="X294" i="25"/>
  <c r="W10" i="25"/>
  <c r="W16" i="25"/>
  <c r="W23" i="25"/>
  <c r="W31" i="25"/>
  <c r="W38" i="25"/>
  <c r="W44" i="25"/>
  <c r="W52" i="25"/>
  <c r="W59" i="25"/>
  <c r="W66" i="25"/>
  <c r="W74" i="25"/>
  <c r="W80" i="25"/>
  <c r="W87" i="25"/>
  <c r="W95" i="25"/>
  <c r="W102" i="25"/>
  <c r="W108" i="25"/>
  <c r="W116" i="25"/>
  <c r="W123" i="25"/>
  <c r="W130" i="25"/>
  <c r="W138" i="25"/>
  <c r="W144" i="25"/>
  <c r="W150" i="25"/>
  <c r="W156" i="25"/>
  <c r="W161" i="25"/>
  <c r="W166" i="25"/>
  <c r="W172" i="25"/>
  <c r="X8" i="25"/>
  <c r="X22" i="25"/>
  <c r="X33" i="25"/>
  <c r="X43" i="25"/>
  <c r="X54" i="25"/>
  <c r="X65" i="25"/>
  <c r="X75" i="25"/>
  <c r="X86" i="25"/>
  <c r="X97" i="25"/>
  <c r="X107" i="25"/>
  <c r="X118" i="25"/>
  <c r="X129" i="25"/>
  <c r="X139" i="25"/>
  <c r="X150" i="25"/>
  <c r="X161" i="25"/>
  <c r="X171" i="25"/>
  <c r="X182" i="25"/>
  <c r="X193" i="25"/>
  <c r="X203" i="25"/>
  <c r="X214" i="25"/>
  <c r="X225" i="25"/>
  <c r="X231" i="25"/>
  <c r="X239" i="25"/>
  <c r="X246" i="25"/>
  <c r="X253" i="25"/>
  <c r="X261" i="25"/>
  <c r="X267" i="25"/>
  <c r="X274" i="25"/>
  <c r="X282" i="25"/>
  <c r="X289" i="25"/>
  <c r="X295" i="25"/>
  <c r="W4" i="25"/>
  <c r="W11" i="25"/>
  <c r="W18" i="25"/>
  <c r="W26" i="25"/>
  <c r="W32" i="25"/>
  <c r="W39" i="25"/>
  <c r="W47" i="25"/>
  <c r="W54" i="25"/>
  <c r="W60" i="25"/>
  <c r="W68" i="25"/>
  <c r="W75" i="25"/>
  <c r="W82" i="25"/>
  <c r="W90" i="25"/>
  <c r="W96" i="25"/>
  <c r="W103" i="25"/>
  <c r="W111" i="25"/>
  <c r="W118" i="25"/>
  <c r="W124" i="25"/>
  <c r="W132" i="25"/>
  <c r="W139" i="25"/>
  <c r="W146" i="25"/>
  <c r="W152" i="25"/>
  <c r="W157" i="25"/>
  <c r="W162" i="25"/>
  <c r="W168" i="25"/>
  <c r="W173" i="25"/>
  <c r="W178" i="25"/>
  <c r="W184" i="25"/>
  <c r="W189" i="25"/>
  <c r="W194" i="25"/>
  <c r="W200" i="25"/>
  <c r="W205" i="25"/>
  <c r="W210" i="25"/>
  <c r="X45" i="25"/>
  <c r="X87" i="25"/>
  <c r="X130" i="25"/>
  <c r="X173" i="25"/>
  <c r="X215" i="25"/>
  <c r="X247" i="25"/>
  <c r="X262" i="25"/>
  <c r="X277" i="25"/>
  <c r="X290" i="25"/>
  <c r="W6" i="25"/>
  <c r="W20" i="25"/>
  <c r="W34" i="25"/>
  <c r="W48" i="25"/>
  <c r="W63" i="25"/>
  <c r="W76" i="25"/>
  <c r="W91" i="25"/>
  <c r="W106" i="25"/>
  <c r="W119" i="25"/>
  <c r="W134" i="25"/>
  <c r="W148" i="25"/>
  <c r="W158" i="25"/>
  <c r="W169" i="25"/>
  <c r="W177" i="25"/>
  <c r="W185" i="25"/>
  <c r="W192" i="25"/>
  <c r="W198" i="25"/>
  <c r="W206" i="25"/>
  <c r="W213" i="25"/>
  <c r="W218" i="25"/>
  <c r="W224" i="25"/>
  <c r="W229" i="25"/>
  <c r="W234" i="25"/>
  <c r="W240" i="25"/>
  <c r="W245" i="25"/>
  <c r="W250" i="25"/>
  <c r="W256" i="25"/>
  <c r="W261" i="25"/>
  <c r="W266" i="25"/>
  <c r="W270" i="25"/>
  <c r="W274" i="25"/>
  <c r="W278" i="25"/>
  <c r="W282" i="25"/>
  <c r="W286" i="25"/>
  <c r="W290" i="25"/>
  <c r="W294" i="25"/>
  <c r="W298" i="25"/>
  <c r="U3" i="25"/>
  <c r="U7" i="25"/>
  <c r="U11" i="25"/>
  <c r="U15" i="25"/>
  <c r="U19" i="25"/>
  <c r="U23" i="25"/>
  <c r="U27" i="25"/>
  <c r="U31" i="25"/>
  <c r="U35" i="25"/>
  <c r="U39" i="25"/>
  <c r="U43" i="25"/>
  <c r="U47" i="25"/>
  <c r="U51" i="25"/>
  <c r="U55" i="25"/>
  <c r="U59" i="25"/>
  <c r="U63" i="25"/>
  <c r="U67" i="25"/>
  <c r="U71" i="25"/>
  <c r="U75" i="25"/>
  <c r="U79" i="25"/>
  <c r="U83" i="25"/>
  <c r="U87" i="25"/>
  <c r="U91" i="25"/>
  <c r="U95" i="25"/>
  <c r="U99" i="25"/>
  <c r="U103" i="25"/>
  <c r="U107" i="25"/>
  <c r="U111" i="25"/>
  <c r="U115" i="25"/>
  <c r="U119" i="25"/>
  <c r="U123" i="25"/>
  <c r="U127" i="25"/>
  <c r="U131" i="25"/>
  <c r="U135" i="25"/>
  <c r="U139" i="25"/>
  <c r="U143" i="25"/>
  <c r="U147" i="25"/>
  <c r="U151" i="25"/>
  <c r="U155" i="25"/>
  <c r="U159" i="25"/>
  <c r="U163" i="25"/>
  <c r="U167" i="25"/>
  <c r="U171" i="25"/>
  <c r="U175" i="25"/>
  <c r="U179" i="25"/>
  <c r="U183" i="25"/>
  <c r="U187" i="25"/>
  <c r="U191" i="25"/>
  <c r="U195" i="25"/>
  <c r="U199" i="25"/>
  <c r="U203" i="25"/>
  <c r="U207" i="25"/>
  <c r="U211" i="25"/>
  <c r="U215" i="25"/>
  <c r="U219" i="25"/>
  <c r="U223" i="25"/>
  <c r="U227" i="25"/>
  <c r="U231" i="25"/>
  <c r="U235" i="25"/>
  <c r="U239" i="25"/>
  <c r="U243" i="25"/>
  <c r="U247" i="25"/>
  <c r="U251" i="25"/>
  <c r="U255" i="25"/>
  <c r="U259" i="25"/>
  <c r="U263" i="25"/>
  <c r="U267" i="25"/>
  <c r="U271" i="25"/>
  <c r="U275" i="25"/>
  <c r="U279" i="25"/>
  <c r="U283" i="25"/>
  <c r="U287" i="25"/>
  <c r="U291" i="25"/>
  <c r="U295" i="25"/>
  <c r="U299" i="25"/>
  <c r="R4" i="25"/>
  <c r="R8" i="25"/>
  <c r="R12" i="25"/>
  <c r="R16" i="25"/>
  <c r="R20" i="25"/>
  <c r="R24" i="25"/>
  <c r="R28" i="25"/>
  <c r="R32" i="25"/>
  <c r="R36" i="25"/>
  <c r="R40" i="25"/>
  <c r="R44" i="25"/>
  <c r="R48" i="25"/>
  <c r="R52" i="25"/>
  <c r="R56" i="25"/>
  <c r="R60" i="25"/>
  <c r="R64" i="25"/>
  <c r="R68" i="25"/>
  <c r="R72" i="25"/>
  <c r="R76" i="25"/>
  <c r="R80" i="25"/>
  <c r="R84" i="25"/>
  <c r="R88" i="25"/>
  <c r="R92" i="25"/>
  <c r="R96" i="25"/>
  <c r="R100" i="25"/>
  <c r="R104" i="25"/>
  <c r="R108" i="25"/>
  <c r="R112" i="25"/>
  <c r="R116" i="25"/>
  <c r="R120" i="25"/>
  <c r="R124" i="25"/>
  <c r="R128" i="25"/>
  <c r="R132" i="25"/>
  <c r="R136" i="25"/>
  <c r="R140" i="25"/>
  <c r="R144" i="25"/>
  <c r="R148" i="25"/>
  <c r="R152" i="25"/>
  <c r="R156" i="25"/>
  <c r="R160" i="25"/>
  <c r="R164" i="25"/>
  <c r="R168" i="25"/>
  <c r="R172" i="25"/>
  <c r="R176" i="25"/>
  <c r="X11" i="25"/>
  <c r="X55" i="25"/>
  <c r="X98" i="25"/>
  <c r="X141" i="25"/>
  <c r="X183" i="25"/>
  <c r="X226" i="25"/>
  <c r="X250" i="25"/>
  <c r="X263" i="25"/>
  <c r="X278" i="25"/>
  <c r="X293" i="25"/>
  <c r="W7" i="25"/>
  <c r="W22" i="25"/>
  <c r="W36" i="25"/>
  <c r="W50" i="25"/>
  <c r="W64" i="25"/>
  <c r="W79" i="25"/>
  <c r="W92" i="25"/>
  <c r="W107" i="25"/>
  <c r="W122" i="25"/>
  <c r="W135" i="25"/>
  <c r="W149" i="25"/>
  <c r="W160" i="25"/>
  <c r="W170" i="25"/>
  <c r="W180" i="25"/>
  <c r="W186" i="25"/>
  <c r="W193" i="25"/>
  <c r="W201" i="25"/>
  <c r="W208" i="25"/>
  <c r="W214" i="25"/>
  <c r="W220" i="25"/>
  <c r="W225" i="25"/>
  <c r="W230" i="25"/>
  <c r="W236" i="25"/>
  <c r="W241" i="25"/>
  <c r="W246" i="25"/>
  <c r="W252" i="25"/>
  <c r="W257" i="25"/>
  <c r="W262" i="25"/>
  <c r="W267" i="25"/>
  <c r="W271" i="25"/>
  <c r="W275" i="25"/>
  <c r="W279" i="25"/>
  <c r="W283" i="25"/>
  <c r="W287" i="25"/>
  <c r="W291" i="25"/>
  <c r="W295" i="25"/>
  <c r="W299" i="25"/>
  <c r="U4" i="25"/>
  <c r="U8" i="25"/>
  <c r="U12" i="25"/>
  <c r="U16" i="25"/>
  <c r="U20" i="25"/>
  <c r="U24" i="25"/>
  <c r="U28" i="25"/>
  <c r="U32" i="25"/>
  <c r="U36" i="25"/>
  <c r="U40" i="25"/>
  <c r="U44" i="25"/>
  <c r="U48" i="25"/>
  <c r="U52" i="25"/>
  <c r="U56" i="25"/>
  <c r="U60" i="25"/>
  <c r="U64" i="25"/>
  <c r="U68" i="25"/>
  <c r="U72" i="25"/>
  <c r="U76" i="25"/>
  <c r="U80" i="25"/>
  <c r="U84" i="25"/>
  <c r="U88" i="25"/>
  <c r="U92" i="25"/>
  <c r="U96" i="25"/>
  <c r="U100" i="25"/>
  <c r="U104" i="25"/>
  <c r="U108" i="25"/>
  <c r="U112" i="25"/>
  <c r="U116" i="25"/>
  <c r="U120" i="25"/>
  <c r="U124" i="25"/>
  <c r="U128" i="25"/>
  <c r="U132" i="25"/>
  <c r="U136" i="25"/>
  <c r="U140" i="25"/>
  <c r="U144" i="25"/>
  <c r="U148" i="25"/>
  <c r="U152" i="25"/>
  <c r="U156" i="25"/>
  <c r="U160" i="25"/>
  <c r="U164" i="25"/>
  <c r="U168" i="25"/>
  <c r="U172" i="25"/>
  <c r="U176" i="25"/>
  <c r="U180" i="25"/>
  <c r="U184" i="25"/>
  <c r="U188" i="25"/>
  <c r="U192" i="25"/>
  <c r="U196" i="25"/>
  <c r="U200" i="25"/>
  <c r="U204" i="25"/>
  <c r="U208" i="25"/>
  <c r="U212" i="25"/>
  <c r="U216" i="25"/>
  <c r="U220" i="25"/>
  <c r="U224" i="25"/>
  <c r="U228" i="25"/>
  <c r="U232" i="25"/>
  <c r="U236" i="25"/>
  <c r="U240" i="25"/>
  <c r="U244" i="25"/>
  <c r="U248" i="25"/>
  <c r="U252" i="25"/>
  <c r="U256" i="25"/>
  <c r="U260" i="25"/>
  <c r="U264" i="25"/>
  <c r="U268" i="25"/>
  <c r="U272" i="25"/>
  <c r="U276" i="25"/>
  <c r="U280" i="25"/>
  <c r="U284" i="25"/>
  <c r="U288" i="25"/>
  <c r="U292" i="25"/>
  <c r="U296" i="25"/>
  <c r="U300" i="25"/>
  <c r="R5" i="25"/>
  <c r="R9" i="25"/>
  <c r="R13" i="25"/>
  <c r="R17" i="25"/>
  <c r="R21" i="25"/>
  <c r="R25" i="25"/>
  <c r="R29" i="25"/>
  <c r="R33" i="25"/>
  <c r="R37" i="25"/>
  <c r="R41" i="25"/>
  <c r="R45" i="25"/>
  <c r="R49" i="25"/>
  <c r="R53" i="25"/>
  <c r="R57" i="25"/>
  <c r="R61" i="25"/>
  <c r="R65" i="25"/>
  <c r="R69" i="25"/>
  <c r="R73" i="25"/>
  <c r="R77" i="25"/>
  <c r="R81" i="25"/>
  <c r="R85" i="25"/>
  <c r="R89" i="25"/>
  <c r="R93" i="25"/>
  <c r="R97" i="25"/>
  <c r="R101" i="25"/>
  <c r="R105" i="25"/>
  <c r="R109" i="25"/>
  <c r="R113" i="25"/>
  <c r="R117" i="25"/>
  <c r="R121" i="25"/>
  <c r="R125" i="25"/>
  <c r="R129" i="25"/>
  <c r="R133" i="25"/>
  <c r="R137" i="25"/>
  <c r="R141" i="25"/>
  <c r="R145" i="25"/>
  <c r="R149" i="25"/>
  <c r="R153" i="25"/>
  <c r="R157" i="25"/>
  <c r="R161" i="25"/>
  <c r="R165" i="25"/>
  <c r="R169" i="25"/>
  <c r="R173" i="25"/>
  <c r="X23" i="25"/>
  <c r="X66" i="25"/>
  <c r="X109" i="25"/>
  <c r="X151" i="25"/>
  <c r="X194" i="25"/>
  <c r="X234" i="25"/>
  <c r="X255" i="25"/>
  <c r="X269" i="25"/>
  <c r="X283" i="25"/>
  <c r="X298" i="25"/>
  <c r="W12" i="25"/>
  <c r="W27" i="25"/>
  <c r="W42" i="25"/>
  <c r="W55" i="25"/>
  <c r="W70" i="25"/>
  <c r="W84" i="25"/>
  <c r="W98" i="25"/>
  <c r="W112" i="25"/>
  <c r="W127" i="25"/>
  <c r="W140" i="25"/>
  <c r="W153" i="25"/>
  <c r="W164" i="25"/>
  <c r="W174" i="25"/>
  <c r="W181" i="25"/>
  <c r="W188" i="25"/>
  <c r="W196" i="25"/>
  <c r="W202" i="25"/>
  <c r="W209" i="25"/>
  <c r="W216" i="25"/>
  <c r="W221" i="25"/>
  <c r="W226" i="25"/>
  <c r="W232" i="25"/>
  <c r="W237" i="25"/>
  <c r="W242" i="25"/>
  <c r="W248" i="25"/>
  <c r="W253" i="25"/>
  <c r="W258" i="25"/>
  <c r="W264" i="25"/>
  <c r="W268" i="25"/>
  <c r="W272" i="25"/>
  <c r="W276" i="25"/>
  <c r="W280" i="25"/>
  <c r="W284" i="25"/>
  <c r="W288" i="25"/>
  <c r="W292" i="25"/>
  <c r="W296" i="25"/>
  <c r="W300" i="25"/>
  <c r="U5" i="25"/>
  <c r="U9" i="25"/>
  <c r="U13" i="25"/>
  <c r="U17" i="25"/>
  <c r="U21" i="25"/>
  <c r="U25" i="25"/>
  <c r="U29" i="25"/>
  <c r="U33" i="25"/>
  <c r="U37" i="25"/>
  <c r="U41" i="25"/>
  <c r="U45" i="25"/>
  <c r="U49" i="25"/>
  <c r="U53" i="25"/>
  <c r="U57" i="25"/>
  <c r="U61" i="25"/>
  <c r="U65" i="25"/>
  <c r="U69" i="25"/>
  <c r="U73" i="25"/>
  <c r="U77" i="25"/>
  <c r="U81" i="25"/>
  <c r="U85" i="25"/>
  <c r="U89" i="25"/>
  <c r="U93" i="25"/>
  <c r="U97" i="25"/>
  <c r="U101" i="25"/>
  <c r="U105" i="25"/>
  <c r="U109" i="25"/>
  <c r="U113" i="25"/>
  <c r="U117" i="25"/>
  <c r="U121" i="25"/>
  <c r="U125" i="25"/>
  <c r="U129" i="25"/>
  <c r="U133" i="25"/>
  <c r="U137" i="25"/>
  <c r="U141" i="25"/>
  <c r="U145" i="25"/>
  <c r="U149" i="25"/>
  <c r="U153" i="25"/>
  <c r="U157" i="25"/>
  <c r="U161" i="25"/>
  <c r="U165" i="25"/>
  <c r="U169" i="25"/>
  <c r="U173" i="25"/>
  <c r="U177" i="25"/>
  <c r="U181" i="25"/>
  <c r="U185" i="25"/>
  <c r="U189" i="25"/>
  <c r="U193" i="25"/>
  <c r="U197" i="25"/>
  <c r="U201" i="25"/>
  <c r="U205" i="25"/>
  <c r="U209" i="25"/>
  <c r="U213" i="25"/>
  <c r="U217" i="25"/>
  <c r="U221" i="25"/>
  <c r="U225" i="25"/>
  <c r="U229" i="25"/>
  <c r="U233" i="25"/>
  <c r="U237" i="25"/>
  <c r="U241" i="25"/>
  <c r="U245" i="25"/>
  <c r="U249" i="25"/>
  <c r="U253" i="25"/>
  <c r="U257" i="25"/>
  <c r="U261" i="25"/>
  <c r="U265" i="25"/>
  <c r="U269" i="25"/>
  <c r="U273" i="25"/>
  <c r="U277" i="25"/>
  <c r="U281" i="25"/>
  <c r="U285" i="25"/>
  <c r="X162" i="25"/>
  <c r="X271" i="25"/>
  <c r="W28" i="25"/>
  <c r="W86" i="25"/>
  <c r="W143" i="25"/>
  <c r="W182" i="25"/>
  <c r="W212" i="25"/>
  <c r="W233" i="25"/>
  <c r="W254" i="25"/>
  <c r="W273" i="25"/>
  <c r="W289" i="25"/>
  <c r="U6" i="25"/>
  <c r="U22" i="25"/>
  <c r="U38" i="25"/>
  <c r="U54" i="25"/>
  <c r="U70" i="25"/>
  <c r="U86" i="25"/>
  <c r="U102" i="25"/>
  <c r="U118" i="25"/>
  <c r="U134" i="25"/>
  <c r="U150" i="25"/>
  <c r="U166" i="25"/>
  <c r="U182" i="25"/>
  <c r="U198" i="25"/>
  <c r="U214" i="25"/>
  <c r="U230" i="25"/>
  <c r="U246" i="25"/>
  <c r="U262" i="25"/>
  <c r="U278" i="25"/>
  <c r="U290" i="25"/>
  <c r="U298" i="25"/>
  <c r="R7" i="25"/>
  <c r="R15" i="25"/>
  <c r="R23" i="25"/>
  <c r="R31" i="25"/>
  <c r="R39" i="25"/>
  <c r="R47" i="25"/>
  <c r="R55" i="25"/>
  <c r="R63" i="25"/>
  <c r="R71" i="25"/>
  <c r="R79" i="25"/>
  <c r="R87" i="25"/>
  <c r="R95" i="25"/>
  <c r="R103" i="25"/>
  <c r="R111" i="25"/>
  <c r="R119" i="25"/>
  <c r="R127" i="25"/>
  <c r="R135" i="25"/>
  <c r="R143" i="25"/>
  <c r="R151" i="25"/>
  <c r="R159" i="25"/>
  <c r="R167" i="25"/>
  <c r="R175" i="25"/>
  <c r="R180" i="25"/>
  <c r="R184" i="25"/>
  <c r="R188" i="25"/>
  <c r="R192" i="25"/>
  <c r="R196" i="25"/>
  <c r="R200" i="25"/>
  <c r="R204" i="25"/>
  <c r="R208" i="25"/>
  <c r="R212" i="25"/>
  <c r="R216" i="25"/>
  <c r="R220" i="25"/>
  <c r="R224" i="25"/>
  <c r="R228" i="25"/>
  <c r="R232" i="25"/>
  <c r="R236" i="25"/>
  <c r="R240" i="25"/>
  <c r="R244" i="25"/>
  <c r="R248" i="25"/>
  <c r="R252" i="25"/>
  <c r="R256" i="25"/>
  <c r="R260" i="25"/>
  <c r="R264" i="25"/>
  <c r="R268" i="25"/>
  <c r="R272" i="25"/>
  <c r="R276" i="25"/>
  <c r="R280" i="25"/>
  <c r="R284" i="25"/>
  <c r="R288" i="25"/>
  <c r="R292" i="25"/>
  <c r="R296" i="25"/>
  <c r="R300" i="25"/>
  <c r="Y5" i="25"/>
  <c r="Y9" i="25"/>
  <c r="Y13" i="25"/>
  <c r="Y17" i="25"/>
  <c r="Y21" i="25"/>
  <c r="Y25" i="25"/>
  <c r="Y29" i="25"/>
  <c r="Y33" i="25"/>
  <c r="Y37" i="25"/>
  <c r="Y41" i="25"/>
  <c r="Y45" i="25"/>
  <c r="Y49" i="25"/>
  <c r="Y53" i="25"/>
  <c r="Y57" i="25"/>
  <c r="Y61" i="25"/>
  <c r="Y65" i="25"/>
  <c r="Y69" i="25"/>
  <c r="Y73" i="25"/>
  <c r="Y77" i="25"/>
  <c r="Y81" i="25"/>
  <c r="Y85" i="25"/>
  <c r="Y89" i="25"/>
  <c r="Y93" i="25"/>
  <c r="Y97" i="25"/>
  <c r="Y101" i="25"/>
  <c r="Y105" i="25"/>
  <c r="Y109" i="25"/>
  <c r="Y113" i="25"/>
  <c r="Y117" i="25"/>
  <c r="Y121" i="25"/>
  <c r="Y125" i="25"/>
  <c r="Y129" i="25"/>
  <c r="Y133" i="25"/>
  <c r="Y137" i="25"/>
  <c r="Y141" i="25"/>
  <c r="Y145" i="25"/>
  <c r="Y149" i="25"/>
  <c r="Y153" i="25"/>
  <c r="Y157" i="25"/>
  <c r="Y161" i="25"/>
  <c r="Y165" i="25"/>
  <c r="Y169" i="25"/>
  <c r="Y173" i="25"/>
  <c r="Y177" i="25"/>
  <c r="Y181" i="25"/>
  <c r="Y185" i="25"/>
  <c r="Y189" i="25"/>
  <c r="Y193" i="25"/>
  <c r="Y197" i="25"/>
  <c r="Y201" i="25"/>
  <c r="Y205" i="25"/>
  <c r="Y209" i="25"/>
  <c r="Y213" i="25"/>
  <c r="Y217" i="25"/>
  <c r="Y221" i="25"/>
  <c r="Y225" i="25"/>
  <c r="Y229" i="25"/>
  <c r="Y233" i="25"/>
  <c r="Y237" i="25"/>
  <c r="Y241" i="25"/>
  <c r="Y245" i="25"/>
  <c r="Y249" i="25"/>
  <c r="Y253" i="25"/>
  <c r="Y257" i="25"/>
  <c r="Y261" i="25"/>
  <c r="Y265" i="25"/>
  <c r="Y269" i="25"/>
  <c r="Y273" i="25"/>
  <c r="Y277" i="25"/>
  <c r="Y281" i="25"/>
  <c r="Y285" i="25"/>
  <c r="Y289" i="25"/>
  <c r="Y293" i="25"/>
  <c r="Y297" i="25"/>
  <c r="X34" i="25"/>
  <c r="X205" i="25"/>
  <c r="X285" i="25"/>
  <c r="W43" i="25"/>
  <c r="W100" i="25"/>
  <c r="W154" i="25"/>
  <c r="W190" i="25"/>
  <c r="W217" i="25"/>
  <c r="W238" i="25"/>
  <c r="W260" i="25"/>
  <c r="W277" i="25"/>
  <c r="W293" i="25"/>
  <c r="U10" i="25"/>
  <c r="U26" i="25"/>
  <c r="U42" i="25"/>
  <c r="U58" i="25"/>
  <c r="U74" i="25"/>
  <c r="U90" i="25"/>
  <c r="U106" i="25"/>
  <c r="U122" i="25"/>
  <c r="U138" i="25"/>
  <c r="U154" i="25"/>
  <c r="U170" i="25"/>
  <c r="U186" i="25"/>
  <c r="U202" i="25"/>
  <c r="U218" i="25"/>
  <c r="U234" i="25"/>
  <c r="U250" i="25"/>
  <c r="U266" i="25"/>
  <c r="U282" i="25"/>
  <c r="U293" i="25"/>
  <c r="R10" i="25"/>
  <c r="R18" i="25"/>
  <c r="R26" i="25"/>
  <c r="R34" i="25"/>
  <c r="R42" i="25"/>
  <c r="R50" i="25"/>
  <c r="R58" i="25"/>
  <c r="R66" i="25"/>
  <c r="R74" i="25"/>
  <c r="R82" i="25"/>
  <c r="R90" i="25"/>
  <c r="R98" i="25"/>
  <c r="R106" i="25"/>
  <c r="R114" i="25"/>
  <c r="R122" i="25"/>
  <c r="R130" i="25"/>
  <c r="R138" i="25"/>
  <c r="R146" i="25"/>
  <c r="R154" i="25"/>
  <c r="R162" i="25"/>
  <c r="R170" i="25"/>
  <c r="R177" i="25"/>
  <c r="R181" i="25"/>
  <c r="R185" i="25"/>
  <c r="R189" i="25"/>
  <c r="R193" i="25"/>
  <c r="R197" i="25"/>
  <c r="R201" i="25"/>
  <c r="R205" i="25"/>
  <c r="R209" i="25"/>
  <c r="R213" i="25"/>
  <c r="R217" i="25"/>
  <c r="R221" i="25"/>
  <c r="R225" i="25"/>
  <c r="R229" i="25"/>
  <c r="R233" i="25"/>
  <c r="R237" i="25"/>
  <c r="R241" i="25"/>
  <c r="R245" i="25"/>
  <c r="R249" i="25"/>
  <c r="R253" i="25"/>
  <c r="R257" i="25"/>
  <c r="R261" i="25"/>
  <c r="R265" i="25"/>
  <c r="R269" i="25"/>
  <c r="R273" i="25"/>
  <c r="R277" i="25"/>
  <c r="R281" i="25"/>
  <c r="R285" i="25"/>
  <c r="R289" i="25"/>
  <c r="R293" i="25"/>
  <c r="R297" i="25"/>
  <c r="Y6" i="25"/>
  <c r="Y10" i="25"/>
  <c r="Y14" i="25"/>
  <c r="Y18" i="25"/>
  <c r="Y22" i="25"/>
  <c r="Y26" i="25"/>
  <c r="Y30" i="25"/>
  <c r="Y34" i="25"/>
  <c r="Y38" i="25"/>
  <c r="Y42" i="25"/>
  <c r="Y46" i="25"/>
  <c r="Y50" i="25"/>
  <c r="Y54" i="25"/>
  <c r="Y58" i="25"/>
  <c r="Y62" i="25"/>
  <c r="Y66" i="25"/>
  <c r="Y70" i="25"/>
  <c r="Y74" i="25"/>
  <c r="Y78" i="25"/>
  <c r="Y82" i="25"/>
  <c r="Y86" i="25"/>
  <c r="Y90" i="25"/>
  <c r="Y94" i="25"/>
  <c r="Y98" i="25"/>
  <c r="Y102" i="25"/>
  <c r="Y106" i="25"/>
  <c r="Y110" i="25"/>
  <c r="Y114" i="25"/>
  <c r="Y118" i="25"/>
  <c r="Y122" i="25"/>
  <c r="Y126" i="25"/>
  <c r="Y130" i="25"/>
  <c r="Y134" i="25"/>
  <c r="Y138" i="25"/>
  <c r="Y142" i="25"/>
  <c r="Y146" i="25"/>
  <c r="Y150" i="25"/>
  <c r="Y154" i="25"/>
  <c r="Y158" i="25"/>
  <c r="Y162" i="25"/>
  <c r="Y166" i="25"/>
  <c r="Y170" i="25"/>
  <c r="Y174" i="25"/>
  <c r="Y178" i="25"/>
  <c r="Y182" i="25"/>
  <c r="Y186" i="25"/>
  <c r="Y190" i="25"/>
  <c r="Y194" i="25"/>
  <c r="Y198" i="25"/>
  <c r="Y202" i="25"/>
  <c r="Y206" i="25"/>
  <c r="Y210" i="25"/>
  <c r="Y214" i="25"/>
  <c r="Y218" i="25"/>
  <c r="Y222" i="25"/>
  <c r="Y226" i="25"/>
  <c r="Y230" i="25"/>
  <c r="Y234" i="25"/>
  <c r="Y238" i="25"/>
  <c r="Y242" i="25"/>
  <c r="Y246" i="25"/>
  <c r="Y250" i="25"/>
  <c r="Y254" i="25"/>
  <c r="Y258" i="25"/>
  <c r="Y262" i="25"/>
  <c r="Y266" i="25"/>
  <c r="Y270" i="25"/>
  <c r="Y274" i="25"/>
  <c r="Y278" i="25"/>
  <c r="Y282" i="25"/>
  <c r="Y286" i="25"/>
  <c r="Y290" i="25"/>
  <c r="Y294" i="25"/>
  <c r="Y298" i="25"/>
  <c r="X119" i="25"/>
  <c r="X257" i="25"/>
  <c r="W71" i="25"/>
  <c r="W176" i="25"/>
  <c r="W249" i="25"/>
  <c r="W285" i="25"/>
  <c r="U18" i="25"/>
  <c r="U34" i="25"/>
  <c r="U66" i="25"/>
  <c r="U98" i="25"/>
  <c r="U130" i="25"/>
  <c r="X77" i="25"/>
  <c r="X241" i="25"/>
  <c r="X299" i="25"/>
  <c r="W58" i="25"/>
  <c r="W114" i="25"/>
  <c r="W165" i="25"/>
  <c r="W197" i="25"/>
  <c r="W222" i="25"/>
  <c r="W244" i="25"/>
  <c r="W265" i="25"/>
  <c r="W281" i="25"/>
  <c r="W297" i="25"/>
  <c r="U14" i="25"/>
  <c r="U30" i="25"/>
  <c r="U46" i="25"/>
  <c r="U62" i="25"/>
  <c r="U78" i="25"/>
  <c r="U94" i="25"/>
  <c r="U110" i="25"/>
  <c r="U126" i="25"/>
  <c r="U142" i="25"/>
  <c r="U158" i="25"/>
  <c r="U174" i="25"/>
  <c r="U190" i="25"/>
  <c r="U206" i="25"/>
  <c r="U222" i="25"/>
  <c r="U238" i="25"/>
  <c r="U254" i="25"/>
  <c r="U270" i="25"/>
  <c r="U286" i="25"/>
  <c r="U294" i="25"/>
  <c r="R3" i="25"/>
  <c r="R11" i="25"/>
  <c r="R19" i="25"/>
  <c r="R27" i="25"/>
  <c r="R35" i="25"/>
  <c r="R43" i="25"/>
  <c r="R51" i="25"/>
  <c r="R59" i="25"/>
  <c r="R67" i="25"/>
  <c r="R75" i="25"/>
  <c r="R83" i="25"/>
  <c r="R91" i="25"/>
  <c r="R99" i="25"/>
  <c r="R107" i="25"/>
  <c r="R115" i="25"/>
  <c r="R123" i="25"/>
  <c r="R131" i="25"/>
  <c r="R139" i="25"/>
  <c r="R147" i="25"/>
  <c r="R155" i="25"/>
  <c r="R163" i="25"/>
  <c r="R171" i="25"/>
  <c r="R178" i="25"/>
  <c r="R182" i="25"/>
  <c r="R186" i="25"/>
  <c r="R190" i="25"/>
  <c r="R194" i="25"/>
  <c r="R198" i="25"/>
  <c r="R202" i="25"/>
  <c r="R206" i="25"/>
  <c r="R210" i="25"/>
  <c r="R214" i="25"/>
  <c r="R218" i="25"/>
  <c r="R222" i="25"/>
  <c r="R226" i="25"/>
  <c r="R230" i="25"/>
  <c r="R234" i="25"/>
  <c r="R238" i="25"/>
  <c r="R242" i="25"/>
  <c r="R246" i="25"/>
  <c r="R250" i="25"/>
  <c r="R254" i="25"/>
  <c r="R258" i="25"/>
  <c r="R262" i="25"/>
  <c r="R266" i="25"/>
  <c r="R270" i="25"/>
  <c r="R274" i="25"/>
  <c r="R278" i="25"/>
  <c r="R282" i="25"/>
  <c r="R286" i="25"/>
  <c r="R290" i="25"/>
  <c r="R294" i="25"/>
  <c r="R298" i="25"/>
  <c r="Y3" i="25"/>
  <c r="Y7" i="25"/>
  <c r="Y11" i="25"/>
  <c r="Y15" i="25"/>
  <c r="Y19" i="25"/>
  <c r="Y23" i="25"/>
  <c r="Y27" i="25"/>
  <c r="Y31" i="25"/>
  <c r="Y35" i="25"/>
  <c r="Y39" i="25"/>
  <c r="Y43" i="25"/>
  <c r="Y47" i="25"/>
  <c r="Y51" i="25"/>
  <c r="Y55" i="25"/>
  <c r="Y59" i="25"/>
  <c r="Y63" i="25"/>
  <c r="Y67" i="25"/>
  <c r="Y71" i="25"/>
  <c r="Y75" i="25"/>
  <c r="Y79" i="25"/>
  <c r="Y83" i="25"/>
  <c r="Y87" i="25"/>
  <c r="Y91" i="25"/>
  <c r="Y95" i="25"/>
  <c r="Y99" i="25"/>
  <c r="Y103" i="25"/>
  <c r="Y107" i="25"/>
  <c r="Y111" i="25"/>
  <c r="Y115" i="25"/>
  <c r="Y119" i="25"/>
  <c r="Y123" i="25"/>
  <c r="Y127" i="25"/>
  <c r="Y131" i="25"/>
  <c r="Y135" i="25"/>
  <c r="Y139" i="25"/>
  <c r="Y143" i="25"/>
  <c r="Y147" i="25"/>
  <c r="Y151" i="25"/>
  <c r="Y155" i="25"/>
  <c r="Y159" i="25"/>
  <c r="Y163" i="25"/>
  <c r="Y167" i="25"/>
  <c r="Y171" i="25"/>
  <c r="Y175" i="25"/>
  <c r="Y179" i="25"/>
  <c r="Y183" i="25"/>
  <c r="Y187" i="25"/>
  <c r="Y191" i="25"/>
  <c r="Y195" i="25"/>
  <c r="Y199" i="25"/>
  <c r="Y203" i="25"/>
  <c r="Y207" i="25"/>
  <c r="Y211" i="25"/>
  <c r="Y215" i="25"/>
  <c r="Y219" i="25"/>
  <c r="Y223" i="25"/>
  <c r="Y227" i="25"/>
  <c r="Y231" i="25"/>
  <c r="Y235" i="25"/>
  <c r="Y239" i="25"/>
  <c r="Y243" i="25"/>
  <c r="Y247" i="25"/>
  <c r="Y251" i="25"/>
  <c r="Y255" i="25"/>
  <c r="Y259" i="25"/>
  <c r="Y263" i="25"/>
  <c r="Y267" i="25"/>
  <c r="Y271" i="25"/>
  <c r="Y275" i="25"/>
  <c r="Y279" i="25"/>
  <c r="Y283" i="25"/>
  <c r="Y287" i="25"/>
  <c r="Y291" i="25"/>
  <c r="Y295" i="25"/>
  <c r="Y299" i="25"/>
  <c r="W15" i="25"/>
  <c r="W128" i="25"/>
  <c r="W204" i="25"/>
  <c r="W228" i="25"/>
  <c r="W269" i="25"/>
  <c r="U50" i="25"/>
  <c r="U82" i="25"/>
  <c r="U114" i="25"/>
  <c r="U146" i="25"/>
  <c r="U210" i="25"/>
  <c r="U274" i="25"/>
  <c r="R14" i="25"/>
  <c r="R46" i="25"/>
  <c r="R78" i="25"/>
  <c r="R110" i="25"/>
  <c r="R142" i="25"/>
  <c r="R174" i="25"/>
  <c r="R191" i="25"/>
  <c r="R207" i="25"/>
  <c r="R223" i="25"/>
  <c r="R239" i="25"/>
  <c r="R255" i="25"/>
  <c r="R271" i="25"/>
  <c r="R287" i="25"/>
  <c r="Y4" i="25"/>
  <c r="Y20" i="25"/>
  <c r="Y36" i="25"/>
  <c r="Y52" i="25"/>
  <c r="Y68" i="25"/>
  <c r="Y84" i="25"/>
  <c r="Y100" i="25"/>
  <c r="Y116" i="25"/>
  <c r="Y132" i="25"/>
  <c r="Y148" i="25"/>
  <c r="Y164" i="25"/>
  <c r="Y180" i="25"/>
  <c r="Y196" i="25"/>
  <c r="Y212" i="25"/>
  <c r="Y228" i="25"/>
  <c r="Y244" i="25"/>
  <c r="Y260" i="25"/>
  <c r="Y276" i="25"/>
  <c r="Y292" i="25"/>
  <c r="R6" i="25"/>
  <c r="U162" i="25"/>
  <c r="U226" i="25"/>
  <c r="U289" i="25"/>
  <c r="R22" i="25"/>
  <c r="R54" i="25"/>
  <c r="R86" i="25"/>
  <c r="R118" i="25"/>
  <c r="R150" i="25"/>
  <c r="R179" i="25"/>
  <c r="R195" i="25"/>
  <c r="R211" i="25"/>
  <c r="R227" i="25"/>
  <c r="R243" i="25"/>
  <c r="R259" i="25"/>
  <c r="R275" i="25"/>
  <c r="R291" i="25"/>
  <c r="Y8" i="25"/>
  <c r="Y24" i="25"/>
  <c r="Y40" i="25"/>
  <c r="Y56" i="25"/>
  <c r="Y72" i="25"/>
  <c r="Y88" i="25"/>
  <c r="Y104" i="25"/>
  <c r="Y120" i="25"/>
  <c r="Y136" i="25"/>
  <c r="Y152" i="25"/>
  <c r="Y168" i="25"/>
  <c r="Y184" i="25"/>
  <c r="Y200" i="25"/>
  <c r="Y216" i="25"/>
  <c r="Y232" i="25"/>
  <c r="Y248" i="25"/>
  <c r="Y264" i="25"/>
  <c r="Y280" i="25"/>
  <c r="Y296" i="25"/>
  <c r="U258" i="25"/>
  <c r="R38" i="25"/>
  <c r="R102" i="25"/>
  <c r="R166" i="25"/>
  <c r="R203" i="25"/>
  <c r="R219" i="25"/>
  <c r="R267" i="25"/>
  <c r="R283" i="25"/>
  <c r="Y16" i="25"/>
  <c r="Y48" i="25"/>
  <c r="Y80" i="25"/>
  <c r="Y112" i="25"/>
  <c r="Y144" i="25"/>
  <c r="Y176" i="25"/>
  <c r="Y192" i="25"/>
  <c r="Y240" i="25"/>
  <c r="Y272" i="25"/>
  <c r="Y288" i="25"/>
  <c r="U178" i="25"/>
  <c r="U242" i="25"/>
  <c r="U297" i="25"/>
  <c r="R30" i="25"/>
  <c r="R62" i="25"/>
  <c r="R94" i="25"/>
  <c r="R126" i="25"/>
  <c r="R158" i="25"/>
  <c r="R183" i="25"/>
  <c r="R199" i="25"/>
  <c r="R215" i="25"/>
  <c r="R231" i="25"/>
  <c r="R247" i="25"/>
  <c r="R263" i="25"/>
  <c r="R279" i="25"/>
  <c r="R295" i="25"/>
  <c r="Y12" i="25"/>
  <c r="Y28" i="25"/>
  <c r="Y44" i="25"/>
  <c r="Y60" i="25"/>
  <c r="Y76" i="25"/>
  <c r="Y92" i="25"/>
  <c r="Y108" i="25"/>
  <c r="Y124" i="25"/>
  <c r="Y140" i="25"/>
  <c r="Y156" i="25"/>
  <c r="Y172" i="25"/>
  <c r="Y188" i="25"/>
  <c r="Y204" i="25"/>
  <c r="Y220" i="25"/>
  <c r="Y236" i="25"/>
  <c r="Y252" i="25"/>
  <c r="Y268" i="25"/>
  <c r="Y284" i="25"/>
  <c r="Y300" i="25"/>
  <c r="U194" i="25"/>
  <c r="R70" i="25"/>
  <c r="R134" i="25"/>
  <c r="R187" i="25"/>
  <c r="R235" i="25"/>
  <c r="R251" i="25"/>
  <c r="R299" i="25"/>
  <c r="Y32" i="25"/>
  <c r="Y64" i="25"/>
  <c r="Y96" i="25"/>
  <c r="Y128" i="25"/>
  <c r="Y160" i="25"/>
  <c r="Y208" i="25"/>
  <c r="Y224" i="25"/>
  <c r="Y256" i="25"/>
  <c r="E300" i="25"/>
  <c r="B67" i="25" a="1"/>
  <c r="B67" i="25" s="1"/>
  <c r="B84" i="25" a="1"/>
  <c r="B84" i="25" s="1"/>
  <c r="B101" i="25" a="1"/>
  <c r="B101" i="25" s="1"/>
  <c r="B117" i="25" a="1"/>
  <c r="B117" i="25" s="1"/>
  <c r="B133" i="25" a="1"/>
  <c r="B133" i="25" s="1"/>
  <c r="B149" i="25" a="1"/>
  <c r="B149" i="25" s="1"/>
  <c r="B165" i="25" a="1"/>
  <c r="B165" i="25" s="1"/>
  <c r="B181" i="25" a="1"/>
  <c r="B181" i="25" s="1"/>
  <c r="B197" i="25" a="1"/>
  <c r="B197" i="25" s="1"/>
  <c r="B213" i="25" a="1"/>
  <c r="B213" i="25" s="1"/>
  <c r="B242" i="25" a="1"/>
  <c r="B242" i="25" s="1"/>
  <c r="B259" i="25" a="1"/>
  <c r="B259" i="25" s="1"/>
  <c r="B275" i="25" a="1"/>
  <c r="B275" i="25" s="1"/>
  <c r="B291" i="25" a="1"/>
  <c r="B291" i="25" s="1"/>
  <c r="B7" i="25" a="1"/>
  <c r="B7" i="25" s="1"/>
  <c r="B23" i="25" a="1"/>
  <c r="B23" i="25" s="1"/>
  <c r="B62" i="25" a="1"/>
  <c r="B62" i="25" s="1"/>
  <c r="B78" i="25" a="1"/>
  <c r="B78" i="25" s="1"/>
  <c r="B95" i="25" a="1"/>
  <c r="B95" i="25" s="1"/>
  <c r="B111" i="25" a="1"/>
  <c r="B111" i="25" s="1"/>
  <c r="B127" i="25" a="1"/>
  <c r="B127" i="25" s="1"/>
  <c r="B143" i="25" a="1"/>
  <c r="B143" i="25" s="1"/>
  <c r="H190" i="25" a="1"/>
  <c r="H190" i="25" s="1"/>
  <c r="H206" i="25" a="1"/>
  <c r="H206" i="25" s="1"/>
  <c r="H222" i="25" a="1"/>
  <c r="H222" i="25" s="1"/>
  <c r="H238" i="25" a="1"/>
  <c r="H238" i="25" s="1"/>
  <c r="H270" i="25" a="1"/>
  <c r="H270" i="25" s="1"/>
  <c r="H286" i="25" a="1"/>
  <c r="H286" i="25" s="1"/>
  <c r="H126" i="25" a="1"/>
  <c r="H126" i="25" s="1"/>
  <c r="H134" i="25" a="1"/>
  <c r="H134" i="25" s="1"/>
  <c r="H142" i="25" a="1"/>
  <c r="H142" i="25" s="1"/>
  <c r="H150" i="25" a="1"/>
  <c r="H150" i="25" s="1"/>
  <c r="H158" i="25" a="1"/>
  <c r="H158" i="25" s="1"/>
  <c r="H166" i="25" a="1"/>
  <c r="H166" i="25" s="1"/>
  <c r="I174" i="25" a="1"/>
  <c r="I174" i="25" s="1"/>
  <c r="I190" i="25" a="1"/>
  <c r="I190" i="25" s="1"/>
  <c r="I206" i="25" a="1"/>
  <c r="I206" i="25" s="1"/>
  <c r="H175" i="25" a="1"/>
  <c r="H175" i="25" s="1"/>
  <c r="H36" i="25" a="1"/>
  <c r="H36" i="25" s="1"/>
  <c r="H68" i="25" a="1"/>
  <c r="H68" i="25" s="1"/>
  <c r="H100" i="25" a="1"/>
  <c r="H100" i="25" s="1"/>
  <c r="H132" i="25" a="1"/>
  <c r="H132" i="25" s="1"/>
  <c r="H189" i="25" a="1"/>
  <c r="H189" i="25" s="1"/>
  <c r="H237" i="25" a="1"/>
  <c r="H237" i="25" s="1"/>
  <c r="H293" i="25" a="1"/>
  <c r="H293" i="25" s="1"/>
  <c r="I137" i="25" a="1"/>
  <c r="I137" i="25" s="1"/>
  <c r="I237" i="25" a="1"/>
  <c r="I237" i="25" s="1"/>
  <c r="B236" i="25" a="1"/>
  <c r="B236" i="25" s="1"/>
  <c r="B228" i="25" a="1"/>
  <c r="B228" i="25" s="1"/>
  <c r="B217" i="25" a="1"/>
  <c r="B217" i="25" s="1"/>
  <c r="B201" i="25" a="1"/>
  <c r="B201" i="25" s="1"/>
  <c r="B185" i="25" a="1"/>
  <c r="B185" i="25" s="1"/>
  <c r="B169" i="25" a="1"/>
  <c r="B169" i="25" s="1"/>
  <c r="B153" i="25" a="1"/>
  <c r="B153" i="25" s="1"/>
  <c r="B137" i="25" a="1"/>
  <c r="B137" i="25" s="1"/>
  <c r="B121" i="25" a="1"/>
  <c r="B121" i="25" s="1"/>
  <c r="B105" i="25" a="1"/>
  <c r="B105" i="25" s="1"/>
  <c r="B89" i="25" a="1"/>
  <c r="B89" i="25" s="1"/>
  <c r="B68" i="25" a="1"/>
  <c r="B68" i="25" s="1"/>
  <c r="B31" i="25" a="1"/>
  <c r="B31" i="25" s="1"/>
  <c r="B15" i="25" a="1"/>
  <c r="B15" i="25" s="1"/>
  <c r="B299" i="25" a="1"/>
  <c r="B299" i="25" s="1"/>
  <c r="B283" i="25" a="1"/>
  <c r="B283" i="25" s="1"/>
  <c r="B267" i="25" a="1"/>
  <c r="B267" i="25" s="1"/>
  <c r="B251" i="25" a="1"/>
  <c r="B251" i="25" s="1"/>
  <c r="B219" i="25" a="1"/>
  <c r="B219" i="25" s="1"/>
  <c r="B203" i="25" a="1"/>
  <c r="B203" i="25" s="1"/>
  <c r="B187" i="25" a="1"/>
  <c r="B187" i="25" s="1"/>
  <c r="B171" i="25" a="1"/>
  <c r="B171" i="25" s="1"/>
  <c r="B155" i="25" a="1"/>
  <c r="B155" i="25" s="1"/>
  <c r="B139" i="25" a="1"/>
  <c r="B139" i="25" s="1"/>
  <c r="B123" i="25" a="1"/>
  <c r="B123" i="25" s="1"/>
  <c r="B107" i="25" a="1"/>
  <c r="B107" i="25" s="1"/>
  <c r="B91" i="25" a="1"/>
  <c r="B91" i="25" s="1"/>
  <c r="B77" i="25" a="1"/>
  <c r="B77" i="25" s="1"/>
  <c r="B61" i="25" a="1"/>
  <c r="B61" i="25" s="1"/>
  <c r="H180" i="25" a="1"/>
  <c r="H180" i="25" s="1"/>
  <c r="H198" i="25" a="1"/>
  <c r="H198" i="25" s="1"/>
  <c r="H246" i="25" a="1"/>
  <c r="H246" i="25" s="1"/>
  <c r="H278" i="25" a="1"/>
  <c r="H278" i="25" s="1"/>
  <c r="H294" i="25" a="1"/>
  <c r="H294" i="25" s="1"/>
  <c r="I182" i="25" a="1"/>
  <c r="I182" i="25" s="1"/>
  <c r="I198" i="25" a="1"/>
  <c r="I198" i="25" s="1"/>
  <c r="H283" i="25" a="1"/>
  <c r="H283" i="25" s="1"/>
  <c r="H3" i="25" a="1"/>
  <c r="H3" i="25" s="1"/>
  <c r="H20" i="25" a="1"/>
  <c r="H20" i="25" s="1"/>
  <c r="H52" i="25" a="1"/>
  <c r="H52" i="25" s="1"/>
  <c r="H116" i="25" a="1"/>
  <c r="H116" i="25" s="1"/>
  <c r="H197" i="25" a="1"/>
  <c r="H197" i="25" s="1"/>
  <c r="H261" i="25" a="1"/>
  <c r="H261" i="25" s="1"/>
  <c r="I9" i="25" a="1"/>
  <c r="I9" i="25" s="1"/>
  <c r="I37" i="25" a="1"/>
  <c r="I37" i="25" s="1"/>
  <c r="I73" i="25" a="1"/>
  <c r="I73" i="25" s="1"/>
  <c r="I105" i="25" a="1"/>
  <c r="I105" i="25" s="1"/>
  <c r="I161" i="25" a="1"/>
  <c r="I161" i="25" s="1"/>
  <c r="G19" i="25"/>
  <c r="G51" i="25"/>
  <c r="G231" i="25"/>
  <c r="D300" i="25" a="1"/>
  <c r="D300" i="25" s="1"/>
  <c r="M3" i="25"/>
  <c r="Q3" i="25"/>
  <c r="M4" i="25"/>
  <c r="Q4" i="25"/>
  <c r="M5" i="25"/>
  <c r="Q5" i="25"/>
  <c r="M6" i="25"/>
  <c r="Q6" i="25"/>
  <c r="M7" i="25"/>
  <c r="Q7" i="25"/>
  <c r="M8" i="25"/>
  <c r="Q8" i="25"/>
  <c r="M9" i="25"/>
  <c r="Q9" i="25"/>
  <c r="M10" i="25"/>
  <c r="Q10" i="25"/>
  <c r="M11" i="25"/>
  <c r="Q11" i="25"/>
  <c r="M12" i="25"/>
  <c r="Q12" i="25"/>
  <c r="M13" i="25"/>
  <c r="Q13" i="25"/>
  <c r="M14" i="25"/>
  <c r="Q14" i="25"/>
  <c r="M15" i="25"/>
  <c r="Q15" i="25"/>
  <c r="M16" i="25"/>
  <c r="Q16" i="25"/>
  <c r="M17" i="25"/>
  <c r="Q17" i="25"/>
  <c r="M18" i="25"/>
  <c r="Q18" i="25"/>
  <c r="M19" i="25"/>
  <c r="Q19" i="25"/>
  <c r="M20" i="25"/>
  <c r="Q20" i="25"/>
  <c r="M21" i="25"/>
  <c r="Q21" i="25"/>
  <c r="N3" i="25"/>
  <c r="V3" i="25"/>
  <c r="N4" i="25"/>
  <c r="V4" i="25"/>
  <c r="N5" i="25"/>
  <c r="V5" i="25"/>
  <c r="N6" i="25"/>
  <c r="V6" i="25"/>
  <c r="N7" i="25"/>
  <c r="V7" i="25"/>
  <c r="N8" i="25"/>
  <c r="V8" i="25"/>
  <c r="N9" i="25"/>
  <c r="V9" i="25"/>
  <c r="N10" i="25"/>
  <c r="V10" i="25"/>
  <c r="N11" i="25"/>
  <c r="V11" i="25"/>
  <c r="N12" i="25"/>
  <c r="V12" i="25"/>
  <c r="N13" i="25"/>
  <c r="V13" i="25"/>
  <c r="N14" i="25"/>
  <c r="V14" i="25"/>
  <c r="N15" i="25"/>
  <c r="V15" i="25"/>
  <c r="N16" i="25"/>
  <c r="V16" i="25"/>
  <c r="N17" i="25"/>
  <c r="V17" i="25"/>
  <c r="N18" i="25"/>
  <c r="V18" i="25"/>
  <c r="N19" i="25"/>
  <c r="V19" i="25"/>
  <c r="N20" i="25"/>
  <c r="V20" i="25"/>
  <c r="N21" i="25"/>
  <c r="V21" i="25"/>
  <c r="N22" i="25"/>
  <c r="V22" i="25"/>
  <c r="N23" i="25"/>
  <c r="V23" i="25"/>
  <c r="N24" i="25"/>
  <c r="V24" i="25"/>
  <c r="N25" i="25"/>
  <c r="V25" i="25"/>
  <c r="N26" i="25"/>
  <c r="V26" i="25"/>
  <c r="N27" i="25"/>
  <c r="V27" i="25"/>
  <c r="N28" i="25"/>
  <c r="V28" i="25"/>
  <c r="N29" i="25"/>
  <c r="V29" i="25"/>
  <c r="N30" i="25"/>
  <c r="V30" i="25"/>
  <c r="N31" i="25"/>
  <c r="O3" i="25"/>
  <c r="S4" i="25"/>
  <c r="O5" i="25"/>
  <c r="S6" i="25"/>
  <c r="O7" i="25"/>
  <c r="S8" i="25"/>
  <c r="O9" i="25"/>
  <c r="S10" i="25"/>
  <c r="O11" i="25"/>
  <c r="S12" i="25"/>
  <c r="O13" i="25"/>
  <c r="S14" i="25"/>
  <c r="O15" i="25"/>
  <c r="S16" i="25"/>
  <c r="O17" i="25"/>
  <c r="S18" i="25"/>
  <c r="O19" i="25"/>
  <c r="S20" i="25"/>
  <c r="O21" i="25"/>
  <c r="P22" i="25"/>
  <c r="O23" i="25"/>
  <c r="T23" i="25"/>
  <c r="M24" i="25"/>
  <c r="S24" i="25"/>
  <c r="Q25" i="25"/>
  <c r="P26" i="25"/>
  <c r="O27" i="25"/>
  <c r="T27" i="25"/>
  <c r="M28" i="25"/>
  <c r="S28" i="25"/>
  <c r="Q29" i="25"/>
  <c r="P30" i="25"/>
  <c r="O31" i="25"/>
  <c r="S31" i="25"/>
  <c r="O32" i="25"/>
  <c r="S32" i="25"/>
  <c r="O33" i="25"/>
  <c r="S33" i="25"/>
  <c r="O34" i="25"/>
  <c r="S34" i="25"/>
  <c r="O35" i="25"/>
  <c r="S35" i="25"/>
  <c r="O36" i="25"/>
  <c r="S36" i="25"/>
  <c r="O37" i="25"/>
  <c r="S37" i="25"/>
  <c r="O38" i="25"/>
  <c r="S38" i="25"/>
  <c r="O39" i="25"/>
  <c r="S39" i="25"/>
  <c r="O40" i="25"/>
  <c r="S40" i="25"/>
  <c r="O41" i="25"/>
  <c r="S41" i="25"/>
  <c r="O42" i="25"/>
  <c r="S42" i="25"/>
  <c r="P3" i="25"/>
  <c r="T4" i="25"/>
  <c r="P5" i="25"/>
  <c r="T6" i="25"/>
  <c r="P7" i="25"/>
  <c r="T8" i="25"/>
  <c r="P9" i="25"/>
  <c r="T10" i="25"/>
  <c r="P11" i="25"/>
  <c r="T12" i="25"/>
  <c r="P13" i="25"/>
  <c r="T14" i="25"/>
  <c r="P15" i="25"/>
  <c r="T16" i="25"/>
  <c r="P17" i="25"/>
  <c r="T18" i="25"/>
  <c r="P19" i="25"/>
  <c r="T20" i="25"/>
  <c r="P21" i="25"/>
  <c r="Q22" i="25"/>
  <c r="P23" i="25"/>
  <c r="O24" i="25"/>
  <c r="T24" i="25"/>
  <c r="M25" i="25"/>
  <c r="S25" i="25"/>
  <c r="Q26" i="25"/>
  <c r="P27" i="25"/>
  <c r="O28" i="25"/>
  <c r="T28" i="25"/>
  <c r="M29" i="25"/>
  <c r="S29" i="25"/>
  <c r="Q30" i="25"/>
  <c r="P31" i="25"/>
  <c r="T31" i="25"/>
  <c r="P32" i="25"/>
  <c r="T32" i="25"/>
  <c r="P33" i="25"/>
  <c r="T33" i="25"/>
  <c r="P34" i="25"/>
  <c r="T34" i="25"/>
  <c r="P35" i="25"/>
  <c r="T35" i="25"/>
  <c r="P36" i="25"/>
  <c r="T36" i="25"/>
  <c r="P37" i="25"/>
  <c r="T37" i="25"/>
  <c r="P38" i="25"/>
  <c r="T38" i="25"/>
  <c r="P39" i="25"/>
  <c r="T39" i="25"/>
  <c r="P40" i="25"/>
  <c r="T40" i="25"/>
  <c r="P41" i="25"/>
  <c r="T41" i="25"/>
  <c r="P42" i="25"/>
  <c r="T42" i="25"/>
  <c r="S3" i="25"/>
  <c r="O4" i="25"/>
  <c r="S5" i="25"/>
  <c r="O6" i="25"/>
  <c r="S7" i="25"/>
  <c r="O8" i="25"/>
  <c r="S9" i="25"/>
  <c r="O10" i="25"/>
  <c r="S11" i="25"/>
  <c r="O12" i="25"/>
  <c r="S13" i="25"/>
  <c r="O14" i="25"/>
  <c r="S15" i="25"/>
  <c r="O16" i="25"/>
  <c r="S17" i="25"/>
  <c r="O18" i="25"/>
  <c r="S19" i="25"/>
  <c r="O20" i="25"/>
  <c r="S21" i="25"/>
  <c r="M22" i="25"/>
  <c r="S22" i="25"/>
  <c r="Q23" i="25"/>
  <c r="P24" i="25"/>
  <c r="O25" i="25"/>
  <c r="T25" i="25"/>
  <c r="M26" i="25"/>
  <c r="S26" i="25"/>
  <c r="Q27" i="25"/>
  <c r="P28" i="25"/>
  <c r="O29" i="25"/>
  <c r="T29" i="25"/>
  <c r="M30" i="25"/>
  <c r="S30" i="25"/>
  <c r="Q31" i="25"/>
  <c r="M32" i="25"/>
  <c r="Q32" i="25"/>
  <c r="M33" i="25"/>
  <c r="Q33" i="25"/>
  <c r="M34" i="25"/>
  <c r="Q34" i="25"/>
  <c r="M35" i="25"/>
  <c r="Q35" i="25"/>
  <c r="T3" i="25"/>
  <c r="P4" i="25"/>
  <c r="T5" i="25"/>
  <c r="P6" i="25"/>
  <c r="T7" i="25"/>
  <c r="P8" i="25"/>
  <c r="T9" i="25"/>
  <c r="P10" i="25"/>
  <c r="T11" i="25"/>
  <c r="P12" i="25"/>
  <c r="T13" i="25"/>
  <c r="P14" i="25"/>
  <c r="T15" i="25"/>
  <c r="P16" i="25"/>
  <c r="T17" i="25"/>
  <c r="P18" i="25"/>
  <c r="T19" i="25"/>
  <c r="P20" i="25"/>
  <c r="T21" i="25"/>
  <c r="O22" i="25"/>
  <c r="T22" i="25"/>
  <c r="M23" i="25"/>
  <c r="S23" i="25"/>
  <c r="Q24" i="25"/>
  <c r="P25" i="25"/>
  <c r="O26" i="25"/>
  <c r="T26" i="25"/>
  <c r="M27" i="25"/>
  <c r="S27" i="25"/>
  <c r="Q28" i="25"/>
  <c r="P29" i="25"/>
  <c r="O30" i="25"/>
  <c r="T30" i="25"/>
  <c r="M31" i="25"/>
  <c r="V31" i="25"/>
  <c r="N32" i="25"/>
  <c r="V32" i="25"/>
  <c r="N33" i="25"/>
  <c r="V33" i="25"/>
  <c r="N34" i="25"/>
  <c r="V34" i="25"/>
  <c r="N35" i="25"/>
  <c r="V35" i="25"/>
  <c r="N36" i="25"/>
  <c r="V36" i="25"/>
  <c r="N37" i="25"/>
  <c r="V37" i="25"/>
  <c r="N38" i="25"/>
  <c r="V38" i="25"/>
  <c r="N39" i="25"/>
  <c r="M36" i="25"/>
  <c r="Q37" i="25"/>
  <c r="V39" i="25"/>
  <c r="N41" i="25"/>
  <c r="V41" i="25"/>
  <c r="N43" i="25"/>
  <c r="V43" i="25"/>
  <c r="N44" i="25"/>
  <c r="V44" i="25"/>
  <c r="N45" i="25"/>
  <c r="V45" i="25"/>
  <c r="N46" i="25"/>
  <c r="V46" i="25"/>
  <c r="N47" i="25"/>
  <c r="V47" i="25"/>
  <c r="N48" i="25"/>
  <c r="V48" i="25"/>
  <c r="N49" i="25"/>
  <c r="V49" i="25"/>
  <c r="N50" i="25"/>
  <c r="V50" i="25"/>
  <c r="N51" i="25"/>
  <c r="V51" i="25"/>
  <c r="N52" i="25"/>
  <c r="V52" i="25"/>
  <c r="N53" i="25"/>
  <c r="V53" i="25"/>
  <c r="N54" i="25"/>
  <c r="V54" i="25"/>
  <c r="N55" i="25"/>
  <c r="V55" i="25"/>
  <c r="N56" i="25"/>
  <c r="V56" i="25"/>
  <c r="N57" i="25"/>
  <c r="V57" i="25"/>
  <c r="N58" i="25"/>
  <c r="V58" i="25"/>
  <c r="N59" i="25"/>
  <c r="V59" i="25"/>
  <c r="N60" i="25"/>
  <c r="V60" i="25"/>
  <c r="N61" i="25"/>
  <c r="V61" i="25"/>
  <c r="N62" i="25"/>
  <c r="V62" i="25"/>
  <c r="N63" i="25"/>
  <c r="V63" i="25"/>
  <c r="N64" i="25"/>
  <c r="V64" i="25"/>
  <c r="N65" i="25"/>
  <c r="V65" i="25"/>
  <c r="N66" i="25"/>
  <c r="V66" i="25"/>
  <c r="N67" i="25"/>
  <c r="V67" i="25"/>
  <c r="N68" i="25"/>
  <c r="V68" i="25"/>
  <c r="N69" i="25"/>
  <c r="V69" i="25"/>
  <c r="N70" i="25"/>
  <c r="V70" i="25"/>
  <c r="N71" i="25"/>
  <c r="V71" i="25"/>
  <c r="N72" i="25"/>
  <c r="V72" i="25"/>
  <c r="N73" i="25"/>
  <c r="V73" i="25"/>
  <c r="N74" i="25"/>
  <c r="V74" i="25"/>
  <c r="N75" i="25"/>
  <c r="V75" i="25"/>
  <c r="Q36" i="25"/>
  <c r="M39" i="25"/>
  <c r="M40" i="25"/>
  <c r="Q41" i="25"/>
  <c r="M42" i="25"/>
  <c r="O43" i="25"/>
  <c r="S43" i="25"/>
  <c r="O44" i="25"/>
  <c r="S44" i="25"/>
  <c r="O45" i="25"/>
  <c r="S45" i="25"/>
  <c r="O46" i="25"/>
  <c r="S46" i="25"/>
  <c r="O47" i="25"/>
  <c r="S47" i="25"/>
  <c r="O48" i="25"/>
  <c r="S48" i="25"/>
  <c r="O49" i="25"/>
  <c r="S49" i="25"/>
  <c r="O50" i="25"/>
  <c r="S50" i="25"/>
  <c r="O51" i="25"/>
  <c r="S51" i="25"/>
  <c r="O52" i="25"/>
  <c r="S52" i="25"/>
  <c r="O53" i="25"/>
  <c r="S53" i="25"/>
  <c r="O54" i="25"/>
  <c r="S54" i="25"/>
  <c r="O55" i="25"/>
  <c r="S55" i="25"/>
  <c r="O56" i="25"/>
  <c r="S56" i="25"/>
  <c r="O57" i="25"/>
  <c r="S57" i="25"/>
  <c r="O58" i="25"/>
  <c r="S58" i="25"/>
  <c r="O59" i="25"/>
  <c r="S59" i="25"/>
  <c r="O60" i="25"/>
  <c r="S60" i="25"/>
  <c r="O61" i="25"/>
  <c r="S61" i="25"/>
  <c r="O62" i="25"/>
  <c r="S62" i="25"/>
  <c r="O63" i="25"/>
  <c r="S63" i="25"/>
  <c r="O64" i="25"/>
  <c r="S64" i="25"/>
  <c r="O65" i="25"/>
  <c r="S65" i="25"/>
  <c r="O66" i="25"/>
  <c r="S66" i="25"/>
  <c r="O67" i="25"/>
  <c r="S67" i="25"/>
  <c r="O68" i="25"/>
  <c r="S68" i="25"/>
  <c r="O69" i="25"/>
  <c r="S69" i="25"/>
  <c r="O70" i="25"/>
  <c r="S70" i="25"/>
  <c r="M38" i="25"/>
  <c r="Q39" i="25"/>
  <c r="N40" i="25"/>
  <c r="V40" i="25"/>
  <c r="N42" i="25"/>
  <c r="V42" i="25"/>
  <c r="P43" i="25"/>
  <c r="T43" i="25"/>
  <c r="P44" i="25"/>
  <c r="T44" i="25"/>
  <c r="P45" i="25"/>
  <c r="T45" i="25"/>
  <c r="P46" i="25"/>
  <c r="T46" i="25"/>
  <c r="P47" i="25"/>
  <c r="T47" i="25"/>
  <c r="P48" i="25"/>
  <c r="T48" i="25"/>
  <c r="P49" i="25"/>
  <c r="T49" i="25"/>
  <c r="P50" i="25"/>
  <c r="T50" i="25"/>
  <c r="P51" i="25"/>
  <c r="T51" i="25"/>
  <c r="P52" i="25"/>
  <c r="T52" i="25"/>
  <c r="P53" i="25"/>
  <c r="T53" i="25"/>
  <c r="P54" i="25"/>
  <c r="T54" i="25"/>
  <c r="P55" i="25"/>
  <c r="T55" i="25"/>
  <c r="P56" i="25"/>
  <c r="T56" i="25"/>
  <c r="P57" i="25"/>
  <c r="T57" i="25"/>
  <c r="P58" i="25"/>
  <c r="T58" i="25"/>
  <c r="P59" i="25"/>
  <c r="T59" i="25"/>
  <c r="P60" i="25"/>
  <c r="T60" i="25"/>
  <c r="P61" i="25"/>
  <c r="T61" i="25"/>
  <c r="P62" i="25"/>
  <c r="T62" i="25"/>
  <c r="P63" i="25"/>
  <c r="T63" i="25"/>
  <c r="P64" i="25"/>
  <c r="T64" i="25"/>
  <c r="P65" i="25"/>
  <c r="T65" i="25"/>
  <c r="P66" i="25"/>
  <c r="T66" i="25"/>
  <c r="P67" i="25"/>
  <c r="T67" i="25"/>
  <c r="P68" i="25"/>
  <c r="T68" i="25"/>
  <c r="M37" i="25"/>
  <c r="Q38" i="25"/>
  <c r="Q40" i="25"/>
  <c r="M41" i="25"/>
  <c r="Q42" i="25"/>
  <c r="M43" i="25"/>
  <c r="Q43" i="25"/>
  <c r="M44" i="25"/>
  <c r="Q44" i="25"/>
  <c r="M45" i="25"/>
  <c r="Q45" i="25"/>
  <c r="M46" i="25"/>
  <c r="Q46" i="25"/>
  <c r="M47" i="25"/>
  <c r="Q47" i="25"/>
  <c r="M48" i="25"/>
  <c r="Q48" i="25"/>
  <c r="M49" i="25"/>
  <c r="Q49" i="25"/>
  <c r="M50" i="25"/>
  <c r="Q50" i="25"/>
  <c r="M51" i="25"/>
  <c r="Q51" i="25"/>
  <c r="M52" i="25"/>
  <c r="Q52" i="25"/>
  <c r="M53" i="25"/>
  <c r="Q53" i="25"/>
  <c r="M54" i="25"/>
  <c r="Q54" i="25"/>
  <c r="M55" i="25"/>
  <c r="Q55" i="25"/>
  <c r="M56" i="25"/>
  <c r="Q56" i="25"/>
  <c r="M57" i="25"/>
  <c r="Q57" i="25"/>
  <c r="M58" i="25"/>
  <c r="Q58" i="25"/>
  <c r="M59" i="25"/>
  <c r="Q59" i="25"/>
  <c r="M60" i="25"/>
  <c r="Q60" i="25"/>
  <c r="M61" i="25"/>
  <c r="Q61" i="25"/>
  <c r="M62" i="25"/>
  <c r="Q62" i="25"/>
  <c r="M63" i="25"/>
  <c r="Q63" i="25"/>
  <c r="M64" i="25"/>
  <c r="Q64" i="25"/>
  <c r="M65" i="25"/>
  <c r="Q65" i="25"/>
  <c r="M66" i="25"/>
  <c r="Q66" i="25"/>
  <c r="M67" i="25"/>
  <c r="Q67" i="25"/>
  <c r="Q69" i="25"/>
  <c r="M70" i="25"/>
  <c r="P71" i="25"/>
  <c r="O72" i="25"/>
  <c r="T72" i="25"/>
  <c r="M73" i="25"/>
  <c r="S73" i="25"/>
  <c r="Q74" i="25"/>
  <c r="P75" i="25"/>
  <c r="N76" i="25"/>
  <c r="V76" i="25"/>
  <c r="N77" i="25"/>
  <c r="V77" i="25"/>
  <c r="N78" i="25"/>
  <c r="V78" i="25"/>
  <c r="N79" i="25"/>
  <c r="V79" i="25"/>
  <c r="N80" i="25"/>
  <c r="V80" i="25"/>
  <c r="N81" i="25"/>
  <c r="V81" i="25"/>
  <c r="N82" i="25"/>
  <c r="V82" i="25"/>
  <c r="N83" i="25"/>
  <c r="V83" i="25"/>
  <c r="N84" i="25"/>
  <c r="V84" i="25"/>
  <c r="N85" i="25"/>
  <c r="V85" i="25"/>
  <c r="N86" i="25"/>
  <c r="V86" i="25"/>
  <c r="N87" i="25"/>
  <c r="V87" i="25"/>
  <c r="N88" i="25"/>
  <c r="V88" i="25"/>
  <c r="N89" i="25"/>
  <c r="V89" i="25"/>
  <c r="N90" i="25"/>
  <c r="V90" i="25"/>
  <c r="N91" i="25"/>
  <c r="V91" i="25"/>
  <c r="N92" i="25"/>
  <c r="V92" i="25"/>
  <c r="N93" i="25"/>
  <c r="V93" i="25"/>
  <c r="N94" i="25"/>
  <c r="V94" i="25"/>
  <c r="N95" i="25"/>
  <c r="V95" i="25"/>
  <c r="N96" i="25"/>
  <c r="V96" i="25"/>
  <c r="N97" i="25"/>
  <c r="V97" i="25"/>
  <c r="N98" i="25"/>
  <c r="V98" i="25"/>
  <c r="N99" i="25"/>
  <c r="V99" i="25"/>
  <c r="N100" i="25"/>
  <c r="V100" i="25"/>
  <c r="N101" i="25"/>
  <c r="V101" i="25"/>
  <c r="N102" i="25"/>
  <c r="V102" i="25"/>
  <c r="N103" i="25"/>
  <c r="V103" i="25"/>
  <c r="N104" i="25"/>
  <c r="V104" i="25"/>
  <c r="N105" i="25"/>
  <c r="V105" i="25"/>
  <c r="N106" i="25"/>
  <c r="V106" i="25"/>
  <c r="N107" i="25"/>
  <c r="V107" i="25"/>
  <c r="N108" i="25"/>
  <c r="T69" i="25"/>
  <c r="P70" i="25"/>
  <c r="Q71" i="25"/>
  <c r="P72" i="25"/>
  <c r="O73" i="25"/>
  <c r="T73" i="25"/>
  <c r="M74" i="25"/>
  <c r="S74" i="25"/>
  <c r="Q75" i="25"/>
  <c r="O76" i="25"/>
  <c r="S76" i="25"/>
  <c r="O77" i="25"/>
  <c r="S77" i="25"/>
  <c r="O78" i="25"/>
  <c r="S78" i="25"/>
  <c r="O79" i="25"/>
  <c r="S79" i="25"/>
  <c r="O80" i="25"/>
  <c r="S80" i="25"/>
  <c r="O81" i="25"/>
  <c r="S81" i="25"/>
  <c r="O82" i="25"/>
  <c r="S82" i="25"/>
  <c r="O83" i="25"/>
  <c r="S83" i="25"/>
  <c r="O84" i="25"/>
  <c r="S84" i="25"/>
  <c r="O85" i="25"/>
  <c r="S85" i="25"/>
  <c r="O86" i="25"/>
  <c r="S86" i="25"/>
  <c r="O87" i="25"/>
  <c r="S87" i="25"/>
  <c r="O88" i="25"/>
  <c r="S88" i="25"/>
  <c r="O89" i="25"/>
  <c r="S89" i="25"/>
  <c r="O90" i="25"/>
  <c r="S90" i="25"/>
  <c r="O91" i="25"/>
  <c r="S91" i="25"/>
  <c r="O92" i="25"/>
  <c r="S92" i="25"/>
  <c r="O93" i="25"/>
  <c r="S93" i="25"/>
  <c r="O94" i="25"/>
  <c r="S94" i="25"/>
  <c r="O95" i="25"/>
  <c r="S95" i="25"/>
  <c r="O96" i="25"/>
  <c r="S96" i="25"/>
  <c r="O97" i="25"/>
  <c r="S97" i="25"/>
  <c r="O98" i="25"/>
  <c r="S98" i="25"/>
  <c r="O99" i="25"/>
  <c r="S99" i="25"/>
  <c r="O100" i="25"/>
  <c r="S100" i="25"/>
  <c r="O101" i="25"/>
  <c r="S101" i="25"/>
  <c r="O102" i="25"/>
  <c r="S102" i="25"/>
  <c r="O103" i="25"/>
  <c r="S103" i="25"/>
  <c r="M68" i="25"/>
  <c r="M69" i="25"/>
  <c r="Q70" i="25"/>
  <c r="M71" i="25"/>
  <c r="S71" i="25"/>
  <c r="Q72" i="25"/>
  <c r="P73" i="25"/>
  <c r="O74" i="25"/>
  <c r="T74" i="25"/>
  <c r="M75" i="25"/>
  <c r="S75" i="25"/>
  <c r="P76" i="25"/>
  <c r="T76" i="25"/>
  <c r="P77" i="25"/>
  <c r="T77" i="25"/>
  <c r="P78" i="25"/>
  <c r="T78" i="25"/>
  <c r="P79" i="25"/>
  <c r="T79" i="25"/>
  <c r="P80" i="25"/>
  <c r="T80" i="25"/>
  <c r="P81" i="25"/>
  <c r="T81" i="25"/>
  <c r="P82" i="25"/>
  <c r="T82" i="25"/>
  <c r="P83" i="25"/>
  <c r="T83" i="25"/>
  <c r="P84" i="25"/>
  <c r="T84" i="25"/>
  <c r="P85" i="25"/>
  <c r="T85" i="25"/>
  <c r="P86" i="25"/>
  <c r="T86" i="25"/>
  <c r="P87" i="25"/>
  <c r="T87" i="25"/>
  <c r="P88" i="25"/>
  <c r="T88" i="25"/>
  <c r="P89" i="25"/>
  <c r="T89" i="25"/>
  <c r="P90" i="25"/>
  <c r="T90" i="25"/>
  <c r="P91" i="25"/>
  <c r="T91" i="25"/>
  <c r="P92" i="25"/>
  <c r="T92" i="25"/>
  <c r="P93" i="25"/>
  <c r="T93" i="25"/>
  <c r="P94" i="25"/>
  <c r="T94" i="25"/>
  <c r="P95" i="25"/>
  <c r="T95" i="25"/>
  <c r="P96" i="25"/>
  <c r="T96" i="25"/>
  <c r="P97" i="25"/>
  <c r="T97" i="25"/>
  <c r="P98" i="25"/>
  <c r="T98" i="25"/>
  <c r="P99" i="25"/>
  <c r="T99" i="25"/>
  <c r="P100" i="25"/>
  <c r="Q68" i="25"/>
  <c r="P69" i="25"/>
  <c r="T70" i="25"/>
  <c r="O71" i="25"/>
  <c r="T71" i="25"/>
  <c r="M72" i="25"/>
  <c r="S72" i="25"/>
  <c r="Q73" i="25"/>
  <c r="P74" i="25"/>
  <c r="O75" i="25"/>
  <c r="T75" i="25"/>
  <c r="M76" i="25"/>
  <c r="Q76" i="25"/>
  <c r="M77" i="25"/>
  <c r="Q77" i="25"/>
  <c r="M78" i="25"/>
  <c r="Q78" i="25"/>
  <c r="M79" i="25"/>
  <c r="Q79" i="25"/>
  <c r="M80" i="25"/>
  <c r="Q80" i="25"/>
  <c r="M81" i="25"/>
  <c r="Q81" i="25"/>
  <c r="M82" i="25"/>
  <c r="Q82" i="25"/>
  <c r="M83" i="25"/>
  <c r="Q83" i="25"/>
  <c r="M84" i="25"/>
  <c r="Q84" i="25"/>
  <c r="M85" i="25"/>
  <c r="Q85" i="25"/>
  <c r="M86" i="25"/>
  <c r="Q86" i="25"/>
  <c r="M87" i="25"/>
  <c r="Q87" i="25"/>
  <c r="M88" i="25"/>
  <c r="Q88" i="25"/>
  <c r="M89" i="25"/>
  <c r="Q89" i="25"/>
  <c r="M90" i="25"/>
  <c r="Q90" i="25"/>
  <c r="M91" i="25"/>
  <c r="Q91" i="25"/>
  <c r="M92" i="25"/>
  <c r="Q92" i="25"/>
  <c r="M93" i="25"/>
  <c r="Q93" i="25"/>
  <c r="M94" i="25"/>
  <c r="Q94" i="25"/>
  <c r="M95" i="25"/>
  <c r="Q95" i="25"/>
  <c r="M96" i="25"/>
  <c r="Q96" i="25"/>
  <c r="M97" i="25"/>
  <c r="Q97" i="25"/>
  <c r="M98" i="25"/>
  <c r="Q98" i="25"/>
  <c r="M99" i="25"/>
  <c r="Q99" i="25"/>
  <c r="T100" i="25"/>
  <c r="P101" i="25"/>
  <c r="T102" i="25"/>
  <c r="P103" i="25"/>
  <c r="Q104" i="25"/>
  <c r="P105" i="25"/>
  <c r="O106" i="25"/>
  <c r="T106" i="25"/>
  <c r="M107" i="25"/>
  <c r="S107" i="25"/>
  <c r="Q108" i="25"/>
  <c r="M109" i="25"/>
  <c r="Q109" i="25"/>
  <c r="M110" i="25"/>
  <c r="Q110" i="25"/>
  <c r="M111" i="25"/>
  <c r="Q111" i="25"/>
  <c r="M112" i="25"/>
  <c r="Q112" i="25"/>
  <c r="M113" i="25"/>
  <c r="Q113" i="25"/>
  <c r="M114" i="25"/>
  <c r="Q114" i="25"/>
  <c r="M115" i="25"/>
  <c r="Q115" i="25"/>
  <c r="M116" i="25"/>
  <c r="Q116" i="25"/>
  <c r="M117" i="25"/>
  <c r="Q117" i="25"/>
  <c r="M118" i="25"/>
  <c r="Q118" i="25"/>
  <c r="M119" i="25"/>
  <c r="Q119" i="25"/>
  <c r="M120" i="25"/>
  <c r="Q120" i="25"/>
  <c r="M121" i="25"/>
  <c r="Q121" i="25"/>
  <c r="M122" i="25"/>
  <c r="Q122" i="25"/>
  <c r="M123" i="25"/>
  <c r="Q123" i="25"/>
  <c r="M124" i="25"/>
  <c r="Q124" i="25"/>
  <c r="M125" i="25"/>
  <c r="Q125" i="25"/>
  <c r="M126" i="25"/>
  <c r="Q126" i="25"/>
  <c r="M127" i="25"/>
  <c r="Q127" i="25"/>
  <c r="M128" i="25"/>
  <c r="Q128" i="25"/>
  <c r="M129" i="25"/>
  <c r="Q129" i="25"/>
  <c r="M130" i="25"/>
  <c r="Q130" i="25"/>
  <c r="M131" i="25"/>
  <c r="Q131" i="25"/>
  <c r="M132" i="25"/>
  <c r="Q132" i="25"/>
  <c r="M133" i="25"/>
  <c r="Q133" i="25"/>
  <c r="M134" i="25"/>
  <c r="Q134" i="25"/>
  <c r="M135" i="25"/>
  <c r="Q135" i="25"/>
  <c r="M136" i="25"/>
  <c r="Q136" i="25"/>
  <c r="M137" i="25"/>
  <c r="Q137" i="25"/>
  <c r="M138" i="25"/>
  <c r="Q138" i="25"/>
  <c r="M139" i="25"/>
  <c r="Q139" i="25"/>
  <c r="M140" i="25"/>
  <c r="Q140" i="25"/>
  <c r="M141" i="25"/>
  <c r="Q141" i="25"/>
  <c r="M142" i="25"/>
  <c r="Q142" i="25"/>
  <c r="M143" i="25"/>
  <c r="Q143" i="25"/>
  <c r="M144" i="25"/>
  <c r="Q144" i="25"/>
  <c r="M145" i="25"/>
  <c r="Q145" i="25"/>
  <c r="M146" i="25"/>
  <c r="Q146" i="25"/>
  <c r="M147" i="25"/>
  <c r="Q147" i="25"/>
  <c r="M148" i="25"/>
  <c r="Q148" i="25"/>
  <c r="M149" i="25"/>
  <c r="Q149" i="25"/>
  <c r="M150" i="25"/>
  <c r="Q150" i="25"/>
  <c r="M151" i="25"/>
  <c r="Q151" i="25"/>
  <c r="M152" i="25"/>
  <c r="Q152" i="25"/>
  <c r="M153" i="25"/>
  <c r="Q153" i="25"/>
  <c r="M154" i="25"/>
  <c r="Q154" i="25"/>
  <c r="M155" i="25"/>
  <c r="Q155" i="25"/>
  <c r="M156" i="25"/>
  <c r="Q156" i="25"/>
  <c r="M157" i="25"/>
  <c r="Q157" i="25"/>
  <c r="M158" i="25"/>
  <c r="Q158" i="25"/>
  <c r="M159" i="25"/>
  <c r="Q159" i="25"/>
  <c r="Q101" i="25"/>
  <c r="M102" i="25"/>
  <c r="Q103" i="25"/>
  <c r="M104" i="25"/>
  <c r="S104" i="25"/>
  <c r="Q105" i="25"/>
  <c r="P106" i="25"/>
  <c r="O107" i="25"/>
  <c r="T107" i="25"/>
  <c r="M108" i="25"/>
  <c r="V108" i="25"/>
  <c r="N109" i="25"/>
  <c r="V109" i="25"/>
  <c r="N110" i="25"/>
  <c r="V110" i="25"/>
  <c r="N111" i="25"/>
  <c r="V111" i="25"/>
  <c r="N112" i="25"/>
  <c r="V112" i="25"/>
  <c r="N113" i="25"/>
  <c r="V113" i="25"/>
  <c r="N114" i="25"/>
  <c r="V114" i="25"/>
  <c r="N115" i="25"/>
  <c r="V115" i="25"/>
  <c r="N116" i="25"/>
  <c r="V116" i="25"/>
  <c r="N117" i="25"/>
  <c r="V117" i="25"/>
  <c r="N118" i="25"/>
  <c r="V118" i="25"/>
  <c r="N119" i="25"/>
  <c r="V119" i="25"/>
  <c r="N120" i="25"/>
  <c r="V120" i="25"/>
  <c r="N121" i="25"/>
  <c r="V121" i="25"/>
  <c r="N122" i="25"/>
  <c r="V122" i="25"/>
  <c r="N123" i="25"/>
  <c r="V123" i="25"/>
  <c r="N124" i="25"/>
  <c r="V124" i="25"/>
  <c r="N125" i="25"/>
  <c r="V125" i="25"/>
  <c r="N126" i="25"/>
  <c r="V126" i="25"/>
  <c r="N127" i="25"/>
  <c r="V127" i="25"/>
  <c r="N128" i="25"/>
  <c r="V128" i="25"/>
  <c r="N129" i="25"/>
  <c r="V129" i="25"/>
  <c r="N130" i="25"/>
  <c r="V130" i="25"/>
  <c r="N131" i="25"/>
  <c r="V131" i="25"/>
  <c r="N132" i="25"/>
  <c r="V132" i="25"/>
  <c r="N133" i="25"/>
  <c r="V133" i="25"/>
  <c r="N134" i="25"/>
  <c r="V134" i="25"/>
  <c r="N135" i="25"/>
  <c r="V135" i="25"/>
  <c r="N136" i="25"/>
  <c r="V136" i="25"/>
  <c r="N137" i="25"/>
  <c r="V137" i="25"/>
  <c r="N138" i="25"/>
  <c r="V138" i="25"/>
  <c r="N139" i="25"/>
  <c r="V139" i="25"/>
  <c r="N140" i="25"/>
  <c r="V140" i="25"/>
  <c r="N141" i="25"/>
  <c r="V141" i="25"/>
  <c r="N142" i="25"/>
  <c r="V142" i="25"/>
  <c r="N143" i="25"/>
  <c r="V143" i="25"/>
  <c r="N144" i="25"/>
  <c r="V144" i="25"/>
  <c r="N145" i="25"/>
  <c r="V145" i="25"/>
  <c r="N146" i="25"/>
  <c r="V146" i="25"/>
  <c r="N147" i="25"/>
  <c r="V147" i="25"/>
  <c r="N148" i="25"/>
  <c r="V148" i="25"/>
  <c r="N149" i="25"/>
  <c r="V149" i="25"/>
  <c r="N150" i="25"/>
  <c r="V150" i="25"/>
  <c r="N151" i="25"/>
  <c r="V151" i="25"/>
  <c r="N152" i="25"/>
  <c r="V152" i="25"/>
  <c r="N153" i="25"/>
  <c r="V153" i="25"/>
  <c r="N154" i="25"/>
  <c r="V154" i="25"/>
  <c r="N155" i="25"/>
  <c r="V155" i="25"/>
  <c r="N156" i="25"/>
  <c r="V156" i="25"/>
  <c r="N157" i="25"/>
  <c r="V157" i="25"/>
  <c r="N158" i="25"/>
  <c r="V158" i="25"/>
  <c r="N159" i="25"/>
  <c r="M100" i="25"/>
  <c r="T101" i="25"/>
  <c r="P102" i="25"/>
  <c r="T103" i="25"/>
  <c r="O104" i="25"/>
  <c r="T104" i="25"/>
  <c r="M105" i="25"/>
  <c r="S105" i="25"/>
  <c r="Q106" i="25"/>
  <c r="P107" i="25"/>
  <c r="O108" i="25"/>
  <c r="S108" i="25"/>
  <c r="O109" i="25"/>
  <c r="S109" i="25"/>
  <c r="O110" i="25"/>
  <c r="S110" i="25"/>
  <c r="O111" i="25"/>
  <c r="S111" i="25"/>
  <c r="O112" i="25"/>
  <c r="S112" i="25"/>
  <c r="O113" i="25"/>
  <c r="S113" i="25"/>
  <c r="O114" i="25"/>
  <c r="S114" i="25"/>
  <c r="O115" i="25"/>
  <c r="S115" i="25"/>
  <c r="O116" i="25"/>
  <c r="S116" i="25"/>
  <c r="O117" i="25"/>
  <c r="S117" i="25"/>
  <c r="O118" i="25"/>
  <c r="S118" i="25"/>
  <c r="O119" i="25"/>
  <c r="S119" i="25"/>
  <c r="O120" i="25"/>
  <c r="S120" i="25"/>
  <c r="O121" i="25"/>
  <c r="S121" i="25"/>
  <c r="O122" i="25"/>
  <c r="S122" i="25"/>
  <c r="O123" i="25"/>
  <c r="S123" i="25"/>
  <c r="O124" i="25"/>
  <c r="S124" i="25"/>
  <c r="O125" i="25"/>
  <c r="S125" i="25"/>
  <c r="O126" i="25"/>
  <c r="S126" i="25"/>
  <c r="O127" i="25"/>
  <c r="S127" i="25"/>
  <c r="O128" i="25"/>
  <c r="S128" i="25"/>
  <c r="O129" i="25"/>
  <c r="S129" i="25"/>
  <c r="O130" i="25"/>
  <c r="S130" i="25"/>
  <c r="O131" i="25"/>
  <c r="S131" i="25"/>
  <c r="O132" i="25"/>
  <c r="S132" i="25"/>
  <c r="O133" i="25"/>
  <c r="S133" i="25"/>
  <c r="O134" i="25"/>
  <c r="S134" i="25"/>
  <c r="O135" i="25"/>
  <c r="S135" i="25"/>
  <c r="O136" i="25"/>
  <c r="S136" i="25"/>
  <c r="O137" i="25"/>
  <c r="S137" i="25"/>
  <c r="O138" i="25"/>
  <c r="S138" i="25"/>
  <c r="O139" i="25"/>
  <c r="S139" i="25"/>
  <c r="O140" i="25"/>
  <c r="S140" i="25"/>
  <c r="O141" i="25"/>
  <c r="S141" i="25"/>
  <c r="O142" i="25"/>
  <c r="S142" i="25"/>
  <c r="O143" i="25"/>
  <c r="S143" i="25"/>
  <c r="O144" i="25"/>
  <c r="S144" i="25"/>
  <c r="O145" i="25"/>
  <c r="S145" i="25"/>
  <c r="O146" i="25"/>
  <c r="S146" i="25"/>
  <c r="O147" i="25"/>
  <c r="S147" i="25"/>
  <c r="O148" i="25"/>
  <c r="S148" i="25"/>
  <c r="O149" i="25"/>
  <c r="S149" i="25"/>
  <c r="O150" i="25"/>
  <c r="S150" i="25"/>
  <c r="O151" i="25"/>
  <c r="S151" i="25"/>
  <c r="O152" i="25"/>
  <c r="S152" i="25"/>
  <c r="O153" i="25"/>
  <c r="S153" i="25"/>
  <c r="O154" i="25"/>
  <c r="S154" i="25"/>
  <c r="O155" i="25"/>
  <c r="S155" i="25"/>
  <c r="O156" i="25"/>
  <c r="S156" i="25"/>
  <c r="O157" i="25"/>
  <c r="S157" i="25"/>
  <c r="O158" i="25"/>
  <c r="S158" i="25"/>
  <c r="Q100" i="25"/>
  <c r="M101" i="25"/>
  <c r="Q102" i="25"/>
  <c r="M103" i="25"/>
  <c r="P104" i="25"/>
  <c r="O105" i="25"/>
  <c r="T105" i="25"/>
  <c r="M106" i="25"/>
  <c r="S106" i="25"/>
  <c r="Q107" i="25"/>
  <c r="P108" i="25"/>
  <c r="T108" i="25"/>
  <c r="P109" i="25"/>
  <c r="T109" i="25"/>
  <c r="P110" i="25"/>
  <c r="T110" i="25"/>
  <c r="P111" i="25"/>
  <c r="T111" i="25"/>
  <c r="P112" i="25"/>
  <c r="T112" i="25"/>
  <c r="P113" i="25"/>
  <c r="T113" i="25"/>
  <c r="P114" i="25"/>
  <c r="T114" i="25"/>
  <c r="P115" i="25"/>
  <c r="T115" i="25"/>
  <c r="P116" i="25"/>
  <c r="T116" i="25"/>
  <c r="P117" i="25"/>
  <c r="T117" i="25"/>
  <c r="P118" i="25"/>
  <c r="T118" i="25"/>
  <c r="P119" i="25"/>
  <c r="T119" i="25"/>
  <c r="P120" i="25"/>
  <c r="T120" i="25"/>
  <c r="P121" i="25"/>
  <c r="T121" i="25"/>
  <c r="P122" i="25"/>
  <c r="T122" i="25"/>
  <c r="P123" i="25"/>
  <c r="T123" i="25"/>
  <c r="P124" i="25"/>
  <c r="T124" i="25"/>
  <c r="P125" i="25"/>
  <c r="T125" i="25"/>
  <c r="P126" i="25"/>
  <c r="T126" i="25"/>
  <c r="P127" i="25"/>
  <c r="T127" i="25"/>
  <c r="P128" i="25"/>
  <c r="T128" i="25"/>
  <c r="P129" i="25"/>
  <c r="T129" i="25"/>
  <c r="P130" i="25"/>
  <c r="T130" i="25"/>
  <c r="P131" i="25"/>
  <c r="T131" i="25"/>
  <c r="P132" i="25"/>
  <c r="T132" i="25"/>
  <c r="P133" i="25"/>
  <c r="T133" i="25"/>
  <c r="P134" i="25"/>
  <c r="T134" i="25"/>
  <c r="P135" i="25"/>
  <c r="T135" i="25"/>
  <c r="P136" i="25"/>
  <c r="T136" i="25"/>
  <c r="P137" i="25"/>
  <c r="T137" i="25"/>
  <c r="P138" i="25"/>
  <c r="T138" i="25"/>
  <c r="P139" i="25"/>
  <c r="T139" i="25"/>
  <c r="P140" i="25"/>
  <c r="T140" i="25"/>
  <c r="P141" i="25"/>
  <c r="T141" i="25"/>
  <c r="P142" i="25"/>
  <c r="T142" i="25"/>
  <c r="P143" i="25"/>
  <c r="T143" i="25"/>
  <c r="P144" i="25"/>
  <c r="T144" i="25"/>
  <c r="P145" i="25"/>
  <c r="T145" i="25"/>
  <c r="P146" i="25"/>
  <c r="T146" i="25"/>
  <c r="P147" i="25"/>
  <c r="T147" i="25"/>
  <c r="P148" i="25"/>
  <c r="T148" i="25"/>
  <c r="P149" i="25"/>
  <c r="T149" i="25"/>
  <c r="P150" i="25"/>
  <c r="T150" i="25"/>
  <c r="P151" i="25"/>
  <c r="T151" i="25"/>
  <c r="P152" i="25"/>
  <c r="T152" i="25"/>
  <c r="P153" i="25"/>
  <c r="T153" i="25"/>
  <c r="P154" i="25"/>
  <c r="T154" i="25"/>
  <c r="P155" i="25"/>
  <c r="T155" i="25"/>
  <c r="P156" i="25"/>
  <c r="T156" i="25"/>
  <c r="P157" i="25"/>
  <c r="T157" i="25"/>
  <c r="P158" i="25"/>
  <c r="T158" i="25"/>
  <c r="P159" i="25"/>
  <c r="T159" i="25"/>
  <c r="O159" i="25"/>
  <c r="O160" i="25"/>
  <c r="S160" i="25"/>
  <c r="O161" i="25"/>
  <c r="S161" i="25"/>
  <c r="O162" i="25"/>
  <c r="S162" i="25"/>
  <c r="O163" i="25"/>
  <c r="S163" i="25"/>
  <c r="O164" i="25"/>
  <c r="S164" i="25"/>
  <c r="O165" i="25"/>
  <c r="S165" i="25"/>
  <c r="O166" i="25"/>
  <c r="S166" i="25"/>
  <c r="O167" i="25"/>
  <c r="S167" i="25"/>
  <c r="O168" i="25"/>
  <c r="S168" i="25"/>
  <c r="O169" i="25"/>
  <c r="S169" i="25"/>
  <c r="O170" i="25"/>
  <c r="S170" i="25"/>
  <c r="O171" i="25"/>
  <c r="S171" i="25"/>
  <c r="O172" i="25"/>
  <c r="S172" i="25"/>
  <c r="O173" i="25"/>
  <c r="S173" i="25"/>
  <c r="O174" i="25"/>
  <c r="S174" i="25"/>
  <c r="O175" i="25"/>
  <c r="S175" i="25"/>
  <c r="O176" i="25"/>
  <c r="S176" i="25"/>
  <c r="O177" i="25"/>
  <c r="S177" i="25"/>
  <c r="O178" i="25"/>
  <c r="S178" i="25"/>
  <c r="O179" i="25"/>
  <c r="S179" i="25"/>
  <c r="O180" i="25"/>
  <c r="S180" i="25"/>
  <c r="O181" i="25"/>
  <c r="S181" i="25"/>
  <c r="O182" i="25"/>
  <c r="S182" i="25"/>
  <c r="O183" i="25"/>
  <c r="S183" i="25"/>
  <c r="O184" i="25"/>
  <c r="S184" i="25"/>
  <c r="O185" i="25"/>
  <c r="S185" i="25"/>
  <c r="O186" i="25"/>
  <c r="S186" i="25"/>
  <c r="O187" i="25"/>
  <c r="S187" i="25"/>
  <c r="O188" i="25"/>
  <c r="S188" i="25"/>
  <c r="O189" i="25"/>
  <c r="S189" i="25"/>
  <c r="O190" i="25"/>
  <c r="S190" i="25"/>
  <c r="O191" i="25"/>
  <c r="S191" i="25"/>
  <c r="O192" i="25"/>
  <c r="S192" i="25"/>
  <c r="O193" i="25"/>
  <c r="S193" i="25"/>
  <c r="O194" i="25"/>
  <c r="S194" i="25"/>
  <c r="O195" i="25"/>
  <c r="S195" i="25"/>
  <c r="O196" i="25"/>
  <c r="S196" i="25"/>
  <c r="O197" i="25"/>
  <c r="S197" i="25"/>
  <c r="O198" i="25"/>
  <c r="S198" i="25"/>
  <c r="O199" i="25"/>
  <c r="S199" i="25"/>
  <c r="O200" i="25"/>
  <c r="S200" i="25"/>
  <c r="O201" i="25"/>
  <c r="S201" i="25"/>
  <c r="O202" i="25"/>
  <c r="S202" i="25"/>
  <c r="O203" i="25"/>
  <c r="S203" i="25"/>
  <c r="O204" i="25"/>
  <c r="S204" i="25"/>
  <c r="O205" i="25"/>
  <c r="S205" i="25"/>
  <c r="O206" i="25"/>
  <c r="S206" i="25"/>
  <c r="O207" i="25"/>
  <c r="S207" i="25"/>
  <c r="O208" i="25"/>
  <c r="S208" i="25"/>
  <c r="O209" i="25"/>
  <c r="S209" i="25"/>
  <c r="O210" i="25"/>
  <c r="S210" i="25"/>
  <c r="O211" i="25"/>
  <c r="S211" i="25"/>
  <c r="O212" i="25"/>
  <c r="S212" i="25"/>
  <c r="O213" i="25"/>
  <c r="S213" i="25"/>
  <c r="O214" i="25"/>
  <c r="S214" i="25"/>
  <c r="O215" i="25"/>
  <c r="S215" i="25"/>
  <c r="S159" i="25"/>
  <c r="P160" i="25"/>
  <c r="T160" i="25"/>
  <c r="P161" i="25"/>
  <c r="T161" i="25"/>
  <c r="P162" i="25"/>
  <c r="T162" i="25"/>
  <c r="P163" i="25"/>
  <c r="T163" i="25"/>
  <c r="P164" i="25"/>
  <c r="T164" i="25"/>
  <c r="P165" i="25"/>
  <c r="T165" i="25"/>
  <c r="P166" i="25"/>
  <c r="T166" i="25"/>
  <c r="P167" i="25"/>
  <c r="T167" i="25"/>
  <c r="P168" i="25"/>
  <c r="T168" i="25"/>
  <c r="P169" i="25"/>
  <c r="T169" i="25"/>
  <c r="P170" i="25"/>
  <c r="T170" i="25"/>
  <c r="P171" i="25"/>
  <c r="T171" i="25"/>
  <c r="P172" i="25"/>
  <c r="T172" i="25"/>
  <c r="P173" i="25"/>
  <c r="T173" i="25"/>
  <c r="P174" i="25"/>
  <c r="T174" i="25"/>
  <c r="P175" i="25"/>
  <c r="T175" i="25"/>
  <c r="P176" i="25"/>
  <c r="T176" i="25"/>
  <c r="P177" i="25"/>
  <c r="T177" i="25"/>
  <c r="P178" i="25"/>
  <c r="T178" i="25"/>
  <c r="P179" i="25"/>
  <c r="T179" i="25"/>
  <c r="P180" i="25"/>
  <c r="T180" i="25"/>
  <c r="P181" i="25"/>
  <c r="T181" i="25"/>
  <c r="P182" i="25"/>
  <c r="T182" i="25"/>
  <c r="P183" i="25"/>
  <c r="T183" i="25"/>
  <c r="P184" i="25"/>
  <c r="T184" i="25"/>
  <c r="P185" i="25"/>
  <c r="T185" i="25"/>
  <c r="P186" i="25"/>
  <c r="T186" i="25"/>
  <c r="P187" i="25"/>
  <c r="T187" i="25"/>
  <c r="P188" i="25"/>
  <c r="T188" i="25"/>
  <c r="P189" i="25"/>
  <c r="T189" i="25"/>
  <c r="P190" i="25"/>
  <c r="T190" i="25"/>
  <c r="P191" i="25"/>
  <c r="T191" i="25"/>
  <c r="P192" i="25"/>
  <c r="T192" i="25"/>
  <c r="P193" i="25"/>
  <c r="T193" i="25"/>
  <c r="P194" i="25"/>
  <c r="T194" i="25"/>
  <c r="P195" i="25"/>
  <c r="T195" i="25"/>
  <c r="P196" i="25"/>
  <c r="T196" i="25"/>
  <c r="P197" i="25"/>
  <c r="T197" i="25"/>
  <c r="P198" i="25"/>
  <c r="T198" i="25"/>
  <c r="P199" i="25"/>
  <c r="T199" i="25"/>
  <c r="P200" i="25"/>
  <c r="T200" i="25"/>
  <c r="P201" i="25"/>
  <c r="T201" i="25"/>
  <c r="P202" i="25"/>
  <c r="T202" i="25"/>
  <c r="P203" i="25"/>
  <c r="T203" i="25"/>
  <c r="P204" i="25"/>
  <c r="T204" i="25"/>
  <c r="P205" i="25"/>
  <c r="T205" i="25"/>
  <c r="P206" i="25"/>
  <c r="T206" i="25"/>
  <c r="P207" i="25"/>
  <c r="T207" i="25"/>
  <c r="P208" i="25"/>
  <c r="T208" i="25"/>
  <c r="P209" i="25"/>
  <c r="T209" i="25"/>
  <c r="P210" i="25"/>
  <c r="T210" i="25"/>
  <c r="P211" i="25"/>
  <c r="T211" i="25"/>
  <c r="P212" i="25"/>
  <c r="T212" i="25"/>
  <c r="P213" i="25"/>
  <c r="T213" i="25"/>
  <c r="M160" i="25"/>
  <c r="Q160" i="25"/>
  <c r="M161" i="25"/>
  <c r="Q161" i="25"/>
  <c r="M162" i="25"/>
  <c r="Q162" i="25"/>
  <c r="M163" i="25"/>
  <c r="Q163" i="25"/>
  <c r="M164" i="25"/>
  <c r="Q164" i="25"/>
  <c r="M165" i="25"/>
  <c r="Q165" i="25"/>
  <c r="M166" i="25"/>
  <c r="Q166" i="25"/>
  <c r="M167" i="25"/>
  <c r="Q167" i="25"/>
  <c r="M168" i="25"/>
  <c r="Q168" i="25"/>
  <c r="M169" i="25"/>
  <c r="Q169" i="25"/>
  <c r="M170" i="25"/>
  <c r="Q170" i="25"/>
  <c r="M171" i="25"/>
  <c r="Q171" i="25"/>
  <c r="M172" i="25"/>
  <c r="Q172" i="25"/>
  <c r="M173" i="25"/>
  <c r="Q173" i="25"/>
  <c r="M174" i="25"/>
  <c r="Q174" i="25"/>
  <c r="M175" i="25"/>
  <c r="Q175" i="25"/>
  <c r="M176" i="25"/>
  <c r="Q176" i="25"/>
  <c r="M177" i="25"/>
  <c r="Q177" i="25"/>
  <c r="M178" i="25"/>
  <c r="Q178" i="25"/>
  <c r="M179" i="25"/>
  <c r="Q179" i="25"/>
  <c r="M180" i="25"/>
  <c r="Q180" i="25"/>
  <c r="M181" i="25"/>
  <c r="Q181" i="25"/>
  <c r="M182" i="25"/>
  <c r="Q182" i="25"/>
  <c r="M183" i="25"/>
  <c r="Q183" i="25"/>
  <c r="M184" i="25"/>
  <c r="Q184" i="25"/>
  <c r="M185" i="25"/>
  <c r="Q185" i="25"/>
  <c r="M186" i="25"/>
  <c r="Q186" i="25"/>
  <c r="M187" i="25"/>
  <c r="Q187" i="25"/>
  <c r="M188" i="25"/>
  <c r="Q188" i="25"/>
  <c r="M189" i="25"/>
  <c r="Q189" i="25"/>
  <c r="M190" i="25"/>
  <c r="Q190" i="25"/>
  <c r="M191" i="25"/>
  <c r="Q191" i="25"/>
  <c r="M192" i="25"/>
  <c r="Q192" i="25"/>
  <c r="M193" i="25"/>
  <c r="Q193" i="25"/>
  <c r="M194" i="25"/>
  <c r="Q194" i="25"/>
  <c r="M195" i="25"/>
  <c r="Q195" i="25"/>
  <c r="M196" i="25"/>
  <c r="Q196" i="25"/>
  <c r="M197" i="25"/>
  <c r="Q197" i="25"/>
  <c r="M198" i="25"/>
  <c r="Q198" i="25"/>
  <c r="M199" i="25"/>
  <c r="Q199" i="25"/>
  <c r="M200" i="25"/>
  <c r="V159" i="25"/>
  <c r="N160" i="25"/>
  <c r="V160" i="25"/>
  <c r="N161" i="25"/>
  <c r="V161" i="25"/>
  <c r="N162" i="25"/>
  <c r="V162" i="25"/>
  <c r="N163" i="25"/>
  <c r="V163" i="25"/>
  <c r="N164" i="25"/>
  <c r="V164" i="25"/>
  <c r="N165" i="25"/>
  <c r="V165" i="25"/>
  <c r="N166" i="25"/>
  <c r="V166" i="25"/>
  <c r="N167" i="25"/>
  <c r="V167" i="25"/>
  <c r="N168" i="25"/>
  <c r="V168" i="25"/>
  <c r="N169" i="25"/>
  <c r="V169" i="25"/>
  <c r="N170" i="25"/>
  <c r="V170" i="25"/>
  <c r="N171" i="25"/>
  <c r="V171" i="25"/>
  <c r="N172" i="25"/>
  <c r="V172" i="25"/>
  <c r="N173" i="25"/>
  <c r="V173" i="25"/>
  <c r="N174" i="25"/>
  <c r="V174" i="25"/>
  <c r="N175" i="25"/>
  <c r="V175" i="25"/>
  <c r="N176" i="25"/>
  <c r="V176" i="25"/>
  <c r="N177" i="25"/>
  <c r="V177" i="25"/>
  <c r="N178" i="25"/>
  <c r="V178" i="25"/>
  <c r="N179" i="25"/>
  <c r="V179" i="25"/>
  <c r="N180" i="25"/>
  <c r="V180" i="25"/>
  <c r="N181" i="25"/>
  <c r="V181" i="25"/>
  <c r="N182" i="25"/>
  <c r="V182" i="25"/>
  <c r="N183" i="25"/>
  <c r="V183" i="25"/>
  <c r="N184" i="25"/>
  <c r="V184" i="25"/>
  <c r="N185" i="25"/>
  <c r="V185" i="25"/>
  <c r="N186" i="25"/>
  <c r="V186" i="25"/>
  <c r="N187" i="25"/>
  <c r="V187" i="25"/>
  <c r="N188" i="25"/>
  <c r="V188" i="25"/>
  <c r="N189" i="25"/>
  <c r="V189" i="25"/>
  <c r="N190" i="25"/>
  <c r="V190" i="25"/>
  <c r="N191" i="25"/>
  <c r="V191" i="25"/>
  <c r="N192" i="25"/>
  <c r="V192" i="25"/>
  <c r="N193" i="25"/>
  <c r="V193" i="25"/>
  <c r="N194" i="25"/>
  <c r="V194" i="25"/>
  <c r="N195" i="25"/>
  <c r="V195" i="25"/>
  <c r="N196" i="25"/>
  <c r="V196" i="25"/>
  <c r="N197" i="25"/>
  <c r="V197" i="25"/>
  <c r="N198" i="25"/>
  <c r="V198" i="25"/>
  <c r="N199" i="25"/>
  <c r="V199" i="25"/>
  <c r="N200" i="25"/>
  <c r="V200" i="25"/>
  <c r="N201" i="25"/>
  <c r="V201" i="25"/>
  <c r="N202" i="25"/>
  <c r="V202" i="25"/>
  <c r="N203" i="25"/>
  <c r="V203" i="25"/>
  <c r="N204" i="25"/>
  <c r="V204" i="25"/>
  <c r="N205" i="25"/>
  <c r="V205" i="25"/>
  <c r="N206" i="25"/>
  <c r="V206" i="25"/>
  <c r="N207" i="25"/>
  <c r="V207" i="25"/>
  <c r="N208" i="25"/>
  <c r="V208" i="25"/>
  <c r="N209" i="25"/>
  <c r="V209" i="25"/>
  <c r="N210" i="25"/>
  <c r="V210" i="25"/>
  <c r="N211" i="25"/>
  <c r="V211" i="25"/>
  <c r="N212" i="25"/>
  <c r="Q200" i="25"/>
  <c r="M203" i="25"/>
  <c r="Q204" i="25"/>
  <c r="M207" i="25"/>
  <c r="Q208" i="25"/>
  <c r="M211" i="25"/>
  <c r="Q212" i="25"/>
  <c r="N213" i="25"/>
  <c r="V213" i="25"/>
  <c r="P214" i="25"/>
  <c r="N215" i="25"/>
  <c r="T215" i="25"/>
  <c r="M216" i="25"/>
  <c r="Q216" i="25"/>
  <c r="M217" i="25"/>
  <c r="Q217" i="25"/>
  <c r="M218" i="25"/>
  <c r="Q218" i="25"/>
  <c r="M219" i="25"/>
  <c r="Q219" i="25"/>
  <c r="M220" i="25"/>
  <c r="Q220" i="25"/>
  <c r="M221" i="25"/>
  <c r="Q221" i="25"/>
  <c r="M222" i="25"/>
  <c r="Q222" i="25"/>
  <c r="M223" i="25"/>
  <c r="Q223" i="25"/>
  <c r="M224" i="25"/>
  <c r="Q224" i="25"/>
  <c r="M225" i="25"/>
  <c r="Q225" i="25"/>
  <c r="M226" i="25"/>
  <c r="Q226" i="25"/>
  <c r="M227" i="25"/>
  <c r="Q227" i="25"/>
  <c r="M228" i="25"/>
  <c r="Q228" i="25"/>
  <c r="M229" i="25"/>
  <c r="Q229" i="25"/>
  <c r="M230" i="25"/>
  <c r="Q230" i="25"/>
  <c r="M231" i="25"/>
  <c r="Q231" i="25"/>
  <c r="M232" i="25"/>
  <c r="Q232" i="25"/>
  <c r="M233" i="25"/>
  <c r="Q233" i="25"/>
  <c r="M234" i="25"/>
  <c r="Q234" i="25"/>
  <c r="M235" i="25"/>
  <c r="Q235" i="25"/>
  <c r="M236" i="25"/>
  <c r="Q236" i="25"/>
  <c r="M237" i="25"/>
  <c r="Q237" i="25"/>
  <c r="M238" i="25"/>
  <c r="Q238" i="25"/>
  <c r="M239" i="25"/>
  <c r="Q239" i="25"/>
  <c r="M240" i="25"/>
  <c r="Q240" i="25"/>
  <c r="M241" i="25"/>
  <c r="Q241" i="25"/>
  <c r="M242" i="25"/>
  <c r="Q242" i="25"/>
  <c r="M243" i="25"/>
  <c r="Q243" i="25"/>
  <c r="M244" i="25"/>
  <c r="Q244" i="25"/>
  <c r="M245" i="25"/>
  <c r="Q245" i="25"/>
  <c r="M246" i="25"/>
  <c r="Q246" i="25"/>
  <c r="M247" i="25"/>
  <c r="Q247" i="25"/>
  <c r="M248" i="25"/>
  <c r="Q248" i="25"/>
  <c r="M249" i="25"/>
  <c r="Q249" i="25"/>
  <c r="M250" i="25"/>
  <c r="Q250" i="25"/>
  <c r="M251" i="25"/>
  <c r="Q251" i="25"/>
  <c r="M252" i="25"/>
  <c r="Q252" i="25"/>
  <c r="M253" i="25"/>
  <c r="Q253" i="25"/>
  <c r="M254" i="25"/>
  <c r="Q254" i="25"/>
  <c r="M255" i="25"/>
  <c r="Q255" i="25"/>
  <c r="M256" i="25"/>
  <c r="Q256" i="25"/>
  <c r="M257" i="25"/>
  <c r="Q257" i="25"/>
  <c r="M258" i="25"/>
  <c r="Q258" i="25"/>
  <c r="M259" i="25"/>
  <c r="Q259" i="25"/>
  <c r="M260" i="25"/>
  <c r="Q260" i="25"/>
  <c r="M261" i="25"/>
  <c r="Q261" i="25"/>
  <c r="M262" i="25"/>
  <c r="Q262" i="25"/>
  <c r="M263" i="25"/>
  <c r="Q263" i="25"/>
  <c r="M264" i="25"/>
  <c r="Q264" i="25"/>
  <c r="M265" i="25"/>
  <c r="Q265" i="25"/>
  <c r="M266" i="25"/>
  <c r="Q266" i="25"/>
  <c r="M267" i="25"/>
  <c r="Q267" i="25"/>
  <c r="M202" i="25"/>
  <c r="Q203" i="25"/>
  <c r="M206" i="25"/>
  <c r="Q207" i="25"/>
  <c r="M210" i="25"/>
  <c r="Q211" i="25"/>
  <c r="Q213" i="25"/>
  <c r="Q214" i="25"/>
  <c r="V214" i="25"/>
  <c r="P215" i="25"/>
  <c r="N216" i="25"/>
  <c r="V216" i="25"/>
  <c r="N217" i="25"/>
  <c r="V217" i="25"/>
  <c r="N218" i="25"/>
  <c r="V218" i="25"/>
  <c r="N219" i="25"/>
  <c r="V219" i="25"/>
  <c r="N220" i="25"/>
  <c r="V220" i="25"/>
  <c r="N221" i="25"/>
  <c r="V221" i="25"/>
  <c r="N222" i="25"/>
  <c r="V222" i="25"/>
  <c r="N223" i="25"/>
  <c r="V223" i="25"/>
  <c r="N224" i="25"/>
  <c r="V224" i="25"/>
  <c r="N225" i="25"/>
  <c r="V225" i="25"/>
  <c r="N226" i="25"/>
  <c r="V226" i="25"/>
  <c r="N227" i="25"/>
  <c r="V227" i="25"/>
  <c r="N228" i="25"/>
  <c r="V228" i="25"/>
  <c r="N229" i="25"/>
  <c r="V229" i="25"/>
  <c r="N230" i="25"/>
  <c r="V230" i="25"/>
  <c r="N231" i="25"/>
  <c r="V231" i="25"/>
  <c r="N232" i="25"/>
  <c r="V232" i="25"/>
  <c r="N233" i="25"/>
  <c r="V233" i="25"/>
  <c r="N234" i="25"/>
  <c r="V234" i="25"/>
  <c r="N235" i="25"/>
  <c r="V235" i="25"/>
  <c r="N236" i="25"/>
  <c r="V236" i="25"/>
  <c r="N237" i="25"/>
  <c r="V237" i="25"/>
  <c r="N238" i="25"/>
  <c r="V238" i="25"/>
  <c r="N239" i="25"/>
  <c r="V239" i="25"/>
  <c r="N240" i="25"/>
  <c r="V240" i="25"/>
  <c r="N241" i="25"/>
  <c r="V241" i="25"/>
  <c r="N242" i="25"/>
  <c r="V242" i="25"/>
  <c r="N243" i="25"/>
  <c r="V243" i="25"/>
  <c r="N244" i="25"/>
  <c r="V244" i="25"/>
  <c r="N245" i="25"/>
  <c r="V245" i="25"/>
  <c r="N246" i="25"/>
  <c r="V246" i="25"/>
  <c r="N247" i="25"/>
  <c r="V247" i="25"/>
  <c r="N248" i="25"/>
  <c r="V248" i="25"/>
  <c r="N249" i="25"/>
  <c r="V249" i="25"/>
  <c r="N250" i="25"/>
  <c r="V250" i="25"/>
  <c r="N251" i="25"/>
  <c r="V251" i="25"/>
  <c r="N252" i="25"/>
  <c r="V252" i="25"/>
  <c r="N253" i="25"/>
  <c r="V253" i="25"/>
  <c r="N254" i="25"/>
  <c r="V254" i="25"/>
  <c r="N255" i="25"/>
  <c r="V255" i="25"/>
  <c r="N256" i="25"/>
  <c r="V256" i="25"/>
  <c r="N257" i="25"/>
  <c r="V257" i="25"/>
  <c r="N258" i="25"/>
  <c r="V258" i="25"/>
  <c r="N259" i="25"/>
  <c r="V259" i="25"/>
  <c r="N260" i="25"/>
  <c r="V260" i="25"/>
  <c r="N261" i="25"/>
  <c r="V261" i="25"/>
  <c r="N262" i="25"/>
  <c r="V262" i="25"/>
  <c r="N263" i="25"/>
  <c r="V263" i="25"/>
  <c r="N264" i="25"/>
  <c r="V264" i="25"/>
  <c r="N265" i="25"/>
  <c r="V265" i="25"/>
  <c r="N266" i="25"/>
  <c r="V266" i="25"/>
  <c r="N267" i="25"/>
  <c r="M201" i="25"/>
  <c r="Q202" i="25"/>
  <c r="M205" i="25"/>
  <c r="Q206" i="25"/>
  <c r="M209" i="25"/>
  <c r="Q210" i="25"/>
  <c r="V212" i="25"/>
  <c r="M214" i="25"/>
  <c r="Q215" i="25"/>
  <c r="V215" i="25"/>
  <c r="O216" i="25"/>
  <c r="S216" i="25"/>
  <c r="O217" i="25"/>
  <c r="S217" i="25"/>
  <c r="O218" i="25"/>
  <c r="S218" i="25"/>
  <c r="O219" i="25"/>
  <c r="S219" i="25"/>
  <c r="O220" i="25"/>
  <c r="S220" i="25"/>
  <c r="O221" i="25"/>
  <c r="S221" i="25"/>
  <c r="O222" i="25"/>
  <c r="S222" i="25"/>
  <c r="O223" i="25"/>
  <c r="S223" i="25"/>
  <c r="O224" i="25"/>
  <c r="S224" i="25"/>
  <c r="O225" i="25"/>
  <c r="S225" i="25"/>
  <c r="O226" i="25"/>
  <c r="S226" i="25"/>
  <c r="O227" i="25"/>
  <c r="S227" i="25"/>
  <c r="O228" i="25"/>
  <c r="S228" i="25"/>
  <c r="O229" i="25"/>
  <c r="S229" i="25"/>
  <c r="O230" i="25"/>
  <c r="S230" i="25"/>
  <c r="O231" i="25"/>
  <c r="S231" i="25"/>
  <c r="O232" i="25"/>
  <c r="S232" i="25"/>
  <c r="O233" i="25"/>
  <c r="S233" i="25"/>
  <c r="O234" i="25"/>
  <c r="S234" i="25"/>
  <c r="O235" i="25"/>
  <c r="S235" i="25"/>
  <c r="O236" i="25"/>
  <c r="S236" i="25"/>
  <c r="O237" i="25"/>
  <c r="S237" i="25"/>
  <c r="O238" i="25"/>
  <c r="S238" i="25"/>
  <c r="O239" i="25"/>
  <c r="S239" i="25"/>
  <c r="O240" i="25"/>
  <c r="S240" i="25"/>
  <c r="O241" i="25"/>
  <c r="S241" i="25"/>
  <c r="O242" i="25"/>
  <c r="S242" i="25"/>
  <c r="O243" i="25"/>
  <c r="S243" i="25"/>
  <c r="O244" i="25"/>
  <c r="S244" i="25"/>
  <c r="O245" i="25"/>
  <c r="S245" i="25"/>
  <c r="O246" i="25"/>
  <c r="S246" i="25"/>
  <c r="O247" i="25"/>
  <c r="S247" i="25"/>
  <c r="O248" i="25"/>
  <c r="S248" i="25"/>
  <c r="O249" i="25"/>
  <c r="S249" i="25"/>
  <c r="O250" i="25"/>
  <c r="S250" i="25"/>
  <c r="O251" i="25"/>
  <c r="S251" i="25"/>
  <c r="O252" i="25"/>
  <c r="S252" i="25"/>
  <c r="O253" i="25"/>
  <c r="S253" i="25"/>
  <c r="O254" i="25"/>
  <c r="S254" i="25"/>
  <c r="O255" i="25"/>
  <c r="S255" i="25"/>
  <c r="O256" i="25"/>
  <c r="S256" i="25"/>
  <c r="O257" i="25"/>
  <c r="S257" i="25"/>
  <c r="O258" i="25"/>
  <c r="S258" i="25"/>
  <c r="O259" i="25"/>
  <c r="S259" i="25"/>
  <c r="O260" i="25"/>
  <c r="S260" i="25"/>
  <c r="O261" i="25"/>
  <c r="S261" i="25"/>
  <c r="O262" i="25"/>
  <c r="S262" i="25"/>
  <c r="O263" i="25"/>
  <c r="S263" i="25"/>
  <c r="O264" i="25"/>
  <c r="S264" i="25"/>
  <c r="O265" i="25"/>
  <c r="S265" i="25"/>
  <c r="O266" i="25"/>
  <c r="Q201" i="25"/>
  <c r="M204" i="25"/>
  <c r="Q205" i="25"/>
  <c r="M208" i="25"/>
  <c r="Q209" i="25"/>
  <c r="M212" i="25"/>
  <c r="M213" i="25"/>
  <c r="N214" i="25"/>
  <c r="T214" i="25"/>
  <c r="M215" i="25"/>
  <c r="P216" i="25"/>
  <c r="T216" i="25"/>
  <c r="P217" i="25"/>
  <c r="T217" i="25"/>
  <c r="P218" i="25"/>
  <c r="T218" i="25"/>
  <c r="P219" i="25"/>
  <c r="T219" i="25"/>
  <c r="P220" i="25"/>
  <c r="T220" i="25"/>
  <c r="P221" i="25"/>
  <c r="T221" i="25"/>
  <c r="P222" i="25"/>
  <c r="T222" i="25"/>
  <c r="P223" i="25"/>
  <c r="T223" i="25"/>
  <c r="P224" i="25"/>
  <c r="T224" i="25"/>
  <c r="P225" i="25"/>
  <c r="T225" i="25"/>
  <c r="P226" i="25"/>
  <c r="T226" i="25"/>
  <c r="P227" i="25"/>
  <c r="T227" i="25"/>
  <c r="P228" i="25"/>
  <c r="T228" i="25"/>
  <c r="P229" i="25"/>
  <c r="T229" i="25"/>
  <c r="P230" i="25"/>
  <c r="T230" i="25"/>
  <c r="P231" i="25"/>
  <c r="T231" i="25"/>
  <c r="P232" i="25"/>
  <c r="T232" i="25"/>
  <c r="P233" i="25"/>
  <c r="T233" i="25"/>
  <c r="P234" i="25"/>
  <c r="T234" i="25"/>
  <c r="P235" i="25"/>
  <c r="T235" i="25"/>
  <c r="P236" i="25"/>
  <c r="T236" i="25"/>
  <c r="P237" i="25"/>
  <c r="T237" i="25"/>
  <c r="P238" i="25"/>
  <c r="T238" i="25"/>
  <c r="P239" i="25"/>
  <c r="T239" i="25"/>
  <c r="P240" i="25"/>
  <c r="T240" i="25"/>
  <c r="P241" i="25"/>
  <c r="T241" i="25"/>
  <c r="P242" i="25"/>
  <c r="T242" i="25"/>
  <c r="P243" i="25"/>
  <c r="T243" i="25"/>
  <c r="P244" i="25"/>
  <c r="T244" i="25"/>
  <c r="P245" i="25"/>
  <c r="T245" i="25"/>
  <c r="P246" i="25"/>
  <c r="T246" i="25"/>
  <c r="P247" i="25"/>
  <c r="T247" i="25"/>
  <c r="P248" i="25"/>
  <c r="T248" i="25"/>
  <c r="P249" i="25"/>
  <c r="T249" i="25"/>
  <c r="P250" i="25"/>
  <c r="T250" i="25"/>
  <c r="P251" i="25"/>
  <c r="T251" i="25"/>
  <c r="P252" i="25"/>
  <c r="T252" i="25"/>
  <c r="P253" i="25"/>
  <c r="T253" i="25"/>
  <c r="P254" i="25"/>
  <c r="T254" i="25"/>
  <c r="P255" i="25"/>
  <c r="T255" i="25"/>
  <c r="P256" i="25"/>
  <c r="T256" i="25"/>
  <c r="P257" i="25"/>
  <c r="T257" i="25"/>
  <c r="P258" i="25"/>
  <c r="T258" i="25"/>
  <c r="P259" i="25"/>
  <c r="T259" i="25"/>
  <c r="P260" i="25"/>
  <c r="T260" i="25"/>
  <c r="P261" i="25"/>
  <c r="T261" i="25"/>
  <c r="P262" i="25"/>
  <c r="T262" i="25"/>
  <c r="P263" i="25"/>
  <c r="T263" i="25"/>
  <c r="P264" i="25"/>
  <c r="T264" i="25"/>
  <c r="P265" i="25"/>
  <c r="T265" i="25"/>
  <c r="P266" i="25"/>
  <c r="T266" i="25"/>
  <c r="P267" i="25"/>
  <c r="S266" i="25"/>
  <c r="T267" i="25"/>
  <c r="P268" i="25"/>
  <c r="T268" i="25"/>
  <c r="P269" i="25"/>
  <c r="T269" i="25"/>
  <c r="P270" i="25"/>
  <c r="T270" i="25"/>
  <c r="P271" i="25"/>
  <c r="T271" i="25"/>
  <c r="P272" i="25"/>
  <c r="T272" i="25"/>
  <c r="P273" i="25"/>
  <c r="T273" i="25"/>
  <c r="P274" i="25"/>
  <c r="T274" i="25"/>
  <c r="P275" i="25"/>
  <c r="T275" i="25"/>
  <c r="P276" i="25"/>
  <c r="T276" i="25"/>
  <c r="P277" i="25"/>
  <c r="T277" i="25"/>
  <c r="P278" i="25"/>
  <c r="T278" i="25"/>
  <c r="P279" i="25"/>
  <c r="T279" i="25"/>
  <c r="P280" i="25"/>
  <c r="T280" i="25"/>
  <c r="P281" i="25"/>
  <c r="T281" i="25"/>
  <c r="P282" i="25"/>
  <c r="T282" i="25"/>
  <c r="P283" i="25"/>
  <c r="T283" i="25"/>
  <c r="P284" i="25"/>
  <c r="T284" i="25"/>
  <c r="P285" i="25"/>
  <c r="T285" i="25"/>
  <c r="P286" i="25"/>
  <c r="T286" i="25"/>
  <c r="P287" i="25"/>
  <c r="T287" i="25"/>
  <c r="P288" i="25"/>
  <c r="T288" i="25"/>
  <c r="P289" i="25"/>
  <c r="T289" i="25"/>
  <c r="P290" i="25"/>
  <c r="T290" i="25"/>
  <c r="P291" i="25"/>
  <c r="T291" i="25"/>
  <c r="P292" i="25"/>
  <c r="T292" i="25"/>
  <c r="P293" i="25"/>
  <c r="T293" i="25"/>
  <c r="P294" i="25"/>
  <c r="T294" i="25"/>
  <c r="P295" i="25"/>
  <c r="T295" i="25"/>
  <c r="P296" i="25"/>
  <c r="T296" i="25"/>
  <c r="P297" i="25"/>
  <c r="T297" i="25"/>
  <c r="P298" i="25"/>
  <c r="T298" i="25"/>
  <c r="P299" i="25"/>
  <c r="T299" i="25"/>
  <c r="P300" i="25"/>
  <c r="T300" i="25"/>
  <c r="M268" i="25"/>
  <c r="Q268" i="25"/>
  <c r="M269" i="25"/>
  <c r="Q269" i="25"/>
  <c r="M270" i="25"/>
  <c r="Q270" i="25"/>
  <c r="M271" i="25"/>
  <c r="Q271" i="25"/>
  <c r="M272" i="25"/>
  <c r="Q272" i="25"/>
  <c r="M273" i="25"/>
  <c r="Q273" i="25"/>
  <c r="M274" i="25"/>
  <c r="Q274" i="25"/>
  <c r="M275" i="25"/>
  <c r="Q275" i="25"/>
  <c r="M276" i="25"/>
  <c r="Q276" i="25"/>
  <c r="M277" i="25"/>
  <c r="Q277" i="25"/>
  <c r="M278" i="25"/>
  <c r="Q278" i="25"/>
  <c r="M279" i="25"/>
  <c r="Q279" i="25"/>
  <c r="M280" i="25"/>
  <c r="Q280" i="25"/>
  <c r="M281" i="25"/>
  <c r="Q281" i="25"/>
  <c r="M282" i="25"/>
  <c r="Q282" i="25"/>
  <c r="M283" i="25"/>
  <c r="Q283" i="25"/>
  <c r="M284" i="25"/>
  <c r="Q284" i="25"/>
  <c r="M285" i="25"/>
  <c r="Q285" i="25"/>
  <c r="M286" i="25"/>
  <c r="Q286" i="25"/>
  <c r="M287" i="25"/>
  <c r="Q287" i="25"/>
  <c r="M288" i="25"/>
  <c r="Q288" i="25"/>
  <c r="M289" i="25"/>
  <c r="Q289" i="25"/>
  <c r="M290" i="25"/>
  <c r="Q290" i="25"/>
  <c r="M291" i="25"/>
  <c r="Q291" i="25"/>
  <c r="M292" i="25"/>
  <c r="Q292" i="25"/>
  <c r="M293" i="25"/>
  <c r="Q293" i="25"/>
  <c r="M294" i="25"/>
  <c r="Q294" i="25"/>
  <c r="M295" i="25"/>
  <c r="Q295" i="25"/>
  <c r="M296" i="25"/>
  <c r="Q296" i="25"/>
  <c r="M297" i="25"/>
  <c r="Q297" i="25"/>
  <c r="M298" i="25"/>
  <c r="Q298" i="25"/>
  <c r="M299" i="25"/>
  <c r="Q299" i="25"/>
  <c r="M300" i="25"/>
  <c r="Q300" i="25"/>
  <c r="O267" i="25"/>
  <c r="V267" i="25"/>
  <c r="N268" i="25"/>
  <c r="V268" i="25"/>
  <c r="N269" i="25"/>
  <c r="V269" i="25"/>
  <c r="N270" i="25"/>
  <c r="V270" i="25"/>
  <c r="N271" i="25"/>
  <c r="V271" i="25"/>
  <c r="N272" i="25"/>
  <c r="V272" i="25"/>
  <c r="N273" i="25"/>
  <c r="V273" i="25"/>
  <c r="N274" i="25"/>
  <c r="V274" i="25"/>
  <c r="N275" i="25"/>
  <c r="V275" i="25"/>
  <c r="N276" i="25"/>
  <c r="V276" i="25"/>
  <c r="N277" i="25"/>
  <c r="V277" i="25"/>
  <c r="N278" i="25"/>
  <c r="V278" i="25"/>
  <c r="N279" i="25"/>
  <c r="V279" i="25"/>
  <c r="N280" i="25"/>
  <c r="V280" i="25"/>
  <c r="N281" i="25"/>
  <c r="V281" i="25"/>
  <c r="N282" i="25"/>
  <c r="V282" i="25"/>
  <c r="N283" i="25"/>
  <c r="V283" i="25"/>
  <c r="N284" i="25"/>
  <c r="V284" i="25"/>
  <c r="N285" i="25"/>
  <c r="V285" i="25"/>
  <c r="N286" i="25"/>
  <c r="V286" i="25"/>
  <c r="N287" i="25"/>
  <c r="V287" i="25"/>
  <c r="N288" i="25"/>
  <c r="V288" i="25"/>
  <c r="N289" i="25"/>
  <c r="V289" i="25"/>
  <c r="N290" i="25"/>
  <c r="V290" i="25"/>
  <c r="N291" i="25"/>
  <c r="V291" i="25"/>
  <c r="N292" i="25"/>
  <c r="V292" i="25"/>
  <c r="N293" i="25"/>
  <c r="V293" i="25"/>
  <c r="N294" i="25"/>
  <c r="V294" i="25"/>
  <c r="N295" i="25"/>
  <c r="V295" i="25"/>
  <c r="N296" i="25"/>
  <c r="V296" i="25"/>
  <c r="N297" i="25"/>
  <c r="V297" i="25"/>
  <c r="N298" i="25"/>
  <c r="V298" i="25"/>
  <c r="N299" i="25"/>
  <c r="V299" i="25"/>
  <c r="N300" i="25"/>
  <c r="V300" i="25"/>
  <c r="S267" i="25"/>
  <c r="O268" i="25"/>
  <c r="S268" i="25"/>
  <c r="O269" i="25"/>
  <c r="S269" i="25"/>
  <c r="O270" i="25"/>
  <c r="S270" i="25"/>
  <c r="O271" i="25"/>
  <c r="S271" i="25"/>
  <c r="O272" i="25"/>
  <c r="S272" i="25"/>
  <c r="O273" i="25"/>
  <c r="S273" i="25"/>
  <c r="O274" i="25"/>
  <c r="S274" i="25"/>
  <c r="O275" i="25"/>
  <c r="S275" i="25"/>
  <c r="O276" i="25"/>
  <c r="S276" i="25"/>
  <c r="O277" i="25"/>
  <c r="S277" i="25"/>
  <c r="O278" i="25"/>
  <c r="S278" i="25"/>
  <c r="O279" i="25"/>
  <c r="S279" i="25"/>
  <c r="O280" i="25"/>
  <c r="S280" i="25"/>
  <c r="O281" i="25"/>
  <c r="S281" i="25"/>
  <c r="O282" i="25"/>
  <c r="S282" i="25"/>
  <c r="O283" i="25"/>
  <c r="S283" i="25"/>
  <c r="O284" i="25"/>
  <c r="S284" i="25"/>
  <c r="O285" i="25"/>
  <c r="S285" i="25"/>
  <c r="O286" i="25"/>
  <c r="S286" i="25"/>
  <c r="O287" i="25"/>
  <c r="S287" i="25"/>
  <c r="O288" i="25"/>
  <c r="S288" i="25"/>
  <c r="O289" i="25"/>
  <c r="S289" i="25"/>
  <c r="O290" i="25"/>
  <c r="S290" i="25"/>
  <c r="O291" i="25"/>
  <c r="S291" i="25"/>
  <c r="O292" i="25"/>
  <c r="S292" i="25"/>
  <c r="O293" i="25"/>
  <c r="S293" i="25"/>
  <c r="O294" i="25"/>
  <c r="S294" i="25"/>
  <c r="O295" i="25"/>
  <c r="S295" i="25"/>
  <c r="O296" i="25"/>
  <c r="S296" i="25"/>
  <c r="O297" i="25"/>
  <c r="S297" i="25"/>
  <c r="O298" i="25"/>
  <c r="S298" i="25"/>
  <c r="O299" i="25"/>
  <c r="S299" i="25"/>
  <c r="O300" i="25"/>
  <c r="S300" i="25"/>
  <c r="K286" i="25" a="1"/>
  <c r="K286" i="25" s="1"/>
  <c r="I165" i="25" a="1"/>
  <c r="I165" i="25" s="1"/>
  <c r="G11" i="25"/>
  <c r="G6" i="25"/>
  <c r="G22" i="25"/>
  <c r="G38" i="25"/>
  <c r="G54" i="25"/>
  <c r="G70" i="25"/>
  <c r="G86" i="25"/>
  <c r="G102" i="25"/>
  <c r="G118" i="25"/>
  <c r="H148" i="25" a="1"/>
  <c r="H148" i="25" s="1"/>
  <c r="I101" i="25" a="1"/>
  <c r="I101" i="25" s="1"/>
  <c r="G84" i="25"/>
  <c r="G156" i="25"/>
  <c r="G281" i="25"/>
  <c r="G230" i="25"/>
  <c r="G115" i="25"/>
  <c r="G83" i="25"/>
  <c r="G63" i="25"/>
  <c r="G169" i="25"/>
  <c r="C300" i="25" a="1"/>
  <c r="C300" i="25" s="1"/>
  <c r="L67" i="25" a="1"/>
  <c r="L67" i="25" s="1"/>
  <c r="I76" i="25" a="1"/>
  <c r="I76" i="25" s="1"/>
  <c r="I84" i="25" a="1"/>
  <c r="I84" i="25" s="1"/>
  <c r="I92" i="25" a="1"/>
  <c r="I92" i="25" s="1"/>
  <c r="I124" i="25" a="1"/>
  <c r="I124" i="25" s="1"/>
  <c r="I132" i="25" a="1"/>
  <c r="I132" i="25" s="1"/>
  <c r="I140" i="25" a="1"/>
  <c r="I140" i="25" s="1"/>
  <c r="I148" i="25" a="1"/>
  <c r="I148" i="25" s="1"/>
  <c r="I156" i="25" a="1"/>
  <c r="I156" i="25" s="1"/>
  <c r="I172" i="25" a="1"/>
  <c r="I172" i="25" s="1"/>
  <c r="I204" i="25" a="1"/>
  <c r="I204" i="25" s="1"/>
  <c r="I220" i="25" a="1"/>
  <c r="I220" i="25" s="1"/>
  <c r="I252" i="25" a="1"/>
  <c r="I252" i="25" s="1"/>
  <c r="H201" i="25" a="1"/>
  <c r="H201" i="25" s="1"/>
  <c r="H217" i="25" a="1"/>
  <c r="H217" i="25" s="1"/>
  <c r="H265" i="25" a="1"/>
  <c r="H265" i="25" s="1"/>
  <c r="H281" i="25" a="1"/>
  <c r="H281" i="25" s="1"/>
  <c r="H61" i="25" a="1"/>
  <c r="H61" i="25" s="1"/>
  <c r="H165" i="25" a="1"/>
  <c r="H165" i="25" s="1"/>
  <c r="I189" i="25" a="1"/>
  <c r="I189" i="25" s="1"/>
  <c r="I229" i="25" a="1"/>
  <c r="I229" i="25" s="1"/>
  <c r="G128" i="25"/>
  <c r="G144" i="25"/>
  <c r="G160" i="25"/>
  <c r="G176" i="25"/>
  <c r="G192" i="25"/>
  <c r="G208" i="25"/>
  <c r="G224" i="25"/>
  <c r="G240" i="25"/>
  <c r="G256" i="25"/>
  <c r="G149" i="25"/>
  <c r="G218" i="25"/>
  <c r="G257" i="25"/>
  <c r="G27" i="25"/>
  <c r="G59" i="25"/>
  <c r="G123" i="25"/>
  <c r="G155" i="25"/>
  <c r="G187" i="25"/>
  <c r="I228" i="25" a="1"/>
  <c r="I228" i="25" s="1"/>
  <c r="H93" i="25" a="1"/>
  <c r="H93" i="25" s="1"/>
  <c r="H169" i="25" a="1"/>
  <c r="H169" i="25" s="1"/>
  <c r="I261" i="25" a="1"/>
  <c r="I261" i="25" s="1"/>
  <c r="I281" i="25" a="1"/>
  <c r="I281" i="25" s="1"/>
  <c r="G273" i="25"/>
  <c r="G111" i="25"/>
  <c r="G226" i="25"/>
  <c r="G43" i="25"/>
  <c r="G103" i="25"/>
  <c r="J300" i="25" a="1"/>
  <c r="J300" i="25" s="1"/>
  <c r="G238" i="25"/>
  <c r="G127" i="25"/>
  <c r="G159" i="25"/>
  <c r="G191" i="25"/>
  <c r="G239" i="25"/>
  <c r="G81" i="25"/>
  <c r="G214" i="25"/>
  <c r="G278" i="25"/>
  <c r="G294" i="25"/>
  <c r="G215" i="25"/>
  <c r="G253" i="25"/>
  <c r="G125" i="25"/>
  <c r="G225" i="25"/>
  <c r="G213" i="25"/>
  <c r="G272" i="25"/>
  <c r="G100" i="25"/>
  <c r="G196" i="25"/>
  <c r="G244" i="25"/>
  <c r="G30" i="25"/>
  <c r="G62" i="25"/>
  <c r="G94" i="25"/>
  <c r="G72" i="25"/>
  <c r="G88" i="25"/>
  <c r="G181" i="25"/>
  <c r="G164" i="25"/>
  <c r="G260" i="25"/>
  <c r="G14" i="25"/>
  <c r="G46" i="25"/>
  <c r="G78" i="25"/>
  <c r="G110" i="25"/>
  <c r="G12" i="25"/>
  <c r="G28" i="25"/>
  <c r="G44" i="25"/>
  <c r="G60" i="25"/>
  <c r="G108" i="25"/>
  <c r="G188" i="25"/>
  <c r="G236" i="25"/>
  <c r="G285" i="25"/>
  <c r="G249" i="25"/>
  <c r="G245" i="25"/>
  <c r="G39" i="25"/>
  <c r="K174" i="25" a="1"/>
  <c r="K174" i="25" s="1"/>
  <c r="L178" i="25" a="1"/>
  <c r="L178" i="25" s="1"/>
  <c r="K190" i="25" a="1"/>
  <c r="K190" i="25" s="1"/>
  <c r="L194" i="25" a="1"/>
  <c r="L194" i="25" s="1"/>
  <c r="K206" i="25" a="1"/>
  <c r="K206" i="25" s="1"/>
  <c r="L210" i="25" a="1"/>
  <c r="L210" i="25" s="1"/>
  <c r="K222" i="25" a="1"/>
  <c r="K222" i="25" s="1"/>
  <c r="L226" i="25" a="1"/>
  <c r="L226" i="25" s="1"/>
  <c r="K238" i="25" a="1"/>
  <c r="K238" i="25" s="1"/>
  <c r="L242" i="25" a="1"/>
  <c r="L242" i="25" s="1"/>
  <c r="K254" i="25" a="1"/>
  <c r="K254" i="25" s="1"/>
  <c r="L258" i="25" a="1"/>
  <c r="L258" i="25" s="1"/>
  <c r="K270" i="25" a="1"/>
  <c r="K270" i="25" s="1"/>
  <c r="L274" i="25" a="1"/>
  <c r="L274" i="25" s="1"/>
  <c r="L290" i="25" a="1"/>
  <c r="L290" i="25" s="1"/>
  <c r="L3" i="25" a="1"/>
  <c r="L3" i="25" s="1"/>
  <c r="L7" i="25" a="1"/>
  <c r="L7" i="25" s="1"/>
  <c r="L11" i="25" a="1"/>
  <c r="L11" i="25" s="1"/>
  <c r="L15" i="25" a="1"/>
  <c r="L15" i="25" s="1"/>
  <c r="L19" i="25" a="1"/>
  <c r="L19" i="25" s="1"/>
  <c r="L23" i="25" a="1"/>
  <c r="L23" i="25" s="1"/>
  <c r="L27" i="25" a="1"/>
  <c r="L27" i="25" s="1"/>
  <c r="L31" i="25" a="1"/>
  <c r="L31" i="25" s="1"/>
  <c r="L35" i="25" a="1"/>
  <c r="L35" i="25" s="1"/>
  <c r="L39" i="25" a="1"/>
  <c r="L39" i="25" s="1"/>
  <c r="L43" i="25" a="1"/>
  <c r="L43" i="25" s="1"/>
  <c r="L47" i="25" a="1"/>
  <c r="L47" i="25" s="1"/>
  <c r="L51" i="25" a="1"/>
  <c r="L51" i="25" s="1"/>
  <c r="L55" i="25" a="1"/>
  <c r="L55" i="25" s="1"/>
  <c r="L71" i="25" a="1"/>
  <c r="L71" i="25" s="1"/>
  <c r="K289" i="25" a="1"/>
  <c r="K289" i="25" s="1"/>
  <c r="K269" i="25" a="1"/>
  <c r="K269" i="25" s="1"/>
  <c r="K257" i="25" a="1"/>
  <c r="K257" i="25" s="1"/>
  <c r="K241" i="25" a="1"/>
  <c r="K241" i="25" s="1"/>
  <c r="K229" i="25" a="1"/>
  <c r="K229" i="25" s="1"/>
  <c r="K213" i="25" a="1"/>
  <c r="K213" i="25" s="1"/>
  <c r="K185" i="25" a="1"/>
  <c r="K185" i="25" s="1"/>
  <c r="K165" i="25" a="1"/>
  <c r="K165" i="25" s="1"/>
  <c r="K161" i="25" a="1"/>
  <c r="K161" i="25" s="1"/>
  <c r="K157" i="25" a="1"/>
  <c r="K157" i="25" s="1"/>
  <c r="K153" i="25" a="1"/>
  <c r="K153" i="25" s="1"/>
  <c r="K149" i="25" a="1"/>
  <c r="K149" i="25" s="1"/>
  <c r="K145" i="25" a="1"/>
  <c r="K145" i="25" s="1"/>
  <c r="K141" i="25" a="1"/>
  <c r="K141" i="25" s="1"/>
  <c r="K137" i="25" a="1"/>
  <c r="K137" i="25" s="1"/>
  <c r="K133" i="25" a="1"/>
  <c r="K133" i="25" s="1"/>
  <c r="K65" i="25" a="1"/>
  <c r="K65" i="25" s="1"/>
  <c r="K61" i="25" a="1"/>
  <c r="K61" i="25" s="1"/>
  <c r="K57" i="25" a="1"/>
  <c r="K57" i="25" s="1"/>
  <c r="K53" i="25" a="1"/>
  <c r="K53" i="25" s="1"/>
  <c r="K49" i="25" a="1"/>
  <c r="K49" i="25" s="1"/>
  <c r="K45" i="25" a="1"/>
  <c r="K45" i="25" s="1"/>
  <c r="K41" i="25" a="1"/>
  <c r="K41" i="25" s="1"/>
  <c r="K37" i="25" a="1"/>
  <c r="K37" i="25" s="1"/>
  <c r="K33" i="25" a="1"/>
  <c r="K33" i="25" s="1"/>
  <c r="K29" i="25" a="1"/>
  <c r="K29" i="25" s="1"/>
  <c r="K25" i="25" a="1"/>
  <c r="K25" i="25" s="1"/>
  <c r="K21" i="25" a="1"/>
  <c r="K21" i="25" s="1"/>
  <c r="K17" i="25" a="1"/>
  <c r="K17" i="25" s="1"/>
  <c r="K13" i="25" a="1"/>
  <c r="K13" i="25" s="1"/>
  <c r="K9" i="25" a="1"/>
  <c r="K9" i="25" s="1"/>
  <c r="K5" i="25" a="1"/>
  <c r="K5" i="25" s="1"/>
  <c r="K296" i="25" a="1"/>
  <c r="K296" i="25" s="1"/>
  <c r="K293" i="25" a="1"/>
  <c r="K293" i="25" s="1"/>
  <c r="K273" i="25" a="1"/>
  <c r="K273" i="25" s="1"/>
  <c r="K261" i="25" a="1"/>
  <c r="K261" i="25" s="1"/>
  <c r="K245" i="25" a="1"/>
  <c r="K245" i="25" s="1"/>
  <c r="K300" i="25" a="1"/>
  <c r="K300" i="25" s="1"/>
  <c r="K297" i="25" a="1"/>
  <c r="K297" i="25" s="1"/>
  <c r="K249" i="25" a="1"/>
  <c r="K249" i="25" s="1"/>
  <c r="K233" i="25" a="1"/>
  <c r="K233" i="25" s="1"/>
  <c r="K221" i="25" a="1"/>
  <c r="K221" i="25" s="1"/>
  <c r="K205" i="25" a="1"/>
  <c r="K205" i="25" s="1"/>
  <c r="K193" i="25" a="1"/>
  <c r="K193" i="25" s="1"/>
  <c r="K177" i="25" a="1"/>
  <c r="K177" i="25" s="1"/>
  <c r="K129" i="25" a="1"/>
  <c r="K129" i="25" s="1"/>
  <c r="K125" i="25" a="1"/>
  <c r="K125" i="25" s="1"/>
  <c r="K121" i="25" a="1"/>
  <c r="K121" i="25" s="1"/>
  <c r="K117" i="25" a="1"/>
  <c r="K117" i="25" s="1"/>
  <c r="K113" i="25" a="1"/>
  <c r="K113" i="25" s="1"/>
  <c r="K109" i="25" a="1"/>
  <c r="K109" i="25" s="1"/>
  <c r="K101" i="25" a="1"/>
  <c r="K101" i="25" s="1"/>
  <c r="K97" i="25" a="1"/>
  <c r="K97" i="25" s="1"/>
  <c r="K93" i="25" a="1"/>
  <c r="K93" i="25" s="1"/>
  <c r="K89" i="25" a="1"/>
  <c r="K89" i="25" s="1"/>
  <c r="K85" i="25" a="1"/>
  <c r="K85" i="25" s="1"/>
  <c r="K81" i="25" a="1"/>
  <c r="K81" i="25" s="1"/>
  <c r="K77" i="25" a="1"/>
  <c r="K77" i="25" s="1"/>
  <c r="K73" i="25" a="1"/>
  <c r="K73" i="25" s="1"/>
  <c r="K69" i="25" a="1"/>
  <c r="K69" i="25" s="1"/>
  <c r="K285" i="25" a="1"/>
  <c r="K285" i="25" s="1"/>
  <c r="K277" i="25" a="1"/>
  <c r="K277" i="25" s="1"/>
  <c r="K265" i="25" a="1"/>
  <c r="K265" i="25" s="1"/>
  <c r="K253" i="25" a="1"/>
  <c r="K253" i="25" s="1"/>
  <c r="K237" i="25" a="1"/>
  <c r="K237" i="25" s="1"/>
  <c r="K225" i="25" a="1"/>
  <c r="K225" i="25" s="1"/>
  <c r="K209" i="25" a="1"/>
  <c r="K209" i="25" s="1"/>
  <c r="K201" i="25" a="1"/>
  <c r="K201" i="25" s="1"/>
  <c r="K292" i="25" a="1"/>
  <c r="K292" i="25" s="1"/>
  <c r="K280" i="25" a="1"/>
  <c r="K280" i="25" s="1"/>
  <c r="K264" i="25" a="1"/>
  <c r="K264" i="25" s="1"/>
  <c r="K240" i="25" a="1"/>
  <c r="K240" i="25" s="1"/>
  <c r="K232" i="25" a="1"/>
  <c r="K232" i="25" s="1"/>
  <c r="K208" i="25" a="1"/>
  <c r="K208" i="25" s="1"/>
  <c r="K176" i="25" a="1"/>
  <c r="K176" i="25" s="1"/>
  <c r="K291" i="25" a="1"/>
  <c r="K291" i="25" s="1"/>
  <c r="K275" i="25" a="1"/>
  <c r="K275" i="25" s="1"/>
  <c r="K259" i="25" a="1"/>
  <c r="K259" i="25" s="1"/>
  <c r="K243" i="25" a="1"/>
  <c r="K243" i="25" s="1"/>
  <c r="K227" i="25" a="1"/>
  <c r="K227" i="25" s="1"/>
  <c r="K211" i="25" a="1"/>
  <c r="K211" i="25" s="1"/>
  <c r="K195" i="25" a="1"/>
  <c r="K195" i="25" s="1"/>
  <c r="K179" i="25" a="1"/>
  <c r="K179" i="25" s="1"/>
  <c r="K189" i="25" a="1"/>
  <c r="K189" i="25" s="1"/>
  <c r="K181" i="25" a="1"/>
  <c r="K181" i="25" s="1"/>
  <c r="K173" i="25" a="1"/>
  <c r="K173" i="25" s="1"/>
  <c r="K105" i="25" a="1"/>
  <c r="K105" i="25" s="1"/>
  <c r="K284" i="25" a="1"/>
  <c r="K284" i="25" s="1"/>
  <c r="K268" i="25" a="1"/>
  <c r="K268" i="25" s="1"/>
  <c r="K244" i="25" a="1"/>
  <c r="K244" i="25" s="1"/>
  <c r="K216" i="25" a="1"/>
  <c r="K216" i="25" s="1"/>
  <c r="K212" i="25" a="1"/>
  <c r="K212" i="25" s="1"/>
  <c r="K184" i="25" a="1"/>
  <c r="K184" i="25" s="1"/>
  <c r="K180" i="25" a="1"/>
  <c r="K180" i="25" s="1"/>
  <c r="K168" i="25" a="1"/>
  <c r="K168" i="25" s="1"/>
  <c r="K164" i="25" a="1"/>
  <c r="K164" i="25" s="1"/>
  <c r="K160" i="25" a="1"/>
  <c r="K160" i="25" s="1"/>
  <c r="K136" i="25" a="1"/>
  <c r="K136" i="25" s="1"/>
  <c r="K132" i="25" a="1"/>
  <c r="K132" i="25" s="1"/>
  <c r="K128" i="25" a="1"/>
  <c r="K128" i="25" s="1"/>
  <c r="K104" i="25" a="1"/>
  <c r="K104" i="25" s="1"/>
  <c r="K100" i="25" a="1"/>
  <c r="K100" i="25" s="1"/>
  <c r="K96" i="25" a="1"/>
  <c r="K96" i="25" s="1"/>
  <c r="K72" i="25" a="1"/>
  <c r="K72" i="25" s="1"/>
  <c r="K68" i="25" a="1"/>
  <c r="K68" i="25" s="1"/>
  <c r="K64" i="25" a="1"/>
  <c r="K64" i="25" s="1"/>
  <c r="K40" i="25" a="1"/>
  <c r="K40" i="25" s="1"/>
  <c r="K36" i="25" a="1"/>
  <c r="K36" i="25" s="1"/>
  <c r="K32" i="25" a="1"/>
  <c r="K32" i="25" s="1"/>
  <c r="K8" i="25" a="1"/>
  <c r="K8" i="25" s="1"/>
  <c r="K4" i="25" a="1"/>
  <c r="K4" i="25" s="1"/>
  <c r="K295" i="25" a="1"/>
  <c r="K295" i="25" s="1"/>
  <c r="K279" i="25" a="1"/>
  <c r="K279" i="25" s="1"/>
  <c r="K263" i="25" a="1"/>
  <c r="K263" i="25" s="1"/>
  <c r="K247" i="25" a="1"/>
  <c r="K247" i="25" s="1"/>
  <c r="K231" i="25" a="1"/>
  <c r="K231" i="25" s="1"/>
  <c r="K215" i="25" a="1"/>
  <c r="K215" i="25" s="1"/>
  <c r="K199" i="25" a="1"/>
  <c r="K199" i="25" s="1"/>
  <c r="K183" i="25" a="1"/>
  <c r="K183" i="25" s="1"/>
  <c r="K143" i="25" a="1"/>
  <c r="K143" i="25" s="1"/>
  <c r="K79" i="25" a="1"/>
  <c r="K79" i="25" s="1"/>
  <c r="K217" i="25" a="1"/>
  <c r="K217" i="25" s="1"/>
  <c r="K197" i="25" a="1"/>
  <c r="K197" i="25" s="1"/>
  <c r="K272" i="25" a="1"/>
  <c r="K272" i="25" s="1"/>
  <c r="K256" i="25" a="1"/>
  <c r="K256" i="25" s="1"/>
  <c r="K248" i="25" a="1"/>
  <c r="K248" i="25" s="1"/>
  <c r="K224" i="25" a="1"/>
  <c r="K224" i="25" s="1"/>
  <c r="K192" i="25" a="1"/>
  <c r="K192" i="25" s="1"/>
  <c r="K283" i="25" a="1"/>
  <c r="K283" i="25" s="1"/>
  <c r="K267" i="25" a="1"/>
  <c r="K267" i="25" s="1"/>
  <c r="K251" i="25" a="1"/>
  <c r="K251" i="25" s="1"/>
  <c r="K235" i="25" a="1"/>
  <c r="K235" i="25" s="1"/>
  <c r="K219" i="25" a="1"/>
  <c r="K219" i="25" s="1"/>
  <c r="K203" i="25" a="1"/>
  <c r="K203" i="25" s="1"/>
  <c r="K187" i="25" a="1"/>
  <c r="K187" i="25" s="1"/>
  <c r="K171" i="25" a="1"/>
  <c r="K171" i="25" s="1"/>
  <c r="K167" i="25" a="1"/>
  <c r="K167" i="25" s="1"/>
  <c r="K163" i="25" a="1"/>
  <c r="K163" i="25" s="1"/>
  <c r="K159" i="25" a="1"/>
  <c r="K159" i="25" s="1"/>
  <c r="K155" i="25" a="1"/>
  <c r="K155" i="25" s="1"/>
  <c r="K151" i="25" a="1"/>
  <c r="K151" i="25" s="1"/>
  <c r="K147" i="25" a="1"/>
  <c r="K147" i="25" s="1"/>
  <c r="K139" i="25" a="1"/>
  <c r="K139" i="25" s="1"/>
  <c r="K135" i="25" a="1"/>
  <c r="K135" i="25" s="1"/>
  <c r="K131" i="25" a="1"/>
  <c r="K131" i="25" s="1"/>
  <c r="K127" i="25" a="1"/>
  <c r="K127" i="25" s="1"/>
  <c r="K123" i="25" a="1"/>
  <c r="K123" i="25" s="1"/>
  <c r="K119" i="25" a="1"/>
  <c r="K119" i="25" s="1"/>
  <c r="K115" i="25" a="1"/>
  <c r="K115" i="25" s="1"/>
  <c r="K111" i="25" a="1"/>
  <c r="K111" i="25" s="1"/>
  <c r="K107" i="25" a="1"/>
  <c r="K107" i="25" s="1"/>
  <c r="K103" i="25" a="1"/>
  <c r="K103" i="25" s="1"/>
  <c r="K99" i="25" a="1"/>
  <c r="K99" i="25" s="1"/>
  <c r="K95" i="25" a="1"/>
  <c r="K95" i="25" s="1"/>
  <c r="K91" i="25" a="1"/>
  <c r="K91" i="25" s="1"/>
  <c r="K87" i="25" a="1"/>
  <c r="K87" i="25" s="1"/>
  <c r="K83" i="25" a="1"/>
  <c r="K83" i="25" s="1"/>
  <c r="K75" i="25" a="1"/>
  <c r="K75" i="25" s="1"/>
  <c r="K71" i="25" a="1"/>
  <c r="K71" i="25" s="1"/>
  <c r="K67" i="25" a="1"/>
  <c r="K67" i="25" s="1"/>
  <c r="K63" i="25" a="1"/>
  <c r="K63" i="25" s="1"/>
  <c r="K59" i="25" a="1"/>
  <c r="K59" i="25" s="1"/>
  <c r="K169" i="25" a="1"/>
  <c r="K169" i="25" s="1"/>
  <c r="K288" i="25" a="1"/>
  <c r="K288" i="25" s="1"/>
  <c r="K276" i="25" a="1"/>
  <c r="K276" i="25" s="1"/>
  <c r="K260" i="25" a="1"/>
  <c r="K260" i="25" s="1"/>
  <c r="K228" i="25" a="1"/>
  <c r="K228" i="25" s="1"/>
  <c r="K200" i="25" a="1"/>
  <c r="K200" i="25" s="1"/>
  <c r="K196" i="25" a="1"/>
  <c r="K196" i="25" s="1"/>
  <c r="K152" i="25" a="1"/>
  <c r="K152" i="25" s="1"/>
  <c r="K148" i="25" a="1"/>
  <c r="K148" i="25" s="1"/>
  <c r="K144" i="25" a="1"/>
  <c r="K144" i="25" s="1"/>
  <c r="K120" i="25" a="1"/>
  <c r="K120" i="25" s="1"/>
  <c r="K116" i="25" a="1"/>
  <c r="K116" i="25" s="1"/>
  <c r="K112" i="25" a="1"/>
  <c r="K112" i="25" s="1"/>
  <c r="K88" i="25" a="1"/>
  <c r="K88" i="25" s="1"/>
  <c r="K84" i="25" a="1"/>
  <c r="K84" i="25" s="1"/>
  <c r="K80" i="25" a="1"/>
  <c r="K80" i="25" s="1"/>
  <c r="K56" i="25" a="1"/>
  <c r="K56" i="25" s="1"/>
  <c r="K52" i="25" a="1"/>
  <c r="K52" i="25" s="1"/>
  <c r="K48" i="25" a="1"/>
  <c r="K48" i="25" s="1"/>
  <c r="K24" i="25" a="1"/>
  <c r="K24" i="25" s="1"/>
  <c r="K20" i="25" a="1"/>
  <c r="K20" i="25" s="1"/>
  <c r="K16" i="25" a="1"/>
  <c r="K16" i="25" s="1"/>
  <c r="K287" i="25" a="1"/>
  <c r="K287" i="25" s="1"/>
  <c r="K271" i="25" a="1"/>
  <c r="K271" i="25" s="1"/>
  <c r="K255" i="25" a="1"/>
  <c r="K255" i="25" s="1"/>
  <c r="K239" i="25" a="1"/>
  <c r="K239" i="25" s="1"/>
  <c r="K223" i="25" a="1"/>
  <c r="K223" i="25" s="1"/>
  <c r="K207" i="25" a="1"/>
  <c r="K207" i="25" s="1"/>
  <c r="K191" i="25" a="1"/>
  <c r="K191" i="25" s="1"/>
  <c r="K175" i="25" a="1"/>
  <c r="K175" i="25" s="1"/>
  <c r="K6" i="25" a="1"/>
  <c r="K6" i="25" s="1"/>
  <c r="K10" i="25" a="1"/>
  <c r="K10" i="25" s="1"/>
  <c r="K14" i="25" a="1"/>
  <c r="K14" i="25" s="1"/>
  <c r="K18" i="25" a="1"/>
  <c r="K18" i="25" s="1"/>
  <c r="K22" i="25" a="1"/>
  <c r="K22" i="25" s="1"/>
  <c r="K26" i="25" a="1"/>
  <c r="K26" i="25" s="1"/>
  <c r="K30" i="25" a="1"/>
  <c r="K30" i="25" s="1"/>
  <c r="K34" i="25" a="1"/>
  <c r="K34" i="25" s="1"/>
  <c r="K38" i="25" a="1"/>
  <c r="K38" i="25" s="1"/>
  <c r="K42" i="25" a="1"/>
  <c r="K42" i="25" s="1"/>
  <c r="K46" i="25" a="1"/>
  <c r="K46" i="25" s="1"/>
  <c r="K50" i="25" a="1"/>
  <c r="K50" i="25" s="1"/>
  <c r="L54" i="25" a="1"/>
  <c r="L54" i="25" s="1"/>
  <c r="K58" i="25" a="1"/>
  <c r="K58" i="25" s="1"/>
  <c r="K62" i="25" a="1"/>
  <c r="K62" i="25" s="1"/>
  <c r="K66" i="25" a="1"/>
  <c r="K66" i="25" s="1"/>
  <c r="K70" i="25" a="1"/>
  <c r="K70" i="25" s="1"/>
  <c r="K74" i="25" a="1"/>
  <c r="K74" i="25" s="1"/>
  <c r="K78" i="25" a="1"/>
  <c r="K78" i="25" s="1"/>
  <c r="K82" i="25" a="1"/>
  <c r="K82" i="25" s="1"/>
  <c r="K86" i="25" a="1"/>
  <c r="K86" i="25" s="1"/>
  <c r="K90" i="25" a="1"/>
  <c r="K90" i="25" s="1"/>
  <c r="K94" i="25" a="1"/>
  <c r="K94" i="25" s="1"/>
  <c r="K98" i="25" a="1"/>
  <c r="K98" i="25" s="1"/>
  <c r="K102" i="25" a="1"/>
  <c r="K102" i="25" s="1"/>
  <c r="K106" i="25" a="1"/>
  <c r="K106" i="25" s="1"/>
  <c r="K110" i="25" a="1"/>
  <c r="K110" i="25" s="1"/>
  <c r="K114" i="25" a="1"/>
  <c r="K114" i="25" s="1"/>
  <c r="L118" i="25" a="1"/>
  <c r="L118" i="25" s="1"/>
  <c r="K122" i="25" a="1"/>
  <c r="K122" i="25" s="1"/>
  <c r="K126" i="25" a="1"/>
  <c r="K126" i="25" s="1"/>
  <c r="K130" i="25" a="1"/>
  <c r="K130" i="25" s="1"/>
  <c r="K134" i="25" a="1"/>
  <c r="K134" i="25" s="1"/>
  <c r="K138" i="25" a="1"/>
  <c r="K138" i="25" s="1"/>
  <c r="K142" i="25" a="1"/>
  <c r="K142" i="25" s="1"/>
  <c r="K146" i="25" a="1"/>
  <c r="K146" i="25" s="1"/>
  <c r="K150" i="25" a="1"/>
  <c r="K150" i="25" s="1"/>
  <c r="K154" i="25" a="1"/>
  <c r="K154" i="25" s="1"/>
  <c r="K158" i="25" a="1"/>
  <c r="K158" i="25" s="1"/>
  <c r="K162" i="25" a="1"/>
  <c r="K162" i="25" s="1"/>
  <c r="K166" i="25" a="1"/>
  <c r="K166" i="25" s="1"/>
  <c r="K170" i="25" a="1"/>
  <c r="K170" i="25" s="1"/>
  <c r="L174" i="25" a="1"/>
  <c r="L174" i="25" s="1"/>
  <c r="K186" i="25" a="1"/>
  <c r="K186" i="25" s="1"/>
  <c r="L190" i="25" a="1"/>
  <c r="L190" i="25" s="1"/>
  <c r="K202" i="25" a="1"/>
  <c r="K202" i="25" s="1"/>
  <c r="L206" i="25" a="1"/>
  <c r="L206" i="25" s="1"/>
  <c r="K218" i="25" a="1"/>
  <c r="K218" i="25" s="1"/>
  <c r="L222" i="25" a="1"/>
  <c r="L222" i="25" s="1"/>
  <c r="K234" i="25" a="1"/>
  <c r="K234" i="25" s="1"/>
  <c r="L238" i="25" a="1"/>
  <c r="L238" i="25" s="1"/>
  <c r="K250" i="25" a="1"/>
  <c r="K250" i="25" s="1"/>
  <c r="L254" i="25" a="1"/>
  <c r="L254" i="25" s="1"/>
  <c r="K266" i="25" a="1"/>
  <c r="K266" i="25" s="1"/>
  <c r="L270" i="25" a="1"/>
  <c r="L270" i="25" s="1"/>
  <c r="K282" i="25" a="1"/>
  <c r="K282" i="25" s="1"/>
  <c r="L286" i="25" a="1"/>
  <c r="L286" i="25" s="1"/>
  <c r="K298" i="25" a="1"/>
  <c r="K298" i="25" s="1"/>
  <c r="L293" i="25" a="1"/>
  <c r="L293" i="25" s="1"/>
  <c r="L261" i="25" a="1"/>
  <c r="L261" i="25" s="1"/>
  <c r="L245" i="25" a="1"/>
  <c r="L245" i="25" s="1"/>
  <c r="L217" i="25" a="1"/>
  <c r="L217" i="25" s="1"/>
  <c r="L201" i="25" a="1"/>
  <c r="L201" i="25" s="1"/>
  <c r="L189" i="25" a="1"/>
  <c r="L189" i="25" s="1"/>
  <c r="L173" i="25" a="1"/>
  <c r="L173" i="25" s="1"/>
  <c r="L169" i="25" a="1"/>
  <c r="L169" i="25" s="1"/>
  <c r="L284" i="25" a="1"/>
  <c r="L284" i="25" s="1"/>
  <c r="L297" i="25" a="1"/>
  <c r="L297" i="25" s="1"/>
  <c r="L249" i="25" a="1"/>
  <c r="L249" i="25" s="1"/>
  <c r="L233" i="25" a="1"/>
  <c r="L233" i="25" s="1"/>
  <c r="L285" i="25" a="1"/>
  <c r="L285" i="25" s="1"/>
  <c r="L277" i="25" a="1"/>
  <c r="L277" i="25" s="1"/>
  <c r="L265" i="25" a="1"/>
  <c r="L265" i="25" s="1"/>
  <c r="L253" i="25" a="1"/>
  <c r="L253" i="25" s="1"/>
  <c r="L237" i="25" a="1"/>
  <c r="L237" i="25" s="1"/>
  <c r="L225" i="25" a="1"/>
  <c r="L225" i="25" s="1"/>
  <c r="L209" i="25" a="1"/>
  <c r="L209" i="25" s="1"/>
  <c r="L181" i="25" a="1"/>
  <c r="L181" i="25" s="1"/>
  <c r="L105" i="25" a="1"/>
  <c r="L105" i="25" s="1"/>
  <c r="L289" i="25" a="1"/>
  <c r="L289" i="25" s="1"/>
  <c r="L269" i="25" a="1"/>
  <c r="L269" i="25" s="1"/>
  <c r="L257" i="25" a="1"/>
  <c r="L257" i="25" s="1"/>
  <c r="L241" i="25" a="1"/>
  <c r="L241" i="25" s="1"/>
  <c r="L229" i="25" a="1"/>
  <c r="L229" i="25" s="1"/>
  <c r="L213" i="25" a="1"/>
  <c r="L213" i="25" s="1"/>
  <c r="L221" i="25" a="1"/>
  <c r="L221" i="25" s="1"/>
  <c r="L157" i="25" a="1"/>
  <c r="L157" i="25" s="1"/>
  <c r="L141" i="25" a="1"/>
  <c r="L141" i="25" s="1"/>
  <c r="L117" i="25" a="1"/>
  <c r="L117" i="25" s="1"/>
  <c r="L101" i="25" a="1"/>
  <c r="L101" i="25" s="1"/>
  <c r="L85" i="25" a="1"/>
  <c r="L85" i="25" s="1"/>
  <c r="L69" i="25" a="1"/>
  <c r="L69" i="25" s="1"/>
  <c r="L61" i="25" a="1"/>
  <c r="L61" i="25" s="1"/>
  <c r="L45" i="25" a="1"/>
  <c r="L45" i="25" s="1"/>
  <c r="L29" i="25" a="1"/>
  <c r="L29" i="25" s="1"/>
  <c r="L13" i="25" a="1"/>
  <c r="L13" i="25" s="1"/>
  <c r="L268" i="25" a="1"/>
  <c r="L268" i="25" s="1"/>
  <c r="L244" i="25" a="1"/>
  <c r="L244" i="25" s="1"/>
  <c r="L212" i="25" a="1"/>
  <c r="L212" i="25" s="1"/>
  <c r="L200" i="25" a="1"/>
  <c r="L200" i="25" s="1"/>
  <c r="L180" i="25" a="1"/>
  <c r="L180" i="25" s="1"/>
  <c r="L168" i="25" a="1"/>
  <c r="L168" i="25" s="1"/>
  <c r="L164" i="25" a="1"/>
  <c r="L164" i="25" s="1"/>
  <c r="L160" i="25" a="1"/>
  <c r="L160" i="25" s="1"/>
  <c r="L136" i="25" a="1"/>
  <c r="L136" i="25" s="1"/>
  <c r="L132" i="25" a="1"/>
  <c r="L132" i="25" s="1"/>
  <c r="L128" i="25" a="1"/>
  <c r="L128" i="25" s="1"/>
  <c r="L104" i="25" a="1"/>
  <c r="L104" i="25" s="1"/>
  <c r="L100" i="25" a="1"/>
  <c r="L100" i="25" s="1"/>
  <c r="L96" i="25" a="1"/>
  <c r="L96" i="25" s="1"/>
  <c r="L72" i="25" a="1"/>
  <c r="L72" i="25" s="1"/>
  <c r="L68" i="25" a="1"/>
  <c r="L68" i="25" s="1"/>
  <c r="L64" i="25" a="1"/>
  <c r="L64" i="25" s="1"/>
  <c r="L40" i="25" a="1"/>
  <c r="L40" i="25" s="1"/>
  <c r="L36" i="25" a="1"/>
  <c r="L36" i="25" s="1"/>
  <c r="L32" i="25" a="1"/>
  <c r="L32" i="25" s="1"/>
  <c r="L8" i="25" a="1"/>
  <c r="L8" i="25" s="1"/>
  <c r="L4" i="25" a="1"/>
  <c r="L4" i="25" s="1"/>
  <c r="L295" i="25" a="1"/>
  <c r="L295" i="25" s="1"/>
  <c r="L279" i="25" a="1"/>
  <c r="L279" i="25" s="1"/>
  <c r="L263" i="25" a="1"/>
  <c r="L263" i="25" s="1"/>
  <c r="L247" i="25" a="1"/>
  <c r="L247" i="25" s="1"/>
  <c r="L231" i="25" a="1"/>
  <c r="L231" i="25" s="1"/>
  <c r="L215" i="25" a="1"/>
  <c r="L215" i="25" s="1"/>
  <c r="L199" i="25" a="1"/>
  <c r="L199" i="25" s="1"/>
  <c r="L183" i="25" a="1"/>
  <c r="L183" i="25" s="1"/>
  <c r="L161" i="25" a="1"/>
  <c r="L161" i="25" s="1"/>
  <c r="L145" i="25" a="1"/>
  <c r="L145" i="25" s="1"/>
  <c r="L121" i="25" a="1"/>
  <c r="L121" i="25" s="1"/>
  <c r="L89" i="25" a="1"/>
  <c r="L89" i="25" s="1"/>
  <c r="L73" i="25" a="1"/>
  <c r="L73" i="25" s="1"/>
  <c r="L65" i="25" a="1"/>
  <c r="L65" i="25" s="1"/>
  <c r="L49" i="25" a="1"/>
  <c r="L49" i="25" s="1"/>
  <c r="L33" i="25" a="1"/>
  <c r="L33" i="25" s="1"/>
  <c r="L17" i="25" a="1"/>
  <c r="L17" i="25" s="1"/>
  <c r="L296" i="25" a="1"/>
  <c r="L296" i="25" s="1"/>
  <c r="L272" i="25" a="1"/>
  <c r="L272" i="25" s="1"/>
  <c r="L256" i="25" a="1"/>
  <c r="L256" i="25" s="1"/>
  <c r="L248" i="25" a="1"/>
  <c r="L248" i="25" s="1"/>
  <c r="L224" i="25" a="1"/>
  <c r="L224" i="25" s="1"/>
  <c r="L192" i="25" a="1"/>
  <c r="L192" i="25" s="1"/>
  <c r="L283" i="25" a="1"/>
  <c r="L283" i="25" s="1"/>
  <c r="L267" i="25" a="1"/>
  <c r="L267" i="25" s="1"/>
  <c r="L251" i="25" a="1"/>
  <c r="L251" i="25" s="1"/>
  <c r="L235" i="25" a="1"/>
  <c r="L235" i="25" s="1"/>
  <c r="L219" i="25" a="1"/>
  <c r="L219" i="25" s="1"/>
  <c r="L203" i="25" a="1"/>
  <c r="L203" i="25" s="1"/>
  <c r="L187" i="25" a="1"/>
  <c r="L187" i="25" s="1"/>
  <c r="L171" i="25" a="1"/>
  <c r="L171" i="25" s="1"/>
  <c r="L167" i="25" a="1"/>
  <c r="L167" i="25" s="1"/>
  <c r="L163" i="25" a="1"/>
  <c r="L163" i="25" s="1"/>
  <c r="L159" i="25" a="1"/>
  <c r="L159" i="25" s="1"/>
  <c r="L155" i="25" a="1"/>
  <c r="L155" i="25" s="1"/>
  <c r="L151" i="25" a="1"/>
  <c r="L151" i="25" s="1"/>
  <c r="L147" i="25" a="1"/>
  <c r="L147" i="25" s="1"/>
  <c r="L139" i="25" a="1"/>
  <c r="L139" i="25" s="1"/>
  <c r="L135" i="25" a="1"/>
  <c r="L135" i="25" s="1"/>
  <c r="L131" i="25" a="1"/>
  <c r="L131" i="25" s="1"/>
  <c r="L127" i="25" a="1"/>
  <c r="L127" i="25" s="1"/>
  <c r="L123" i="25" a="1"/>
  <c r="L123" i="25" s="1"/>
  <c r="L119" i="25" a="1"/>
  <c r="L119" i="25" s="1"/>
  <c r="L115" i="25" a="1"/>
  <c r="L115" i="25" s="1"/>
  <c r="L111" i="25" a="1"/>
  <c r="L111" i="25" s="1"/>
  <c r="L107" i="25" a="1"/>
  <c r="L107" i="25" s="1"/>
  <c r="L103" i="25" a="1"/>
  <c r="L103" i="25" s="1"/>
  <c r="L99" i="25" a="1"/>
  <c r="L99" i="25" s="1"/>
  <c r="L95" i="25" a="1"/>
  <c r="L95" i="25" s="1"/>
  <c r="L91" i="25" a="1"/>
  <c r="L91" i="25" s="1"/>
  <c r="L87" i="25" a="1"/>
  <c r="L87" i="25" s="1"/>
  <c r="L83" i="25" a="1"/>
  <c r="L83" i="25" s="1"/>
  <c r="L205" i="25" a="1"/>
  <c r="L205" i="25" s="1"/>
  <c r="L165" i="25" a="1"/>
  <c r="L165" i="25" s="1"/>
  <c r="L149" i="25" a="1"/>
  <c r="L149" i="25" s="1"/>
  <c r="L133" i="25" a="1"/>
  <c r="L133" i="25" s="1"/>
  <c r="L125" i="25" a="1"/>
  <c r="L125" i="25" s="1"/>
  <c r="L109" i="25" a="1"/>
  <c r="L109" i="25" s="1"/>
  <c r="L93" i="25" a="1"/>
  <c r="L93" i="25" s="1"/>
  <c r="L77" i="25" a="1"/>
  <c r="L77" i="25" s="1"/>
  <c r="L53" i="25" a="1"/>
  <c r="L53" i="25" s="1"/>
  <c r="L37" i="25" a="1"/>
  <c r="L37" i="25" s="1"/>
  <c r="L21" i="25" a="1"/>
  <c r="L21" i="25" s="1"/>
  <c r="L5" i="25" a="1"/>
  <c r="L5" i="25" s="1"/>
  <c r="L288" i="25" a="1"/>
  <c r="L288" i="25" s="1"/>
  <c r="L276" i="25" a="1"/>
  <c r="L276" i="25" s="1"/>
  <c r="L260" i="25" a="1"/>
  <c r="L260" i="25" s="1"/>
  <c r="L228" i="25" a="1"/>
  <c r="L228" i="25" s="1"/>
  <c r="L216" i="25" a="1"/>
  <c r="L216" i="25" s="1"/>
  <c r="L196" i="25" a="1"/>
  <c r="L196" i="25" s="1"/>
  <c r="L184" i="25" a="1"/>
  <c r="L184" i="25" s="1"/>
  <c r="L152" i="25" a="1"/>
  <c r="L152" i="25" s="1"/>
  <c r="L148" i="25" a="1"/>
  <c r="L148" i="25" s="1"/>
  <c r="L144" i="25" a="1"/>
  <c r="L144" i="25" s="1"/>
  <c r="L120" i="25" a="1"/>
  <c r="L120" i="25" s="1"/>
  <c r="L116" i="25" a="1"/>
  <c r="L116" i="25" s="1"/>
  <c r="L112" i="25" a="1"/>
  <c r="L112" i="25" s="1"/>
  <c r="L88" i="25" a="1"/>
  <c r="L88" i="25" s="1"/>
  <c r="L84" i="25" a="1"/>
  <c r="L84" i="25" s="1"/>
  <c r="L80" i="25" a="1"/>
  <c r="L80" i="25" s="1"/>
  <c r="L56" i="25" a="1"/>
  <c r="L56" i="25" s="1"/>
  <c r="L52" i="25" a="1"/>
  <c r="L52" i="25" s="1"/>
  <c r="L48" i="25" a="1"/>
  <c r="L48" i="25" s="1"/>
  <c r="L24" i="25" a="1"/>
  <c r="L24" i="25" s="1"/>
  <c r="L20" i="25" a="1"/>
  <c r="L20" i="25" s="1"/>
  <c r="L16" i="25" a="1"/>
  <c r="L16" i="25" s="1"/>
  <c r="L287" i="25" a="1"/>
  <c r="L287" i="25" s="1"/>
  <c r="L271" i="25" a="1"/>
  <c r="L271" i="25" s="1"/>
  <c r="L255" i="25" a="1"/>
  <c r="L255" i="25" s="1"/>
  <c r="L239" i="25" a="1"/>
  <c r="L239" i="25" s="1"/>
  <c r="L223" i="25" a="1"/>
  <c r="L223" i="25" s="1"/>
  <c r="L207" i="25" a="1"/>
  <c r="L207" i="25" s="1"/>
  <c r="L191" i="25" a="1"/>
  <c r="L191" i="25" s="1"/>
  <c r="L175" i="25" a="1"/>
  <c r="L175" i="25" s="1"/>
  <c r="L143" i="25" a="1"/>
  <c r="L143" i="25" s="1"/>
  <c r="L79" i="25" a="1"/>
  <c r="L79" i="25" s="1"/>
  <c r="L193" i="25" a="1"/>
  <c r="L193" i="25" s="1"/>
  <c r="L185" i="25" a="1"/>
  <c r="L185" i="25" s="1"/>
  <c r="L177" i="25" a="1"/>
  <c r="L177" i="25" s="1"/>
  <c r="L153" i="25" a="1"/>
  <c r="L153" i="25" s="1"/>
  <c r="L137" i="25" a="1"/>
  <c r="L137" i="25" s="1"/>
  <c r="L129" i="25" a="1"/>
  <c r="L129" i="25" s="1"/>
  <c r="L113" i="25" a="1"/>
  <c r="L113" i="25" s="1"/>
  <c r="L97" i="25" a="1"/>
  <c r="L97" i="25" s="1"/>
  <c r="L81" i="25" a="1"/>
  <c r="L81" i="25" s="1"/>
  <c r="L57" i="25" a="1"/>
  <c r="L57" i="25" s="1"/>
  <c r="L41" i="25" a="1"/>
  <c r="L41" i="25" s="1"/>
  <c r="L25" i="25" a="1"/>
  <c r="L25" i="25" s="1"/>
  <c r="L9" i="25" a="1"/>
  <c r="L9" i="25" s="1"/>
  <c r="L292" i="25" a="1"/>
  <c r="L292" i="25" s="1"/>
  <c r="L280" i="25" a="1"/>
  <c r="L280" i="25" s="1"/>
  <c r="L264" i="25" a="1"/>
  <c r="L264" i="25" s="1"/>
  <c r="L240" i="25" a="1"/>
  <c r="L240" i="25" s="1"/>
  <c r="L232" i="25" a="1"/>
  <c r="L232" i="25" s="1"/>
  <c r="L208" i="25" a="1"/>
  <c r="L208" i="25" s="1"/>
  <c r="L176" i="25" a="1"/>
  <c r="L176" i="25" s="1"/>
  <c r="L291" i="25" a="1"/>
  <c r="L291" i="25" s="1"/>
  <c r="L275" i="25" a="1"/>
  <c r="L275" i="25" s="1"/>
  <c r="L259" i="25" a="1"/>
  <c r="L259" i="25" s="1"/>
  <c r="L243" i="25" a="1"/>
  <c r="L243" i="25" s="1"/>
  <c r="L227" i="25" a="1"/>
  <c r="L227" i="25" s="1"/>
  <c r="L211" i="25" a="1"/>
  <c r="L211" i="25" s="1"/>
  <c r="L195" i="25" a="1"/>
  <c r="L195" i="25" s="1"/>
  <c r="L179" i="25" a="1"/>
  <c r="L179" i="25" s="1"/>
  <c r="L6" i="25" a="1"/>
  <c r="L6" i="25" s="1"/>
  <c r="L10" i="25" a="1"/>
  <c r="L10" i="25" s="1"/>
  <c r="L14" i="25" a="1"/>
  <c r="L14" i="25" s="1"/>
  <c r="L18" i="25" a="1"/>
  <c r="L18" i="25" s="1"/>
  <c r="L22" i="25" a="1"/>
  <c r="L22" i="25" s="1"/>
  <c r="L26" i="25" a="1"/>
  <c r="L26" i="25" s="1"/>
  <c r="L30" i="25" a="1"/>
  <c r="L30" i="25" s="1"/>
  <c r="L34" i="25" a="1"/>
  <c r="L34" i="25" s="1"/>
  <c r="L38" i="25" a="1"/>
  <c r="L38" i="25" s="1"/>
  <c r="L42" i="25" a="1"/>
  <c r="L42" i="25" s="1"/>
  <c r="L46" i="25" a="1"/>
  <c r="L46" i="25" s="1"/>
  <c r="L50" i="25" a="1"/>
  <c r="L50" i="25" s="1"/>
  <c r="K54" i="25" a="1"/>
  <c r="K54" i="25" s="1"/>
  <c r="L58" i="25" a="1"/>
  <c r="L58" i="25" s="1"/>
  <c r="L62" i="25" a="1"/>
  <c r="L62" i="25" s="1"/>
  <c r="L66" i="25" a="1"/>
  <c r="L66" i="25" s="1"/>
  <c r="L70" i="25" a="1"/>
  <c r="L70" i="25" s="1"/>
  <c r="L74" i="25" a="1"/>
  <c r="L74" i="25" s="1"/>
  <c r="L78" i="25" a="1"/>
  <c r="L78" i="25" s="1"/>
  <c r="L82" i="25" a="1"/>
  <c r="L82" i="25" s="1"/>
  <c r="L86" i="25" a="1"/>
  <c r="L86" i="25" s="1"/>
  <c r="L90" i="25" a="1"/>
  <c r="L90" i="25" s="1"/>
  <c r="L94" i="25" a="1"/>
  <c r="L94" i="25" s="1"/>
  <c r="L98" i="25" a="1"/>
  <c r="L98" i="25" s="1"/>
  <c r="L102" i="25" a="1"/>
  <c r="L102" i="25" s="1"/>
  <c r="L106" i="25" a="1"/>
  <c r="L106" i="25" s="1"/>
  <c r="L110" i="25" a="1"/>
  <c r="L110" i="25" s="1"/>
  <c r="L114" i="25" a="1"/>
  <c r="L114" i="25" s="1"/>
  <c r="K118" i="25" a="1"/>
  <c r="K118" i="25" s="1"/>
  <c r="L122" i="25" a="1"/>
  <c r="L122" i="25" s="1"/>
  <c r="L126" i="25" a="1"/>
  <c r="L126" i="25" s="1"/>
  <c r="L130" i="25" a="1"/>
  <c r="L130" i="25" s="1"/>
  <c r="L134" i="25" a="1"/>
  <c r="L134" i="25" s="1"/>
  <c r="L138" i="25" a="1"/>
  <c r="L138" i="25" s="1"/>
  <c r="L142" i="25" a="1"/>
  <c r="L142" i="25" s="1"/>
  <c r="L146" i="25" a="1"/>
  <c r="L146" i="25" s="1"/>
  <c r="L150" i="25" a="1"/>
  <c r="L150" i="25" s="1"/>
  <c r="L154" i="25" a="1"/>
  <c r="L154" i="25" s="1"/>
  <c r="L158" i="25" a="1"/>
  <c r="L158" i="25" s="1"/>
  <c r="L162" i="25" a="1"/>
  <c r="L162" i="25" s="1"/>
  <c r="L166" i="25" a="1"/>
  <c r="L166" i="25" s="1"/>
  <c r="L170" i="25" a="1"/>
  <c r="L170" i="25" s="1"/>
  <c r="K182" i="25" a="1"/>
  <c r="K182" i="25" s="1"/>
  <c r="L186" i="25" a="1"/>
  <c r="L186" i="25" s="1"/>
  <c r="K198" i="25" a="1"/>
  <c r="K198" i="25" s="1"/>
  <c r="L202" i="25" a="1"/>
  <c r="L202" i="25" s="1"/>
  <c r="K214" i="25" a="1"/>
  <c r="K214" i="25" s="1"/>
  <c r="L218" i="25" a="1"/>
  <c r="L218" i="25" s="1"/>
  <c r="K230" i="25" a="1"/>
  <c r="K230" i="25" s="1"/>
  <c r="L234" i="25" a="1"/>
  <c r="L234" i="25" s="1"/>
  <c r="K246" i="25" a="1"/>
  <c r="K246" i="25" s="1"/>
  <c r="L250" i="25" a="1"/>
  <c r="L250" i="25" s="1"/>
  <c r="K262" i="25" a="1"/>
  <c r="K262" i="25" s="1"/>
  <c r="L266" i="25" a="1"/>
  <c r="L266" i="25" s="1"/>
  <c r="K278" i="25" a="1"/>
  <c r="K278" i="25" s="1"/>
  <c r="L282" i="25" a="1"/>
  <c r="L282" i="25" s="1"/>
  <c r="K294" i="25" a="1"/>
  <c r="K294" i="25" s="1"/>
  <c r="L298" i="25" a="1"/>
  <c r="L298" i="25" s="1"/>
  <c r="L63" i="25" a="1"/>
  <c r="L63" i="25" s="1"/>
  <c r="K178" i="25" a="1"/>
  <c r="K178" i="25" s="1"/>
  <c r="L182" i="25" a="1"/>
  <c r="L182" i="25" s="1"/>
  <c r="K194" i="25" a="1"/>
  <c r="K194" i="25" s="1"/>
  <c r="L198" i="25" a="1"/>
  <c r="L198" i="25" s="1"/>
  <c r="K210" i="25" a="1"/>
  <c r="K210" i="25" s="1"/>
  <c r="L214" i="25" a="1"/>
  <c r="L214" i="25" s="1"/>
  <c r="K226" i="25" a="1"/>
  <c r="K226" i="25" s="1"/>
  <c r="L230" i="25" a="1"/>
  <c r="L230" i="25" s="1"/>
  <c r="K242" i="25" a="1"/>
  <c r="K242" i="25" s="1"/>
  <c r="L246" i="25" a="1"/>
  <c r="L246" i="25" s="1"/>
  <c r="K258" i="25" a="1"/>
  <c r="K258" i="25" s="1"/>
  <c r="L262" i="25" a="1"/>
  <c r="L262" i="25" s="1"/>
  <c r="K274" i="25" a="1"/>
  <c r="K274" i="25" s="1"/>
  <c r="L278" i="25" a="1"/>
  <c r="L278" i="25" s="1"/>
  <c r="K290" i="25" a="1"/>
  <c r="K290" i="25" s="1"/>
  <c r="L294" i="25" a="1"/>
  <c r="L294" i="25" s="1"/>
  <c r="K3" i="25" a="1"/>
  <c r="K3" i="25" s="1"/>
  <c r="K7" i="25" a="1"/>
  <c r="K7" i="25" s="1"/>
  <c r="K11" i="25" a="1"/>
  <c r="K11" i="25" s="1"/>
  <c r="K15" i="25" a="1"/>
  <c r="K15" i="25" s="1"/>
  <c r="K19" i="25" a="1"/>
  <c r="K19" i="25" s="1"/>
  <c r="K23" i="25" a="1"/>
  <c r="K23" i="25" s="1"/>
  <c r="K27" i="25" a="1"/>
  <c r="K27" i="25" s="1"/>
  <c r="K31" i="25" a="1"/>
  <c r="K31" i="25" s="1"/>
  <c r="K35" i="25" a="1"/>
  <c r="K35" i="25" s="1"/>
  <c r="K39" i="25" a="1"/>
  <c r="K39" i="25" s="1"/>
  <c r="K43" i="25" a="1"/>
  <c r="K43" i="25" s="1"/>
  <c r="K47" i="25" a="1"/>
  <c r="K47" i="25" s="1"/>
  <c r="K51" i="25" a="1"/>
  <c r="K51" i="25" s="1"/>
  <c r="K55" i="25" a="1"/>
  <c r="K55" i="25" s="1"/>
  <c r="L59" i="25" a="1"/>
  <c r="L59" i="25" s="1"/>
  <c r="L75" i="25" a="1"/>
  <c r="L75" i="25" s="1"/>
  <c r="G10" i="25"/>
  <c r="G26" i="25"/>
  <c r="G42" i="25"/>
  <c r="G58" i="25"/>
  <c r="G74" i="25"/>
  <c r="G90" i="25"/>
  <c r="G106" i="25"/>
  <c r="G122" i="25"/>
  <c r="G234" i="25"/>
  <c r="G153" i="25"/>
  <c r="G219" i="25"/>
  <c r="G113" i="25"/>
  <c r="L300" i="25" a="1"/>
  <c r="L300" i="25" s="1"/>
  <c r="I197" i="25" a="1"/>
  <c r="I197" i="25" s="1"/>
  <c r="I225" i="25" a="1"/>
  <c r="I225" i="25" s="1"/>
  <c r="I285" i="25" a="1"/>
  <c r="I285" i="25" s="1"/>
  <c r="G8" i="25"/>
  <c r="G24" i="25"/>
  <c r="G40" i="25"/>
  <c r="G56" i="25"/>
  <c r="G120" i="25"/>
  <c r="G136" i="25"/>
  <c r="G152" i="25"/>
  <c r="G168" i="25"/>
  <c r="G184" i="25"/>
  <c r="G200" i="25"/>
  <c r="G216" i="25"/>
  <c r="G232" i="25"/>
  <c r="G248" i="25"/>
  <c r="G264" i="25"/>
  <c r="G53" i="25"/>
  <c r="G233" i="25"/>
  <c r="G41" i="25"/>
  <c r="G89" i="25"/>
  <c r="G210" i="25"/>
  <c r="G258" i="25"/>
  <c r="G274" i="25"/>
  <c r="G290" i="25"/>
  <c r="G185" i="25"/>
  <c r="G91" i="25"/>
  <c r="G147" i="25"/>
  <c r="G179" i="25"/>
  <c r="G293" i="25"/>
  <c r="G217" i="25"/>
  <c r="G157" i="25"/>
  <c r="G15" i="25"/>
  <c r="G241" i="25"/>
  <c r="G177" i="25"/>
  <c r="G145" i="25"/>
  <c r="G288" i="25"/>
  <c r="G47" i="25"/>
  <c r="H300" i="25" a="1"/>
  <c r="H300" i="25" s="1"/>
  <c r="A2" i="25"/>
  <c r="B10" i="12" s="1"/>
  <c r="C10" i="12" s="1"/>
  <c r="B300" i="25" a="1"/>
  <c r="B300" i="25" s="1"/>
  <c r="G268" i="25"/>
  <c r="K12" i="25" a="1"/>
  <c r="K12" i="25" s="1"/>
  <c r="K28" i="25" a="1"/>
  <c r="K28" i="25" s="1"/>
  <c r="K44" i="25" a="1"/>
  <c r="K44" i="25" s="1"/>
  <c r="K60" i="25" a="1"/>
  <c r="K60" i="25" s="1"/>
  <c r="K76" i="25" a="1"/>
  <c r="K76" i="25" s="1"/>
  <c r="L92" i="25" a="1"/>
  <c r="L92" i="25" s="1"/>
  <c r="K108" i="25" a="1"/>
  <c r="K108" i="25" s="1"/>
  <c r="K124" i="25" a="1"/>
  <c r="K124" i="25" s="1"/>
  <c r="K140" i="25" a="1"/>
  <c r="K140" i="25" s="1"/>
  <c r="L156" i="25" a="1"/>
  <c r="L156" i="25" s="1"/>
  <c r="K172" i="25" a="1"/>
  <c r="K172" i="25" s="1"/>
  <c r="K188" i="25" a="1"/>
  <c r="K188" i="25" s="1"/>
  <c r="K204" i="25" a="1"/>
  <c r="K204" i="25" s="1"/>
  <c r="K220" i="25" a="1"/>
  <c r="K220" i="25" s="1"/>
  <c r="K236" i="25" a="1"/>
  <c r="K236" i="25" s="1"/>
  <c r="K252" i="25" a="1"/>
  <c r="K252" i="25" s="1"/>
  <c r="H69" i="25" a="1"/>
  <c r="H69" i="25" s="1"/>
  <c r="H133" i="25" a="1"/>
  <c r="H133" i="25" s="1"/>
  <c r="L197" i="25" a="1"/>
  <c r="L197" i="25" s="1"/>
  <c r="K281" i="25" a="1"/>
  <c r="K281" i="25" s="1"/>
  <c r="G292" i="25"/>
  <c r="K299" i="25" a="1"/>
  <c r="K299" i="25" s="1"/>
  <c r="L12" i="25" a="1"/>
  <c r="L12" i="25" s="1"/>
  <c r="L28" i="25" a="1"/>
  <c r="L28" i="25" s="1"/>
  <c r="L44" i="25" a="1"/>
  <c r="L44" i="25" s="1"/>
  <c r="L60" i="25" a="1"/>
  <c r="L60" i="25" s="1"/>
  <c r="L76" i="25" a="1"/>
  <c r="L76" i="25" s="1"/>
  <c r="K92" i="25" a="1"/>
  <c r="K92" i="25" s="1"/>
  <c r="L108" i="25" a="1"/>
  <c r="L108" i="25" s="1"/>
  <c r="L124" i="25" a="1"/>
  <c r="L124" i="25" s="1"/>
  <c r="L140" i="25" a="1"/>
  <c r="L140" i="25" s="1"/>
  <c r="K156" i="25" a="1"/>
  <c r="K156" i="25" s="1"/>
  <c r="L172" i="25" a="1"/>
  <c r="L172" i="25" s="1"/>
  <c r="L188" i="25" a="1"/>
  <c r="L188" i="25" s="1"/>
  <c r="L204" i="25" a="1"/>
  <c r="L204" i="25" s="1"/>
  <c r="L220" i="25" a="1"/>
  <c r="L220" i="25" s="1"/>
  <c r="L236" i="25" a="1"/>
  <c r="L236" i="25" s="1"/>
  <c r="L252" i="25" a="1"/>
  <c r="L252" i="25" s="1"/>
  <c r="I133" i="25" a="1"/>
  <c r="I133" i="25" s="1"/>
  <c r="L281" i="25" a="1"/>
  <c r="L281" i="25" s="1"/>
  <c r="B62" i="12"/>
  <c r="C62" i="12" s="1"/>
  <c r="E2" i="25"/>
  <c r="B116" i="12"/>
  <c r="C116" i="12" s="1"/>
  <c r="B86" i="12"/>
  <c r="C86" i="12" s="1"/>
  <c r="B202" i="12"/>
  <c r="C202" i="12" s="1"/>
  <c r="B283" i="12"/>
  <c r="C283" i="12" s="1"/>
  <c r="B186" i="12"/>
  <c r="C186" i="12" s="1"/>
  <c r="G300" i="25"/>
  <c r="I233" i="25" a="1"/>
  <c r="I233" i="25" s="1"/>
  <c r="L273" i="25" a="1"/>
  <c r="L273" i="25" s="1"/>
  <c r="G296" i="25"/>
  <c r="G67" i="25"/>
  <c r="G276" i="25"/>
  <c r="G7" i="25"/>
  <c r="G280" i="25"/>
  <c r="H299" i="25" a="1"/>
  <c r="H299" i="25" s="1"/>
  <c r="G64" i="25"/>
  <c r="G112" i="25"/>
  <c r="G57" i="25"/>
  <c r="G79" i="25"/>
  <c r="G121" i="25"/>
  <c r="G250" i="25"/>
  <c r="G137" i="25"/>
  <c r="G201" i="25"/>
  <c r="G75" i="25"/>
  <c r="G135" i="25"/>
  <c r="G167" i="25"/>
  <c r="G199" i="25"/>
  <c r="G247" i="25"/>
  <c r="G263" i="25"/>
  <c r="G193" i="25"/>
  <c r="G295" i="25"/>
  <c r="G287" i="25"/>
  <c r="G299" i="25"/>
  <c r="G4" i="25"/>
  <c r="G20" i="25"/>
  <c r="G36" i="25"/>
  <c r="G52" i="25"/>
  <c r="G68" i="25"/>
  <c r="G180" i="25"/>
  <c r="G265" i="25"/>
  <c r="G105" i="25"/>
  <c r="G270" i="25"/>
  <c r="G286" i="25"/>
  <c r="G291" i="25"/>
  <c r="G139" i="25"/>
  <c r="G171" i="25"/>
  <c r="G203" i="25"/>
  <c r="G119" i="25"/>
  <c r="G87" i="25"/>
  <c r="G55" i="25"/>
  <c r="G23" i="25"/>
  <c r="G97" i="25"/>
  <c r="L299" i="25" a="1"/>
  <c r="L299" i="25" s="1"/>
  <c r="G212" i="25"/>
  <c r="G116" i="25"/>
  <c r="G297" i="25"/>
  <c r="G35" i="25"/>
  <c r="G143" i="25"/>
  <c r="G175" i="25"/>
  <c r="G207" i="25"/>
  <c r="G223" i="25"/>
  <c r="G109" i="25"/>
  <c r="G161" i="25"/>
  <c r="G129" i="25"/>
  <c r="G65" i="25"/>
  <c r="G18" i="25"/>
  <c r="G34" i="25"/>
  <c r="G50" i="25"/>
  <c r="G66" i="25"/>
  <c r="G82" i="25"/>
  <c r="G98" i="25"/>
  <c r="G114" i="25"/>
  <c r="G9" i="25"/>
  <c r="G242" i="25"/>
  <c r="G131" i="25"/>
  <c r="G163" i="25"/>
  <c r="G195" i="25"/>
  <c r="G284" i="25"/>
  <c r="G16" i="25"/>
  <c r="G32" i="25"/>
  <c r="G48" i="25"/>
  <c r="G96" i="25"/>
  <c r="G266" i="25"/>
  <c r="G282" i="25"/>
  <c r="G298" i="25"/>
  <c r="G235" i="25"/>
  <c r="G267" i="25"/>
  <c r="G13" i="25"/>
  <c r="G31" i="25"/>
  <c r="G279" i="25"/>
  <c r="G101" i="25"/>
  <c r="G37" i="25"/>
  <c r="G5" i="25"/>
  <c r="G182" i="25"/>
  <c r="G222" i="25"/>
  <c r="G254" i="25"/>
  <c r="G85" i="25"/>
  <c r="G255" i="25"/>
  <c r="G138" i="25"/>
  <c r="G154" i="25"/>
  <c r="G170" i="25"/>
  <c r="G186" i="25"/>
  <c r="G202" i="25"/>
  <c r="G69" i="25"/>
  <c r="G211" i="25"/>
  <c r="G227" i="25"/>
  <c r="G243" i="25"/>
  <c r="G259" i="25"/>
  <c r="G275" i="25"/>
  <c r="G21" i="25"/>
  <c r="G117" i="25"/>
  <c r="G151" i="25"/>
  <c r="G183" i="25"/>
  <c r="G178" i="25"/>
  <c r="G174" i="25"/>
  <c r="B252" i="12" l="1"/>
  <c r="C252" i="12" s="1"/>
  <c r="B121" i="12"/>
  <c r="C121" i="12" s="1"/>
  <c r="B37" i="12"/>
  <c r="C37" i="12" s="1"/>
  <c r="B256" i="12"/>
  <c r="C256" i="12" s="1"/>
  <c r="L2" i="26" a="1"/>
  <c r="L2" i="26" s="1"/>
  <c r="B236" i="12"/>
  <c r="C236" i="12" s="1"/>
  <c r="B90" i="12"/>
  <c r="C90" i="12" s="1"/>
  <c r="B41" i="12"/>
  <c r="C41" i="12" s="1"/>
  <c r="B132" i="12"/>
  <c r="C132" i="12" s="1"/>
  <c r="B199" i="12"/>
  <c r="C199" i="12" s="1"/>
  <c r="B293" i="12"/>
  <c r="C293" i="12" s="1"/>
  <c r="B301" i="12"/>
  <c r="C301" i="12" s="1"/>
  <c r="B140" i="12"/>
  <c r="C140" i="12" s="1"/>
  <c r="B280" i="12"/>
  <c r="C280" i="12" s="1"/>
  <c r="B221" i="12"/>
  <c r="C221" i="12" s="1"/>
  <c r="B148" i="12"/>
  <c r="C148" i="12" s="1"/>
  <c r="H301" i="25" a="1"/>
  <c r="H301" i="25" s="1"/>
  <c r="L301" i="25" a="1"/>
  <c r="L301" i="25" s="1"/>
  <c r="G301" i="25"/>
  <c r="B275" i="12"/>
  <c r="C275" i="12" s="1"/>
  <c r="B297" i="12"/>
  <c r="C297" i="12" s="1"/>
  <c r="B6" i="12"/>
  <c r="C6" i="12" s="1"/>
  <c r="B172" i="12"/>
  <c r="C172" i="12" s="1"/>
  <c r="B262" i="12"/>
  <c r="C262" i="12" s="1"/>
  <c r="B213" i="12"/>
  <c r="C213" i="12" s="1"/>
  <c r="B208" i="12"/>
  <c r="C208" i="12" s="1"/>
  <c r="B155" i="12"/>
  <c r="C155" i="12" s="1"/>
  <c r="B247" i="12"/>
  <c r="C247" i="12" s="1"/>
  <c r="B93" i="12"/>
  <c r="C93" i="12" s="1"/>
  <c r="B291" i="12"/>
  <c r="C291" i="12" s="1"/>
  <c r="B223" i="12"/>
  <c r="C223" i="12" s="1"/>
  <c r="B217" i="12"/>
  <c r="C217" i="12" s="1"/>
  <c r="B200" i="12"/>
  <c r="C200" i="12" s="1"/>
  <c r="B127" i="12"/>
  <c r="C127" i="12" s="1"/>
  <c r="B182" i="12"/>
  <c r="C182" i="12" s="1"/>
  <c r="B117" i="12"/>
  <c r="C117" i="12" s="1"/>
  <c r="B251" i="12"/>
  <c r="C251" i="12" s="1"/>
  <c r="B300" i="12"/>
  <c r="C300" i="12" s="1"/>
  <c r="B190" i="12"/>
  <c r="C190" i="12" s="1"/>
  <c r="K7" i="26" a="1"/>
  <c r="K7" i="26" s="1"/>
  <c r="I7" i="26" a="1"/>
  <c r="I7" i="26" s="1"/>
  <c r="H7" i="26" a="1"/>
  <c r="H7" i="26" s="1"/>
  <c r="L7" i="26" a="1"/>
  <c r="L7" i="26" s="1"/>
  <c r="K301" i="25" a="1"/>
  <c r="K301" i="25" s="1"/>
  <c r="Z301" i="25"/>
  <c r="H2" i="26" a="1"/>
  <c r="H2" i="26" s="1"/>
  <c r="I2" i="26" a="1"/>
  <c r="I2" i="26" s="1"/>
  <c r="Z2" i="26"/>
  <c r="Z235" i="25"/>
  <c r="Z295" i="25"/>
  <c r="Z231" i="25"/>
  <c r="Z158" i="25"/>
  <c r="Z30" i="25"/>
  <c r="Z219" i="25"/>
  <c r="Z38" i="25"/>
  <c r="Z243" i="25"/>
  <c r="Z179" i="25"/>
  <c r="Z54" i="25"/>
  <c r="Z239" i="25"/>
  <c r="Z174" i="25"/>
  <c r="Z46" i="25"/>
  <c r="Z298" i="25"/>
  <c r="Z282" i="25"/>
  <c r="Z266" i="25"/>
  <c r="Z250" i="25"/>
  <c r="Z234" i="25"/>
  <c r="Z218" i="25"/>
  <c r="Z202" i="25"/>
  <c r="Z186" i="25"/>
  <c r="Z163" i="25"/>
  <c r="Z131" i="25"/>
  <c r="Z99" i="25"/>
  <c r="Z67" i="25"/>
  <c r="Z35" i="25"/>
  <c r="Z3" i="25"/>
  <c r="Z285" i="25"/>
  <c r="Z269" i="25"/>
  <c r="Z253" i="25"/>
  <c r="Z237" i="25"/>
  <c r="Z221" i="25"/>
  <c r="Z205" i="25"/>
  <c r="Z189" i="25"/>
  <c r="Z170" i="25"/>
  <c r="Z138" i="25"/>
  <c r="Z106" i="25"/>
  <c r="Z74" i="25"/>
  <c r="Z42" i="25"/>
  <c r="Z10" i="25"/>
  <c r="Z292" i="25"/>
  <c r="Z276" i="25"/>
  <c r="Z260" i="25"/>
  <c r="Z244" i="25"/>
  <c r="Z228" i="25"/>
  <c r="Z212" i="25"/>
  <c r="Z196" i="25"/>
  <c r="Z180" i="25"/>
  <c r="Z151" i="25"/>
  <c r="Z119" i="25"/>
  <c r="Z87" i="25"/>
  <c r="Z55" i="25"/>
  <c r="Z23" i="25"/>
  <c r="Z173" i="25"/>
  <c r="Z157" i="25"/>
  <c r="Z141" i="25"/>
  <c r="Z125" i="25"/>
  <c r="Z109" i="25"/>
  <c r="Z93" i="25"/>
  <c r="Z77" i="25"/>
  <c r="Z61" i="25"/>
  <c r="Z45" i="25"/>
  <c r="Z29" i="25"/>
  <c r="Z13" i="25"/>
  <c r="Z164" i="25"/>
  <c r="Z148" i="25"/>
  <c r="Z132" i="25"/>
  <c r="Z116" i="25"/>
  <c r="Z100" i="25"/>
  <c r="Z84" i="25"/>
  <c r="Z68" i="25"/>
  <c r="Z52" i="25"/>
  <c r="Z36" i="25"/>
  <c r="Z20" i="25"/>
  <c r="Z4" i="25"/>
  <c r="Z187" i="25"/>
  <c r="Z279" i="25"/>
  <c r="Z215" i="25"/>
  <c r="Z126" i="25"/>
  <c r="Z203" i="25"/>
  <c r="Z291" i="25"/>
  <c r="Z227" i="25"/>
  <c r="Z150" i="25"/>
  <c r="Z22" i="25"/>
  <c r="Z6" i="25"/>
  <c r="Z287" i="25"/>
  <c r="Z223" i="25"/>
  <c r="Z142" i="25"/>
  <c r="Z14" i="25"/>
  <c r="Z294" i="25"/>
  <c r="Z278" i="25"/>
  <c r="Z262" i="25"/>
  <c r="Z246" i="25"/>
  <c r="Z230" i="25"/>
  <c r="Z214" i="25"/>
  <c r="Z198" i="25"/>
  <c r="Z182" i="25"/>
  <c r="Z155" i="25"/>
  <c r="Z123" i="25"/>
  <c r="Z91" i="25"/>
  <c r="Z59" i="25"/>
  <c r="Z27" i="25"/>
  <c r="Z297" i="25"/>
  <c r="Z281" i="25"/>
  <c r="Z265" i="25"/>
  <c r="Z249" i="25"/>
  <c r="Z233" i="25"/>
  <c r="Z217" i="25"/>
  <c r="Z201" i="25"/>
  <c r="Z185" i="25"/>
  <c r="Z162" i="25"/>
  <c r="Z130" i="25"/>
  <c r="Z98" i="25"/>
  <c r="Z66" i="25"/>
  <c r="Z34" i="25"/>
  <c r="Z288" i="25"/>
  <c r="Z272" i="25"/>
  <c r="Z256" i="25"/>
  <c r="Z240" i="25"/>
  <c r="Z224" i="25"/>
  <c r="Z208" i="25"/>
  <c r="Z192" i="25"/>
  <c r="Z175" i="25"/>
  <c r="Z143" i="25"/>
  <c r="Z111" i="25"/>
  <c r="Z79" i="25"/>
  <c r="Z47" i="25"/>
  <c r="Z15" i="25"/>
  <c r="Z169" i="25"/>
  <c r="Z153" i="25"/>
  <c r="Z137" i="25"/>
  <c r="Z121" i="25"/>
  <c r="Z105" i="25"/>
  <c r="Z89" i="25"/>
  <c r="Z73" i="25"/>
  <c r="Z57" i="25"/>
  <c r="Z41" i="25"/>
  <c r="Z25" i="25"/>
  <c r="Z9" i="25"/>
  <c r="Z176" i="25"/>
  <c r="Z160" i="25"/>
  <c r="Z144" i="25"/>
  <c r="Z128" i="25"/>
  <c r="Z112" i="25"/>
  <c r="Z96" i="25"/>
  <c r="Z80" i="25"/>
  <c r="Z64" i="25"/>
  <c r="Z48" i="25"/>
  <c r="Z32" i="25"/>
  <c r="Z16" i="25"/>
  <c r="Z299" i="25"/>
  <c r="Z134" i="25"/>
  <c r="Z263" i="25"/>
  <c r="Z199" i="25"/>
  <c r="Z94" i="25"/>
  <c r="Z283" i="25"/>
  <c r="Z166" i="25"/>
  <c r="Z275" i="25"/>
  <c r="Z211" i="25"/>
  <c r="Z118" i="25"/>
  <c r="Z271" i="25"/>
  <c r="Z207" i="25"/>
  <c r="Z110" i="25"/>
  <c r="Z290" i="25"/>
  <c r="Z274" i="25"/>
  <c r="Z258" i="25"/>
  <c r="Z242" i="25"/>
  <c r="Z226" i="25"/>
  <c r="Z210" i="25"/>
  <c r="Z194" i="25"/>
  <c r="Z178" i="25"/>
  <c r="Z147" i="25"/>
  <c r="Z115" i="25"/>
  <c r="Z83" i="25"/>
  <c r="Z51" i="25"/>
  <c r="Z19" i="25"/>
  <c r="Z293" i="25"/>
  <c r="Z277" i="25"/>
  <c r="Z261" i="25"/>
  <c r="Z245" i="25"/>
  <c r="Z229" i="25"/>
  <c r="Z213" i="25"/>
  <c r="Z197" i="25"/>
  <c r="Z181" i="25"/>
  <c r="Z154" i="25"/>
  <c r="Z122" i="25"/>
  <c r="Z90" i="25"/>
  <c r="Z58" i="25"/>
  <c r="Z26" i="25"/>
  <c r="Z300" i="25"/>
  <c r="Z284" i="25"/>
  <c r="Z268" i="25"/>
  <c r="Z252" i="25"/>
  <c r="Z236" i="25"/>
  <c r="Z220" i="25"/>
  <c r="Z204" i="25"/>
  <c r="Z188" i="25"/>
  <c r="Z167" i="25"/>
  <c r="Z135" i="25"/>
  <c r="Z103" i="25"/>
  <c r="Z71" i="25"/>
  <c r="Z39" i="25"/>
  <c r="Z7" i="25"/>
  <c r="Z165" i="25"/>
  <c r="Z149" i="25"/>
  <c r="Z133" i="25"/>
  <c r="Z117" i="25"/>
  <c r="Z101" i="25"/>
  <c r="Z85" i="25"/>
  <c r="Z69" i="25"/>
  <c r="Z53" i="25"/>
  <c r="Z37" i="25"/>
  <c r="Z21" i="25"/>
  <c r="Z5" i="25"/>
  <c r="Z172" i="25"/>
  <c r="Z156" i="25"/>
  <c r="Z140" i="25"/>
  <c r="Z124" i="25"/>
  <c r="Z108" i="25"/>
  <c r="Z92" i="25"/>
  <c r="Z76" i="25"/>
  <c r="Z60" i="25"/>
  <c r="Z44" i="25"/>
  <c r="Z28" i="25"/>
  <c r="Z12" i="25"/>
  <c r="I303" i="12" a="1"/>
  <c r="I303" i="12" s="1"/>
  <c r="X2" i="25"/>
  <c r="Y2" i="25"/>
  <c r="U2" i="25"/>
  <c r="R2" i="25"/>
  <c r="Z2" i="25" s="1"/>
  <c r="W2" i="25"/>
  <c r="Z251" i="25"/>
  <c r="Z70" i="25"/>
  <c r="Z247" i="25"/>
  <c r="Z183" i="25"/>
  <c r="Z62" i="25"/>
  <c r="Z267" i="25"/>
  <c r="Z102" i="25"/>
  <c r="Z259" i="25"/>
  <c r="Z195" i="25"/>
  <c r="Z86" i="25"/>
  <c r="Z255" i="25"/>
  <c r="Z191" i="25"/>
  <c r="Z78" i="25"/>
  <c r="Z286" i="25"/>
  <c r="Z270" i="25"/>
  <c r="Z254" i="25"/>
  <c r="Z238" i="25"/>
  <c r="Z222" i="25"/>
  <c r="Z206" i="25"/>
  <c r="Z190" i="25"/>
  <c r="Z171" i="25"/>
  <c r="Z139" i="25"/>
  <c r="Z107" i="25"/>
  <c r="Z75" i="25"/>
  <c r="Z43" i="25"/>
  <c r="Z11" i="25"/>
  <c r="Z289" i="25"/>
  <c r="Z273" i="25"/>
  <c r="Z257" i="25"/>
  <c r="Z241" i="25"/>
  <c r="Z225" i="25"/>
  <c r="Z209" i="25"/>
  <c r="Z193" i="25"/>
  <c r="Z177" i="25"/>
  <c r="Z146" i="25"/>
  <c r="Z114" i="25"/>
  <c r="Z82" i="25"/>
  <c r="Z50" i="25"/>
  <c r="Z18" i="25"/>
  <c r="Z296" i="25"/>
  <c r="Z280" i="25"/>
  <c r="Z264" i="25"/>
  <c r="Z248" i="25"/>
  <c r="Z232" i="25"/>
  <c r="Z216" i="25"/>
  <c r="Z200" i="25"/>
  <c r="Z184" i="25"/>
  <c r="Z159" i="25"/>
  <c r="Z127" i="25"/>
  <c r="Z95" i="25"/>
  <c r="Z63" i="25"/>
  <c r="Z31" i="25"/>
  <c r="Z161" i="25"/>
  <c r="Z145" i="25"/>
  <c r="Z129" i="25"/>
  <c r="Z113" i="25"/>
  <c r="Z97" i="25"/>
  <c r="Z81" i="25"/>
  <c r="Z65" i="25"/>
  <c r="Z49" i="25"/>
  <c r="Z33" i="25"/>
  <c r="Z17" i="25"/>
  <c r="Z168" i="25"/>
  <c r="Z152" i="25"/>
  <c r="Z136" i="25"/>
  <c r="Z120" i="25"/>
  <c r="Z104" i="25"/>
  <c r="Z88" i="25"/>
  <c r="Z72" i="25"/>
  <c r="Z56" i="25"/>
  <c r="Z40" i="25"/>
  <c r="Z24" i="25"/>
  <c r="Z8" i="25"/>
  <c r="Q2" i="25"/>
  <c r="M2" i="25"/>
  <c r="T2" i="25"/>
  <c r="P2" i="25"/>
  <c r="S2" i="25"/>
  <c r="O2" i="25"/>
  <c r="V2" i="25"/>
  <c r="N2" i="25"/>
  <c r="F2" i="25"/>
  <c r="I2" i="25" s="1" a="1"/>
  <c r="I2" i="25" s="1"/>
  <c r="B2" i="25" a="1"/>
  <c r="B2" i="25" s="1"/>
  <c r="B76" i="12"/>
  <c r="C76" i="12" s="1"/>
  <c r="B195" i="12"/>
  <c r="C195" i="12" s="1"/>
  <c r="B244" i="12"/>
  <c r="C244" i="12" s="1"/>
  <c r="B295" i="12"/>
  <c r="C295" i="12" s="1"/>
  <c r="B224" i="12"/>
  <c r="C224" i="12" s="1"/>
  <c r="B96" i="12"/>
  <c r="C96" i="12" s="1"/>
  <c r="B26" i="12"/>
  <c r="C26" i="12" s="1"/>
  <c r="B45" i="12"/>
  <c r="C45" i="12" s="1"/>
  <c r="B109" i="12"/>
  <c r="C109" i="12" s="1"/>
  <c r="B173" i="12"/>
  <c r="C173" i="12" s="1"/>
  <c r="B237" i="12"/>
  <c r="C237" i="12" s="1"/>
  <c r="B2" i="12"/>
  <c r="C2" i="12" s="1"/>
  <c r="B78" i="12"/>
  <c r="C78" i="12" s="1"/>
  <c r="B142" i="12"/>
  <c r="C142" i="12" s="1"/>
  <c r="B206" i="12"/>
  <c r="C206" i="12" s="1"/>
  <c r="B270" i="12"/>
  <c r="C270" i="12" s="1"/>
  <c r="B215" i="12"/>
  <c r="C215" i="12" s="1"/>
  <c r="B87" i="12"/>
  <c r="C87" i="12" s="1"/>
  <c r="B248" i="12"/>
  <c r="C248" i="12" s="1"/>
  <c r="B120" i="12"/>
  <c r="C120" i="12" s="1"/>
  <c r="B92" i="12"/>
  <c r="C92" i="12" s="1"/>
  <c r="B227" i="12"/>
  <c r="C227" i="12" s="1"/>
  <c r="B260" i="12"/>
  <c r="C260" i="12" s="1"/>
  <c r="B60" i="12"/>
  <c r="C60" i="12" s="1"/>
  <c r="B296" i="12"/>
  <c r="C296" i="12" s="1"/>
  <c r="B13" i="12"/>
  <c r="C13" i="12" s="1"/>
  <c r="B91" i="12"/>
  <c r="C91" i="12" s="1"/>
  <c r="B299" i="12"/>
  <c r="C299" i="12" s="1"/>
  <c r="B176" i="12"/>
  <c r="C176" i="12" s="1"/>
  <c r="B48" i="12"/>
  <c r="C48" i="12" s="1"/>
  <c r="B15" i="12"/>
  <c r="C15" i="12" s="1"/>
  <c r="B69" i="12"/>
  <c r="C69" i="12" s="1"/>
  <c r="B133" i="12"/>
  <c r="C133" i="12" s="1"/>
  <c r="B197" i="12"/>
  <c r="C197" i="12" s="1"/>
  <c r="B261" i="12"/>
  <c r="C261" i="12" s="1"/>
  <c r="B38" i="12"/>
  <c r="C38" i="12" s="1"/>
  <c r="B102" i="12"/>
  <c r="C102" i="12" s="1"/>
  <c r="B166" i="12"/>
  <c r="C166" i="12" s="1"/>
  <c r="B230" i="12"/>
  <c r="C230" i="12" s="1"/>
  <c r="B292" i="12"/>
  <c r="C292" i="12" s="1"/>
  <c r="B167" i="12"/>
  <c r="C167" i="12" s="1"/>
  <c r="B39" i="12"/>
  <c r="C39" i="12" s="1"/>
  <c r="B255" i="12"/>
  <c r="C255" i="12" s="1"/>
  <c r="B29" i="12"/>
  <c r="C29" i="12" s="1"/>
  <c r="C2" i="25" a="1"/>
  <c r="C2" i="25" s="1"/>
  <c r="B52" i="12"/>
  <c r="C52" i="12" s="1"/>
  <c r="B107" i="12"/>
  <c r="C107" i="12" s="1"/>
  <c r="B294" i="12"/>
  <c r="C294" i="12" s="1"/>
  <c r="B168" i="12"/>
  <c r="C168" i="12" s="1"/>
  <c r="B40" i="12"/>
  <c r="C40" i="12" s="1"/>
  <c r="B73" i="12"/>
  <c r="C73" i="12" s="1"/>
  <c r="B137" i="12"/>
  <c r="C137" i="12" s="1"/>
  <c r="B201" i="12"/>
  <c r="C201" i="12" s="1"/>
  <c r="B265" i="12"/>
  <c r="C265" i="12" s="1"/>
  <c r="B42" i="12"/>
  <c r="C42" i="12" s="1"/>
  <c r="B106" i="12"/>
  <c r="C106" i="12" s="1"/>
  <c r="B170" i="12"/>
  <c r="C170" i="12" s="1"/>
  <c r="B266" i="12"/>
  <c r="C266" i="12" s="1"/>
  <c r="B63" i="12"/>
  <c r="C63" i="12" s="1"/>
  <c r="B124" i="12"/>
  <c r="C124" i="12" s="1"/>
  <c r="B75" i="12"/>
  <c r="C75" i="12" s="1"/>
  <c r="B100" i="12"/>
  <c r="C100" i="12" s="1"/>
  <c r="B147" i="12"/>
  <c r="C147" i="12" s="1"/>
  <c r="B108" i="12"/>
  <c r="C108" i="12" s="1"/>
  <c r="B204" i="12"/>
  <c r="C204" i="12" s="1"/>
  <c r="B290" i="12"/>
  <c r="C290" i="12" s="1"/>
  <c r="B43" i="12"/>
  <c r="C43" i="12" s="1"/>
  <c r="B220" i="12"/>
  <c r="C220" i="12" s="1"/>
  <c r="B192" i="12"/>
  <c r="C192" i="12" s="1"/>
  <c r="B64" i="12"/>
  <c r="C64" i="12" s="1"/>
  <c r="B7" i="12"/>
  <c r="C7" i="12" s="1"/>
  <c r="B61" i="12"/>
  <c r="C61" i="12" s="1"/>
  <c r="B125" i="12"/>
  <c r="C125" i="12" s="1"/>
  <c r="B189" i="12"/>
  <c r="C189" i="12" s="1"/>
  <c r="B253" i="12"/>
  <c r="C253" i="12" s="1"/>
  <c r="B28" i="12"/>
  <c r="C28" i="12" s="1"/>
  <c r="B94" i="12"/>
  <c r="C94" i="12" s="1"/>
  <c r="B158" i="12"/>
  <c r="C158" i="12" s="1"/>
  <c r="B222" i="12"/>
  <c r="C222" i="12" s="1"/>
  <c r="B286" i="12"/>
  <c r="C286" i="12" s="1"/>
  <c r="B183" i="12"/>
  <c r="C183" i="12" s="1"/>
  <c r="B55" i="12"/>
  <c r="C55" i="12" s="1"/>
  <c r="B216" i="12"/>
  <c r="C216" i="12" s="1"/>
  <c r="B88" i="12"/>
  <c r="C88" i="12" s="1"/>
  <c r="B287" i="12"/>
  <c r="C287" i="12" s="1"/>
  <c r="B154" i="12"/>
  <c r="C154" i="12" s="1"/>
  <c r="B74" i="12"/>
  <c r="C74" i="12" s="1"/>
  <c r="B281" i="12"/>
  <c r="C281" i="12" s="1"/>
  <c r="B185" i="12"/>
  <c r="C185" i="12" s="1"/>
  <c r="B105" i="12"/>
  <c r="C105" i="12" s="1"/>
  <c r="B21" i="12"/>
  <c r="C21" i="12" s="1"/>
  <c r="B72" i="12"/>
  <c r="C72" i="12" s="1"/>
  <c r="B232" i="12"/>
  <c r="C232" i="12" s="1"/>
  <c r="B187" i="12"/>
  <c r="C187" i="12" s="1"/>
  <c r="B259" i="12"/>
  <c r="C259" i="12" s="1"/>
  <c r="B44" i="12"/>
  <c r="C44" i="12" s="1"/>
  <c r="B191" i="12"/>
  <c r="C191" i="12" s="1"/>
  <c r="B71" i="12"/>
  <c r="C71" i="12" s="1"/>
  <c r="B231" i="12"/>
  <c r="C231" i="12" s="1"/>
  <c r="B246" i="12"/>
  <c r="C246" i="12" s="1"/>
  <c r="B150" i="12"/>
  <c r="C150" i="12" s="1"/>
  <c r="B70" i="12"/>
  <c r="C70" i="12" s="1"/>
  <c r="B277" i="12"/>
  <c r="C277" i="12" s="1"/>
  <c r="B181" i="12"/>
  <c r="C181" i="12" s="1"/>
  <c r="B101" i="12"/>
  <c r="C101" i="12" s="1"/>
  <c r="B16" i="12"/>
  <c r="C16" i="12" s="1"/>
  <c r="B80" i="12"/>
  <c r="C80" i="12" s="1"/>
  <c r="B240" i="12"/>
  <c r="C240" i="12" s="1"/>
  <c r="B171" i="12"/>
  <c r="C171" i="12" s="1"/>
  <c r="B243" i="12"/>
  <c r="C243" i="12" s="1"/>
  <c r="D2" i="25" a="1"/>
  <c r="D2" i="25" s="1"/>
  <c r="B59" i="12"/>
  <c r="C59" i="12" s="1"/>
  <c r="B131" i="12"/>
  <c r="C131" i="12" s="1"/>
  <c r="B56" i="12"/>
  <c r="C56" i="12" s="1"/>
  <c r="B19" i="12"/>
  <c r="C19" i="12" s="1"/>
  <c r="B279" i="12"/>
  <c r="C279" i="12" s="1"/>
  <c r="B174" i="12"/>
  <c r="C174" i="12" s="1"/>
  <c r="B46" i="12"/>
  <c r="C46" i="12" s="1"/>
  <c r="B205" i="12"/>
  <c r="C205" i="12" s="1"/>
  <c r="B77" i="12"/>
  <c r="C77" i="12" s="1"/>
  <c r="B31" i="12"/>
  <c r="C31" i="12" s="1"/>
  <c r="B288" i="12"/>
  <c r="C288" i="12" s="1"/>
  <c r="B68" i="12"/>
  <c r="C68" i="12" s="1"/>
  <c r="B12" i="12"/>
  <c r="C12" i="12" s="1"/>
  <c r="B36" i="12"/>
  <c r="C36" i="12" s="1"/>
  <c r="B139" i="12"/>
  <c r="C139" i="12" s="1"/>
  <c r="J2" i="25" a="1"/>
  <c r="J2" i="25" s="1"/>
  <c r="B83" i="12"/>
  <c r="C83" i="12" s="1"/>
  <c r="B164" i="12"/>
  <c r="C164" i="12" s="1"/>
  <c r="B203" i="12"/>
  <c r="C203" i="12" s="1"/>
  <c r="B234" i="12"/>
  <c r="C234" i="12" s="1"/>
  <c r="B138" i="12"/>
  <c r="C138" i="12" s="1"/>
  <c r="B58" i="12"/>
  <c r="C58" i="12" s="1"/>
  <c r="B249" i="12"/>
  <c r="C249" i="12" s="1"/>
  <c r="B169" i="12"/>
  <c r="C169" i="12" s="1"/>
  <c r="B89" i="12"/>
  <c r="C89" i="12" s="1"/>
  <c r="B3" i="12"/>
  <c r="C3" i="12" s="1"/>
  <c r="B104" i="12"/>
  <c r="C104" i="12" s="1"/>
  <c r="B264" i="12"/>
  <c r="C264" i="12" s="1"/>
  <c r="B24" i="12"/>
  <c r="C24" i="12" s="1"/>
  <c r="B179" i="12"/>
  <c r="C179" i="12" s="1"/>
  <c r="B5" i="12"/>
  <c r="C5" i="12" s="1"/>
  <c r="B282" i="12"/>
  <c r="C282" i="12" s="1"/>
  <c r="B103" i="12"/>
  <c r="C103" i="12" s="1"/>
  <c r="B263" i="12"/>
  <c r="C263" i="12" s="1"/>
  <c r="B214" i="12"/>
  <c r="C214" i="12" s="1"/>
  <c r="B134" i="12"/>
  <c r="C134" i="12" s="1"/>
  <c r="B54" i="12"/>
  <c r="C54" i="12" s="1"/>
  <c r="B245" i="12"/>
  <c r="C245" i="12" s="1"/>
  <c r="B165" i="12"/>
  <c r="C165" i="12" s="1"/>
  <c r="B85" i="12"/>
  <c r="C85" i="12" s="1"/>
  <c r="B34" i="12"/>
  <c r="C34" i="12" s="1"/>
  <c r="B112" i="12"/>
  <c r="C112" i="12" s="1"/>
  <c r="B272" i="12"/>
  <c r="C272" i="12" s="1"/>
  <c r="B276" i="12"/>
  <c r="C276" i="12" s="1"/>
  <c r="B163" i="12"/>
  <c r="C163" i="12" s="1"/>
  <c r="B284" i="12"/>
  <c r="C284" i="12" s="1"/>
  <c r="B180" i="12"/>
  <c r="C180" i="12" s="1"/>
  <c r="B51" i="12"/>
  <c r="C51" i="12" s="1"/>
  <c r="B152" i="12"/>
  <c r="C152" i="12" s="1"/>
  <c r="B119" i="12"/>
  <c r="C119" i="12" s="1"/>
  <c r="B254" i="12"/>
  <c r="C254" i="12" s="1"/>
  <c r="B126" i="12"/>
  <c r="C126" i="12" s="1"/>
  <c r="B285" i="12"/>
  <c r="C285" i="12" s="1"/>
  <c r="B157" i="12"/>
  <c r="C157" i="12" s="1"/>
  <c r="B27" i="12"/>
  <c r="C27" i="12" s="1"/>
  <c r="B128" i="12"/>
  <c r="C128" i="12" s="1"/>
  <c r="B219" i="12"/>
  <c r="C219" i="12" s="1"/>
  <c r="B115" i="12"/>
  <c r="C115" i="12" s="1"/>
  <c r="B25" i="12"/>
  <c r="C25" i="12" s="1"/>
  <c r="B211" i="12"/>
  <c r="C211" i="12" s="1"/>
  <c r="B228" i="12"/>
  <c r="C228" i="12" s="1"/>
  <c r="B267" i="12"/>
  <c r="C267" i="12" s="1"/>
  <c r="B159" i="12"/>
  <c r="C159" i="12" s="1"/>
  <c r="B218" i="12"/>
  <c r="C218" i="12" s="1"/>
  <c r="B122" i="12"/>
  <c r="C122" i="12" s="1"/>
  <c r="B23" i="12"/>
  <c r="C23" i="12" s="1"/>
  <c r="B233" i="12"/>
  <c r="C233" i="12" s="1"/>
  <c r="B153" i="12"/>
  <c r="C153" i="12" s="1"/>
  <c r="B57" i="12"/>
  <c r="C57" i="12" s="1"/>
  <c r="B22" i="12"/>
  <c r="C22" i="12" s="1"/>
  <c r="B136" i="12"/>
  <c r="C136" i="12" s="1"/>
  <c r="B188" i="12"/>
  <c r="C188" i="12" s="1"/>
  <c r="B212" i="12"/>
  <c r="C212" i="12" s="1"/>
  <c r="B99" i="12"/>
  <c r="C99" i="12" s="1"/>
  <c r="B95" i="12"/>
  <c r="C95" i="12" s="1"/>
  <c r="B250" i="12"/>
  <c r="C250" i="12" s="1"/>
  <c r="B135" i="12"/>
  <c r="C135" i="12" s="1"/>
  <c r="B278" i="12"/>
  <c r="C278" i="12" s="1"/>
  <c r="B198" i="12"/>
  <c r="C198" i="12" s="1"/>
  <c r="B118" i="12"/>
  <c r="C118" i="12" s="1"/>
  <c r="B17" i="12"/>
  <c r="C17" i="12" s="1"/>
  <c r="B229" i="12"/>
  <c r="C229" i="12" s="1"/>
  <c r="B149" i="12"/>
  <c r="C149" i="12" s="1"/>
  <c r="B53" i="12"/>
  <c r="C53" i="12" s="1"/>
  <c r="B18" i="12"/>
  <c r="C18" i="12" s="1"/>
  <c r="B144" i="12"/>
  <c r="C144" i="12" s="1"/>
  <c r="B156" i="12"/>
  <c r="C156" i="12" s="1"/>
  <c r="B196" i="12"/>
  <c r="C196" i="12" s="1"/>
  <c r="B67" i="12"/>
  <c r="C67" i="12" s="1"/>
  <c r="B235" i="12"/>
  <c r="C235" i="12" s="1"/>
  <c r="B84" i="12"/>
  <c r="C84" i="12" s="1"/>
  <c r="B268" i="12"/>
  <c r="C268" i="12" s="1"/>
  <c r="B184" i="12"/>
  <c r="C184" i="12" s="1"/>
  <c r="B151" i="12"/>
  <c r="C151" i="12" s="1"/>
  <c r="B238" i="12"/>
  <c r="C238" i="12" s="1"/>
  <c r="B110" i="12"/>
  <c r="C110" i="12" s="1"/>
  <c r="B269" i="12"/>
  <c r="C269" i="12" s="1"/>
  <c r="B141" i="12"/>
  <c r="C141" i="12" s="1"/>
  <c r="B160" i="12"/>
  <c r="C160" i="12" s="1"/>
  <c r="B123" i="12"/>
  <c r="C123" i="12" s="1"/>
  <c r="B35" i="12"/>
  <c r="C35" i="12" s="1"/>
  <c r="G2" i="25"/>
  <c r="H2" i="25" a="1"/>
  <c r="H2" i="25" s="1"/>
  <c r="B20" i="12"/>
  <c r="C20" i="12" s="1"/>
  <c r="B8" i="12"/>
  <c r="C8" i="12" s="1"/>
  <c r="B81" i="12"/>
  <c r="C81" i="12" s="1"/>
  <c r="B145" i="12"/>
  <c r="C145" i="12" s="1"/>
  <c r="B209" i="12"/>
  <c r="C209" i="12" s="1"/>
  <c r="B273" i="12"/>
  <c r="C273" i="12" s="1"/>
  <c r="B50" i="12"/>
  <c r="C50" i="12" s="1"/>
  <c r="B114" i="12"/>
  <c r="C114" i="12" s="1"/>
  <c r="B178" i="12"/>
  <c r="C178" i="12" s="1"/>
  <c r="B242" i="12"/>
  <c r="C242" i="12" s="1"/>
  <c r="B271" i="12"/>
  <c r="C271" i="12" s="1"/>
  <c r="B143" i="12"/>
  <c r="C143" i="12" s="1"/>
  <c r="B4" i="12"/>
  <c r="C4" i="12" s="1"/>
  <c r="B14" i="12"/>
  <c r="C14" i="12" s="1"/>
  <c r="B32" i="12"/>
  <c r="C32" i="12" s="1"/>
  <c r="B97" i="12"/>
  <c r="C97" i="12" s="1"/>
  <c r="B161" i="12"/>
  <c r="C161" i="12" s="1"/>
  <c r="B225" i="12"/>
  <c r="C225" i="12" s="1"/>
  <c r="B289" i="12"/>
  <c r="C289" i="12" s="1"/>
  <c r="B66" i="12"/>
  <c r="C66" i="12" s="1"/>
  <c r="B130" i="12"/>
  <c r="C130" i="12" s="1"/>
  <c r="B194" i="12"/>
  <c r="C194" i="12" s="1"/>
  <c r="B258" i="12"/>
  <c r="C258" i="12" s="1"/>
  <c r="B239" i="12"/>
  <c r="C239" i="12" s="1"/>
  <c r="B111" i="12"/>
  <c r="C111" i="12" s="1"/>
  <c r="B30" i="12"/>
  <c r="C30" i="12" s="1"/>
  <c r="B49" i="12"/>
  <c r="C49" i="12" s="1"/>
  <c r="B113" i="12"/>
  <c r="C113" i="12" s="1"/>
  <c r="B177" i="12"/>
  <c r="C177" i="12" s="1"/>
  <c r="B241" i="12"/>
  <c r="C241" i="12" s="1"/>
  <c r="B9" i="12"/>
  <c r="C9" i="12" s="1"/>
  <c r="B82" i="12"/>
  <c r="C82" i="12" s="1"/>
  <c r="B146" i="12"/>
  <c r="C146" i="12" s="1"/>
  <c r="B210" i="12"/>
  <c r="C210" i="12" s="1"/>
  <c r="B274" i="12"/>
  <c r="C274" i="12" s="1"/>
  <c r="B207" i="12"/>
  <c r="C207" i="12" s="1"/>
  <c r="B79" i="12"/>
  <c r="C79" i="12" s="1"/>
  <c r="B11" i="12"/>
  <c r="C11" i="12" s="1"/>
  <c r="B65" i="12"/>
  <c r="C65" i="12" s="1"/>
  <c r="B129" i="12"/>
  <c r="C129" i="12" s="1"/>
  <c r="B193" i="12"/>
  <c r="C193" i="12" s="1"/>
  <c r="B257" i="12"/>
  <c r="C257" i="12" s="1"/>
  <c r="B33" i="12"/>
  <c r="C33" i="12" s="1"/>
  <c r="B98" i="12"/>
  <c r="C98" i="12" s="1"/>
  <c r="B162" i="12"/>
  <c r="C162" i="12" s="1"/>
  <c r="B226" i="12"/>
  <c r="C226" i="12" s="1"/>
  <c r="B298" i="12"/>
  <c r="C298" i="12" s="1"/>
  <c r="B175" i="12"/>
  <c r="C175" i="12" s="1"/>
  <c r="B47" i="12"/>
  <c r="C47" i="12" s="1"/>
  <c r="A2" i="41" l="1" a="1"/>
  <c r="A2" i="41" s="1"/>
  <c r="C3" i="38" a="1"/>
  <c r="C3" i="38" s="1"/>
  <c r="H3" i="38" a="1"/>
  <c r="H3" i="38" s="1"/>
  <c r="G2" i="38" a="1"/>
  <c r="G2" i="38" s="1"/>
  <c r="C2" i="38" a="1"/>
  <c r="C2" i="38" s="1"/>
  <c r="A2" i="37" a="1"/>
  <c r="A2" i="37" s="1"/>
  <c r="A2" i="36" a="1"/>
  <c r="A2" i="36" s="1"/>
  <c r="A2" i="31" a="1"/>
  <c r="A2" i="31" s="1"/>
  <c r="F3" i="38" a="1"/>
  <c r="F3" i="38" s="1"/>
  <c r="I3" i="38" a="1"/>
  <c r="I3" i="38" s="1"/>
  <c r="F2" i="38" a="1"/>
  <c r="F2" i="38" s="1"/>
  <c r="B2" i="38" a="1"/>
  <c r="B2" i="38" s="1"/>
  <c r="B8" i="37" a="1"/>
  <c r="B8" i="37" s="1"/>
  <c r="B4" i="37" a="1"/>
  <c r="B4" i="37" s="1"/>
  <c r="A2" i="40" a="1"/>
  <c r="A2" i="40" s="1"/>
  <c r="A2" i="39" a="1"/>
  <c r="A2" i="39" s="1"/>
  <c r="D3" i="38" a="1"/>
  <c r="D3" i="38" s="1"/>
  <c r="G3" i="38" a="1"/>
  <c r="G3" i="38" s="1"/>
  <c r="I2" i="38" a="1"/>
  <c r="I2" i="38" s="1"/>
  <c r="E2" i="38" a="1"/>
  <c r="E2" i="38" s="1"/>
  <c r="B11" i="37" a="1"/>
  <c r="B11" i="37" s="1"/>
  <c r="B7" i="37" a="1"/>
  <c r="B7" i="37" s="1"/>
  <c r="B3" i="37" a="1"/>
  <c r="B3" i="37" s="1"/>
  <c r="B11" i="36" a="1"/>
  <c r="B11" i="36" s="1"/>
  <c r="B7" i="36" a="1"/>
  <c r="B7" i="36" s="1"/>
  <c r="A2" i="34" a="1"/>
  <c r="A2" i="34" s="1"/>
  <c r="B2" i="34" s="1" a="1"/>
  <c r="B2" i="34" s="1"/>
  <c r="B11" i="31" a="1"/>
  <c r="B11" i="31" s="1"/>
  <c r="B7" i="31" a="1"/>
  <c r="B7" i="31" s="1"/>
  <c r="B3" i="31" a="1"/>
  <c r="B3" i="31" s="1"/>
  <c r="A2" i="30" a="1"/>
  <c r="A2" i="30" s="1"/>
  <c r="B2" i="30" s="1" a="1"/>
  <c r="B2" i="30" s="1"/>
  <c r="E3" i="38" a="1"/>
  <c r="E3" i="38" s="1"/>
  <c r="H2" i="38" a="1"/>
  <c r="H2" i="38" s="1"/>
  <c r="D2" i="38" a="1"/>
  <c r="D2" i="38" s="1"/>
  <c r="B10" i="37" a="1"/>
  <c r="B10" i="37" s="1"/>
  <c r="B6" i="37" a="1"/>
  <c r="B6" i="37" s="1"/>
  <c r="B2" i="37" a="1"/>
  <c r="B2" i="37" s="1"/>
  <c r="B10" i="36" a="1"/>
  <c r="B10" i="36" s="1"/>
  <c r="B6" i="36" a="1"/>
  <c r="B6" i="36" s="1"/>
  <c r="B2" i="36" a="1"/>
  <c r="B2" i="36" s="1"/>
  <c r="B3" i="38" a="1"/>
  <c r="B3" i="38" s="1"/>
  <c r="A2" i="33" a="1"/>
  <c r="A2" i="33" s="1"/>
  <c r="B2" i="33" s="1" a="1"/>
  <c r="B2" i="33" s="1"/>
  <c r="B4" i="31" a="1"/>
  <c r="B4" i="31" s="1"/>
  <c r="A2" i="35" a="1"/>
  <c r="A2" i="35" s="1"/>
  <c r="B2" i="35" s="1" a="1"/>
  <c r="B2" i="35" s="1"/>
  <c r="B10" i="31" a="1"/>
  <c r="B10" i="31" s="1"/>
  <c r="B2" i="31" a="1"/>
  <c r="B2" i="31" s="1"/>
  <c r="B8" i="31" a="1"/>
  <c r="B8" i="31" s="1"/>
  <c r="A2" i="32" a="1"/>
  <c r="A2" i="32" s="1"/>
  <c r="A2" i="29" a="1"/>
  <c r="A2" i="29" s="1"/>
  <c r="K2" i="29" s="1" a="1"/>
  <c r="K2" i="29" s="1"/>
  <c r="B6" i="31" a="1"/>
  <c r="B6" i="31" s="1"/>
  <c r="B2" i="32" a="1"/>
  <c r="B2" i="32" s="1"/>
  <c r="J4" i="28" a="1"/>
  <c r="J4" i="28" s="1"/>
  <c r="J7" i="28" a="1"/>
  <c r="J7" i="28" s="1"/>
  <c r="J10" i="28" a="1"/>
  <c r="J10" i="28" s="1"/>
  <c r="I8" i="28" a="1"/>
  <c r="I8" i="28" s="1"/>
  <c r="H5" i="28" a="1"/>
  <c r="H5" i="28" s="1"/>
  <c r="H8" i="28" a="1"/>
  <c r="H8" i="28" s="1"/>
  <c r="G3" i="28" a="1"/>
  <c r="G3" i="28" s="1"/>
  <c r="G6" i="28" a="1"/>
  <c r="G6" i="28" s="1"/>
  <c r="G10" i="28" a="1"/>
  <c r="G10" i="28" s="1"/>
  <c r="F5" i="28" a="1"/>
  <c r="F5" i="28" s="1"/>
  <c r="F8" i="28" a="1"/>
  <c r="F8" i="28" s="1"/>
  <c r="E3" i="28" a="1"/>
  <c r="E3" i="28" s="1"/>
  <c r="E6" i="28" a="1"/>
  <c r="E6" i="28" s="1"/>
  <c r="E9" i="28" a="1"/>
  <c r="E9" i="28" s="1"/>
  <c r="D4" i="28" a="1"/>
  <c r="D4" i="28" s="1"/>
  <c r="D9" i="28" a="1"/>
  <c r="D9" i="28" s="1"/>
  <c r="C4" i="28" a="1"/>
  <c r="C4" i="28" s="1"/>
  <c r="C7" i="28" a="1"/>
  <c r="C7" i="28" s="1"/>
  <c r="B3" i="28" a="1"/>
  <c r="B3" i="28" s="1"/>
  <c r="B6" i="28" a="1"/>
  <c r="B6" i="28" s="1"/>
  <c r="C2" i="28" a="1"/>
  <c r="C2" i="28" s="1"/>
  <c r="F2" i="28" a="1"/>
  <c r="F2" i="28" s="1"/>
  <c r="I2" i="28" a="1"/>
  <c r="I2" i="28" s="1"/>
  <c r="G3" i="27" a="1"/>
  <c r="G3" i="27" s="1"/>
  <c r="G6" i="27" a="1"/>
  <c r="G6" i="27" s="1"/>
  <c r="G9" i="27" a="1"/>
  <c r="G9" i="27" s="1"/>
  <c r="F4" i="27" a="1"/>
  <c r="F4" i="27" s="1"/>
  <c r="F7" i="27" a="1"/>
  <c r="F7" i="27" s="1"/>
  <c r="E3" i="27" a="1"/>
  <c r="E3" i="27" s="1"/>
  <c r="E6" i="27" a="1"/>
  <c r="E6" i="27" s="1"/>
  <c r="E9" i="27" a="1"/>
  <c r="E9" i="27" s="1"/>
  <c r="D4" i="27" a="1"/>
  <c r="D4" i="27" s="1"/>
  <c r="D10" i="27" a="1"/>
  <c r="D10" i="27" s="1"/>
  <c r="C7" i="27" a="1"/>
  <c r="C7" i="27" s="1"/>
  <c r="B5" i="27" a="1"/>
  <c r="B5" i="27" s="1"/>
  <c r="B8" i="27" a="1"/>
  <c r="B8" i="27" s="1"/>
  <c r="G2" i="27" a="1"/>
  <c r="G2" i="27" s="1"/>
  <c r="C2" i="27" a="1"/>
  <c r="C2" i="27" s="1"/>
  <c r="B3" i="32" a="1"/>
  <c r="B3" i="32" s="1"/>
  <c r="B11" i="32" a="1"/>
  <c r="B11" i="32" s="1"/>
  <c r="B10" i="30" a="1"/>
  <c r="B10" i="30" s="1"/>
  <c r="J8" i="28" a="1"/>
  <c r="J8" i="28" s="1"/>
  <c r="I5" i="28" a="1"/>
  <c r="I5" i="28" s="1"/>
  <c r="H3" i="28" a="1"/>
  <c r="H3" i="28" s="1"/>
  <c r="H6" i="28" a="1"/>
  <c r="H6" i="28" s="1"/>
  <c r="H9" i="28" a="1"/>
  <c r="H9" i="28" s="1"/>
  <c r="G4" i="28" a="1"/>
  <c r="G4" i="28" s="1"/>
  <c r="G7" i="28" a="1"/>
  <c r="G7" i="28" s="1"/>
  <c r="F3" i="28" a="1"/>
  <c r="F3" i="28" s="1"/>
  <c r="F6" i="28" a="1"/>
  <c r="F6" i="28" s="1"/>
  <c r="F9" i="28" a="1"/>
  <c r="F9" i="28" s="1"/>
  <c r="E4" i="28" a="1"/>
  <c r="E4" i="28" s="1"/>
  <c r="E7" i="28" a="1"/>
  <c r="E7" i="28" s="1"/>
  <c r="E10" i="28" a="1"/>
  <c r="E10" i="28" s="1"/>
  <c r="D7" i="28" a="1"/>
  <c r="D7" i="28" s="1"/>
  <c r="D10" i="28" a="1"/>
  <c r="D10" i="28" s="1"/>
  <c r="C8" i="28" a="1"/>
  <c r="C8" i="28" s="1"/>
  <c r="B4" i="28" a="1"/>
  <c r="B4" i="28" s="1"/>
  <c r="B9" i="28" a="1"/>
  <c r="B9" i="28" s="1"/>
  <c r="D2" i="28" a="1"/>
  <c r="D2" i="28" s="1"/>
  <c r="J2" i="28" a="1"/>
  <c r="J2" i="28" s="1"/>
  <c r="G4" i="27" a="1"/>
  <c r="G4" i="27" s="1"/>
  <c r="G10" i="27" a="1"/>
  <c r="G10" i="27" s="1"/>
  <c r="F8" i="27" a="1"/>
  <c r="F8" i="27" s="1"/>
  <c r="E4" i="27" a="1"/>
  <c r="E4" i="27" s="1"/>
  <c r="E10" i="27" a="1"/>
  <c r="E10" i="27" s="1"/>
  <c r="D7" i="27" a="1"/>
  <c r="D7" i="27" s="1"/>
  <c r="C5" i="27" a="1"/>
  <c r="C5" i="27" s="1"/>
  <c r="C8" i="27" a="1"/>
  <c r="C8" i="27" s="1"/>
  <c r="B3" i="27" a="1"/>
  <c r="B3" i="27" s="1"/>
  <c r="B6" i="27" a="1"/>
  <c r="B6" i="27" s="1"/>
  <c r="B9" i="27" a="1"/>
  <c r="B9" i="27" s="1"/>
  <c r="F2" i="27" a="1"/>
  <c r="F2" i="27" s="1"/>
  <c r="B4" i="32" a="1"/>
  <c r="B4" i="32" s="1"/>
  <c r="B5" i="32" a="1"/>
  <c r="B5" i="32" s="1"/>
  <c r="B4" i="30" a="1"/>
  <c r="B4" i="30" s="1"/>
  <c r="J5" i="28" a="1"/>
  <c r="J5" i="28" s="1"/>
  <c r="I3" i="28" a="1"/>
  <c r="I3" i="28" s="1"/>
  <c r="I6" i="28" a="1"/>
  <c r="I6" i="28" s="1"/>
  <c r="I9" i="28" a="1"/>
  <c r="I9" i="28" s="1"/>
  <c r="H4" i="28" a="1"/>
  <c r="H4" i="28" s="1"/>
  <c r="H10" i="28" a="1"/>
  <c r="H10" i="28" s="1"/>
  <c r="G8" i="28" a="1"/>
  <c r="G8" i="28" s="1"/>
  <c r="F4" i="28" a="1"/>
  <c r="F4" i="28" s="1"/>
  <c r="F10" i="28" a="1"/>
  <c r="F10" i="28" s="1"/>
  <c r="E8" i="28" a="1"/>
  <c r="E8" i="28" s="1"/>
  <c r="D5" i="28" a="1"/>
  <c r="D5" i="28" s="1"/>
  <c r="D8" i="28" a="1"/>
  <c r="D8" i="28" s="1"/>
  <c r="C5" i="28" a="1"/>
  <c r="C5" i="28" s="1"/>
  <c r="C9" i="28" a="1"/>
  <c r="C9" i="28" s="1"/>
  <c r="B7" i="28" a="1"/>
  <c r="B7" i="28" s="1"/>
  <c r="B10" i="28" a="1"/>
  <c r="B10" i="28" s="1"/>
  <c r="G2" i="28" a="1"/>
  <c r="G2" i="28" s="1"/>
  <c r="G7" i="27" a="1"/>
  <c r="G7" i="27" s="1"/>
  <c r="F5" i="27" a="1"/>
  <c r="F5" i="27" s="1"/>
  <c r="F9" i="27" a="1"/>
  <c r="F9" i="27" s="1"/>
  <c r="E7" i="27" a="1"/>
  <c r="E7" i="27" s="1"/>
  <c r="D5" i="27" a="1"/>
  <c r="D5" i="27" s="1"/>
  <c r="D8" i="27" a="1"/>
  <c r="D8" i="27" s="1"/>
  <c r="C3" i="27" a="1"/>
  <c r="C3" i="27" s="1"/>
  <c r="C6" i="27" a="1"/>
  <c r="C6" i="27" s="1"/>
  <c r="C9" i="27" a="1"/>
  <c r="C9" i="27" s="1"/>
  <c r="B4" i="27" a="1"/>
  <c r="B4" i="27" s="1"/>
  <c r="B10" i="27" a="1"/>
  <c r="B10" i="27" s="1"/>
  <c r="E2" i="27" a="1"/>
  <c r="E2" i="27" s="1"/>
  <c r="B2" i="27" a="1"/>
  <c r="B2" i="27" s="1"/>
  <c r="B6" i="32" a="1"/>
  <c r="B6" i="32" s="1"/>
  <c r="B7" i="32" a="1"/>
  <c r="B7" i="32" s="1"/>
  <c r="B11" i="30" a="1"/>
  <c r="B11" i="30" s="1"/>
  <c r="J3" i="28" a="1"/>
  <c r="J3" i="28" s="1"/>
  <c r="J6" i="28" a="1"/>
  <c r="J6" i="28" s="1"/>
  <c r="J9" i="28" a="1"/>
  <c r="J9" i="28" s="1"/>
  <c r="I4" i="28" a="1"/>
  <c r="I4" i="28" s="1"/>
  <c r="I7" i="28" a="1"/>
  <c r="I7" i="28" s="1"/>
  <c r="I10" i="28" a="1"/>
  <c r="I10" i="28" s="1"/>
  <c r="H7" i="28" a="1"/>
  <c r="H7" i="28" s="1"/>
  <c r="G5" i="28" a="1"/>
  <c r="G5" i="28" s="1"/>
  <c r="G9" i="28" a="1"/>
  <c r="G9" i="28" s="1"/>
  <c r="F7" i="28" a="1"/>
  <c r="F7" i="28" s="1"/>
  <c r="E5" i="28" a="1"/>
  <c r="E5" i="28" s="1"/>
  <c r="D3" i="28" a="1"/>
  <c r="D3" i="28" s="1"/>
  <c r="D6" i="28" a="1"/>
  <c r="D6" i="28" s="1"/>
  <c r="C3" i="28" a="1"/>
  <c r="C3" i="28" s="1"/>
  <c r="C6" i="28" a="1"/>
  <c r="C6" i="28" s="1"/>
  <c r="C10" i="28" a="1"/>
  <c r="C10" i="28" s="1"/>
  <c r="B5" i="28" a="1"/>
  <c r="B5" i="28" s="1"/>
  <c r="B8" i="28" a="1"/>
  <c r="B8" i="28" s="1"/>
  <c r="E2" i="28" a="1"/>
  <c r="E2" i="28" s="1"/>
  <c r="H2" i="28" a="1"/>
  <c r="H2" i="28" s="1"/>
  <c r="B2" i="28" a="1"/>
  <c r="B2" i="28" s="1"/>
  <c r="G5" i="27" a="1"/>
  <c r="G5" i="27" s="1"/>
  <c r="G8" i="27" a="1"/>
  <c r="G8" i="27" s="1"/>
  <c r="F3" i="27" a="1"/>
  <c r="F3" i="27" s="1"/>
  <c r="F6" i="27" a="1"/>
  <c r="F6" i="27" s="1"/>
  <c r="F10" i="27" a="1"/>
  <c r="F10" i="27" s="1"/>
  <c r="E5" i="27" a="1"/>
  <c r="E5" i="27" s="1"/>
  <c r="E8" i="27" a="1"/>
  <c r="E8" i="27" s="1"/>
  <c r="D3" i="27" a="1"/>
  <c r="D3" i="27" s="1"/>
  <c r="D6" i="27" a="1"/>
  <c r="D6" i="27" s="1"/>
  <c r="D9" i="27" a="1"/>
  <c r="D9" i="27" s="1"/>
  <c r="C4" i="27" a="1"/>
  <c r="C4" i="27" s="1"/>
  <c r="C10" i="27" a="1"/>
  <c r="C10" i="27" s="1"/>
  <c r="B7" i="27" a="1"/>
  <c r="B7" i="27" s="1"/>
  <c r="D2" i="27" a="1"/>
  <c r="D2" i="27" s="1"/>
  <c r="L2" i="25" a="1"/>
  <c r="L2" i="25" s="1"/>
  <c r="K2" i="25" a="1"/>
  <c r="K2" i="25" s="1"/>
  <c r="B9" i="30" l="1" a="1"/>
  <c r="B9" i="30" s="1"/>
  <c r="B8" i="30" a="1"/>
  <c r="B8" i="30" s="1"/>
  <c r="B10" i="34" a="1"/>
  <c r="B10" i="34" s="1"/>
  <c r="B5" i="30" a="1"/>
  <c r="B5" i="30" s="1"/>
  <c r="B7" i="30" a="1"/>
  <c r="B7" i="30" s="1"/>
  <c r="B6" i="30" a="1"/>
  <c r="B6" i="30" s="1"/>
  <c r="B3" i="30" a="1"/>
  <c r="B3" i="30" s="1"/>
  <c r="B8" i="34" a="1"/>
  <c r="B8" i="34" s="1"/>
  <c r="B4" i="34" a="1"/>
  <c r="B4" i="34" s="1"/>
  <c r="B6" i="34" a="1"/>
  <c r="B6" i="34" s="1"/>
  <c r="G4" i="29" a="1"/>
  <c r="G4" i="29" s="1"/>
  <c r="F3" i="29" a="1"/>
  <c r="F3" i="29" s="1"/>
  <c r="I5" i="29" a="1"/>
  <c r="I5" i="29" s="1"/>
  <c r="E6" i="29" a="1"/>
  <c r="E6" i="29" s="1"/>
  <c r="G9" i="29" a="1"/>
  <c r="G9" i="29" s="1"/>
  <c r="C2" i="29" a="1"/>
  <c r="C2" i="29" s="1"/>
  <c r="B11" i="33" a="1"/>
  <c r="B11" i="33" s="1"/>
  <c r="H6" i="29" a="1"/>
  <c r="H6" i="29" s="1"/>
  <c r="B11" i="29" a="1"/>
  <c r="B11" i="29" s="1"/>
  <c r="F10" i="29" a="1"/>
  <c r="F10" i="29" s="1"/>
  <c r="I10" i="29" a="1"/>
  <c r="I10" i="29" s="1"/>
  <c r="B7" i="35" a="1"/>
  <c r="B7" i="35" s="1"/>
  <c r="I11" i="29" a="1"/>
  <c r="I11" i="29" s="1"/>
  <c r="B5" i="29" a="1"/>
  <c r="B5" i="29" s="1"/>
  <c r="I8" i="29" a="1"/>
  <c r="I8" i="29" s="1"/>
  <c r="B9" i="35" a="1"/>
  <c r="B9" i="35" s="1"/>
  <c r="H7" i="29" a="1"/>
  <c r="H7" i="29" s="1"/>
  <c r="B4" i="29" a="1"/>
  <c r="B4" i="29" s="1"/>
  <c r="E9" i="29" a="1"/>
  <c r="E9" i="29" s="1"/>
  <c r="G5" i="29" a="1"/>
  <c r="G5" i="29" s="1"/>
  <c r="B11" i="35" a="1"/>
  <c r="B11" i="35" s="1"/>
  <c r="B10" i="29" a="1"/>
  <c r="B10" i="29" s="1"/>
  <c r="C5" i="29" a="1"/>
  <c r="C5" i="29" s="1"/>
  <c r="D3" i="29" a="1"/>
  <c r="D3" i="29" s="1"/>
  <c r="F5" i="29" a="1"/>
  <c r="F5" i="29" s="1"/>
  <c r="H10" i="29" a="1"/>
  <c r="H10" i="29" s="1"/>
  <c r="J8" i="29" a="1"/>
  <c r="J8" i="29" s="1"/>
  <c r="B6" i="35" a="1"/>
  <c r="B6" i="35" s="1"/>
  <c r="K9" i="29" a="1"/>
  <c r="K9" i="29" s="1"/>
  <c r="C10" i="29" a="1"/>
  <c r="C10" i="29" s="1"/>
  <c r="E8" i="29" a="1"/>
  <c r="E8" i="29" s="1"/>
  <c r="F4" i="29" a="1"/>
  <c r="F4" i="29" s="1"/>
  <c r="H8" i="29" a="1"/>
  <c r="H8" i="29" s="1"/>
  <c r="I6" i="29" a="1"/>
  <c r="I6" i="29" s="1"/>
  <c r="B6" i="33" a="1"/>
  <c r="B6" i="33" s="1"/>
  <c r="B11" i="34" a="1"/>
  <c r="B11" i="34" s="1"/>
  <c r="B5" i="36" a="1"/>
  <c r="B5" i="36" s="1"/>
  <c r="B9" i="32" a="1"/>
  <c r="B9" i="32" s="1"/>
  <c r="D10" i="29" a="1"/>
  <c r="D10" i="29" s="1"/>
  <c r="D8" i="29" a="1"/>
  <c r="D8" i="29" s="1"/>
  <c r="G8" i="29" a="1"/>
  <c r="G8" i="29" s="1"/>
  <c r="I4" i="29" a="1"/>
  <c r="I4" i="29" s="1"/>
  <c r="B5" i="33" a="1"/>
  <c r="B5" i="33" s="1"/>
  <c r="C6" i="29" a="1"/>
  <c r="C6" i="29" s="1"/>
  <c r="B3" i="33" a="1"/>
  <c r="B3" i="33" s="1"/>
  <c r="C9" i="29" a="1"/>
  <c r="C9" i="29" s="1"/>
  <c r="J2" i="29" a="1"/>
  <c r="J2" i="29" s="1"/>
  <c r="B7" i="33" a="1"/>
  <c r="B7" i="33" s="1"/>
  <c r="B8" i="29" a="1"/>
  <c r="B8" i="29" s="1"/>
  <c r="J9" i="29" a="1"/>
  <c r="J9" i="29" s="1"/>
  <c r="C7" i="29" a="1"/>
  <c r="C7" i="29" s="1"/>
  <c r="E3" i="29" a="1"/>
  <c r="E3" i="29" s="1"/>
  <c r="H9" i="29" a="1"/>
  <c r="H9" i="29" s="1"/>
  <c r="B9" i="33" a="1"/>
  <c r="B9" i="33" s="1"/>
  <c r="K8" i="29" a="1"/>
  <c r="K8" i="29" s="1"/>
  <c r="B7" i="29" a="1"/>
  <c r="B7" i="29" s="1"/>
  <c r="D2" i="29" a="1"/>
  <c r="D2" i="29" s="1"/>
  <c r="E10" i="29" a="1"/>
  <c r="E10" i="29" s="1"/>
  <c r="G2" i="29" a="1"/>
  <c r="G2" i="29" s="1"/>
  <c r="H4" i="29" a="1"/>
  <c r="H4" i="29" s="1"/>
  <c r="J5" i="29" a="1"/>
  <c r="J5" i="29" s="1"/>
  <c r="B5" i="34" a="1"/>
  <c r="B5" i="34" s="1"/>
  <c r="B10" i="35" a="1"/>
  <c r="B10" i="35" s="1"/>
  <c r="K10" i="29" a="1"/>
  <c r="K10" i="29" s="1"/>
  <c r="B4" i="36" a="1"/>
  <c r="B4" i="36" s="1"/>
  <c r="K6" i="29" a="1"/>
  <c r="K6" i="29" s="1"/>
  <c r="B2" i="29" a="1"/>
  <c r="B2" i="29" s="1"/>
  <c r="C4" i="29" a="1"/>
  <c r="C4" i="29" s="1"/>
  <c r="E5" i="29" a="1"/>
  <c r="E5" i="29" s="1"/>
  <c r="G10" i="29" a="1"/>
  <c r="G10" i="29" s="1"/>
  <c r="H5" i="29" a="1"/>
  <c r="H5" i="29" s="1"/>
  <c r="I3" i="29" a="1"/>
  <c r="I3" i="29" s="1"/>
  <c r="B5" i="31" a="1"/>
  <c r="B5" i="31" s="1"/>
  <c r="B10" i="33" a="1"/>
  <c r="B10" i="33" s="1"/>
  <c r="B4" i="35" a="1"/>
  <c r="B4" i="35" s="1"/>
  <c r="B9" i="36" a="1"/>
  <c r="B9" i="36" s="1"/>
  <c r="B5" i="37" a="1"/>
  <c r="B5" i="37" s="1"/>
  <c r="B10" i="32" a="1"/>
  <c r="B10" i="32" s="1"/>
  <c r="B8" i="32" a="1"/>
  <c r="B8" i="32" s="1"/>
  <c r="F6" i="29" a="1"/>
  <c r="F6" i="29" s="1"/>
  <c r="E2" i="29" a="1"/>
  <c r="E2" i="29" s="1"/>
  <c r="H2" i="29" a="1"/>
  <c r="H2" i="29" s="1"/>
  <c r="J7" i="29" a="1"/>
  <c r="J7" i="29" s="1"/>
  <c r="E7" i="29" a="1"/>
  <c r="E7" i="29" s="1"/>
  <c r="B5" i="35" a="1"/>
  <c r="B5" i="35" s="1"/>
  <c r="C3" i="29" a="1"/>
  <c r="C3" i="29" s="1"/>
  <c r="J6" i="29" a="1"/>
  <c r="J6" i="29" s="1"/>
  <c r="D4" i="29" a="1"/>
  <c r="D4" i="29" s="1"/>
  <c r="J3" i="29" a="1"/>
  <c r="J3" i="29" s="1"/>
  <c r="D11" i="29" a="1"/>
  <c r="D11" i="29" s="1"/>
  <c r="F7" i="29" a="1"/>
  <c r="F7" i="29" s="1"/>
  <c r="H3" i="29" a="1"/>
  <c r="H3" i="29" s="1"/>
  <c r="C11" i="29" a="1"/>
  <c r="C11" i="29" s="1"/>
  <c r="D9" i="29" a="1"/>
  <c r="D9" i="29" s="1"/>
  <c r="E4" i="29" a="1"/>
  <c r="E4" i="29" s="1"/>
  <c r="G6" i="29" a="1"/>
  <c r="G6" i="29" s="1"/>
  <c r="I7" i="29" a="1"/>
  <c r="I7" i="29" s="1"/>
  <c r="B4" i="33" a="1"/>
  <c r="B4" i="33" s="1"/>
  <c r="B9" i="34" a="1"/>
  <c r="B9" i="34" s="1"/>
  <c r="B3" i="36" a="1"/>
  <c r="B3" i="36" s="1"/>
  <c r="K7" i="29" a="1"/>
  <c r="K7" i="29" s="1"/>
  <c r="B8" i="36" a="1"/>
  <c r="B8" i="36" s="1"/>
  <c r="K3" i="29" a="1"/>
  <c r="K3" i="29" s="1"/>
  <c r="B6" i="29" a="1"/>
  <c r="B6" i="29" s="1"/>
  <c r="D7" i="29" a="1"/>
  <c r="D7" i="29" s="1"/>
  <c r="F2" i="29" a="1"/>
  <c r="F2" i="29" s="1"/>
  <c r="G7" i="29" a="1"/>
  <c r="G7" i="29" s="1"/>
  <c r="I2" i="29" a="1"/>
  <c r="I2" i="29" s="1"/>
  <c r="J10" i="29" a="1"/>
  <c r="J10" i="29" s="1"/>
  <c r="B9" i="31" a="1"/>
  <c r="B9" i="31" s="1"/>
  <c r="B3" i="34" a="1"/>
  <c r="B3" i="34" s="1"/>
  <c r="B8" i="35" a="1"/>
  <c r="B8" i="35" s="1"/>
  <c r="K11" i="29" a="1"/>
  <c r="K11" i="29" s="1"/>
  <c r="B9" i="37" a="1"/>
  <c r="B9" i="37" s="1"/>
  <c r="F11" i="29" a="1"/>
  <c r="F11" i="29" s="1"/>
  <c r="B9" i="29" a="1"/>
  <c r="B9" i="29" s="1"/>
  <c r="D5" i="29" a="1"/>
  <c r="D5" i="29" s="1"/>
  <c r="G11" i="29" a="1"/>
  <c r="G11" i="29" s="1"/>
  <c r="B3" i="35" a="1"/>
  <c r="B3" i="35" s="1"/>
  <c r="C8" i="29" a="1"/>
  <c r="C8" i="29" s="1"/>
  <c r="D6" i="29" a="1"/>
  <c r="D6" i="29" s="1"/>
  <c r="F8" i="29" a="1"/>
  <c r="F8" i="29" s="1"/>
  <c r="G3" i="29" a="1"/>
  <c r="G3" i="29" s="1"/>
  <c r="J11" i="29" a="1"/>
  <c r="J11" i="29" s="1"/>
  <c r="B8" i="33" a="1"/>
  <c r="B8" i="33" s="1"/>
  <c r="K4" i="29" a="1"/>
  <c r="K4" i="29" s="1"/>
  <c r="B3" i="29" a="1"/>
  <c r="B3" i="29" s="1"/>
  <c r="E11" i="29" a="1"/>
  <c r="E11" i="29" s="1"/>
  <c r="F9" i="29" a="1"/>
  <c r="F9" i="29" s="1"/>
  <c r="H11" i="29" a="1"/>
  <c r="H11" i="29" s="1"/>
  <c r="I9" i="29" a="1"/>
  <c r="I9" i="29" s="1"/>
  <c r="J4" i="29" a="1"/>
  <c r="J4" i="29" s="1"/>
  <c r="B7" i="34" a="1"/>
  <c r="B7" i="34" s="1"/>
  <c r="K5" i="29" a="1"/>
  <c r="K5" i="2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7BE68-EF4A-49AD-909C-44AFDF07D8C3}" keepAlive="1" name="Query - Table_10" description="Connection to the 'Table_10' query in the workbook." type="5" refreshedVersion="8" background="1" saveData="1">
    <dbPr connection="Provider=Microsoft.Mashup.OleDb.1;Data Source=$Workbook$;Location=Table_10;Extended Properties=&quot;&quot;" command="SELECT * FROM [Table_10]"/>
  </connection>
  <connection id="2" xr16:uid="{8C9F591C-FA49-4DAB-9D1F-B006801A19A6}" keepAlive="1" name="Query - Table_10 (2)" description="Connection to the 'Table_10 (2)' query in the workbook." type="5" refreshedVersion="8" background="1" saveData="1">
    <dbPr connection="Provider=Microsoft.Mashup.OleDb.1;Data Source=$Workbook$;Location=&quot;Table_10 (2)&quot;;Extended Properties=&quot;&quot;" command="SELECT * FROM [Table_10 (2)]"/>
  </connection>
  <connection id="3" xr16:uid="{D69725E8-F71C-402B-A8B2-0F6EB909214B}" keepAlive="1" name="Query - Table1176 (Page 443)" description="Connection to the 'Table1176 (Page 443)' query in the workbook." type="5" refreshedVersion="8" background="1" saveData="1">
    <dbPr connection="Provider=Microsoft.Mashup.OleDb.1;Data Source=$Workbook$;Location=&quot;Table1176 (Page 443)&quot;;Extended Properties=&quot;&quot;" command="SELECT * FROM [Table1176 (Page 443)]"/>
  </connection>
  <connection id="4" xr16:uid="{6215A603-2EDA-4F20-AC06-DC2D40500924}" keepAlive="1" name="Query - Table1177 (Page 443)" description="Connection to the 'Table1177 (Page 443)' query in the workbook." type="5" refreshedVersion="8" background="1" saveData="1">
    <dbPr connection="Provider=Microsoft.Mashup.OleDb.1;Data Source=$Workbook$;Location=&quot;Table1177 (Page 443)&quot;;Extended Properties=&quot;&quot;" command="SELECT * FROM [Table1177 (Page 443)]"/>
  </connection>
  <connection id="5" xr16:uid="{81E7FE4A-D988-4EEC-81B0-D8750C090698}" keepAlive="1" name="Query - Table1178 (Page 444)" description="Connection to the 'Table1178 (Page 444)' query in the workbook." type="5" refreshedVersion="8" background="1" saveData="1">
    <dbPr connection="Provider=Microsoft.Mashup.OleDb.1;Data Source=$Workbook$;Location=&quot;Table1178 (Page 444)&quot;;Extended Properties=&quot;&quot;" command="SELECT * FROM [Table1178 (Page 444)]"/>
  </connection>
  <connection id="6" xr16:uid="{1306632C-396C-4775-9676-52D73146C3F2}" keepAlive="1" name="Query - Table1179 (Page 444)" description="Connection to the 'Table1179 (Page 444)' query in the workbook." type="5" refreshedVersion="8" background="1" saveData="1">
    <dbPr connection="Provider=Microsoft.Mashup.OleDb.1;Data Source=$Workbook$;Location=&quot;Table1179 (Page 444)&quot;;Extended Properties=&quot;&quot;" command="SELECT * FROM [Table1179 (Page 444)]"/>
  </connection>
  <connection id="7" xr16:uid="{CFD77B93-4888-4EB3-B317-5434038B53AC}" keepAlive="1" name="Query - Table1180 (Page 445)" description="Connection to the 'Table1180 (Page 445)' query in the workbook." type="5" refreshedVersion="8" background="1" saveData="1">
    <dbPr connection="Provider=Microsoft.Mashup.OleDb.1;Data Source=$Workbook$;Location=&quot;Table1180 (Page 445)&quot;;Extended Properties=&quot;&quot;" command="SELECT * FROM [Table1180 (Page 445)]"/>
  </connection>
  <connection id="8" xr16:uid="{59DCAD7D-D842-4D4B-86B2-7B3A9D240D73}" keepAlive="1" name="Query - Table1181 (Page 445)" description="Connection to the 'Table1181 (Page 445)' query in the workbook." type="5" refreshedVersion="8" background="1" saveData="1">
    <dbPr connection="Provider=Microsoft.Mashup.OleDb.1;Data Source=$Workbook$;Location=&quot;Table1181 (Page 445)&quot;;Extended Properties=&quot;&quot;" command="SELECT * FROM [Table1181 (Page 445)]"/>
  </connection>
  <connection id="9" xr16:uid="{A8C290BF-7053-49D8-838D-F89A11400F74}" keepAlive="1" name="Query - Table1182 (Page 446)" description="Connection to the 'Table1182 (Page 446)' query in the workbook." type="5" refreshedVersion="8" background="1" saveData="1">
    <dbPr connection="Provider=Microsoft.Mashup.OleDb.1;Data Source=$Workbook$;Location=&quot;Table1182 (Page 446)&quot;;Extended Properties=&quot;&quot;" command="SELECT * FROM [Table1182 (Page 446)]"/>
  </connection>
  <connection id="10" xr16:uid="{CDA34A2A-5798-4DF9-947B-F788342994B9}" keepAlive="1" name="Query - Table1183 (Page 446)" description="Connection to the 'Table1183 (Page 446)' query in the workbook." type="5" refreshedVersion="8" background="1" saveData="1">
    <dbPr connection="Provider=Microsoft.Mashup.OleDb.1;Data Source=$Workbook$;Location=&quot;Table1183 (Page 446)&quot;;Extended Properties=&quot;&quot;" command="SELECT * FROM [Table1183 (Page 446)]"/>
  </connection>
  <connection id="11" xr16:uid="{2396BA13-E0AE-46F5-A523-5D87D1B540C9}" keepAlive="1" name="Query - Table1184 (Page 447)" description="Connection to the 'Table1184 (Page 447)' query in the workbook." type="5" refreshedVersion="8" background="1" saveData="1">
    <dbPr connection="Provider=Microsoft.Mashup.OleDb.1;Data Source=$Workbook$;Location=&quot;Table1184 (Page 447)&quot;;Extended Properties=&quot;&quot;" command="SELECT * FROM [Table1184 (Page 447)]"/>
  </connection>
  <connection id="12" xr16:uid="{E45C0C8B-FEA3-43A8-A9C5-BDEDEAB9D183}" keepAlive="1" name="Query - Table1185 (Page 447)" description="Connection to the 'Table1185 (Page 447)' query in the workbook." type="5" refreshedVersion="8" background="1" saveData="1">
    <dbPr connection="Provider=Microsoft.Mashup.OleDb.1;Data Source=$Workbook$;Location=&quot;Table1185 (Page 447)&quot;;Extended Properties=&quot;&quot;" command="SELECT * FROM [Table1185 (Page 447)]"/>
  </connection>
  <connection id="13" xr16:uid="{E0E77C51-FD95-4675-A026-27990B5AAB6B}" keepAlive="1" name="Query - Table1186 (Page 448)" description="Connection to the 'Table1186 (Page 448)' query in the workbook." type="5" refreshedVersion="8" background="1" saveData="1">
    <dbPr connection="Provider=Microsoft.Mashup.OleDb.1;Data Source=$Workbook$;Location=&quot;Table1186 (Page 448)&quot;;Extended Properties=&quot;&quot;" command="SELECT * FROM [Table1186 (Page 448)]"/>
  </connection>
  <connection id="14" xr16:uid="{84ACF129-8ED3-493D-AED0-DCE280F1CF0B}" keepAlive="1" name="Query - Table1187 (Page 448)" description="Connection to the 'Table1187 (Page 448)' query in the workbook." type="5" refreshedVersion="8" background="1" saveData="1">
    <dbPr connection="Provider=Microsoft.Mashup.OleDb.1;Data Source=$Workbook$;Location=&quot;Table1187 (Page 448)&quot;;Extended Properties=&quot;&quot;" command="SELECT * FROM [Table1187 (Page 448)]"/>
  </connection>
  <connection id="15" xr16:uid="{A0025CE9-B3B0-42F4-A834-78D5020BBCD1}" keepAlive="1" name="Query - Table1188 (Page 449)" description="Connection to the 'Table1188 (Page 449)' query in the workbook." type="5" refreshedVersion="8" background="1" saveData="1">
    <dbPr connection="Provider=Microsoft.Mashup.OleDb.1;Data Source=$Workbook$;Location=&quot;Table1188 (Page 449)&quot;;Extended Properties=&quot;&quot;" command="SELECT * FROM [Table1188 (Page 449)]"/>
  </connection>
  <connection id="16" xr16:uid="{8EAE4DD0-7E45-462E-A913-834C11088990}" keepAlive="1" name="Query - Table1189 (Page 449)" description="Connection to the 'Table1189 (Page 449)' query in the workbook." type="5" refreshedVersion="8" background="1" saveData="1">
    <dbPr connection="Provider=Microsoft.Mashup.OleDb.1;Data Source=$Workbook$;Location=&quot;Table1189 (Page 449)&quot;;Extended Properties=&quot;&quot;" command="SELECT * FROM [Table1189 (Page 449)]"/>
  </connection>
  <connection id="17" xr16:uid="{44F4D9FE-C8AB-4F25-85B8-EF0F5348979D}" keepAlive="1" name="Query - Table1190 (Page 450)" description="Connection to the 'Table1190 (Page 450)' query in the workbook." type="5" refreshedVersion="8" background="1" saveData="1">
    <dbPr connection="Provider=Microsoft.Mashup.OleDb.1;Data Source=$Workbook$;Location=&quot;Table1190 (Page 450)&quot;;Extended Properties=&quot;&quot;" command="SELECT * FROM [Table1190 (Page 450)]"/>
  </connection>
  <connection id="18" xr16:uid="{F3FA7E5E-21FE-4975-A973-E19D7DB7DDA3}" keepAlive="1" name="Query - Table1191 (Page 450)" description="Connection to the 'Table1191 (Page 450)' query in the workbook." type="5" refreshedVersion="8" background="1" saveData="1">
    <dbPr connection="Provider=Microsoft.Mashup.OleDb.1;Data Source=$Workbook$;Location=&quot;Table1191 (Page 450)&quot;;Extended Properties=&quot;&quot;" command="SELECT * FROM [Table1191 (Page 450)]"/>
  </connection>
  <connection id="19" xr16:uid="{3AAB5553-B97F-4515-BED1-48E06CBD4D01}" keepAlive="1" name="Query - Table1192 (Page 451)" description="Connection to the 'Table1192 (Page 451)' query in the workbook." type="5" refreshedVersion="8" background="1" saveData="1">
    <dbPr connection="Provider=Microsoft.Mashup.OleDb.1;Data Source=$Workbook$;Location=&quot;Table1192 (Page 451)&quot;;Extended Properties=&quot;&quot;" command="SELECT * FROM [Table1192 (Page 451)]"/>
  </connection>
  <connection id="20" xr16:uid="{F7F32DD8-6C08-4D29-8D4C-2A62484487DF}" keepAlive="1" name="Query - Table1193 (Page 451)" description="Connection to the 'Table1193 (Page 451)' query in the workbook." type="5" refreshedVersion="8" background="1" saveData="1">
    <dbPr connection="Provider=Microsoft.Mashup.OleDb.1;Data Source=$Workbook$;Location=&quot;Table1193 (Page 451)&quot;;Extended Properties=&quot;&quot;" command="SELECT * FROM [Table1193 (Page 451)]"/>
  </connection>
  <connection id="21" xr16:uid="{9FDC8499-F12A-4E06-8643-A24F43685D90}" keepAlive="1" name="Query - Table1194 (Page 452)" description="Connection to the 'Table1194 (Page 452)' query in the workbook." type="5" refreshedVersion="8" background="1" saveData="1">
    <dbPr connection="Provider=Microsoft.Mashup.OleDb.1;Data Source=$Workbook$;Location=&quot;Table1194 (Page 452)&quot;;Extended Properties=&quot;&quot;" command="SELECT * FROM [Table1194 (Page 45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<sst xmlns="http://schemas.openxmlformats.org/spreadsheetml/2006/main" count="7763" uniqueCount="1626">
  <si>
    <t>Constituency_ID</t>
  </si>
  <si>
    <t>Division</t>
  </si>
  <si>
    <t>Constituency</t>
  </si>
  <si>
    <t>Winner</t>
  </si>
  <si>
    <t>Party</t>
  </si>
  <si>
    <t>Votes</t>
  </si>
  <si>
    <t>Runner_Up</t>
  </si>
  <si>
    <t>Runner_Party</t>
  </si>
  <si>
    <t>Runner_Votes</t>
  </si>
  <si>
    <t>Margin_Votes</t>
  </si>
  <si>
    <t>Margin_Percent</t>
  </si>
  <si>
    <t>Rangpur</t>
  </si>
  <si>
    <t>Panchagarh-1</t>
  </si>
  <si>
    <t>Muhammad Nawshad Zamir</t>
  </si>
  <si>
    <t>BNP</t>
  </si>
  <si>
    <t>Sarjis Alam</t>
  </si>
  <si>
    <t>NCP</t>
  </si>
  <si>
    <t>Panchagarh-2</t>
  </si>
  <si>
    <t>Farhad Hossain Azad</t>
  </si>
  <si>
    <t>Md. Shafiul Alam</t>
  </si>
  <si>
    <t>Jamaat</t>
  </si>
  <si>
    <t>Thakurgaon-1</t>
  </si>
  <si>
    <t>Mirza Fakhrul Islam Alamgir</t>
  </si>
  <si>
    <t>Delawar Hossain</t>
  </si>
  <si>
    <t>Thakurgaon-2</t>
  </si>
  <si>
    <t>Abdus Salam</t>
  </si>
  <si>
    <t>Md. Abdul Hakim</t>
  </si>
  <si>
    <t>Thakurgaon-3</t>
  </si>
  <si>
    <t>Jahidur Rahman</t>
  </si>
  <si>
    <t>Md. Mizanur Rahman</t>
  </si>
  <si>
    <t>Dinajpur-1</t>
  </si>
  <si>
    <t>Md. Manjurul Islam</t>
  </si>
  <si>
    <t>Md. Matiur Rahman</t>
  </si>
  <si>
    <t>Dinajpur-2</t>
  </si>
  <si>
    <t>Md. Sadiq Riaz</t>
  </si>
  <si>
    <t>A. K. M. Afzalul Anam</t>
  </si>
  <si>
    <t>Dinajpur-3</t>
  </si>
  <si>
    <t>Syed Jahangir Alam</t>
  </si>
  <si>
    <t>Md. Mainul Alam</t>
  </si>
  <si>
    <t>Dinajpur-4</t>
  </si>
  <si>
    <t>Md. Akhtaruzzaman Mia</t>
  </si>
  <si>
    <t>Md. Aftab Uddin Mollah</t>
  </si>
  <si>
    <t>Dinajpur-5</t>
  </si>
  <si>
    <t>A. Z. M. Rezwanul Haque</t>
  </si>
  <si>
    <t>IND</t>
  </si>
  <si>
    <t>Md. Abdul Ahad</t>
  </si>
  <si>
    <t>Dinajpur-6</t>
  </si>
  <si>
    <t>A. Z. M. Zahid Hossain</t>
  </si>
  <si>
    <t>Md. Anwarul Islam</t>
  </si>
  <si>
    <t>Nilphamari-1</t>
  </si>
  <si>
    <t>Md. Abdus Sattar</t>
  </si>
  <si>
    <t>JUIB</t>
  </si>
  <si>
    <t>Nilphamari-2</t>
  </si>
  <si>
    <t>Alfaruk Abdul Latif</t>
  </si>
  <si>
    <t>Shahrin Islam Tuhin</t>
  </si>
  <si>
    <t>Nilphamari-3</t>
  </si>
  <si>
    <t>Obaidullah Salafi</t>
  </si>
  <si>
    <t>Syed Ali</t>
  </si>
  <si>
    <t>Nilphamari-4</t>
  </si>
  <si>
    <t>Abdul Montakim</t>
  </si>
  <si>
    <t>Md. Abdul Gafur Sarkar</t>
  </si>
  <si>
    <t>Lalmonirhat-1</t>
  </si>
  <si>
    <t>Hasan Rajib Pradhan</t>
  </si>
  <si>
    <t>Md. Anwarul Islam Raju</t>
  </si>
  <si>
    <t>Lalmonirhat-2</t>
  </si>
  <si>
    <t>Md. Rokun Uddin Babul</t>
  </si>
  <si>
    <t>Md. Feroz Haider</t>
  </si>
  <si>
    <t>Lalmonirhat-3</t>
  </si>
  <si>
    <t>Asadul Habib Dulu</t>
  </si>
  <si>
    <t>Md. Abu Taher</t>
  </si>
  <si>
    <t>Rangpur-1</t>
  </si>
  <si>
    <t>Raihan Siraji</t>
  </si>
  <si>
    <t>Md. Mokarram Hossain Sujan</t>
  </si>
  <si>
    <t>Rangpur-2</t>
  </si>
  <si>
    <t>ATM Azharul Islam</t>
  </si>
  <si>
    <t>Muhammad Ali Sarkar</t>
  </si>
  <si>
    <t>Rangpur-3</t>
  </si>
  <si>
    <t>Mahbubur Rahman Belal</t>
  </si>
  <si>
    <t>Md. Samsuzzaman Samu</t>
  </si>
  <si>
    <t>Rangpur-4</t>
  </si>
  <si>
    <t>Akhter Hossen</t>
  </si>
  <si>
    <t>Mohammad Emdadul Haque Bharsa</t>
  </si>
  <si>
    <t>Rangpur-5</t>
  </si>
  <si>
    <t>Md. Golam Rabbani</t>
  </si>
  <si>
    <t>Rangpur-6</t>
  </si>
  <si>
    <t>Md. Nurul Amin</t>
  </si>
  <si>
    <t>Md. Saiful Islam[disambiguation needed]</t>
  </si>
  <si>
    <t>Kurigram-1</t>
  </si>
  <si>
    <t>Saifur Rahman Rana</t>
  </si>
  <si>
    <t>Kurigram-2</t>
  </si>
  <si>
    <t>Atiqur Rahman Mojahid</t>
  </si>
  <si>
    <t>Md. Sohail Hosnain Kaikobad</t>
  </si>
  <si>
    <t>Kurigram-3</t>
  </si>
  <si>
    <t>Md. Mahbubul Alam</t>
  </si>
  <si>
    <t>Tasvir Ul Islam</t>
  </si>
  <si>
    <t>Kurigram-4</t>
  </si>
  <si>
    <t>Md. Mostafizur Rahman</t>
  </si>
  <si>
    <t>Md. Azizur Rahman</t>
  </si>
  <si>
    <t>Gaibandha-1</t>
  </si>
  <si>
    <t>Md. Majedur Rahman</t>
  </si>
  <si>
    <t>Khandaker Ziaul Islam</t>
  </si>
  <si>
    <t>Gaibandha-2</t>
  </si>
  <si>
    <t>Md. Abdul Karim</t>
  </si>
  <si>
    <t>Anisuzzaman Khan Babu</t>
  </si>
  <si>
    <t>Gaibandha-3</t>
  </si>
  <si>
    <t>Mohammad Nazrul Islam</t>
  </si>
  <si>
    <t>Syed Mainul Hasan Sadiq</t>
  </si>
  <si>
    <t>Gaibandha-4</t>
  </si>
  <si>
    <t>Shamim Kaisar Lincoln</t>
  </si>
  <si>
    <t>Md. Abdur Rahim Sarkar</t>
  </si>
  <si>
    <t>Gaibandha-5</t>
  </si>
  <si>
    <t>Md. Abdul Warres</t>
  </si>
  <si>
    <t>Md. Farooq Alam Sarkar</t>
  </si>
  <si>
    <t>Rajshahi</t>
  </si>
  <si>
    <t>Joypurhat-1</t>
  </si>
  <si>
    <t>Md. Fazlur Rahman Sayeed</t>
  </si>
  <si>
    <t>Md. Masud Rana Pradhan</t>
  </si>
  <si>
    <t>Joypurhat-2</t>
  </si>
  <si>
    <t>Md. Abdul Bari</t>
  </si>
  <si>
    <t>SM Rashedul Alam</t>
  </si>
  <si>
    <t>Bogra-1</t>
  </si>
  <si>
    <t>Kazi Rafiqul Islam</t>
  </si>
  <si>
    <t>Md. Shahabuddin</t>
  </si>
  <si>
    <t>Bogra-2</t>
  </si>
  <si>
    <t>Mir Shahe Alam</t>
  </si>
  <si>
    <t>Abul Azad Md Shahaduzzaman</t>
  </si>
  <si>
    <t>Bogra-3</t>
  </si>
  <si>
    <t>Md. Abdul Mohit Talukder</t>
  </si>
  <si>
    <t>Noor Mohammad</t>
  </si>
  <si>
    <t>Bogra-4</t>
  </si>
  <si>
    <t>Md. Mosharraf Hossain</t>
  </si>
  <si>
    <t>Md. Mustafa Faisal</t>
  </si>
  <si>
    <t>Bogra-5</t>
  </si>
  <si>
    <t>Gholam Mohammad Siraj</t>
  </si>
  <si>
    <t>Md. Dabibur Rahman</t>
  </si>
  <si>
    <t>Bogra-6</t>
  </si>
  <si>
    <t>Tarique Rahman</t>
  </si>
  <si>
    <t>Md. Abidur Rahman</t>
  </si>
  <si>
    <t>Bogra-7</t>
  </si>
  <si>
    <t>Morshed Milton</t>
  </si>
  <si>
    <t>Chapai Nawabganj-1</t>
  </si>
  <si>
    <t>Md. Keramat Ali</t>
  </si>
  <si>
    <t>Md. Shahjahan Mia</t>
  </si>
  <si>
    <t>Chapai Nawabganj-2</t>
  </si>
  <si>
    <t>Md. Aminul Islam</t>
  </si>
  <si>
    <t>Chapai Nawabganj-3</t>
  </si>
  <si>
    <t>Md. Nurul Islam</t>
  </si>
  <si>
    <t>Harunur Rashid</t>
  </si>
  <si>
    <t>Naogaon-1</t>
  </si>
  <si>
    <t>Naogaon-2</t>
  </si>
  <si>
    <t>Md. Enamul Haque</t>
  </si>
  <si>
    <t>Md. Samsujjoha Khan</t>
  </si>
  <si>
    <t>Naogaon-3</t>
  </si>
  <si>
    <t>Md. Fazle Huda</t>
  </si>
  <si>
    <t>Md. Mahfuzur Rahman</t>
  </si>
  <si>
    <t>Naogaon-4</t>
  </si>
  <si>
    <t>Ekramul Bari Tipu</t>
  </si>
  <si>
    <t>Md. Abdur Rakib</t>
  </si>
  <si>
    <t>Naogaon-5</t>
  </si>
  <si>
    <t>Md. Zahidul Islam Dulu</t>
  </si>
  <si>
    <t>Abu Sadat Md. Sayem</t>
  </si>
  <si>
    <t>Naogaon-6</t>
  </si>
  <si>
    <t>Sheikh Md. Rezaul Islam</t>
  </si>
  <si>
    <t>Md. Khabirul Islam</t>
  </si>
  <si>
    <t>Rajshahi-1</t>
  </si>
  <si>
    <t>Mujibur Rahman</t>
  </si>
  <si>
    <t>Md. Sharif Uddin</t>
  </si>
  <si>
    <t>Rajshahi-2</t>
  </si>
  <si>
    <t>Mizanur Rahman Minu</t>
  </si>
  <si>
    <t>Mohammad Jahangir</t>
  </si>
  <si>
    <t>Rajshahi-3</t>
  </si>
  <si>
    <t>Shofiqul Haque Milon</t>
  </si>
  <si>
    <t>Md. Abul Kalam Azad</t>
  </si>
  <si>
    <t>Rajshahi-4</t>
  </si>
  <si>
    <t>Ziaur Rahman</t>
  </si>
  <si>
    <t>Rajshahi-5</t>
  </si>
  <si>
    <t>Nazrul Islam Mondol</t>
  </si>
  <si>
    <t>Manzoor Rahman</t>
  </si>
  <si>
    <t>Rajshahi-6</t>
  </si>
  <si>
    <t>Md. Abu Said Chand</t>
  </si>
  <si>
    <t>Md. Nazmul Haque</t>
  </si>
  <si>
    <t>Natore-1</t>
  </si>
  <si>
    <t>Farzana Sharmin</t>
  </si>
  <si>
    <t>Natore-2</t>
  </si>
  <si>
    <t>Ruhul Quddus Talukdar Dulu</t>
  </si>
  <si>
    <t>Md. Yunus Ali</t>
  </si>
  <si>
    <t>Natore-3</t>
  </si>
  <si>
    <t>Md. Daudar Mahmud</t>
  </si>
  <si>
    <t>Natore-4</t>
  </si>
  <si>
    <t>Md. Abdul Aziz</t>
  </si>
  <si>
    <t>Sirajganj-1</t>
  </si>
  <si>
    <t>Md. Salim Reza</t>
  </si>
  <si>
    <t>Md. Shahinur Alam</t>
  </si>
  <si>
    <t>Sirajganj-2</t>
  </si>
  <si>
    <t>Iqbal Hassan Mahmood</t>
  </si>
  <si>
    <t>Muhammad Zahidul Islam</t>
  </si>
  <si>
    <t>Sirajganj-3</t>
  </si>
  <si>
    <t>Md. Ainul Haque</t>
  </si>
  <si>
    <t>Muha: Abdur Rauf Sarkar</t>
  </si>
  <si>
    <t>BKM</t>
  </si>
  <si>
    <t>Sirajganj-4</t>
  </si>
  <si>
    <t>Md. Rafiqul Islam Khan</t>
  </si>
  <si>
    <t>M. Akbar Ali</t>
  </si>
  <si>
    <t>Sirajganj-5</t>
  </si>
  <si>
    <t>Md. Amirul Islam Khan</t>
  </si>
  <si>
    <t>Md. Ali Alam</t>
  </si>
  <si>
    <t>Sirajganj-6</t>
  </si>
  <si>
    <t>M. A. Muhit</t>
  </si>
  <si>
    <t>SM Saif Mostafiz</t>
  </si>
  <si>
    <t>Pabna-1</t>
  </si>
  <si>
    <t>Mohammad Najibur Rahman</t>
  </si>
  <si>
    <t>Md. Shamsur Rahman</t>
  </si>
  <si>
    <t>Pabna-2</t>
  </si>
  <si>
    <t>AKM Salim Reza Habib</t>
  </si>
  <si>
    <t>Md. Hesab Uddin</t>
  </si>
  <si>
    <t>Pabna-3</t>
  </si>
  <si>
    <t>Muhammad Ali Asghar</t>
  </si>
  <si>
    <t>Md. Hasan Zafir Tuhin</t>
  </si>
  <si>
    <t>Pabna-4</t>
  </si>
  <si>
    <t>Md. Abu Taleb Mandal</t>
  </si>
  <si>
    <t>Md. Habibur Rahman</t>
  </si>
  <si>
    <t>Pabna-5</t>
  </si>
  <si>
    <t>Shamsur Rahman Simul Biswas</t>
  </si>
  <si>
    <t>Md. Iqbal Hossain</t>
  </si>
  <si>
    <t>Khulna</t>
  </si>
  <si>
    <t>Meherpur-1</t>
  </si>
  <si>
    <t>Md. Tajuddin Khan</t>
  </si>
  <si>
    <t>Masood Arun</t>
  </si>
  <si>
    <t>Meherpur-2</t>
  </si>
  <si>
    <t>Md. Nazmul Huda</t>
  </si>
  <si>
    <t>Md. Amjad Hossain</t>
  </si>
  <si>
    <t>Kushtia-1</t>
  </si>
  <si>
    <t>Reza Ahmed</t>
  </si>
  <si>
    <t>Md. Belal Uddin</t>
  </si>
  <si>
    <t>Kushtia-2</t>
  </si>
  <si>
    <t>Abdul Ghafoor</t>
  </si>
  <si>
    <t>Ragib Rauf Chowdhury</t>
  </si>
  <si>
    <t>Kushtia-3</t>
  </si>
  <si>
    <t>Amir Hamza</t>
  </si>
  <si>
    <t>Md. Zakir Hossain Sarkar</t>
  </si>
  <si>
    <t>Kushtia-4</t>
  </si>
  <si>
    <t>Md. Afjal Hossain</t>
  </si>
  <si>
    <t>Syed Mehdi Ahmed Rumi</t>
  </si>
  <si>
    <t>Chuadanga-1</t>
  </si>
  <si>
    <t>Md. Masood Parvez</t>
  </si>
  <si>
    <t>Md. Sharifuzzaman</t>
  </si>
  <si>
    <t>Chuadanga-2</t>
  </si>
  <si>
    <t>Md. Ruhul Amin</t>
  </si>
  <si>
    <t>Mahmud Hasan Khan</t>
  </si>
  <si>
    <t>Jhenaidah-1</t>
  </si>
  <si>
    <t>Md. Asaduzzaman</t>
  </si>
  <si>
    <t>Abu Saleh Md. Matiur Rahman</t>
  </si>
  <si>
    <t>Jhenaidah-2</t>
  </si>
  <si>
    <t>Ali Azam Md. Abu Bakr</t>
  </si>
  <si>
    <t>Md. Abdul Majeed</t>
  </si>
  <si>
    <t>Jhenaidah-3</t>
  </si>
  <si>
    <t>Md. Motiyar Rahman</t>
  </si>
  <si>
    <t>Mohammad Mehdi Hasan</t>
  </si>
  <si>
    <t>Jhenaidah-4</t>
  </si>
  <si>
    <t>Md. Abu Talib</t>
  </si>
  <si>
    <t>Md. Saiful Islam Feroze</t>
  </si>
  <si>
    <t>Jessore-1</t>
  </si>
  <si>
    <t>Muhammad Azizur Rahman</t>
  </si>
  <si>
    <t>Md. Nuruzzaman Liton</t>
  </si>
  <si>
    <t>Jessore-2</t>
  </si>
  <si>
    <t>Mohammad Moslehuddin Farid</t>
  </si>
  <si>
    <t>Sabira Sultana</t>
  </si>
  <si>
    <t>Jessore-3</t>
  </si>
  <si>
    <t>Anindya Islam Amit</t>
  </si>
  <si>
    <t>Md. Abdul Quader</t>
  </si>
  <si>
    <t>Jessore-4</t>
  </si>
  <si>
    <t>Ghulam Rasul</t>
  </si>
  <si>
    <t>Mujibur Rahman Khokon</t>
  </si>
  <si>
    <t>Jessore-5</t>
  </si>
  <si>
    <t>Gazi Enamul Haque</t>
  </si>
  <si>
    <t>Shahid Md. Iqbal Hossain</t>
  </si>
  <si>
    <t>Jessore-6</t>
  </si>
  <si>
    <t>Md. Mokhtar Ali</t>
  </si>
  <si>
    <t>Md. Abul Hossain Azad</t>
  </si>
  <si>
    <t>Magura-1</t>
  </si>
  <si>
    <t>Md. Monowar Hossain</t>
  </si>
  <si>
    <t>Abdul Mateen</t>
  </si>
  <si>
    <t>Magura-2</t>
  </si>
  <si>
    <t>Nitai Roy Chowdhury</t>
  </si>
  <si>
    <t>Md. Musharhsed Billah</t>
  </si>
  <si>
    <t>Narail-1</t>
  </si>
  <si>
    <t>Biswas Jahangir Alam</t>
  </si>
  <si>
    <t>Md. Obaidullah</t>
  </si>
  <si>
    <t>Narail-2</t>
  </si>
  <si>
    <t>Md. Ataur Rahman</t>
  </si>
  <si>
    <t>Md. Monirul Islam</t>
  </si>
  <si>
    <t>Bagerhat-1</t>
  </si>
  <si>
    <t>Md. Moshiur Rahman Khan</t>
  </si>
  <si>
    <t>Kapil Krishna Mandal</t>
  </si>
  <si>
    <t>Bagerhat-2</t>
  </si>
  <si>
    <t>Sheikh Manjurul Haque Rahad</t>
  </si>
  <si>
    <t>Sheikh Mohammad Zakir Hossain</t>
  </si>
  <si>
    <t>Bagerhat-3</t>
  </si>
  <si>
    <t>Sheikh Faridul Islam</t>
  </si>
  <si>
    <t>Mohammad Abdul Wadud Sheikh</t>
  </si>
  <si>
    <t>Bagerhat-4</t>
  </si>
  <si>
    <t>Md. Abdul Alim</t>
  </si>
  <si>
    <t>Somnath Dey</t>
  </si>
  <si>
    <t>Khulna-1</t>
  </si>
  <si>
    <t>Amir Ejaz Khan</t>
  </si>
  <si>
    <t>Krishna Nandi</t>
  </si>
  <si>
    <t>Khulna-2</t>
  </si>
  <si>
    <t>Sheikh Jahangir Hussain Helal</t>
  </si>
  <si>
    <t>Nazrul Islam Manju</t>
  </si>
  <si>
    <t>Khulna-3</t>
  </si>
  <si>
    <t>Rakibul Islam</t>
  </si>
  <si>
    <t>Mohammad Mahfuzur Rahman</t>
  </si>
  <si>
    <t>Khulna-4</t>
  </si>
  <si>
    <t>SK Azizul Bari Helal</t>
  </si>
  <si>
    <t>SM Sakhawat Hossain</t>
  </si>
  <si>
    <t>KM</t>
  </si>
  <si>
    <t>Khulna-5</t>
  </si>
  <si>
    <t>Mohammad Ali Asghar Lobby</t>
  </si>
  <si>
    <t>Mia Golam Parwar</t>
  </si>
  <si>
    <t>Khulna-6</t>
  </si>
  <si>
    <t>Abul Kalam Azad</t>
  </si>
  <si>
    <t>SM Monirul Hasan</t>
  </si>
  <si>
    <t>Satkhira-1</t>
  </si>
  <si>
    <t>Md. Izzatullah</t>
  </si>
  <si>
    <t>Md. Habibul Islam Habib</t>
  </si>
  <si>
    <t>Satkhira-2</t>
  </si>
  <si>
    <t>Muhammad Abdul Khaliq</t>
  </si>
  <si>
    <t>Md. Abdur Rauf</t>
  </si>
  <si>
    <t>Satkhira-3</t>
  </si>
  <si>
    <t>Hafez Rabiul Bashar</t>
  </si>
  <si>
    <t>Md. Shahidul Alam</t>
  </si>
  <si>
    <t>Satkhira-4</t>
  </si>
  <si>
    <t>Gazi Nazrul Islam</t>
  </si>
  <si>
    <t>Md. Moniruzzaman</t>
  </si>
  <si>
    <t>Barishal</t>
  </si>
  <si>
    <t>Barguna-1</t>
  </si>
  <si>
    <t>Mahmudul Hossain Waliullah</t>
  </si>
  <si>
    <t>IAB</t>
  </si>
  <si>
    <t>Md. Nazrul Islam Mollah</t>
  </si>
  <si>
    <t>Barguna-2</t>
  </si>
  <si>
    <t>Nurul Islam Moni</t>
  </si>
  <si>
    <t>Dr. Sultan Ahmad</t>
  </si>
  <si>
    <t>Patuakhali-1</t>
  </si>
  <si>
    <t>Altaf Hossain Chowdhury</t>
  </si>
  <si>
    <t>Md Feroze Alam</t>
  </si>
  <si>
    <t>Patuakhali-2</t>
  </si>
  <si>
    <t>Shafiqul Islam Masud</t>
  </si>
  <si>
    <t>Md. Shahidul Alam Talukder</t>
  </si>
  <si>
    <t>Patuakhali-3</t>
  </si>
  <si>
    <t>Nurul Haque Nur</t>
  </si>
  <si>
    <t>GOP</t>
  </si>
  <si>
    <t>Md Hasan Mamun</t>
  </si>
  <si>
    <t>Patuakhali-4</t>
  </si>
  <si>
    <t>ABM Mosharraf Hossain</t>
  </si>
  <si>
    <t>Mostafizur Rahman</t>
  </si>
  <si>
    <t>Bhola-1</t>
  </si>
  <si>
    <t>Andaleeve Rahman</t>
  </si>
  <si>
    <t>BJP</t>
  </si>
  <si>
    <t>Md. Nazrul Islam</t>
  </si>
  <si>
    <t>Bhola-2</t>
  </si>
  <si>
    <t>Hafiz Ibrahim</t>
  </si>
  <si>
    <t>Mohammad Fazlul Karim</t>
  </si>
  <si>
    <t>Bhola-3</t>
  </si>
  <si>
    <t>Hafizuddin Ahmed</t>
  </si>
  <si>
    <t>Muhammad Nizamul Haque</t>
  </si>
  <si>
    <t>BDP</t>
  </si>
  <si>
    <t>Bhola-4</t>
  </si>
  <si>
    <t>Mohammad Nurul Islam</t>
  </si>
  <si>
    <t>Mohammad Mustafa Kamal</t>
  </si>
  <si>
    <t>Barisal-1</t>
  </si>
  <si>
    <t>Zahir Uddin Swapan</t>
  </si>
  <si>
    <t>Md. Kamrul Islam Khan</t>
  </si>
  <si>
    <t>Barisal-2</t>
  </si>
  <si>
    <t>Sardar Sarfuddin Ahmed</t>
  </si>
  <si>
    <t>Abdul Mannan</t>
  </si>
  <si>
    <t>Barisal-3</t>
  </si>
  <si>
    <t>Zainul Abedin</t>
  </si>
  <si>
    <t>Asaduzzaman Fuaad</t>
  </si>
  <si>
    <t>ABP</t>
  </si>
  <si>
    <t>Barisal-4</t>
  </si>
  <si>
    <t>Md. Rajib Ahsan</t>
  </si>
  <si>
    <t>Mohammad Abdul Jabbar</t>
  </si>
  <si>
    <t>Barisal-5</t>
  </si>
  <si>
    <t>Majibur Rahman Sarwar</t>
  </si>
  <si>
    <t>Syed Faizul Karim</t>
  </si>
  <si>
    <t>Barisal-6</t>
  </si>
  <si>
    <t>Abul Hossain Khan</t>
  </si>
  <si>
    <t>Md. Mahmudunnabi</t>
  </si>
  <si>
    <t>Jhalokati-1</t>
  </si>
  <si>
    <t>Rafiqul Islam Jamal</t>
  </si>
  <si>
    <t>Faizul Haque</t>
  </si>
  <si>
    <t>Jhalokati-2</t>
  </si>
  <si>
    <t>Israt Sultana Ilein Bhutto</t>
  </si>
  <si>
    <t>SM Nayeamul Karim</t>
  </si>
  <si>
    <t>Pirojpur-1</t>
  </si>
  <si>
    <t>Masood Sayeedi</t>
  </si>
  <si>
    <t>Alamgir Hossain</t>
  </si>
  <si>
    <t>Pirojpur-2</t>
  </si>
  <si>
    <t>Ahmad Sohail Manzoor</t>
  </si>
  <si>
    <t>Shameem Sayeedi</t>
  </si>
  <si>
    <t>Pirojpur-3</t>
  </si>
  <si>
    <t>Md. Ruhul Amin Dulal</t>
  </si>
  <si>
    <t>Md. Shamim Hamidi</t>
  </si>
  <si>
    <t>Mymensingh</t>
  </si>
  <si>
    <t>Jamalpur-1</t>
  </si>
  <si>
    <t>M Rashiduzzaman Millat</t>
  </si>
  <si>
    <t>Muhammad Nazmul Haque Sayeedi</t>
  </si>
  <si>
    <t>Jamalpur-2</t>
  </si>
  <si>
    <t>A. E. Sultan Mahmud Babu</t>
  </si>
  <si>
    <t>Md. Shamiul Haque</t>
  </si>
  <si>
    <t>Jamalpur-3</t>
  </si>
  <si>
    <t>Md. Mostafizur Rahman Babul</t>
  </si>
  <si>
    <t>Md. Mujibur Rahman Azadi</t>
  </si>
  <si>
    <t>Jamalpur-4</t>
  </si>
  <si>
    <t>Md. Faridul Kabir Talukder</t>
  </si>
  <si>
    <t>Mohammad Abdul Awal</t>
  </si>
  <si>
    <t>Jamalpur-5</t>
  </si>
  <si>
    <t>Shah Md Waresh Ali Mamun</t>
  </si>
  <si>
    <t>Muhammad Abdus Sattar</t>
  </si>
  <si>
    <t>Sherpur-1</t>
  </si>
  <si>
    <t>Md. Rashedul Islam Rashed</t>
  </si>
  <si>
    <t>Sansila Zebrin</t>
  </si>
  <si>
    <t>Sherpur-2</t>
  </si>
  <si>
    <t>Mohammad Fahim Chowdhury</t>
  </si>
  <si>
    <t>Md. Golam Kibria</t>
  </si>
  <si>
    <t>Sherpur-3</t>
  </si>
  <si>
    <t>Election postponed</t>
  </si>
  <si>
    <t>Mymensingh-1</t>
  </si>
  <si>
    <t>Mohammed Salman Omar</t>
  </si>
  <si>
    <t>Syed Imran Saleh</t>
  </si>
  <si>
    <t>Mymensingh-2</t>
  </si>
  <si>
    <t>Muhammadullah</t>
  </si>
  <si>
    <t>Motahar Hossain Talukder</t>
  </si>
  <si>
    <t>Mymensingh-3</t>
  </si>
  <si>
    <t>M Iqbal Hossain</t>
  </si>
  <si>
    <t>Ahmad Taibur Rahman</t>
  </si>
  <si>
    <t>Mymensingh-4</t>
  </si>
  <si>
    <t>Md. Abu Wahab Akand Wahid</t>
  </si>
  <si>
    <t>Mohammad Kamrul Ahsan</t>
  </si>
  <si>
    <t>Mymensingh-5</t>
  </si>
  <si>
    <t>Mohammad Zakir Hossain</t>
  </si>
  <si>
    <t>Md. Matiur Rahman Akand</t>
  </si>
  <si>
    <t>Mymensingh-6</t>
  </si>
  <si>
    <t>Md. Kamrul Hasan</t>
  </si>
  <si>
    <t>Akhtar Sultana</t>
  </si>
  <si>
    <t>Mymensingh-7</t>
  </si>
  <si>
    <t>Md. Mahabubur Rahman</t>
  </si>
  <si>
    <t>Md. Achaduzzaman</t>
  </si>
  <si>
    <t>Mymensingh-8</t>
  </si>
  <si>
    <t>Lutfulahel Majed</t>
  </si>
  <si>
    <t>Md. Aurangzeb Belal</t>
  </si>
  <si>
    <t>LDP</t>
  </si>
  <si>
    <t>Mymensingh-9</t>
  </si>
  <si>
    <t>Yasser Khan Chowdhury</t>
  </si>
  <si>
    <t>AKM Anwarul Islam</t>
  </si>
  <si>
    <t>Mymensingh-10</t>
  </si>
  <si>
    <t>Mohammad Aktaruzzaman</t>
  </si>
  <si>
    <t>Abu Bakr Siddiqur Rahman</t>
  </si>
  <si>
    <t>Mymensingh-11</t>
  </si>
  <si>
    <t>Fakhruddin Ahmed</t>
  </si>
  <si>
    <t>Muhammad Morshed Alam</t>
  </si>
  <si>
    <t>Netrokona-1</t>
  </si>
  <si>
    <t>Kaiser Kamal</t>
  </si>
  <si>
    <t>Golam Rabbani</t>
  </si>
  <si>
    <t>Netrokona-2</t>
  </si>
  <si>
    <t>Md. Anwarul Haque</t>
  </si>
  <si>
    <t>Md. Fahim Rahman Khan Pathan</t>
  </si>
  <si>
    <t>Netrokona-3</t>
  </si>
  <si>
    <t>Rafiqul Islam Hilali</t>
  </si>
  <si>
    <t>Md Delwar Hossain Bhuiyan</t>
  </si>
  <si>
    <t>Netrokona-4</t>
  </si>
  <si>
    <t>Lutfozzaman Babar</t>
  </si>
  <si>
    <t>Md. Al Helal</t>
  </si>
  <si>
    <t>Netrokona-5</t>
  </si>
  <si>
    <t>Machum Mustafa</t>
  </si>
  <si>
    <t>Md. Abu Taher Talukdar</t>
  </si>
  <si>
    <t>Dhaka</t>
  </si>
  <si>
    <t>Tangail-1</t>
  </si>
  <si>
    <t>Fakir Mahbub Anam</t>
  </si>
  <si>
    <t>Muhammad Abdullah Kafi</t>
  </si>
  <si>
    <t>Tangail-2</t>
  </si>
  <si>
    <t>Abdus Salam Pintu</t>
  </si>
  <si>
    <t>Md. Humayun Kabir</t>
  </si>
  <si>
    <t>Tangail-3</t>
  </si>
  <si>
    <t>Md. Lutfar Rahman Khan Azad</t>
  </si>
  <si>
    <t>SM Obaidul Haque</t>
  </si>
  <si>
    <t>Tangail-4</t>
  </si>
  <si>
    <t>Md. Lutfar Rahman</t>
  </si>
  <si>
    <t>Abdul Latif Siddiqui</t>
  </si>
  <si>
    <t>Tangail-5</t>
  </si>
  <si>
    <t>Sultan Saladin Tuku</t>
  </si>
  <si>
    <t>Ahsan Habib</t>
  </si>
  <si>
    <t>Tangail-6</t>
  </si>
  <si>
    <t>Md Rabiul Awal</t>
  </si>
  <si>
    <t>AKM Abdul Hamid</t>
  </si>
  <si>
    <t>Tangail-7</t>
  </si>
  <si>
    <t>Abul Kalam Azad Siddiqui</t>
  </si>
  <si>
    <t>Md Abdullah ibn Abul Hossain</t>
  </si>
  <si>
    <t>Tangail-8</t>
  </si>
  <si>
    <t>Ahmed Azam Khan</t>
  </si>
  <si>
    <t>Salahuddin Alamgir</t>
  </si>
  <si>
    <t>Kishoreganj-1</t>
  </si>
  <si>
    <t>Mazharul Islam</t>
  </si>
  <si>
    <t>Hedayatullah Hadi</t>
  </si>
  <si>
    <t>Kishoreganj-2</t>
  </si>
  <si>
    <t>Advocate Md. Jalal Uddin</t>
  </si>
  <si>
    <t>Md. Shafiul Islam</t>
  </si>
  <si>
    <t>Kishoreganj-3</t>
  </si>
  <si>
    <t>Osman Faruk</t>
  </si>
  <si>
    <t>Jehad Khan</t>
  </si>
  <si>
    <t>Kishoreganj-4</t>
  </si>
  <si>
    <t>Md. Fazlur Rahman</t>
  </si>
  <si>
    <t>Md. Rokan Reza Sheikh</t>
  </si>
  <si>
    <t>Kishoreganj-5</t>
  </si>
  <si>
    <t>Syed Ehsanul Huda</t>
  </si>
  <si>
    <t>Md Ramzan Ali</t>
  </si>
  <si>
    <t>Kishoreganj-6</t>
  </si>
  <si>
    <t>Md. Shariful Alam</t>
  </si>
  <si>
    <t>Ataullah Amin</t>
  </si>
  <si>
    <t>Manikganj-1</t>
  </si>
  <si>
    <t>SA Jinnah Kabir</t>
  </si>
  <si>
    <t>Md. Tozammel Haque</t>
  </si>
  <si>
    <t>Manikganj-2</t>
  </si>
  <si>
    <t>Moinul Islam Khan</t>
  </si>
  <si>
    <t>Md. Salah Uddin</t>
  </si>
  <si>
    <t>Manikganj-3</t>
  </si>
  <si>
    <t>Afroza Khanam Rita</t>
  </si>
  <si>
    <t>Muhammad Said Noor</t>
  </si>
  <si>
    <t>Munshiganj-1</t>
  </si>
  <si>
    <t>Md. Abdullah</t>
  </si>
  <si>
    <t>AKM Fakhruddin</t>
  </si>
  <si>
    <t>Munshiganj-2</t>
  </si>
  <si>
    <t>Abdus Salam Azad</t>
  </si>
  <si>
    <t>Majedul Islam</t>
  </si>
  <si>
    <t>Munshiganj-3</t>
  </si>
  <si>
    <t>Md. Kamruzzaman</t>
  </si>
  <si>
    <t>Mohiuddin</t>
  </si>
  <si>
    <t>Dhaka-1</t>
  </si>
  <si>
    <t>Khandaker Abu Ashfaq</t>
  </si>
  <si>
    <t>Dhaka-2</t>
  </si>
  <si>
    <t>Amanullah Aman</t>
  </si>
  <si>
    <t>Md. Abdul Haque</t>
  </si>
  <si>
    <t>Dhaka-3</t>
  </si>
  <si>
    <t>Gayeshwar Chandra Roy</t>
  </si>
  <si>
    <t>Md. Shahinur Islam</t>
  </si>
  <si>
    <t>Dhaka-4</t>
  </si>
  <si>
    <t>Syed Zainul Abedin</t>
  </si>
  <si>
    <t>Tanveer Ahmed</t>
  </si>
  <si>
    <t>Dhaka-5</t>
  </si>
  <si>
    <t>Mohammad Kamal Hossain</t>
  </si>
  <si>
    <t>Md Nabi Ulla</t>
  </si>
  <si>
    <t>Dhaka-6</t>
  </si>
  <si>
    <t>Ishraque Hossain</t>
  </si>
  <si>
    <t>Md. Abdul Mannan</t>
  </si>
  <si>
    <t>Dhaka-7</t>
  </si>
  <si>
    <t>Hamidur Rahman</t>
  </si>
  <si>
    <t>Md. Enayat Ulla</t>
  </si>
  <si>
    <t>Dhaka-8</t>
  </si>
  <si>
    <t>Mirza Abbas</t>
  </si>
  <si>
    <t>Nasiruddin Patwary</t>
  </si>
  <si>
    <t>Dhaka-9</t>
  </si>
  <si>
    <t>Habibur Rashid</t>
  </si>
  <si>
    <t>Mohammad Javed Mia</t>
  </si>
  <si>
    <t>Dhaka-10</t>
  </si>
  <si>
    <t>Sheikh Rabiul Alam</t>
  </si>
  <si>
    <t>Md. Jasim Uddin Sarkar</t>
  </si>
  <si>
    <t>Dhaka-11</t>
  </si>
  <si>
    <t>Nahid Islam</t>
  </si>
  <si>
    <t>M. A. Qayyum</t>
  </si>
  <si>
    <t>Dhaka-12</t>
  </si>
  <si>
    <t>Saiful Alam Khan Milon</t>
  </si>
  <si>
    <t>Saiful Haque</t>
  </si>
  <si>
    <t>BRWP</t>
  </si>
  <si>
    <t>Dhaka-13</t>
  </si>
  <si>
    <t>Bobby Hajjaj</t>
  </si>
  <si>
    <t>Mamunul Haque</t>
  </si>
  <si>
    <t>Dhaka-14</t>
  </si>
  <si>
    <t>Mir Ahmad Bin Quasem</t>
  </si>
  <si>
    <t>Sanjida Islam</t>
  </si>
  <si>
    <t>Dhaka-15</t>
  </si>
  <si>
    <t>Shafiqur Rahman</t>
  </si>
  <si>
    <t>Md. Shafiqul Islam Khan</t>
  </si>
  <si>
    <t>Dhaka-16</t>
  </si>
  <si>
    <t>Md. Abdul Baten</t>
  </si>
  <si>
    <t>Aminul Haque</t>
  </si>
  <si>
    <t>Dhaka-17</t>
  </si>
  <si>
    <t>S. M. Khaliduzzaman</t>
  </si>
  <si>
    <t>Dhaka-18</t>
  </si>
  <si>
    <t>SM Jahangir Hossain</t>
  </si>
  <si>
    <t>Ariful Islam</t>
  </si>
  <si>
    <t>Dhaka-19</t>
  </si>
  <si>
    <t>Dewan Md. Salauddin</t>
  </si>
  <si>
    <t>Dilshana Parul</t>
  </si>
  <si>
    <t>Dhaka-20</t>
  </si>
  <si>
    <t>Md. Tamiz Uddin</t>
  </si>
  <si>
    <t>Nabila Tasnid</t>
  </si>
  <si>
    <t>Gazipur-1</t>
  </si>
  <si>
    <t>Md. Mojibur Rahman</t>
  </si>
  <si>
    <t>Md. Shah Alam Bakshi</t>
  </si>
  <si>
    <t>Gazipur-2</t>
  </si>
  <si>
    <t>M. Manjurul Karim Roni</t>
  </si>
  <si>
    <t>Ali Nacher Khan</t>
  </si>
  <si>
    <t>Gazipur-3</t>
  </si>
  <si>
    <t>S. M. Rafiqul Islam</t>
  </si>
  <si>
    <t>Muhammad Ehsanul Haque</t>
  </si>
  <si>
    <t>Gazipur-4</t>
  </si>
  <si>
    <t>Salahuddin Aiyubi</t>
  </si>
  <si>
    <t>Shah Riazul Hannan</t>
  </si>
  <si>
    <t>Gazipur-5</t>
  </si>
  <si>
    <t>AKM Fazlul Haque Milon</t>
  </si>
  <si>
    <t>Md. Khairul Hasan</t>
  </si>
  <si>
    <t>Narsingdi-1</t>
  </si>
  <si>
    <t>Khairul Kabir Khokon</t>
  </si>
  <si>
    <t>Md. Ibrahim Bhuiyan</t>
  </si>
  <si>
    <t>Narsingdi-2</t>
  </si>
  <si>
    <t>Abdul Moyeen Khan</t>
  </si>
  <si>
    <t>Narsingdi-3</t>
  </si>
  <si>
    <t>Manzoor Elahi</t>
  </si>
  <si>
    <t>Md. Ariful Islam Mridha</t>
  </si>
  <si>
    <t>Narsingdi-4</t>
  </si>
  <si>
    <t>Sardar Shakhawat Hossain Bokul</t>
  </si>
  <si>
    <t>Md. Jahangir Alam</t>
  </si>
  <si>
    <t>Narsingdi-5</t>
  </si>
  <si>
    <t>Md. Ashraf Uddin</t>
  </si>
  <si>
    <t>Tajul Islam</t>
  </si>
  <si>
    <t>Narayanganj-1</t>
  </si>
  <si>
    <t>Mustafizur Rahman Bhuiyan</t>
  </si>
  <si>
    <t>Md. Anwar Hossain Molla</t>
  </si>
  <si>
    <t>Narayanganj-2</t>
  </si>
  <si>
    <t>Md. Nazrul Islam Azad</t>
  </si>
  <si>
    <t>Md Ilyach Molla</t>
  </si>
  <si>
    <t>Narayanganj-3</t>
  </si>
  <si>
    <t>Azharul Islam Mannan</t>
  </si>
  <si>
    <t>Md. Iqbal Hossain Bhuiyan</t>
  </si>
  <si>
    <t>Narayanganj-4</t>
  </si>
  <si>
    <t>Abdullah Al Amin</t>
  </si>
  <si>
    <t>Monir Hossain</t>
  </si>
  <si>
    <t>Narayanganj-5</t>
  </si>
  <si>
    <t>Abul Kalam</t>
  </si>
  <si>
    <t>ABM Sirajul Mamun</t>
  </si>
  <si>
    <t>Rajbari-1</t>
  </si>
  <si>
    <t>Ali Newaz Mahmud Khayyam</t>
  </si>
  <si>
    <t>Rajbari-2</t>
  </si>
  <si>
    <t>Md. Haroon-or-Rashid</t>
  </si>
  <si>
    <t>Jamil Hijazi</t>
  </si>
  <si>
    <t>Faridpur-1</t>
  </si>
  <si>
    <t>Md. Elias Molla</t>
  </si>
  <si>
    <t>Khandokar Nasirul Islam</t>
  </si>
  <si>
    <t>Faridpur-2</t>
  </si>
  <si>
    <t>Shama Obaed</t>
  </si>
  <si>
    <t>Md. Akram Ali</t>
  </si>
  <si>
    <t>Faridpur-3</t>
  </si>
  <si>
    <t>Nayab Yusuf Ahmed</t>
  </si>
  <si>
    <t>Md. Abdul Tawab</t>
  </si>
  <si>
    <t>Faridpur-4</t>
  </si>
  <si>
    <t>Md. Shahidul Islam</t>
  </si>
  <si>
    <t>Md. Sarwar Hossain</t>
  </si>
  <si>
    <t>Gopalganj-1</t>
  </si>
  <si>
    <t>Md. Selimuzzaman Molya</t>
  </si>
  <si>
    <t>Md. Kabir Miya</t>
  </si>
  <si>
    <t>Gopalganj-2</t>
  </si>
  <si>
    <t>KM Babar</t>
  </si>
  <si>
    <t>M. H. Khan Manju</t>
  </si>
  <si>
    <t>Gopalganj-3</t>
  </si>
  <si>
    <t>S. M. Jilani</t>
  </si>
  <si>
    <t>Gobinda Chandra Pramanik</t>
  </si>
  <si>
    <t>Madaripur-1</t>
  </si>
  <si>
    <t>Syed Uddin Ahmad Hanzala</t>
  </si>
  <si>
    <t>Nadira Akhter</t>
  </si>
  <si>
    <t>Madaripur-2</t>
  </si>
  <si>
    <t>Md. Jahandar Ali Mia</t>
  </si>
  <si>
    <t>Milton Baiddo</t>
  </si>
  <si>
    <t>Madaripur-3</t>
  </si>
  <si>
    <t>Anishur Rahman</t>
  </si>
  <si>
    <t>Md. Rafiqul Islam</t>
  </si>
  <si>
    <t>Shariatpur-1</t>
  </si>
  <si>
    <t>Sayeed Ahmed Aslam</t>
  </si>
  <si>
    <t>Jalaluddin Ahmad</t>
  </si>
  <si>
    <t>Shariatpur-2</t>
  </si>
  <si>
    <t>Md. Safiqur Rahman Kiran</t>
  </si>
  <si>
    <t>Mahmud Hossain</t>
  </si>
  <si>
    <t>Shariatpur-3</t>
  </si>
  <si>
    <t>Mia Nuruddin Ahmed Apu</t>
  </si>
  <si>
    <t>Muhammad Azharul Islam</t>
  </si>
  <si>
    <t>Sylhet</t>
  </si>
  <si>
    <t>Sunamganj-1</t>
  </si>
  <si>
    <t>Kamruzzaman Kamrul</t>
  </si>
  <si>
    <t>Tofail Ahmed</t>
  </si>
  <si>
    <t>Sunamganj-2</t>
  </si>
  <si>
    <t>Md. Nasir Chowdhury</t>
  </si>
  <si>
    <t>Mohammad Shishir Monir</t>
  </si>
  <si>
    <t>Sunamganj-3</t>
  </si>
  <si>
    <t>Mohammad Kaisar Ahmed</t>
  </si>
  <si>
    <t>Md. Anwar Hossain</t>
  </si>
  <si>
    <t>Sunamganj-4</t>
  </si>
  <si>
    <t>Nurul Islam</t>
  </si>
  <si>
    <t>Md. Shams Uddin</t>
  </si>
  <si>
    <t>Sunamganj-5</t>
  </si>
  <si>
    <t>Kalim Uddin Ahmed</t>
  </si>
  <si>
    <t>Abu Tahir Muhammad Abdus Salam</t>
  </si>
  <si>
    <t>Sylhet-1</t>
  </si>
  <si>
    <t>Khandakar Abdul Muktadir</t>
  </si>
  <si>
    <t>Maulana Habibur Rahman</t>
  </si>
  <si>
    <t>Sylhet-2</t>
  </si>
  <si>
    <t>Tahsina Rushdir Luna</t>
  </si>
  <si>
    <t>Muhammad Muntasir Ali</t>
  </si>
  <si>
    <t>Sylhet-3</t>
  </si>
  <si>
    <t>Mohammad Abdul Malik</t>
  </si>
  <si>
    <t>Musleh Uddin Raju</t>
  </si>
  <si>
    <t>Sylhet-4</t>
  </si>
  <si>
    <t>Ariful Haque Chowdhury</t>
  </si>
  <si>
    <t>Md Zainal Abedin</t>
  </si>
  <si>
    <t>Sylhet-5</t>
  </si>
  <si>
    <t>Mohammad Abul Hasan</t>
  </si>
  <si>
    <t>Ubaidullah Faruk</t>
  </si>
  <si>
    <t>Sylhet-6</t>
  </si>
  <si>
    <t>Emran Ahmed Chowdhury</t>
  </si>
  <si>
    <t>Mohammad Selim Uddin</t>
  </si>
  <si>
    <t>Moulvibazar-1</t>
  </si>
  <si>
    <t>Nasir Uddin Ahmed</t>
  </si>
  <si>
    <t>Mohammad Aminul Islam</t>
  </si>
  <si>
    <t>Moulvibazar-2</t>
  </si>
  <si>
    <t>Shawkat Hossain Saku</t>
  </si>
  <si>
    <t>Md. Syed Ali</t>
  </si>
  <si>
    <t>Moulvibazar-3</t>
  </si>
  <si>
    <t>Nasser Rahman</t>
  </si>
  <si>
    <t>Moulvibazar-4</t>
  </si>
  <si>
    <t>Md. Mujibur Rahman Chowdhury</t>
  </si>
  <si>
    <t>Sheikh Noor-e-Alam Hamidi</t>
  </si>
  <si>
    <t>Habiganj-1</t>
  </si>
  <si>
    <t>Reza Kibria</t>
  </si>
  <si>
    <t>Maulana Sirajul Islam</t>
  </si>
  <si>
    <t>Habiganj-2</t>
  </si>
  <si>
    <t>Abu Mansoor Sakhawat Hasan</t>
  </si>
  <si>
    <t>Abdul Basit Azad</t>
  </si>
  <si>
    <t>Habiganj-3</t>
  </si>
  <si>
    <t>G. K. Gouse</t>
  </si>
  <si>
    <t>Qazi Mohsin Ahmad</t>
  </si>
  <si>
    <t>Habiganj-4</t>
  </si>
  <si>
    <t>S. M. Faisal</t>
  </si>
  <si>
    <t>Md Ghiyas Uddin</t>
  </si>
  <si>
    <t>BIF</t>
  </si>
  <si>
    <t>Chittagong</t>
  </si>
  <si>
    <t>Brahmanbaria-1</t>
  </si>
  <si>
    <t>M. A. Hannan</t>
  </si>
  <si>
    <t>A. K. M. Aminul Islam</t>
  </si>
  <si>
    <t>Brahmanbaria-2</t>
  </si>
  <si>
    <t>Rumeen Farhana</t>
  </si>
  <si>
    <t>Mohammad Junaid Al Habib</t>
  </si>
  <si>
    <t>Brahmanbaria-3</t>
  </si>
  <si>
    <t>Md. Khaled Hossain Mahbub</t>
  </si>
  <si>
    <t>Md. Ataullah</t>
  </si>
  <si>
    <t>Brahmanbaria-4</t>
  </si>
  <si>
    <t>Mushfiqur Rahman</t>
  </si>
  <si>
    <t>Md. Ataur Rahman Sarkar</t>
  </si>
  <si>
    <t>Brahmanbaria-5</t>
  </si>
  <si>
    <t>Md. Abdul Mannan[disambiguation needed]</t>
  </si>
  <si>
    <t>Kazi Nazmul Hossain</t>
  </si>
  <si>
    <t>Brahmanbaria-6</t>
  </si>
  <si>
    <t>Zonayed Saki</t>
  </si>
  <si>
    <t>GSA</t>
  </si>
  <si>
    <t>Md. Mohsin</t>
  </si>
  <si>
    <t>Comilla-1</t>
  </si>
  <si>
    <t>Khandkar Mosharraf Hossain</t>
  </si>
  <si>
    <t>Comilla-2</t>
  </si>
  <si>
    <t>Md. Abdul Matin</t>
  </si>
  <si>
    <t>Comilla-3</t>
  </si>
  <si>
    <t>Kazi Shah Mofazzal Hossain Kaikobad</t>
  </si>
  <si>
    <t>Md. Yusuf Sohail</t>
  </si>
  <si>
    <t>Comilla-4</t>
  </si>
  <si>
    <t>Hasnat Abdullah</t>
  </si>
  <si>
    <t>Md. Jasim Uddin</t>
  </si>
  <si>
    <t>Comilla-5</t>
  </si>
  <si>
    <t>Md. Jashim Uddin</t>
  </si>
  <si>
    <t>Mubarak Hossain</t>
  </si>
  <si>
    <t>Comilla-6</t>
  </si>
  <si>
    <t>Monirul Haq Chowdhury</t>
  </si>
  <si>
    <t>Qazi Deen Mohammad</t>
  </si>
  <si>
    <t>Comilla-7</t>
  </si>
  <si>
    <t>Atikul Alam Shawon</t>
  </si>
  <si>
    <t>Redwan Ahmed</t>
  </si>
  <si>
    <t>Comilla-8</t>
  </si>
  <si>
    <t>Zakaria Taher Sumon</t>
  </si>
  <si>
    <t>Md. Shafiqul Alam Helal</t>
  </si>
  <si>
    <t>Comilla-9</t>
  </si>
  <si>
    <t>Md. Abul Kalam</t>
  </si>
  <si>
    <t>AKM Sarwar Uddin Siddiqui</t>
  </si>
  <si>
    <t>Comilla-10</t>
  </si>
  <si>
    <t>Md. Mobaswer Alam Bhuiyan</t>
  </si>
  <si>
    <t>Mohammad Ibrahim Abrar</t>
  </si>
  <si>
    <t>Comilla-11</t>
  </si>
  <si>
    <t>Syed Abdullah Muhammad Taher</t>
  </si>
  <si>
    <t>Md. Kamrul Huda</t>
  </si>
  <si>
    <t>Chandpur-1</t>
  </si>
  <si>
    <t>A. N. M. Ehsanul Hoque Milan</t>
  </si>
  <si>
    <t>Abu Nashar Maqbool Ahmad</t>
  </si>
  <si>
    <t>Chandpur-2</t>
  </si>
  <si>
    <t>Md. Jalal Uddin</t>
  </si>
  <si>
    <t>Md. Bilal Hossain</t>
  </si>
  <si>
    <t>Chandpur-3</t>
  </si>
  <si>
    <t>Sheikh Farid Ahmed</t>
  </si>
  <si>
    <t>Chandpur-4</t>
  </si>
  <si>
    <t>Md. Abdul Hannan</t>
  </si>
  <si>
    <t>Md. Harunur Rashid</t>
  </si>
  <si>
    <t>Chandpur-5</t>
  </si>
  <si>
    <t>Md. Mominul Haque</t>
  </si>
  <si>
    <t>Md. Neyamul Bashir</t>
  </si>
  <si>
    <t>Feni-1</t>
  </si>
  <si>
    <t>Rafiqul Alam Majnu</t>
  </si>
  <si>
    <t>SM Kamaluddin</t>
  </si>
  <si>
    <t>Feni-2</t>
  </si>
  <si>
    <t>Joynal Abedin</t>
  </si>
  <si>
    <t>Mojibur Rahman Bhuiyan Monju</t>
  </si>
  <si>
    <t>Feni-3</t>
  </si>
  <si>
    <t>Abdul Awal Mintoo</t>
  </si>
  <si>
    <t>Mohammad Fakhruddin</t>
  </si>
  <si>
    <t>Noakhali-1</t>
  </si>
  <si>
    <t>Mahbub Uddin Khokon</t>
  </si>
  <si>
    <t>Md. Saif Ullah</t>
  </si>
  <si>
    <t>Noakhali-2</t>
  </si>
  <si>
    <t>Zainul Abdin Farroque</t>
  </si>
  <si>
    <t>Sultan Muhammad Zakaria Majumdar</t>
  </si>
  <si>
    <t>Noakhali-3</t>
  </si>
  <si>
    <t>Barkat Ullah Bulu</t>
  </si>
  <si>
    <t>Md. Borhan Uddin</t>
  </si>
  <si>
    <t>Noakhali-4</t>
  </si>
  <si>
    <t>Md. Shahjahan</t>
  </si>
  <si>
    <t>Md. Ishaq Khandkar</t>
  </si>
  <si>
    <t>Noakhali-5</t>
  </si>
  <si>
    <t>Mohammad Fakhrul Islam</t>
  </si>
  <si>
    <t>Mohammad Belayet Hossain</t>
  </si>
  <si>
    <t>Noakhali-6</t>
  </si>
  <si>
    <t>Abdul Hannan Masud</t>
  </si>
  <si>
    <t>Mohammad Mahbuber Rahman</t>
  </si>
  <si>
    <t>Lakshmipur-1</t>
  </si>
  <si>
    <t>Md. Shahadat Hossain</t>
  </si>
  <si>
    <t>Md. Mahbub Alam</t>
  </si>
  <si>
    <t>Lakshmipur-2</t>
  </si>
  <si>
    <t>Md. Abul Khair Bhuiyan</t>
  </si>
  <si>
    <t>S. U. M. Ruhul Amin Bhuiyan</t>
  </si>
  <si>
    <t>Lakshmipur-3</t>
  </si>
  <si>
    <t>Shahid Uddin Chowdhury Anee</t>
  </si>
  <si>
    <t>Md. Rezaul Karim</t>
  </si>
  <si>
    <t>Lakshmipur-4</t>
  </si>
  <si>
    <t>A. B. M. Ashraf Uddin Nijan</t>
  </si>
  <si>
    <t>Md. Ashraful Rahman Hafizulya</t>
  </si>
  <si>
    <t>Chittagong-1</t>
  </si>
  <si>
    <t>Nurul Amin</t>
  </si>
  <si>
    <t>Mohammad Shaifur Rahman</t>
  </si>
  <si>
    <t>Chittagong-2</t>
  </si>
  <si>
    <t>Result withhold by Bangladesh Supreme Court.[211]</t>
  </si>
  <si>
    <t>Chittagong-3</t>
  </si>
  <si>
    <t>Mostafa Kamal Pasha</t>
  </si>
  <si>
    <t>Mohammad Alauddin Sikder</t>
  </si>
  <si>
    <t>Chittagong-4</t>
  </si>
  <si>
    <t>Chittagong-5</t>
  </si>
  <si>
    <t>Mir Mohammad Helal Uddin</t>
  </si>
  <si>
    <t>Md. Nasir Uddin</t>
  </si>
  <si>
    <t>Chittagong-6</t>
  </si>
  <si>
    <t>Giasuddin Quader Chowdhury</t>
  </si>
  <si>
    <t>Mohammad Ilias Nuri</t>
  </si>
  <si>
    <t>Chittagong-7</t>
  </si>
  <si>
    <t>Humam Quader Chowdhury</t>
  </si>
  <si>
    <t>ATM Rezaul Karim</t>
  </si>
  <si>
    <t>Chittagong-8</t>
  </si>
  <si>
    <t>Ershad Ullah</t>
  </si>
  <si>
    <t>Md. Abu Nasser</t>
  </si>
  <si>
    <t>Chittagong-9</t>
  </si>
  <si>
    <t>Mohammad Abu Sufian</t>
  </si>
  <si>
    <t>Dr. AKM Fazlul Haque</t>
  </si>
  <si>
    <t>Chittagong-10</t>
  </si>
  <si>
    <t>Sayeed Al Noman</t>
  </si>
  <si>
    <t>Muhammad Shamsuzzaman Helaly</t>
  </si>
  <si>
    <t>Chittagong-11</t>
  </si>
  <si>
    <t>Amir Khasru Mahmud Chowdhury</t>
  </si>
  <si>
    <t>Mohammad Shafiul Alam</t>
  </si>
  <si>
    <t>Chittagong-12</t>
  </si>
  <si>
    <t>Mohammad Enamul Haque</t>
  </si>
  <si>
    <t>Syed Air Mohammad Payaru</t>
  </si>
  <si>
    <t>Chittagong-13</t>
  </si>
  <si>
    <t>Sarwar Jamal Nizam</t>
  </si>
  <si>
    <t>S. M. Shah Jahan</t>
  </si>
  <si>
    <t>Chittagong-14</t>
  </si>
  <si>
    <t>Jashim Uddin Ahammed</t>
  </si>
  <si>
    <t>Omar Farooq</t>
  </si>
  <si>
    <t>Chittagong-15</t>
  </si>
  <si>
    <t>Shajahan Chowdhury</t>
  </si>
  <si>
    <t>Nazmul Mustafa Amin</t>
  </si>
  <si>
    <t>Chittagong-16</t>
  </si>
  <si>
    <t>Mohammad Zahirul Islam</t>
  </si>
  <si>
    <t>Miskatul Islam Chowdhury</t>
  </si>
  <si>
    <t>Cox's Bazar-1</t>
  </si>
  <si>
    <t>Salahuddin Ahmed</t>
  </si>
  <si>
    <t>Abdullah Al Farooq</t>
  </si>
  <si>
    <t>Cox's Bazar-2</t>
  </si>
  <si>
    <t>Alamgir Mahfuzullah Farid</t>
  </si>
  <si>
    <t>A. H. M. Hamidur Rahman Azad</t>
  </si>
  <si>
    <t>Cox's Bazar-3</t>
  </si>
  <si>
    <t>Lutfur Rahman Kajal</t>
  </si>
  <si>
    <t>Shahidul Alam</t>
  </si>
  <si>
    <t>Cox's Bazar-4</t>
  </si>
  <si>
    <t>Shahjahan Chowdhury</t>
  </si>
  <si>
    <t>Noor Ahmad Anwari</t>
  </si>
  <si>
    <t>Khagrachhari</t>
  </si>
  <si>
    <t>Wadud Bhuiyan</t>
  </si>
  <si>
    <t>Dharma Jyoti Chakma</t>
  </si>
  <si>
    <t>Rangamati</t>
  </si>
  <si>
    <t>Dipen Dewan</t>
  </si>
  <si>
    <t>Pahel Chakma</t>
  </si>
  <si>
    <t>Bandarban</t>
  </si>
  <si>
    <t>Saching Prue Jerry</t>
  </si>
  <si>
    <t>Abu Saeed Md. Suja Uddin</t>
  </si>
  <si>
    <t>Party_binary</t>
  </si>
  <si>
    <t>Upazila</t>
  </si>
  <si>
    <t>District</t>
  </si>
  <si>
    <t>Panchagarh Sadar</t>
  </si>
  <si>
    <t>Panchagarh</t>
  </si>
  <si>
    <t>Tetulia</t>
  </si>
  <si>
    <t>Atwari</t>
  </si>
  <si>
    <t>Boda</t>
  </si>
  <si>
    <t>Debiganj</t>
  </si>
  <si>
    <t>Thakurgaon Sadar</t>
  </si>
  <si>
    <t>Thakurgaon</t>
  </si>
  <si>
    <t>Baliadangi</t>
  </si>
  <si>
    <t>Haripur</t>
  </si>
  <si>
    <t>Pirganj</t>
  </si>
  <si>
    <t>Ranisankail</t>
  </si>
  <si>
    <t xml:space="preserve">Ranisankail </t>
  </si>
  <si>
    <t>Birganj</t>
  </si>
  <si>
    <t>Dinajpur</t>
  </si>
  <si>
    <t>Kaharole</t>
  </si>
  <si>
    <t>Biral</t>
  </si>
  <si>
    <t>Bochaganj</t>
  </si>
  <si>
    <t>Dinajpur Sadar</t>
  </si>
  <si>
    <t>Khansama</t>
  </si>
  <si>
    <t>Chirirbandar</t>
  </si>
  <si>
    <t>Parbatipur</t>
  </si>
  <si>
    <t>Phulbari</t>
  </si>
  <si>
    <t>Hakimpur</t>
  </si>
  <si>
    <t>Nawabganj</t>
  </si>
  <si>
    <t>Ghoraghat</t>
  </si>
  <si>
    <t>Dimla</t>
  </si>
  <si>
    <t>Nilphamari</t>
  </si>
  <si>
    <t>Jaldhaka</t>
  </si>
  <si>
    <t>Nilphamari Sadar</t>
  </si>
  <si>
    <t>Kishoreganj</t>
  </si>
  <si>
    <t>Saidpur</t>
  </si>
  <si>
    <t>Syedpur</t>
  </si>
  <si>
    <t>Patgram</t>
  </si>
  <si>
    <t>Lalmonirhat</t>
  </si>
  <si>
    <t>Hatibandha</t>
  </si>
  <si>
    <t>Lalmonirhat Sadar</t>
  </si>
  <si>
    <t>Kaliganj</t>
  </si>
  <si>
    <t>Aditmari</t>
  </si>
  <si>
    <t>Gangachara</t>
  </si>
  <si>
    <t>Rangpur Sadar</t>
  </si>
  <si>
    <t>Badarganj</t>
  </si>
  <si>
    <t>Taraganj</t>
  </si>
  <si>
    <t>Rangpur City Corporation</t>
  </si>
  <si>
    <t>Pirgachha</t>
  </si>
  <si>
    <t>Kaunia</t>
  </si>
  <si>
    <t>Mithapukur</t>
  </si>
  <si>
    <t>Bhurungamari</t>
  </si>
  <si>
    <t>Kurigram</t>
  </si>
  <si>
    <t>Nageshwari</t>
  </si>
  <si>
    <t>Fulbari</t>
  </si>
  <si>
    <t>Rajarhat</t>
  </si>
  <si>
    <t>Kurigram Sadar</t>
  </si>
  <si>
    <t>Ulipur</t>
  </si>
  <si>
    <t>Chilmari</t>
  </si>
  <si>
    <t>Roumari</t>
  </si>
  <si>
    <t>Rajibpur</t>
  </si>
  <si>
    <t>Sundarganj</t>
  </si>
  <si>
    <t>Gaibandha</t>
  </si>
  <si>
    <t>Sadullapur</t>
  </si>
  <si>
    <t>Palashbari</t>
  </si>
  <si>
    <t>Gaibandha Sadar</t>
  </si>
  <si>
    <t>Gobindaganj</t>
  </si>
  <si>
    <t>Saghata</t>
  </si>
  <si>
    <t>Phulchhari</t>
  </si>
  <si>
    <t>Joypurhat Sadar</t>
  </si>
  <si>
    <t>Joypurhat</t>
  </si>
  <si>
    <t>Panchbibi</t>
  </si>
  <si>
    <t>Akkelpur</t>
  </si>
  <si>
    <t>Kalai</t>
  </si>
  <si>
    <t>Khetlal</t>
  </si>
  <si>
    <t>Bogura-1</t>
  </si>
  <si>
    <t>Sariakandi</t>
  </si>
  <si>
    <t>Bogura</t>
  </si>
  <si>
    <t>Sonatala</t>
  </si>
  <si>
    <t>Bogura-2</t>
  </si>
  <si>
    <t>Shibganj</t>
  </si>
  <si>
    <t>Bogura-3</t>
  </si>
  <si>
    <t>Bogura Sadar</t>
  </si>
  <si>
    <t>Bogura-4</t>
  </si>
  <si>
    <t>Kahalu</t>
  </si>
  <si>
    <t>Nandigram</t>
  </si>
  <si>
    <t>Bogura-5</t>
  </si>
  <si>
    <t>Dhunat</t>
  </si>
  <si>
    <t>Sherpur</t>
  </si>
  <si>
    <t>Bogura-6</t>
  </si>
  <si>
    <t>Shajahanpur</t>
  </si>
  <si>
    <t>Bogura-7</t>
  </si>
  <si>
    <t>Gabtali</t>
  </si>
  <si>
    <t>Chapainawabganj-1</t>
  </si>
  <si>
    <t>Chapainawabganj</t>
  </si>
  <si>
    <t>Chapainawabganj-2</t>
  </si>
  <si>
    <t>Nachole</t>
  </si>
  <si>
    <t>Gomastapur</t>
  </si>
  <si>
    <t>Bholahat</t>
  </si>
  <si>
    <t>Chapainawabganj-3</t>
  </si>
  <si>
    <t>Chapainawabganj Sadar</t>
  </si>
  <si>
    <t>Sapahar</t>
  </si>
  <si>
    <t>Naogaon</t>
  </si>
  <si>
    <t>Porsha</t>
  </si>
  <si>
    <t>Niamatpur</t>
  </si>
  <si>
    <t>Patnitala</t>
  </si>
  <si>
    <t>Dhamoirhat</t>
  </si>
  <si>
    <t>Mahadebpur</t>
  </si>
  <si>
    <t>Badalgachhi</t>
  </si>
  <si>
    <t>Manda</t>
  </si>
  <si>
    <t>Naogaon Sadar</t>
  </si>
  <si>
    <t>Raninagar</t>
  </si>
  <si>
    <t>Atrai</t>
  </si>
  <si>
    <t>Godagari</t>
  </si>
  <si>
    <t>Tanor</t>
  </si>
  <si>
    <t>Rajshahi City Corporation</t>
  </si>
  <si>
    <t>Paba</t>
  </si>
  <si>
    <t>Mohanpur</t>
  </si>
  <si>
    <t>Bagmara</t>
  </si>
  <si>
    <t>Durgapur</t>
  </si>
  <si>
    <t>Puthia</t>
  </si>
  <si>
    <t>Bagha</t>
  </si>
  <si>
    <t>Charghat</t>
  </si>
  <si>
    <t>Lalpur</t>
  </si>
  <si>
    <t>Natore</t>
  </si>
  <si>
    <t>Bagatipara</t>
  </si>
  <si>
    <t>Natore Sadar</t>
  </si>
  <si>
    <t>Singra</t>
  </si>
  <si>
    <t>Gurudaspur</t>
  </si>
  <si>
    <t>Baraigram</t>
  </si>
  <si>
    <t>Kazipur</t>
  </si>
  <si>
    <t>Sirajganj</t>
  </si>
  <si>
    <t>Sirajganj Sadar</t>
  </si>
  <si>
    <t>Kamarkhanda</t>
  </si>
  <si>
    <t>Raiganj</t>
  </si>
  <si>
    <t>Tarash</t>
  </si>
  <si>
    <t>Ullahpara</t>
  </si>
  <si>
    <t>Belkuchi</t>
  </si>
  <si>
    <t>Chauhali</t>
  </si>
  <si>
    <t>Enayetpur</t>
  </si>
  <si>
    <t>Shahjadpur</t>
  </si>
  <si>
    <t>Santhia</t>
  </si>
  <si>
    <t>Pabna</t>
  </si>
  <si>
    <t>Bera</t>
  </si>
  <si>
    <t>Sujanagar</t>
  </si>
  <si>
    <t>Pabna Sadar</t>
  </si>
  <si>
    <t>Chatmohar</t>
  </si>
  <si>
    <t>Faridpur</t>
  </si>
  <si>
    <t>Bhangura</t>
  </si>
  <si>
    <t>Ishwardi</t>
  </si>
  <si>
    <t>Atgharia</t>
  </si>
  <si>
    <t>Meherpur Sadar</t>
  </si>
  <si>
    <t>Meherpur</t>
  </si>
  <si>
    <t>Gangni</t>
  </si>
  <si>
    <t>Mujibnagar</t>
  </si>
  <si>
    <t>Daulatpur</t>
  </si>
  <si>
    <t>Kushtia</t>
  </si>
  <si>
    <t>Mirpur</t>
  </si>
  <si>
    <t>Bheramara</t>
  </si>
  <si>
    <t>Kumarkhali</t>
  </si>
  <si>
    <t>Kushtia Sadar</t>
  </si>
  <si>
    <t>Khoksa</t>
  </si>
  <si>
    <t>Chuadanga Sadar</t>
  </si>
  <si>
    <t>Chuadanga</t>
  </si>
  <si>
    <t>Alamdanga</t>
  </si>
  <si>
    <t>Damurhuda</t>
  </si>
  <si>
    <t>Jibannagar</t>
  </si>
  <si>
    <t>Shailkupa</t>
  </si>
  <si>
    <t>Jhenaidah</t>
  </si>
  <si>
    <t>Harinakunda</t>
  </si>
  <si>
    <t>Jhenaidah Sadar</t>
  </si>
  <si>
    <t>Kotchandpur</t>
  </si>
  <si>
    <t>Maheshpur</t>
  </si>
  <si>
    <t>Sharsha</t>
  </si>
  <si>
    <t>Jessore</t>
  </si>
  <si>
    <t>Bagherpara</t>
  </si>
  <si>
    <t>Chaugachha</t>
  </si>
  <si>
    <t>Jhikargacha</t>
  </si>
  <si>
    <t>Jessore Sadar</t>
  </si>
  <si>
    <t>Abhaynagar</t>
  </si>
  <si>
    <t>Monirampur</t>
  </si>
  <si>
    <t>Keshabpur</t>
  </si>
  <si>
    <t>Magura Sadar</t>
  </si>
  <si>
    <t>Magura</t>
  </si>
  <si>
    <t>Sreepur</t>
  </si>
  <si>
    <t>Mohammadpur</t>
  </si>
  <si>
    <t>Shalikha</t>
  </si>
  <si>
    <t>Narail Sadar</t>
  </si>
  <si>
    <t>Narail</t>
  </si>
  <si>
    <t>Kalia</t>
  </si>
  <si>
    <t>Lohagara</t>
  </si>
  <si>
    <t>Fakirhat</t>
  </si>
  <si>
    <t>Bagerhat</t>
  </si>
  <si>
    <t>Mollahat</t>
  </si>
  <si>
    <t>Chitalmari</t>
  </si>
  <si>
    <t>Bagerhat Sadar</t>
  </si>
  <si>
    <t>Kachua</t>
  </si>
  <si>
    <t>Rampal</t>
  </si>
  <si>
    <t>Mongla</t>
  </si>
  <si>
    <t>Morrelganj</t>
  </si>
  <si>
    <t>Sharankhola</t>
  </si>
  <si>
    <t>Dacope</t>
  </si>
  <si>
    <t>Paikgachha</t>
  </si>
  <si>
    <t>Koyra</t>
  </si>
  <si>
    <t>Batiaghata</t>
  </si>
  <si>
    <t>Terokhada</t>
  </si>
  <si>
    <t>Khulna City Corporation</t>
  </si>
  <si>
    <t>Rupsa</t>
  </si>
  <si>
    <t>Dighalia</t>
  </si>
  <si>
    <t>Phultala</t>
  </si>
  <si>
    <t>Dumuria</t>
  </si>
  <si>
    <t>Khalishpur</t>
  </si>
  <si>
    <t>Tala</t>
  </si>
  <si>
    <t>Satkhira</t>
  </si>
  <si>
    <t>Kalaroa</t>
  </si>
  <si>
    <t>Satkhira Sadar</t>
  </si>
  <si>
    <t>Assasuni</t>
  </si>
  <si>
    <t>Debhata</t>
  </si>
  <si>
    <t>Shyamnagar</t>
  </si>
  <si>
    <t>Barguna Sadar</t>
  </si>
  <si>
    <t>Barguna</t>
  </si>
  <si>
    <t>Amtali</t>
  </si>
  <si>
    <t>Taltali</t>
  </si>
  <si>
    <t>Patharghata</t>
  </si>
  <si>
    <t>Bamna</t>
  </si>
  <si>
    <t>Patuakhali Sadar</t>
  </si>
  <si>
    <t>Patuakhali</t>
  </si>
  <si>
    <t>Dumki</t>
  </si>
  <si>
    <t>Bauphal</t>
  </si>
  <si>
    <t>Galachipa</t>
  </si>
  <si>
    <t>Dashmina</t>
  </si>
  <si>
    <t>Kalapara</t>
  </si>
  <si>
    <t>Rangabali</t>
  </si>
  <si>
    <t>Bhola Sadar</t>
  </si>
  <si>
    <t>Bhola</t>
  </si>
  <si>
    <t>Borhanuddin</t>
  </si>
  <si>
    <t>Daulatkhan</t>
  </si>
  <si>
    <t>Lalmohan</t>
  </si>
  <si>
    <t>Tazumuddin</t>
  </si>
  <si>
    <t>Char Fasson</t>
  </si>
  <si>
    <t>Barishal-1</t>
  </si>
  <si>
    <t>Gournadi</t>
  </si>
  <si>
    <t>Agailjhara</t>
  </si>
  <si>
    <t>Barishal-2</t>
  </si>
  <si>
    <t>Uzirpur</t>
  </si>
  <si>
    <t>Banaripara</t>
  </si>
  <si>
    <t>Barishal-3</t>
  </si>
  <si>
    <t>Barishal Sadar</t>
  </si>
  <si>
    <t>Barishal-4</t>
  </si>
  <si>
    <t>Mehendiganj</t>
  </si>
  <si>
    <t>Barishal-5</t>
  </si>
  <si>
    <t>Bakerganj</t>
  </si>
  <si>
    <t>Barishal-6</t>
  </si>
  <si>
    <t>Muladi</t>
  </si>
  <si>
    <t>Hizla</t>
  </si>
  <si>
    <t>Jhalokati Sadar</t>
  </si>
  <si>
    <t>Jhalokati</t>
  </si>
  <si>
    <t>Nalchity</t>
  </si>
  <si>
    <t>Rajapur</t>
  </si>
  <si>
    <t>Kathalia</t>
  </si>
  <si>
    <t>Pirojpur Sadar</t>
  </si>
  <si>
    <t>Pirojpur</t>
  </si>
  <si>
    <t>Nazirpur</t>
  </si>
  <si>
    <t>Indurkani</t>
  </si>
  <si>
    <t>Bhandaria</t>
  </si>
  <si>
    <t>Kawkhali</t>
  </si>
  <si>
    <t>Mathbaria</t>
  </si>
  <si>
    <t>Dewanganj</t>
  </si>
  <si>
    <t>Jamalpur</t>
  </si>
  <si>
    <t>Bakshiganj</t>
  </si>
  <si>
    <t>Islampur</t>
  </si>
  <si>
    <t>Jamalpur Sadar</t>
  </si>
  <si>
    <t>Sarishabari</t>
  </si>
  <si>
    <t>Melandaha</t>
  </si>
  <si>
    <t>Madarganj</t>
  </si>
  <si>
    <t>Haluaghat</t>
  </si>
  <si>
    <t>Dhobaura</t>
  </si>
  <si>
    <t>Phulpur</t>
  </si>
  <si>
    <t>Gauripur</t>
  </si>
  <si>
    <t>Mymensingh Sadar</t>
  </si>
  <si>
    <t>Muktagachha</t>
  </si>
  <si>
    <t>Fulbaria</t>
  </si>
  <si>
    <t>Trishal</t>
  </si>
  <si>
    <t>Ishwarganj</t>
  </si>
  <si>
    <t>Nandail</t>
  </si>
  <si>
    <t>Gaffargaon</t>
  </si>
  <si>
    <t>Bhaluka</t>
  </si>
  <si>
    <t>Netrokona</t>
  </si>
  <si>
    <t>Khaliajuri</t>
  </si>
  <si>
    <t>Barhatta</t>
  </si>
  <si>
    <t>Netrokona Sadar</t>
  </si>
  <si>
    <t>Atpara</t>
  </si>
  <si>
    <t>Kendua</t>
  </si>
  <si>
    <t>Madan</t>
  </si>
  <si>
    <t>Mohanganj</t>
  </si>
  <si>
    <t>Purbadhala</t>
  </si>
  <si>
    <t>Madhupur</t>
  </si>
  <si>
    <t>Tangail</t>
  </si>
  <si>
    <t>Dhanbari</t>
  </si>
  <si>
    <t>Gopalpur</t>
  </si>
  <si>
    <t>Bhuapur</t>
  </si>
  <si>
    <t>Ghatail</t>
  </si>
  <si>
    <t>Kalihati</t>
  </si>
  <si>
    <t>Tangail Sadar</t>
  </si>
  <si>
    <t>Delduar</t>
  </si>
  <si>
    <t>Nagarpur</t>
  </si>
  <si>
    <t>Mirzapur</t>
  </si>
  <si>
    <t>Sakhipur</t>
  </si>
  <si>
    <t>Itna</t>
  </si>
  <si>
    <t>Mithamain</t>
  </si>
  <si>
    <t>Austagram</t>
  </si>
  <si>
    <t>Katiadi</t>
  </si>
  <si>
    <t>Karimganj</t>
  </si>
  <si>
    <t>Tarail</t>
  </si>
  <si>
    <t>Kishoreganj Sadar</t>
  </si>
  <si>
    <t>Hossainpur</t>
  </si>
  <si>
    <t>Bajitpur</t>
  </si>
  <si>
    <t>Nikli</t>
  </si>
  <si>
    <t>Bhairab</t>
  </si>
  <si>
    <t>Ghior</t>
  </si>
  <si>
    <t>Manikganj</t>
  </si>
  <si>
    <t>Shibalaya</t>
  </si>
  <si>
    <t>Singair</t>
  </si>
  <si>
    <t>Harirampur</t>
  </si>
  <si>
    <t>Manikganj Sadar</t>
  </si>
  <si>
    <t>Saturia</t>
  </si>
  <si>
    <t>Sreenagar</t>
  </si>
  <si>
    <t>Munshiganj</t>
  </si>
  <si>
    <t>Sirajdikhan</t>
  </si>
  <si>
    <t>Louhajang</t>
  </si>
  <si>
    <t>Tongibari</t>
  </si>
  <si>
    <t>Munshiganj Sadar</t>
  </si>
  <si>
    <t>Gazaria</t>
  </si>
  <si>
    <t>Dohar</t>
  </si>
  <si>
    <t>Keraniganj</t>
  </si>
  <si>
    <t>Sutrapur</t>
  </si>
  <si>
    <t>Kotwali</t>
  </si>
  <si>
    <t>Demra</t>
  </si>
  <si>
    <t>Motijheel</t>
  </si>
  <si>
    <t>Lalbagh</t>
  </si>
  <si>
    <t>Ramna</t>
  </si>
  <si>
    <t>Khilgaon</t>
  </si>
  <si>
    <t>Dhanmondi</t>
  </si>
  <si>
    <t>Gulshan</t>
  </si>
  <si>
    <t>Adabor</t>
  </si>
  <si>
    <t>Pallabi</t>
  </si>
  <si>
    <t>Kafrul</t>
  </si>
  <si>
    <t>Cantonment</t>
  </si>
  <si>
    <t>Uttara</t>
  </si>
  <si>
    <t>Savar</t>
  </si>
  <si>
    <t>Dhamrai</t>
  </si>
  <si>
    <t>Gazipur</t>
  </si>
  <si>
    <t>Kaliakair</t>
  </si>
  <si>
    <t>Kapasia</t>
  </si>
  <si>
    <t>Gazipur Sadar</t>
  </si>
  <si>
    <t>Narsingdi Sadar</t>
  </si>
  <si>
    <t>Narsingdi</t>
  </si>
  <si>
    <t>Palash</t>
  </si>
  <si>
    <t>Shibpur</t>
  </si>
  <si>
    <t>Belabo</t>
  </si>
  <si>
    <t>Monohardi</t>
  </si>
  <si>
    <t>Raipura</t>
  </si>
  <si>
    <t>Rupganj</t>
  </si>
  <si>
    <t>Narayanganj</t>
  </si>
  <si>
    <t>Araihazar</t>
  </si>
  <si>
    <t>Sonargaon</t>
  </si>
  <si>
    <t>Fatullah</t>
  </si>
  <si>
    <t>Narayanganj Sadar</t>
  </si>
  <si>
    <t>Pangsha</t>
  </si>
  <si>
    <t>Rajbari</t>
  </si>
  <si>
    <t>Baliakandi</t>
  </si>
  <si>
    <t>Rajbari Sadar</t>
  </si>
  <si>
    <t>Goalanda</t>
  </si>
  <si>
    <t>Kalukhali</t>
  </si>
  <si>
    <t>Boalmari</t>
  </si>
  <si>
    <t>Alfadanga</t>
  </si>
  <si>
    <t>Madhukhali</t>
  </si>
  <si>
    <t>Nagarkanda</t>
  </si>
  <si>
    <t>Saltha</t>
  </si>
  <si>
    <t>Faridpur Sadar</t>
  </si>
  <si>
    <t>Bhanga</t>
  </si>
  <si>
    <t>Charbhadrasan</t>
  </si>
  <si>
    <t>Sadarpur</t>
  </si>
  <si>
    <t>Muksudpur</t>
  </si>
  <si>
    <t>Gopalganj</t>
  </si>
  <si>
    <t>Kashiani</t>
  </si>
  <si>
    <t>Gopalganj Sadar</t>
  </si>
  <si>
    <t>Kotalipara</t>
  </si>
  <si>
    <t>Tungipara</t>
  </si>
  <si>
    <t>Shibchar</t>
  </si>
  <si>
    <t>Madaripur</t>
  </si>
  <si>
    <t>Madaripur Sadar</t>
  </si>
  <si>
    <t>Rajoir</t>
  </si>
  <si>
    <t>Kalkini</t>
  </si>
  <si>
    <t>Dasar</t>
  </si>
  <si>
    <t>Shariatpur Sadar</t>
  </si>
  <si>
    <t>Shariatpur</t>
  </si>
  <si>
    <t>Zajira</t>
  </si>
  <si>
    <t>Naria</t>
  </si>
  <si>
    <t>Damudya</t>
  </si>
  <si>
    <t>Gosairhat</t>
  </si>
  <si>
    <t>Tahirpur</t>
  </si>
  <si>
    <t>Sunamganj</t>
  </si>
  <si>
    <t>Jamalganj</t>
  </si>
  <si>
    <t>Dharmapasha</t>
  </si>
  <si>
    <t>Dirai</t>
  </si>
  <si>
    <t>Shalla</t>
  </si>
  <si>
    <t>Sunamganj Sadar</t>
  </si>
  <si>
    <t>Bishwamvarpur</t>
  </si>
  <si>
    <t>Chhatak</t>
  </si>
  <si>
    <t>Dowarabazar</t>
  </si>
  <si>
    <t>Jagannathpur</t>
  </si>
  <si>
    <t>Dakshin Sunamganj</t>
  </si>
  <si>
    <t>Sylhet City Corporation</t>
  </si>
  <si>
    <t>Balaganj</t>
  </si>
  <si>
    <t>Osmaninagar</t>
  </si>
  <si>
    <t>Dakshin Surma</t>
  </si>
  <si>
    <t>Fenchuganj</t>
  </si>
  <si>
    <t>Gowainghat</t>
  </si>
  <si>
    <t>Jaintiapur</t>
  </si>
  <si>
    <t>Companiganj</t>
  </si>
  <si>
    <t>Kanaighat</t>
  </si>
  <si>
    <t>Zakiganj</t>
  </si>
  <si>
    <t>Beanibazar</t>
  </si>
  <si>
    <t>Barlekha</t>
  </si>
  <si>
    <t>Moulvibazar</t>
  </si>
  <si>
    <t>Juri</t>
  </si>
  <si>
    <t>Kulaura</t>
  </si>
  <si>
    <t>Moulvibazar Sadar</t>
  </si>
  <si>
    <t>Rajnagar</t>
  </si>
  <si>
    <t>Sreemangal</t>
  </si>
  <si>
    <t>Kamalganj</t>
  </si>
  <si>
    <t>Nabiganj</t>
  </si>
  <si>
    <t>Habiganj</t>
  </si>
  <si>
    <t>Bahubal</t>
  </si>
  <si>
    <t>Ajmiriganj</t>
  </si>
  <si>
    <t>Baniachong</t>
  </si>
  <si>
    <t>Habiganj Sadar</t>
  </si>
  <si>
    <t>Lakhai</t>
  </si>
  <si>
    <t>Madhabpur</t>
  </si>
  <si>
    <t>Habiganj-5</t>
  </si>
  <si>
    <t>Chunarughat</t>
  </si>
  <si>
    <t>Habiganj-6</t>
  </si>
  <si>
    <t>Shayestaganj</t>
  </si>
  <si>
    <t>Nabinagar</t>
  </si>
  <si>
    <t>Brahmanbaria</t>
  </si>
  <si>
    <t>Sarail</t>
  </si>
  <si>
    <t>Ashuganj</t>
  </si>
  <si>
    <t>Brahmanbaria Sadar</t>
  </si>
  <si>
    <t>Vijaynagar</t>
  </si>
  <si>
    <t>Kasba</t>
  </si>
  <si>
    <t>Akhaura</t>
  </si>
  <si>
    <t>Bancharampur</t>
  </si>
  <si>
    <t>Nasirnagar</t>
  </si>
  <si>
    <t>Daudkandi</t>
  </si>
  <si>
    <t>Meghna</t>
  </si>
  <si>
    <t>Homna</t>
  </si>
  <si>
    <t>Titas</t>
  </si>
  <si>
    <t>Muradnagar</t>
  </si>
  <si>
    <t>Debidwar</t>
  </si>
  <si>
    <t>Brahmanpara</t>
  </si>
  <si>
    <t>Burichang</t>
  </si>
  <si>
    <t>Chandina</t>
  </si>
  <si>
    <t>Barura</t>
  </si>
  <si>
    <t>Laksam</t>
  </si>
  <si>
    <t>Nangalkot</t>
  </si>
  <si>
    <t>Chauddagram</t>
  </si>
  <si>
    <t>Chandpur</t>
  </si>
  <si>
    <t>Matlab Uttar</t>
  </si>
  <si>
    <t>Matlab Dakshin</t>
  </si>
  <si>
    <t>Chandpur Sadar</t>
  </si>
  <si>
    <t>Faridganj</t>
  </si>
  <si>
    <t>Hajiganj</t>
  </si>
  <si>
    <t>Shahrasti</t>
  </si>
  <si>
    <t>Chhagalnaiya</t>
  </si>
  <si>
    <t>Feni</t>
  </si>
  <si>
    <t>Parshuram</t>
  </si>
  <si>
    <t>Feni Sadar</t>
  </si>
  <si>
    <t>Sonagazi</t>
  </si>
  <si>
    <t>Daganbhuiyan</t>
  </si>
  <si>
    <t>Comilla</t>
  </si>
  <si>
    <t>Comilla Sadar</t>
  </si>
  <si>
    <t>Chatkhil</t>
  </si>
  <si>
    <t>Noakhali</t>
  </si>
  <si>
    <t>Senbagh</t>
  </si>
  <si>
    <t>Sonaimuri</t>
  </si>
  <si>
    <t>Noakhali Sadar</t>
  </si>
  <si>
    <t>Subarnachar</t>
  </si>
  <si>
    <t>Kabirhat</t>
  </si>
  <si>
    <t>Hatia</t>
  </si>
  <si>
    <t>Begumganj</t>
  </si>
  <si>
    <t>Ramganj</t>
  </si>
  <si>
    <t>Lakshmipur</t>
  </si>
  <si>
    <t>Raipur</t>
  </si>
  <si>
    <t>Lakshmipur Sadar</t>
  </si>
  <si>
    <t>Ramgati</t>
  </si>
  <si>
    <t>Kamalnagar</t>
  </si>
  <si>
    <t>Mirsharai</t>
  </si>
  <si>
    <t>Fatikchhari</t>
  </si>
  <si>
    <t>Sandwip</t>
  </si>
  <si>
    <t>Sitakunda</t>
  </si>
  <si>
    <t>Hathazari</t>
  </si>
  <si>
    <t>Raozan</t>
  </si>
  <si>
    <t>Rangunia</t>
  </si>
  <si>
    <t>Boalkhali</t>
  </si>
  <si>
    <t>Chandanaish</t>
  </si>
  <si>
    <t>Double Mooring</t>
  </si>
  <si>
    <t>Bandar</t>
  </si>
  <si>
    <t>Patiya</t>
  </si>
  <si>
    <t>Anwara</t>
  </si>
  <si>
    <t>Karnaphuli</t>
  </si>
  <si>
    <t>Satkania</t>
  </si>
  <si>
    <t>Banshkhali</t>
  </si>
  <si>
    <t>Chakaria</t>
  </si>
  <si>
    <t>Cox's Bazar</t>
  </si>
  <si>
    <t>Pekua</t>
  </si>
  <si>
    <t>Maheshkhali</t>
  </si>
  <si>
    <t>Kutubdia</t>
  </si>
  <si>
    <t>Cox's Bazar Sadar</t>
  </si>
  <si>
    <t>Ramu</t>
  </si>
  <si>
    <t>Teknaf</t>
  </si>
  <si>
    <t>Ukhia</t>
  </si>
  <si>
    <t>Khagrachhari-1</t>
  </si>
  <si>
    <t>Khagrachhari Sadar</t>
  </si>
  <si>
    <t>Dighinala</t>
  </si>
  <si>
    <t>Panchhari</t>
  </si>
  <si>
    <t>Mahalchhari</t>
  </si>
  <si>
    <t>Matiranga</t>
  </si>
  <si>
    <t>Ramgarh</t>
  </si>
  <si>
    <t>Manikchhari</t>
  </si>
  <si>
    <t>Lakshmichhari</t>
  </si>
  <si>
    <t>Rangamati-1</t>
  </si>
  <si>
    <t>Rangamati Sadar</t>
  </si>
  <si>
    <t>Kaptai</t>
  </si>
  <si>
    <t>Belaichhari</t>
  </si>
  <si>
    <t>Bagaichhari</t>
  </si>
  <si>
    <t>Barkal</t>
  </si>
  <si>
    <t>Jurachhari</t>
  </si>
  <si>
    <t>Rajasthali</t>
  </si>
  <si>
    <t>Bandarban-1</t>
  </si>
  <si>
    <t>Bandarban Sadar</t>
  </si>
  <si>
    <t>Thanchi</t>
  </si>
  <si>
    <t>Lama</t>
  </si>
  <si>
    <t>Naikhongchhari</t>
  </si>
  <si>
    <t>Ali Kadam</t>
  </si>
  <si>
    <t>Rowangchhari</t>
  </si>
  <si>
    <t>Ruma</t>
  </si>
  <si>
    <t>Winner_Vote_Share</t>
  </si>
  <si>
    <t>Runner_Up_Vote_Share</t>
  </si>
  <si>
    <t>Margin_Percentage</t>
  </si>
  <si>
    <t>Competitiveness</t>
  </si>
  <si>
    <t>Metropolitan</t>
  </si>
  <si>
    <t>Election_Year</t>
  </si>
  <si>
    <t>Population</t>
  </si>
  <si>
    <t>Household_Size</t>
  </si>
  <si>
    <t>Literacy_Rate</t>
  </si>
  <si>
    <t>Betagi</t>
  </si>
  <si>
    <t>Babuganj</t>
  </si>
  <si>
    <t>Gaurnadi</t>
  </si>
  <si>
    <t>Monpura</t>
  </si>
  <si>
    <t>Mirzaganj</t>
  </si>
  <si>
    <t>Nesarabad (Swarupkathi)</t>
  </si>
  <si>
    <t>Bijoynagar</t>
  </si>
  <si>
    <t>Haimchar</t>
  </si>
  <si>
    <t>Matlab Dakkhin</t>
  </si>
  <si>
    <t>Sadar Dakkhin</t>
  </si>
  <si>
    <t>Adarsha Sadar</t>
  </si>
  <si>
    <t>Lalmai</t>
  </si>
  <si>
    <t>Manoharganj</t>
  </si>
  <si>
    <t>Eidgaon</t>
  </si>
  <si>
    <t>Fulgazi</t>
  </si>
  <si>
    <t>Guimara</t>
  </si>
  <si>
    <t>Senbag</t>
  </si>
  <si>
    <t>Baghaichhari</t>
  </si>
  <si>
    <t>Langadu</t>
  </si>
  <si>
    <t>Naniarchar</t>
  </si>
  <si>
    <t>Char Bhadrasan</t>
  </si>
  <si>
    <t>Kuliarchar</t>
  </si>
  <si>
    <t>Pakundia</t>
  </si>
  <si>
    <t>Shibalay</t>
  </si>
  <si>
    <t>Bhedarganj</t>
  </si>
  <si>
    <t>Basail</t>
  </si>
  <si>
    <t>Morelganj</t>
  </si>
  <si>
    <t>Ashashuni</t>
  </si>
  <si>
    <t>Gafargaon</t>
  </si>
  <si>
    <t>Gouripur</t>
  </si>
  <si>
    <t>Fulpur</t>
  </si>
  <si>
    <t>Tarakanda</t>
  </si>
  <si>
    <t>Kalmakanda</t>
  </si>
  <si>
    <t>Jhenaigati</t>
  </si>
  <si>
    <t>Nakla</t>
  </si>
  <si>
    <t>Nalitabari</t>
  </si>
  <si>
    <t>Sherpur Sadar</t>
  </si>
  <si>
    <t>Sreebardi</t>
  </si>
  <si>
    <t>Adamdighi</t>
  </si>
  <si>
    <t>Dupchachia</t>
  </si>
  <si>
    <t>Naldanga</t>
  </si>
  <si>
    <t>Chouhali</t>
  </si>
  <si>
    <t>Rayganj</t>
  </si>
  <si>
    <t>Ullapara</t>
  </si>
  <si>
    <t>Birampur</t>
  </si>
  <si>
    <t>Birol</t>
  </si>
  <si>
    <t>Nababganj</t>
  </si>
  <si>
    <t>Fulchhari</t>
  </si>
  <si>
    <t>Domar</t>
  </si>
  <si>
    <t>Ranishankail</t>
  </si>
  <si>
    <t>Baralekha</t>
  </si>
  <si>
    <t>Bishwambharpur</t>
  </si>
  <si>
    <t>Madhyanagar</t>
  </si>
  <si>
    <t>Shantiganj</t>
  </si>
  <si>
    <t>Bishwanath</t>
  </si>
  <si>
    <t>Dakkhin Surma</t>
  </si>
  <si>
    <t>Golapganj</t>
  </si>
  <si>
    <t>Jaintapur</t>
  </si>
  <si>
    <t>Sylhet Sadar</t>
  </si>
  <si>
    <t>Crime_Unit</t>
  </si>
  <si>
    <t>Dacoity</t>
  </si>
  <si>
    <t>Robbery</t>
  </si>
  <si>
    <t>Murder</t>
  </si>
  <si>
    <t>Speedy_Trial</t>
  </si>
  <si>
    <t>Riot</t>
  </si>
  <si>
    <t>Woman_Child_Repression</t>
  </si>
  <si>
    <t>Kidnapping</t>
  </si>
  <si>
    <t>Police_Assault</t>
  </si>
  <si>
    <t>Burglary</t>
  </si>
  <si>
    <t>Theft</t>
  </si>
  <si>
    <t>Other_Cases</t>
  </si>
  <si>
    <t>Arms_Act</t>
  </si>
  <si>
    <t>Explosive_Act</t>
  </si>
  <si>
    <t>Narcotics</t>
  </si>
  <si>
    <t>Smuggling</t>
  </si>
  <si>
    <t>Recovery_Total</t>
  </si>
  <si>
    <t>Total_Cases</t>
  </si>
  <si>
    <t>DMP</t>
  </si>
  <si>
    <t>CMP</t>
  </si>
  <si>
    <t>KMP</t>
  </si>
  <si>
    <t>RMP</t>
  </si>
  <si>
    <t>BMP</t>
  </si>
  <si>
    <t>SMP</t>
  </si>
  <si>
    <t>RPMP</t>
  </si>
  <si>
    <t>GMP</t>
  </si>
  <si>
    <t>Dhaka Range</t>
  </si>
  <si>
    <t>Mymensingh Range</t>
  </si>
  <si>
    <t>Chittagong Range</t>
  </si>
  <si>
    <t>Sylhet Range</t>
  </si>
  <si>
    <t>Khulna Range</t>
  </si>
  <si>
    <t>Barishal Range</t>
  </si>
  <si>
    <t>Rajshahi Range</t>
  </si>
  <si>
    <t>Rangpur Range</t>
  </si>
  <si>
    <t>Railway Range</t>
  </si>
  <si>
    <t>Total</t>
  </si>
  <si>
    <t>Violent_Cases</t>
  </si>
  <si>
    <t>Property_Cases</t>
  </si>
  <si>
    <t>Population_2022</t>
  </si>
  <si>
    <t>Total_Crime_per_100k</t>
  </si>
  <si>
    <t>Violent_Crime_per_100k</t>
  </si>
  <si>
    <t>Chattogram</t>
  </si>
  <si>
    <t>Area_sqkm</t>
  </si>
  <si>
    <t>Population_Density</t>
  </si>
  <si>
    <t>Barisal</t>
  </si>
  <si>
    <t>Cumilla</t>
  </si>
  <si>
    <t>Jashore</t>
  </si>
  <si>
    <t>Bogra</t>
  </si>
  <si>
    <t>Chapai Nawabganj</t>
  </si>
  <si>
    <t>Maulvibazar</t>
  </si>
  <si>
    <t>Cox Bazar</t>
  </si>
  <si>
    <t>Char Fasion</t>
  </si>
  <si>
    <t>Ali kadam</t>
  </si>
  <si>
    <t>Districts</t>
  </si>
  <si>
    <t>Upazilas</t>
  </si>
  <si>
    <t>Upazila_Count</t>
  </si>
  <si>
    <t>Crime_Units</t>
  </si>
  <si>
    <t>Official_Constituencies</t>
  </si>
  <si>
    <t>Clean_Check</t>
  </si>
  <si>
    <t>Clean_Official_Name</t>
  </si>
  <si>
    <t>Constituency_Clean</t>
  </si>
  <si>
    <t>Election_Status</t>
  </si>
  <si>
    <t>Merge_Key</t>
  </si>
  <si>
    <t>Winning_Party</t>
  </si>
  <si>
    <t>Winning_Party_Code</t>
  </si>
  <si>
    <t>Winner_Votes</t>
  </si>
  <si>
    <t>Runner_Up_Votes</t>
  </si>
  <si>
    <t>Jashore-1</t>
  </si>
  <si>
    <t>Jashore-2</t>
  </si>
  <si>
    <t>Jashore-3</t>
  </si>
  <si>
    <t>Jashore-4</t>
  </si>
  <si>
    <t>Jashore-5</t>
  </si>
  <si>
    <t>Jashore-6</t>
  </si>
  <si>
    <t>Metro</t>
  </si>
  <si>
    <t>Use_For_Analysis</t>
  </si>
  <si>
    <t>Mean</t>
  </si>
  <si>
    <t>Median</t>
  </si>
  <si>
    <t>Minimum</t>
  </si>
  <si>
    <t>Maximum</t>
  </si>
  <si>
    <t>Standard Deviation</t>
  </si>
  <si>
    <t>Valid Constituencies</t>
  </si>
  <si>
    <t>Winner_Party</t>
  </si>
  <si>
    <t>Avg Winner Vote Share</t>
  </si>
  <si>
    <t>Avg Margin</t>
  </si>
  <si>
    <t>Avg Population</t>
  </si>
  <si>
    <t>Avg Population Density</t>
  </si>
  <si>
    <t>Avg Literacy Rate</t>
  </si>
  <si>
    <t>Avg Total Crime</t>
  </si>
  <si>
    <t>Avg Violent Crime</t>
  </si>
  <si>
    <t>Metro Share</t>
  </si>
  <si>
    <t>Avg Household Size</t>
  </si>
  <si>
    <t>Metro_Status</t>
  </si>
  <si>
    <t>Non-Metro</t>
  </si>
  <si>
    <t>Remittance_HH_Total</t>
  </si>
  <si>
    <t>Remittance_HH_Rural</t>
  </si>
  <si>
    <t>Remittance_HH_Urban</t>
  </si>
  <si>
    <t>Remittance_Name_Check_Check</t>
  </si>
  <si>
    <t>Remittance EDA</t>
  </si>
  <si>
    <t>Source: BBS Population and Housing Census 2022, Table HH 14. District-level proxy.</t>
  </si>
  <si>
    <t>All Districts by Foreign Remittance Recipient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</si>
</sst>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2" fontId="1" fillId="0" borderId="0" xfId="0" applyNumberFormat="1" applyFont="1"/>
    <xf numFmtId="2" fontId="0" fillId="0" borderId="0" xfId="0" applyNumberFormat="1"/>
    <xf numFmtId="43" fontId="1" fillId="0" borderId="0" xfId="1" applyFont="1"/>
    <xf numFmtId="43" fontId="0" fillId="0" borderId="0" xfId="1" applyFont="1"/>
    <xf numFmtId="1" fontId="0" fillId="0" borderId="0" xfId="0" applyNumberFormat="1"/>
    <xf numFmtId="2" fontId="0" fillId="0" borderId="0" xfId="2" applyNumberFormat="1" applyFont="1"/>
    <xf numFmtId="0" fontId="5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Winning Party Seat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1  Winning Party Seat Cou'!$B$1</c:f>
              <c:strCache>
                <c:ptCount val="1"/>
                <c:pt idx="0">
                  <c:v>Valid Constituencies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  Winning Party Seat Cou'!$A$2:$A$11</c:f>
              <c:strCache>
                <c:ptCount val="10"/>
                <c:pt idx="0">
                  <c:v>BJP</c:v>
                </c:pt>
                <c:pt idx="1">
                  <c:v>BKM</c:v>
                </c:pt>
                <c:pt idx="2">
                  <c:v>BNP</c:v>
                </c:pt>
                <c:pt idx="3">
                  <c:v>GOP</c:v>
                </c:pt>
                <c:pt idx="4">
                  <c:v>GSA</c:v>
                </c:pt>
                <c:pt idx="5">
                  <c:v>IAB</c:v>
                </c:pt>
                <c:pt idx="6">
                  <c:v>IND</c:v>
                </c:pt>
                <c:pt idx="7">
                  <c:v>Jamaat</c:v>
                </c:pt>
                <c:pt idx="8">
                  <c:v>KM</c:v>
                </c:pt>
                <c:pt idx="9">
                  <c:v>NCP</c:v>
                </c:pt>
              </c:strCache>
            </c:strRef>
          </c:cat>
          <c:val>
            <c:numRef>
              <c:f>'Chart 1  Winning Party Seat Cou'!$B$2:$B$11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210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  <c:pt idx="7">
                  <c:v>68</c:v>
                </c:pt>
                <c:pt idx="8">
                  <c:v>1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F-45FA-A3AE-76B8D6C0E7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2075919"/>
        <c:axId val="1282074479"/>
      </c:barChart>
      <c:catAx>
        <c:axId val="1282075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74479"/>
        <c:crosses val="autoZero"/>
        <c:auto val="1"/>
        <c:lblAlgn val="ctr"/>
        <c:lblOffset val="100"/>
        <c:noMultiLvlLbl val="0"/>
      </c:catAx>
      <c:valAx>
        <c:axId val="128207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7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Winner Vote Share by Party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 Average Winner Vote Sh'!$B$1</c:f>
              <c:strCache>
                <c:ptCount val="1"/>
                <c:pt idx="0">
                  <c:v> Avg Winner Vote Share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 Average Winner Vote Sh'!$A$2:$A$11</c:f>
              <c:strCache>
                <c:ptCount val="10"/>
                <c:pt idx="0">
                  <c:v>BJP</c:v>
                </c:pt>
                <c:pt idx="1">
                  <c:v>BKM</c:v>
                </c:pt>
                <c:pt idx="2">
                  <c:v>BNP</c:v>
                </c:pt>
                <c:pt idx="3">
                  <c:v>GOP</c:v>
                </c:pt>
                <c:pt idx="4">
                  <c:v>GSA</c:v>
                </c:pt>
                <c:pt idx="5">
                  <c:v>IAB</c:v>
                </c:pt>
                <c:pt idx="6">
                  <c:v>IND</c:v>
                </c:pt>
                <c:pt idx="7">
                  <c:v>Jamaat</c:v>
                </c:pt>
                <c:pt idx="8">
                  <c:v>KM</c:v>
                </c:pt>
                <c:pt idx="9">
                  <c:v>NCP</c:v>
                </c:pt>
              </c:strCache>
            </c:strRef>
          </c:cat>
          <c:val>
            <c:numRef>
              <c:f>'Chart 2 Average Winner Vote Sh'!$B$2:$B$11</c:f>
              <c:numCache>
                <c:formatCode>_(* #,##0.00_);_(* \(#,##0.00\);_(* "-"??_);_(@_)</c:formatCode>
                <c:ptCount val="10"/>
                <c:pt idx="0">
                  <c:v>58.349734630694385</c:v>
                </c:pt>
                <c:pt idx="1">
                  <c:v>52.672688933917989</c:v>
                </c:pt>
                <c:pt idx="2">
                  <c:v>61.572680146228578</c:v>
                </c:pt>
                <c:pt idx="3">
                  <c:v>54.466544290479277</c:v>
                </c:pt>
                <c:pt idx="4">
                  <c:v>70.457736590845272</c:v>
                </c:pt>
                <c:pt idx="5">
                  <c:v>50.749902328206161</c:v>
                </c:pt>
                <c:pt idx="6">
                  <c:v>55.980444483866187</c:v>
                </c:pt>
                <c:pt idx="7">
                  <c:v>56.415904147871608</c:v>
                </c:pt>
                <c:pt idx="8">
                  <c:v>53.212319535435761</c:v>
                </c:pt>
                <c:pt idx="9">
                  <c:v>57.659015648329898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5-4B45-B5C1-8613A1A6F9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3119791"/>
        <c:axId val="1183160591"/>
      </c:barChart>
      <c:catAx>
        <c:axId val="11831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60591"/>
        <c:crosses val="autoZero"/>
        <c:auto val="1"/>
        <c:lblAlgn val="ctr"/>
        <c:lblOffset val="100"/>
        <c:noMultiLvlLbl val="0"/>
      </c:catAx>
      <c:valAx>
        <c:axId val="118316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1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Victory Margin by Party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 Average Victory Margin'!$B$1</c:f>
              <c:strCache>
                <c:ptCount val="1"/>
                <c:pt idx="0">
                  <c:v> Avg Margin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 Average Victory Margin'!$A$2:$A$11</c:f>
              <c:strCache>
                <c:ptCount val="10"/>
                <c:pt idx="0">
                  <c:v>BJP</c:v>
                </c:pt>
                <c:pt idx="1">
                  <c:v>BKM</c:v>
                </c:pt>
                <c:pt idx="2">
                  <c:v>BNP</c:v>
                </c:pt>
                <c:pt idx="3">
                  <c:v>GOP</c:v>
                </c:pt>
                <c:pt idx="4">
                  <c:v>GSA</c:v>
                </c:pt>
                <c:pt idx="5">
                  <c:v>IAB</c:v>
                </c:pt>
                <c:pt idx="6">
                  <c:v>IND</c:v>
                </c:pt>
                <c:pt idx="7">
                  <c:v>Jamaat</c:v>
                </c:pt>
                <c:pt idx="8">
                  <c:v>KM</c:v>
                </c:pt>
                <c:pt idx="9">
                  <c:v>NCP</c:v>
                </c:pt>
              </c:strCache>
            </c:strRef>
          </c:cat>
          <c:val>
            <c:numRef>
              <c:f>'Chart 3 Average Victory Margin'!$B$2:$B$11</c:f>
              <c:numCache>
                <c:formatCode>_(* #,##0.00_);_(* \(#,##0.00\);_(* "-"??_);_(@_)</c:formatCode>
                <c:ptCount val="10"/>
                <c:pt idx="0">
                  <c:v>16.699469261388767</c:v>
                </c:pt>
                <c:pt idx="1">
                  <c:v>5.3453778678359702</c:v>
                </c:pt>
                <c:pt idx="2">
                  <c:v>23.14536029245723</c:v>
                </c:pt>
                <c:pt idx="3">
                  <c:v>8.9330885809585627</c:v>
                </c:pt>
                <c:pt idx="4">
                  <c:v>40.915473181690537</c:v>
                </c:pt>
                <c:pt idx="5">
                  <c:v>1.4998046564123342</c:v>
                </c:pt>
                <c:pt idx="6">
                  <c:v>11.960888967732368</c:v>
                </c:pt>
                <c:pt idx="7">
                  <c:v>12.831808295743206</c:v>
                </c:pt>
                <c:pt idx="8">
                  <c:v>6.4246390708715264</c:v>
                </c:pt>
                <c:pt idx="9">
                  <c:v>15.318031296659816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7-41FF-9B9C-08EE97CB5C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2077359"/>
        <c:axId val="1382674703"/>
      </c:barChart>
      <c:catAx>
        <c:axId val="128207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674703"/>
        <c:crosses val="autoZero"/>
        <c:auto val="1"/>
        <c:lblAlgn val="ctr"/>
        <c:lblOffset val="100"/>
        <c:noMultiLvlLbl val="0"/>
      </c:catAx>
      <c:valAx>
        <c:axId val="13826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7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Literacy Rate by Winning Party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'Chat 4 Average Literacy Rate by'!$B$1</c:f>
              <c:strCache>
                <c:ptCount val="1"/>
                <c:pt idx="0">
                  <c:v> Avg Literacy Rate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'Chat 4 Average Literacy Rate by'!$A$2:$A$11</c:f>
              <c:strCache>
                <c:ptCount val="10"/>
                <c:pt idx="0">
                  <c:v> BJP </c:v>
                </c:pt>
                <c:pt idx="1">
                  <c:v> BKM </c:v>
                </c:pt>
                <c:pt idx="2">
                  <c:v> BNP </c:v>
                </c:pt>
                <c:pt idx="3">
                  <c:v> GOP </c:v>
                </c:pt>
                <c:pt idx="4">
                  <c:v> GSA </c:v>
                </c:pt>
                <c:pt idx="5">
                  <c:v> IAB </c:v>
                </c:pt>
                <c:pt idx="6">
                  <c:v> IND </c:v>
                </c:pt>
                <c:pt idx="7">
                  <c:v> Jamaat </c:v>
                </c:pt>
                <c:pt idx="8">
                  <c:v> KM </c:v>
                </c:pt>
                <c:pt idx="9">
                  <c:v> NCP </c:v>
                </c:pt>
              </c:strCache>
            </c:strRef>
          </c:cat>
          <c:val>
            <c:numRef>
              <c:f>'Chat 4 Average Literacy Rate by'!$B$2:$B$11</c:f>
              <c:numCache>
                <c:formatCode>_(* #,##0.00_);_(* \(#,##0.00\);_(* "-"??_);_(@_)</c:formatCode>
                <c:ptCount val="10"/>
                <c:pt idx="0">
                  <c:v>70.41</c:v>
                </c:pt>
                <c:pt idx="1">
                  <c:v>69.984999999999999</c:v>
                </c:pt>
                <c:pt idx="2">
                  <c:v>74.178529330133301</c:v>
                </c:pt>
                <c:pt idx="3">
                  <c:v>72.560125447903829</c:v>
                </c:pt>
                <c:pt idx="4">
                  <c:v>61.97</c:v>
                </c:pt>
                <c:pt idx="5">
                  <c:v>78.903689483905879</c:v>
                </c:pt>
                <c:pt idx="6">
                  <c:v>71.935001528931096</c:v>
                </c:pt>
                <c:pt idx="7">
                  <c:v>73.777828746873183</c:v>
                </c:pt>
                <c:pt idx="8">
                  <c:v>73.703470078631113</c:v>
                </c:pt>
                <c:pt idx="9">
                  <c:v>77.229414219763257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C-4E7E-8E4F-93AACCEB16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2722351"/>
        <c:axId val="1282723311"/>
      </c:barChart>
      <c:catAx>
        <c:axId val="128272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23311"/>
        <c:crosses val="autoZero"/>
        <c:auto val="1"/>
        <c:lblAlgn val="ctr"/>
        <c:lblOffset val="100"/>
        <c:noMultiLvlLbl val="0"/>
      </c:catAx>
      <c:valAx>
        <c:axId val="128272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Population Density by Winning Party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'Chat 5 Average Population Densi'!$B$1</c:f>
              <c:strCache>
                <c:ptCount val="1"/>
                <c:pt idx="0">
                  <c:v> Avg Population Density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'Chat 5 Average Population Densi'!$A$2:$A$11</c:f>
              <c:strCache>
                <c:ptCount val="10"/>
                <c:pt idx="0">
                  <c:v> BJP </c:v>
                </c:pt>
                <c:pt idx="1">
                  <c:v> BKM </c:v>
                </c:pt>
                <c:pt idx="2">
                  <c:v> BNP </c:v>
                </c:pt>
                <c:pt idx="3">
                  <c:v> GOP </c:v>
                </c:pt>
                <c:pt idx="4">
                  <c:v> GSA </c:v>
                </c:pt>
                <c:pt idx="5">
                  <c:v> IAB </c:v>
                </c:pt>
                <c:pt idx="6">
                  <c:v> IND </c:v>
                </c:pt>
                <c:pt idx="7">
                  <c:v> Jamaat </c:v>
                </c:pt>
                <c:pt idx="8">
                  <c:v> KM </c:v>
                </c:pt>
                <c:pt idx="9">
                  <c:v> NCP </c:v>
                </c:pt>
              </c:strCache>
            </c:strRef>
          </c:cat>
          <c:val>
            <c:numRef>
              <c:f>'Chat 5 Average Population Densi'!$B$2:$B$11</c:f>
              <c:numCache>
                <c:formatCode>_(* #,##0.00_);_(* \(#,##0.00\);_(* "-"??_);_(@_)</c:formatCode>
                <c:ptCount val="10"/>
                <c:pt idx="0">
                  <c:v>1264.1827947821639</c:v>
                </c:pt>
                <c:pt idx="1">
                  <c:v>1190.1208319168541</c:v>
                </c:pt>
                <c:pt idx="2">
                  <c:v>2863.6660178374464</c:v>
                </c:pt>
                <c:pt idx="3">
                  <c:v>481.21696373693914</c:v>
                </c:pt>
                <c:pt idx="4">
                  <c:v>1045.6771508699978</c:v>
                </c:pt>
                <c:pt idx="5">
                  <c:v>493.231783919598</c:v>
                </c:pt>
                <c:pt idx="6">
                  <c:v>1159.4096102316171</c:v>
                </c:pt>
                <c:pt idx="7">
                  <c:v>4249.3186288944516</c:v>
                </c:pt>
                <c:pt idx="8">
                  <c:v>811.34585506603059</c:v>
                </c:pt>
                <c:pt idx="9">
                  <c:v>7820.4694468897687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A-4F1A-AD60-E9F9F0E595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3987935"/>
        <c:axId val="1173988895"/>
      </c:barChart>
      <c:catAx>
        <c:axId val="117398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8895"/>
        <c:crosses val="autoZero"/>
        <c:auto val="1"/>
        <c:lblAlgn val="ctr"/>
        <c:lblOffset val="100"/>
        <c:noMultiLvlLbl val="0"/>
      </c:catAx>
      <c:valAx>
        <c:axId val="117398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Total Crime Rate by Winning Party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6 Average Total Crime Rat'!$B$1</c:f>
              <c:strCache>
                <c:ptCount val="1"/>
                <c:pt idx="0">
                  <c:v> Avg Total Crime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6 Average Total Crime Rat'!$A$2:$A$11</c:f>
              <c:strCache>
                <c:ptCount val="10"/>
                <c:pt idx="0">
                  <c:v>BJP</c:v>
                </c:pt>
                <c:pt idx="1">
                  <c:v>BKM</c:v>
                </c:pt>
                <c:pt idx="2">
                  <c:v>BNP</c:v>
                </c:pt>
                <c:pt idx="3">
                  <c:v>GOP</c:v>
                </c:pt>
                <c:pt idx="4">
                  <c:v>GSA</c:v>
                </c:pt>
                <c:pt idx="5">
                  <c:v>IAB</c:v>
                </c:pt>
                <c:pt idx="6">
                  <c:v>IND</c:v>
                </c:pt>
                <c:pt idx="7">
                  <c:v>Jamaat</c:v>
                </c:pt>
                <c:pt idx="8">
                  <c:v>KM</c:v>
                </c:pt>
                <c:pt idx="9">
                  <c:v>NCP</c:v>
                </c:pt>
              </c:strCache>
            </c:strRef>
          </c:cat>
          <c:val>
            <c:numRef>
              <c:f>'Chart 6 Average Total Crime Rat'!$B$2:$B$11</c:f>
              <c:numCache>
                <c:formatCode>_(* #,##0.00_);_(* \(#,##0.00\);_(* "-"??_);_(@_)</c:formatCode>
                <c:ptCount val="10"/>
                <c:pt idx="0">
                  <c:v>112.01964836613054</c:v>
                </c:pt>
                <c:pt idx="1">
                  <c:v>85.898215647491469</c:v>
                </c:pt>
                <c:pt idx="2">
                  <c:v>92.398982489649015</c:v>
                </c:pt>
                <c:pt idx="3">
                  <c:v>112.01964836613053</c:v>
                </c:pt>
                <c:pt idx="4">
                  <c:v>84.879645400600893</c:v>
                </c:pt>
                <c:pt idx="5">
                  <c:v>112.01964836613054</c:v>
                </c:pt>
                <c:pt idx="6">
                  <c:v>88.057343771773006</c:v>
                </c:pt>
                <c:pt idx="7">
                  <c:v>100.86587101837797</c:v>
                </c:pt>
                <c:pt idx="8">
                  <c:v>74.251724391082064</c:v>
                </c:pt>
                <c:pt idx="9">
                  <c:v>91.281169309948169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F-42AC-95EA-946662642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839935"/>
        <c:axId val="1378840415"/>
      </c:barChart>
      <c:catAx>
        <c:axId val="137883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40415"/>
        <c:crosses val="autoZero"/>
        <c:auto val="1"/>
        <c:lblAlgn val="ctr"/>
        <c:lblOffset val="100"/>
        <c:noMultiLvlLbl val="0"/>
      </c:catAx>
      <c:valAx>
        <c:axId val="137884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3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Violent Crime Rate by Winning Party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7 Average Violent Crime '!$B$1</c:f>
              <c:strCache>
                <c:ptCount val="1"/>
                <c:pt idx="0">
                  <c:v>Avg Violent Crime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7 Average Violent Crime '!$A$2:$A$11</c:f>
              <c:strCache>
                <c:ptCount val="10"/>
                <c:pt idx="0">
                  <c:v>BJP</c:v>
                </c:pt>
                <c:pt idx="1">
                  <c:v>BKM</c:v>
                </c:pt>
                <c:pt idx="2">
                  <c:v>BNP</c:v>
                </c:pt>
                <c:pt idx="3">
                  <c:v>GOP</c:v>
                </c:pt>
                <c:pt idx="4">
                  <c:v>GSA</c:v>
                </c:pt>
                <c:pt idx="5">
                  <c:v>IAB</c:v>
                </c:pt>
                <c:pt idx="6">
                  <c:v>IND</c:v>
                </c:pt>
                <c:pt idx="7">
                  <c:v>Jamaat</c:v>
                </c:pt>
                <c:pt idx="8">
                  <c:v>KM</c:v>
                </c:pt>
                <c:pt idx="9">
                  <c:v>NCP</c:v>
                </c:pt>
              </c:strCache>
            </c:strRef>
          </c:cat>
          <c:val>
            <c:numRef>
              <c:f>'Chart 7 Average Violent Crime '!$B$2:$B$11</c:f>
              <c:numCache>
                <c:formatCode>0.00</c:formatCode>
                <c:ptCount val="10"/>
                <c:pt idx="0">
                  <c:v>22.37167391269287</c:v>
                </c:pt>
                <c:pt idx="1">
                  <c:v>13.859490057713691</c:v>
                </c:pt>
                <c:pt idx="2">
                  <c:v>13.449144554745546</c:v>
                </c:pt>
                <c:pt idx="3">
                  <c:v>22.37167391269287</c:v>
                </c:pt>
                <c:pt idx="4">
                  <c:v>10.309673910686193</c:v>
                </c:pt>
                <c:pt idx="5">
                  <c:v>22.37167391269287</c:v>
                </c:pt>
                <c:pt idx="6">
                  <c:v>12.303895837844964</c:v>
                </c:pt>
                <c:pt idx="7">
                  <c:v>13.740588659382571</c:v>
                </c:pt>
                <c:pt idx="8">
                  <c:v>9.6171122896887518</c:v>
                </c:pt>
                <c:pt idx="9">
                  <c:v>13.189512063397864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E-493D-8088-FC71275F79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2970271"/>
        <c:axId val="1382971231"/>
      </c:barChart>
      <c:catAx>
        <c:axId val="138297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71231"/>
        <c:crosses val="autoZero"/>
        <c:auto val="1"/>
        <c:lblAlgn val="ctr"/>
        <c:lblOffset val="100"/>
        <c:noMultiLvlLbl val="0"/>
      </c:catAx>
      <c:valAx>
        <c:axId val="138297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Household Size by Winning Party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8 Average Household Size '!$B$1</c:f>
              <c:strCache>
                <c:ptCount val="1"/>
                <c:pt idx="0">
                  <c:v>Avg Household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8 Average Household Size '!$A$2:$A$11</c:f>
              <c:strCache>
                <c:ptCount val="10"/>
                <c:pt idx="0">
                  <c:v>BJP</c:v>
                </c:pt>
                <c:pt idx="1">
                  <c:v>BKM</c:v>
                </c:pt>
                <c:pt idx="2">
                  <c:v>BNP</c:v>
                </c:pt>
                <c:pt idx="3">
                  <c:v>GOP</c:v>
                </c:pt>
                <c:pt idx="4">
                  <c:v>GSA</c:v>
                </c:pt>
                <c:pt idx="5">
                  <c:v>IAB</c:v>
                </c:pt>
                <c:pt idx="6">
                  <c:v>IND</c:v>
                </c:pt>
                <c:pt idx="7">
                  <c:v>Jamaat</c:v>
                </c:pt>
                <c:pt idx="8">
                  <c:v>KM</c:v>
                </c:pt>
                <c:pt idx="9">
                  <c:v>NCP</c:v>
                </c:pt>
              </c:strCache>
            </c:strRef>
          </c:cat>
          <c:val>
            <c:numRef>
              <c:f>'Chart 8 Average Household Size '!$B$2:$B$11</c:f>
              <c:numCache>
                <c:formatCode>0.00</c:formatCode>
                <c:ptCount val="10"/>
                <c:pt idx="0">
                  <c:v>4.29</c:v>
                </c:pt>
                <c:pt idx="1">
                  <c:v>4.01</c:v>
                </c:pt>
                <c:pt idx="2">
                  <c:v>4.0845922771323808</c:v>
                </c:pt>
                <c:pt idx="3">
                  <c:v>3.947887147976044</c:v>
                </c:pt>
                <c:pt idx="4">
                  <c:v>4.83</c:v>
                </c:pt>
                <c:pt idx="5">
                  <c:v>3.972032283740329</c:v>
                </c:pt>
                <c:pt idx="6">
                  <c:v>4.0664952509409256</c:v>
                </c:pt>
                <c:pt idx="7">
                  <c:v>3.8661651113325517</c:v>
                </c:pt>
                <c:pt idx="8">
                  <c:v>5.2094138827765555</c:v>
                </c:pt>
                <c:pt idx="9">
                  <c:v>3.9613324158861953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E-4C59-B186-497EA6D494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3184591"/>
        <c:axId val="1183163471"/>
      </c:barChart>
      <c:catAx>
        <c:axId val="118318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63471"/>
        <c:crosses val="autoZero"/>
        <c:auto val="1"/>
        <c:lblAlgn val="ctr"/>
        <c:lblOffset val="100"/>
        <c:noMultiLvlLbl val="0"/>
      </c:catAx>
      <c:valAx>
        <c:axId val="118316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8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Victory Margin: Metro vs Non-Metro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9 &amp; 10 Metro_Comparison'!$D$1</c:f>
              <c:strCache>
                <c:ptCount val="1"/>
                <c:pt idx="0">
                  <c:v>Avg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9 &amp; 10 Metro_Comparison'!$A$2:$A$3</c:f>
              <c:strCache>
                <c:ptCount val="2"/>
                <c:pt idx="0">
                  <c:v>Non-Metro</c:v>
                </c:pt>
                <c:pt idx="1">
                  <c:v>Metro</c:v>
                </c:pt>
              </c:strCache>
            </c:strRef>
          </c:cat>
          <c:val>
            <c:numRef>
              <c:f>'Chart 9 &amp; 10 Metro_Comparison'!$D$2:$D$3</c:f>
              <c:numCache>
                <c:formatCode>0.00</c:formatCode>
                <c:ptCount val="2"/>
                <c:pt idx="0">
                  <c:v>20.898315492026214</c:v>
                </c:pt>
                <c:pt idx="1">
                  <c:v>14.284364799912012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1-4A28-AC37-9D2B43AB8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3183631"/>
        <c:axId val="1183176431"/>
      </c:barChart>
      <c:catAx>
        <c:axId val="118318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76431"/>
        <c:crosses val="autoZero"/>
        <c:auto val="1"/>
        <c:lblAlgn val="ctr"/>
        <c:lblOffset val="100"/>
        <c:noMultiLvlLbl val="0"/>
      </c:catAx>
      <c:valAx>
        <c:axId val="118317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8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Population Density: Metro vs Non-Metro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9 &amp; 10 Metro_Comparison'!$E$1</c:f>
              <c:strCache>
                <c:ptCount val="1"/>
                <c:pt idx="0">
                  <c:v>Avg Population Density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9 &amp; 10 Metro_Comparison'!$A$2:$A$3</c:f>
              <c:strCache>
                <c:ptCount val="2"/>
                <c:pt idx="0">
                  <c:v>Non-Metro</c:v>
                </c:pt>
                <c:pt idx="1">
                  <c:v>Metro</c:v>
                </c:pt>
              </c:strCache>
            </c:strRef>
          </c:cat>
          <c:val>
            <c:numRef>
              <c:f>'Chart 9 &amp; 10 Metro_Comparison'!$E$2:$E$3</c:f>
              <c:numCache>
                <c:formatCode>0.00</c:formatCode>
                <c:ptCount val="2"/>
                <c:pt idx="0">
                  <c:v>1228.724547891055</c:v>
                </c:pt>
                <c:pt idx="1">
                  <c:v>18456.592499125745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C-4AD2-B068-AEAD0DC2B4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423455"/>
        <c:axId val="1460422495"/>
      </c:barChart>
      <c:catAx>
        <c:axId val="146042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22495"/>
        <c:crosses val="autoZero"/>
        <c:auto val="1"/>
        <c:lblAlgn val="ctr"/>
        <c:lblOffset val="100"/>
        <c:noMultiLvlLbl val="0"/>
      </c:catAx>
      <c:valAx>
        <c:axId val="146042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2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Literacy Rate vs Winner Vote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11 Literacy Rate vs Winn'!$B$1</c:f>
              <c:strCache>
                <c:ptCount val="1"/>
                <c:pt idx="0">
                  <c:v>Winner_Vote_Share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7290294935234997E-2"/>
                  <c:y val="0.333395633238152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'Chart 11 Literacy Rate vs Winn'!$A$2:$A$298</c:f>
              <c:numCache>
                <c:formatCode>0.00</c:formatCode>
                <c:ptCount val="297"/>
                <c:pt idx="0">
                  <c:v>79.89585147779853</c:v>
                </c:pt>
                <c:pt idx="1">
                  <c:v>78.17207974852046</c:v>
                </c:pt>
                <c:pt idx="2">
                  <c:v>81.073164767359827</c:v>
                </c:pt>
                <c:pt idx="3">
                  <c:v>82.420112032581045</c:v>
                </c:pt>
                <c:pt idx="4">
                  <c:v>63.630035585635206</c:v>
                </c:pt>
                <c:pt idx="5">
                  <c:v>78.903689483905879</c:v>
                </c:pt>
                <c:pt idx="6">
                  <c:v>84.006045822511751</c:v>
                </c:pt>
                <c:pt idx="7">
                  <c:v>79.912193512949528</c:v>
                </c:pt>
                <c:pt idx="8">
                  <c:v>81.441161231640734</c:v>
                </c:pt>
                <c:pt idx="9">
                  <c:v>80.010000000000005</c:v>
                </c:pt>
                <c:pt idx="10">
                  <c:v>71.23</c:v>
                </c:pt>
                <c:pt idx="11">
                  <c:v>79.930000000000007</c:v>
                </c:pt>
                <c:pt idx="12">
                  <c:v>72.296926837628433</c:v>
                </c:pt>
                <c:pt idx="13">
                  <c:v>70.41</c:v>
                </c:pt>
                <c:pt idx="14">
                  <c:v>68.242737395441807</c:v>
                </c:pt>
                <c:pt idx="15">
                  <c:v>63.946461576224635</c:v>
                </c:pt>
                <c:pt idx="16">
                  <c:v>67.62</c:v>
                </c:pt>
                <c:pt idx="17">
                  <c:v>65.642543915681884</c:v>
                </c:pt>
                <c:pt idx="18">
                  <c:v>67.760000000000005</c:v>
                </c:pt>
                <c:pt idx="19">
                  <c:v>83.63</c:v>
                </c:pt>
                <c:pt idx="20">
                  <c:v>73.605869812687573</c:v>
                </c:pt>
                <c:pt idx="21">
                  <c:v>65.565731246174124</c:v>
                </c:pt>
                <c:pt idx="22">
                  <c:v>78.849999999999994</c:v>
                </c:pt>
                <c:pt idx="23">
                  <c:v>74.087461667472326</c:v>
                </c:pt>
                <c:pt idx="24">
                  <c:v>70.87</c:v>
                </c:pt>
                <c:pt idx="25">
                  <c:v>70.091238056791468</c:v>
                </c:pt>
                <c:pt idx="26">
                  <c:v>76.171140220971296</c:v>
                </c:pt>
                <c:pt idx="27">
                  <c:v>76.933598617034406</c:v>
                </c:pt>
                <c:pt idx="28">
                  <c:v>68.55</c:v>
                </c:pt>
                <c:pt idx="29">
                  <c:v>61.97</c:v>
                </c:pt>
                <c:pt idx="30">
                  <c:v>75.02</c:v>
                </c:pt>
                <c:pt idx="31">
                  <c:v>76.471034003659099</c:v>
                </c:pt>
                <c:pt idx="32">
                  <c:v>79.03</c:v>
                </c:pt>
                <c:pt idx="33">
                  <c:v>79.890000000000015</c:v>
                </c:pt>
                <c:pt idx="34">
                  <c:v>81.234312007011383</c:v>
                </c:pt>
                <c:pt idx="35">
                  <c:v>67.760000000000005</c:v>
                </c:pt>
                <c:pt idx="36">
                  <c:v>72.07763162212045</c:v>
                </c:pt>
                <c:pt idx="37">
                  <c:v>74.23</c:v>
                </c:pt>
                <c:pt idx="38">
                  <c:v>79.61</c:v>
                </c:pt>
                <c:pt idx="39">
                  <c:v>84.57</c:v>
                </c:pt>
                <c:pt idx="40">
                  <c:v>78.5</c:v>
                </c:pt>
                <c:pt idx="41">
                  <c:v>81.099999999999994</c:v>
                </c:pt>
                <c:pt idx="42">
                  <c:v>76.386680944762688</c:v>
                </c:pt>
                <c:pt idx="43">
                  <c:v>80.429298856417134</c:v>
                </c:pt>
                <c:pt idx="44">
                  <c:v>82.41</c:v>
                </c:pt>
                <c:pt idx="45">
                  <c:v>71.319999999999993</c:v>
                </c:pt>
                <c:pt idx="46">
                  <c:v>74.14</c:v>
                </c:pt>
                <c:pt idx="47">
                  <c:v>86.28</c:v>
                </c:pt>
                <c:pt idx="48">
                  <c:v>84.87</c:v>
                </c:pt>
                <c:pt idx="49">
                  <c:v>77.599999999999994</c:v>
                </c:pt>
                <c:pt idx="50">
                  <c:v>81.59368614617361</c:v>
                </c:pt>
                <c:pt idx="51">
                  <c:v>83.08</c:v>
                </c:pt>
                <c:pt idx="52">
                  <c:v>70.543566840693288</c:v>
                </c:pt>
                <c:pt idx="53">
                  <c:v>72.130598008643062</c:v>
                </c:pt>
                <c:pt idx="54">
                  <c:v>74.336697912204031</c:v>
                </c:pt>
                <c:pt idx="55">
                  <c:v>76.47</c:v>
                </c:pt>
                <c:pt idx="56">
                  <c:v>79.290000000000006</c:v>
                </c:pt>
                <c:pt idx="57">
                  <c:v>67.094775244571451</c:v>
                </c:pt>
                <c:pt idx="58">
                  <c:v>72.36</c:v>
                </c:pt>
                <c:pt idx="59">
                  <c:v>76.56</c:v>
                </c:pt>
                <c:pt idx="60">
                  <c:v>78.703098132430185</c:v>
                </c:pt>
                <c:pt idx="61">
                  <c:v>81.069999999999993</c:v>
                </c:pt>
                <c:pt idx="62">
                  <c:v>74.239999999999995</c:v>
                </c:pt>
                <c:pt idx="63">
                  <c:v>74.83</c:v>
                </c:pt>
                <c:pt idx="64">
                  <c:v>77.34</c:v>
                </c:pt>
                <c:pt idx="65">
                  <c:v>74.808444381083547</c:v>
                </c:pt>
                <c:pt idx="66">
                  <c:v>65.619726432050257</c:v>
                </c:pt>
                <c:pt idx="67">
                  <c:v>75.089246313468408</c:v>
                </c:pt>
                <c:pt idx="68">
                  <c:v>66.818413338403261</c:v>
                </c:pt>
                <c:pt idx="69">
                  <c:v>79.257471710022074</c:v>
                </c:pt>
                <c:pt idx="70">
                  <c:v>86.16</c:v>
                </c:pt>
                <c:pt idx="71">
                  <c:v>86.16</c:v>
                </c:pt>
                <c:pt idx="72">
                  <c:v>86.16</c:v>
                </c:pt>
                <c:pt idx="73">
                  <c:v>86.16</c:v>
                </c:pt>
                <c:pt idx="74">
                  <c:v>86.16</c:v>
                </c:pt>
                <c:pt idx="75">
                  <c:v>86.16</c:v>
                </c:pt>
                <c:pt idx="76">
                  <c:v>86.16</c:v>
                </c:pt>
                <c:pt idx="77">
                  <c:v>86.16</c:v>
                </c:pt>
                <c:pt idx="78">
                  <c:v>86.16</c:v>
                </c:pt>
                <c:pt idx="79">
                  <c:v>84.38</c:v>
                </c:pt>
                <c:pt idx="80">
                  <c:v>81.180000000000007</c:v>
                </c:pt>
                <c:pt idx="81">
                  <c:v>73.72</c:v>
                </c:pt>
                <c:pt idx="82">
                  <c:v>83.116892416264122</c:v>
                </c:pt>
                <c:pt idx="83">
                  <c:v>86.16</c:v>
                </c:pt>
                <c:pt idx="84">
                  <c:v>86.16</c:v>
                </c:pt>
                <c:pt idx="85">
                  <c:v>86.16</c:v>
                </c:pt>
                <c:pt idx="86">
                  <c:v>86.16</c:v>
                </c:pt>
                <c:pt idx="87">
                  <c:v>86.16</c:v>
                </c:pt>
                <c:pt idx="88">
                  <c:v>86.16</c:v>
                </c:pt>
                <c:pt idx="89">
                  <c:v>73.62443953894595</c:v>
                </c:pt>
                <c:pt idx="90">
                  <c:v>75.854574155459076</c:v>
                </c:pt>
                <c:pt idx="91">
                  <c:v>82.78</c:v>
                </c:pt>
                <c:pt idx="92">
                  <c:v>74.076872588872405</c:v>
                </c:pt>
                <c:pt idx="93">
                  <c:v>73.527278216125836</c:v>
                </c:pt>
                <c:pt idx="94">
                  <c:v>76.940162092360879</c:v>
                </c:pt>
                <c:pt idx="95">
                  <c:v>73.058440987825634</c:v>
                </c:pt>
                <c:pt idx="96">
                  <c:v>68.436555522695215</c:v>
                </c:pt>
                <c:pt idx="97">
                  <c:v>74.84</c:v>
                </c:pt>
                <c:pt idx="98">
                  <c:v>70.997587722009214</c:v>
                </c:pt>
                <c:pt idx="99">
                  <c:v>80.809548447291903</c:v>
                </c:pt>
                <c:pt idx="100">
                  <c:v>83.17</c:v>
                </c:pt>
                <c:pt idx="101">
                  <c:v>77.918368412706798</c:v>
                </c:pt>
                <c:pt idx="102">
                  <c:v>64.81</c:v>
                </c:pt>
                <c:pt idx="103">
                  <c:v>68.204753635659586</c:v>
                </c:pt>
                <c:pt idx="104">
                  <c:v>70.3</c:v>
                </c:pt>
                <c:pt idx="105">
                  <c:v>67.239999999999995</c:v>
                </c:pt>
                <c:pt idx="106">
                  <c:v>63.855448637725502</c:v>
                </c:pt>
                <c:pt idx="107">
                  <c:v>79.58</c:v>
                </c:pt>
                <c:pt idx="108">
                  <c:v>80.19</c:v>
                </c:pt>
                <c:pt idx="109">
                  <c:v>78.150000000000006</c:v>
                </c:pt>
                <c:pt idx="110">
                  <c:v>77.849999999999994</c:v>
                </c:pt>
                <c:pt idx="111">
                  <c:v>80.680000000000007</c:v>
                </c:pt>
                <c:pt idx="112">
                  <c:v>77.451296418677245</c:v>
                </c:pt>
                <c:pt idx="113">
                  <c:v>81.537658597177355</c:v>
                </c:pt>
                <c:pt idx="114">
                  <c:v>81.41</c:v>
                </c:pt>
                <c:pt idx="115">
                  <c:v>69.607813190259336</c:v>
                </c:pt>
                <c:pt idx="116">
                  <c:v>65.238299642444304</c:v>
                </c:pt>
                <c:pt idx="117">
                  <c:v>72.570976647246027</c:v>
                </c:pt>
                <c:pt idx="118">
                  <c:v>69.533054594307401</c:v>
                </c:pt>
                <c:pt idx="119">
                  <c:v>60.239458460303062</c:v>
                </c:pt>
                <c:pt idx="120">
                  <c:v>54.66</c:v>
                </c:pt>
                <c:pt idx="121">
                  <c:v>67.41</c:v>
                </c:pt>
                <c:pt idx="122">
                  <c:v>64.42</c:v>
                </c:pt>
                <c:pt idx="123">
                  <c:v>58.861536873824157</c:v>
                </c:pt>
                <c:pt idx="124">
                  <c:v>75.747317215445179</c:v>
                </c:pt>
                <c:pt idx="125">
                  <c:v>75.100196228768723</c:v>
                </c:pt>
                <c:pt idx="126">
                  <c:v>81.739999999999995</c:v>
                </c:pt>
                <c:pt idx="127">
                  <c:v>77.760000000000005</c:v>
                </c:pt>
                <c:pt idx="128">
                  <c:v>74.19</c:v>
                </c:pt>
                <c:pt idx="129">
                  <c:v>74.05</c:v>
                </c:pt>
                <c:pt idx="130">
                  <c:v>83.499949307924723</c:v>
                </c:pt>
                <c:pt idx="131">
                  <c:v>82.739813680588597</c:v>
                </c:pt>
                <c:pt idx="132">
                  <c:v>71.63</c:v>
                </c:pt>
                <c:pt idx="133">
                  <c:v>73.214548377115477</c:v>
                </c:pt>
                <c:pt idx="134">
                  <c:v>71.961167467777173</c:v>
                </c:pt>
                <c:pt idx="135">
                  <c:v>79.58</c:v>
                </c:pt>
                <c:pt idx="136">
                  <c:v>75.27551609461014</c:v>
                </c:pt>
                <c:pt idx="137">
                  <c:v>71.599053043131789</c:v>
                </c:pt>
                <c:pt idx="138">
                  <c:v>72.231419883207309</c:v>
                </c:pt>
                <c:pt idx="139">
                  <c:v>78.040000000000006</c:v>
                </c:pt>
                <c:pt idx="140">
                  <c:v>88.07</c:v>
                </c:pt>
                <c:pt idx="141">
                  <c:v>88.07</c:v>
                </c:pt>
                <c:pt idx="142">
                  <c:v>78.828064788861283</c:v>
                </c:pt>
                <c:pt idx="143">
                  <c:v>77.758464886359718</c:v>
                </c:pt>
                <c:pt idx="144">
                  <c:v>75.569942798903384</c:v>
                </c:pt>
                <c:pt idx="145">
                  <c:v>59.092143537381354</c:v>
                </c:pt>
                <c:pt idx="146">
                  <c:v>67.09</c:v>
                </c:pt>
                <c:pt idx="147">
                  <c:v>62.527866413040854</c:v>
                </c:pt>
                <c:pt idx="148">
                  <c:v>71.967697945165853</c:v>
                </c:pt>
                <c:pt idx="149">
                  <c:v>65.237811606756168</c:v>
                </c:pt>
                <c:pt idx="150">
                  <c:v>71.819999999999993</c:v>
                </c:pt>
                <c:pt idx="151">
                  <c:v>62.863130620434575</c:v>
                </c:pt>
                <c:pt idx="152">
                  <c:v>71.961055184089687</c:v>
                </c:pt>
                <c:pt idx="153">
                  <c:v>63.573069558926562</c:v>
                </c:pt>
                <c:pt idx="154">
                  <c:v>68.22947963173938</c:v>
                </c:pt>
                <c:pt idx="155">
                  <c:v>64.305666729500459</c:v>
                </c:pt>
                <c:pt idx="156">
                  <c:v>69.330057133313844</c:v>
                </c:pt>
                <c:pt idx="157">
                  <c:v>74.48</c:v>
                </c:pt>
                <c:pt idx="158">
                  <c:v>68.180000000000007</c:v>
                </c:pt>
                <c:pt idx="159">
                  <c:v>82.9</c:v>
                </c:pt>
                <c:pt idx="160">
                  <c:v>76.319999999999993</c:v>
                </c:pt>
                <c:pt idx="161">
                  <c:v>75.459999999999994</c:v>
                </c:pt>
                <c:pt idx="162">
                  <c:v>64.229543342093379</c:v>
                </c:pt>
                <c:pt idx="163">
                  <c:v>72.682784907465958</c:v>
                </c:pt>
                <c:pt idx="164">
                  <c:v>73.866786483461567</c:v>
                </c:pt>
                <c:pt idx="165">
                  <c:v>70.34</c:v>
                </c:pt>
                <c:pt idx="166">
                  <c:v>73.31</c:v>
                </c:pt>
                <c:pt idx="167">
                  <c:v>75.764385312670356</c:v>
                </c:pt>
                <c:pt idx="168">
                  <c:v>75.061171698518223</c:v>
                </c:pt>
                <c:pt idx="169">
                  <c:v>76.66284843486288</c:v>
                </c:pt>
                <c:pt idx="170">
                  <c:v>72.399073039559141</c:v>
                </c:pt>
                <c:pt idx="171">
                  <c:v>67.921536131594976</c:v>
                </c:pt>
                <c:pt idx="172">
                  <c:v>70.981633410605681</c:v>
                </c:pt>
                <c:pt idx="173">
                  <c:v>74.269214180689431</c:v>
                </c:pt>
                <c:pt idx="174">
                  <c:v>67.847558674013982</c:v>
                </c:pt>
                <c:pt idx="175">
                  <c:v>69.75</c:v>
                </c:pt>
                <c:pt idx="176">
                  <c:v>77.660870297005232</c:v>
                </c:pt>
                <c:pt idx="177">
                  <c:v>75.53</c:v>
                </c:pt>
                <c:pt idx="178">
                  <c:v>76.646478964638078</c:v>
                </c:pt>
                <c:pt idx="179">
                  <c:v>74.041967917260465</c:v>
                </c:pt>
                <c:pt idx="180">
                  <c:v>78.627187762150683</c:v>
                </c:pt>
                <c:pt idx="181">
                  <c:v>78.034844903162892</c:v>
                </c:pt>
                <c:pt idx="182">
                  <c:v>77.093885095547137</c:v>
                </c:pt>
                <c:pt idx="183">
                  <c:v>66.971492900669304</c:v>
                </c:pt>
                <c:pt idx="184">
                  <c:v>72.98</c:v>
                </c:pt>
                <c:pt idx="185">
                  <c:v>74.98</c:v>
                </c:pt>
                <c:pt idx="186">
                  <c:v>66.66</c:v>
                </c:pt>
                <c:pt idx="187">
                  <c:v>68.209999999999994</c:v>
                </c:pt>
                <c:pt idx="188">
                  <c:v>67.540000000000006</c:v>
                </c:pt>
                <c:pt idx="189">
                  <c:v>71.91</c:v>
                </c:pt>
                <c:pt idx="190">
                  <c:v>68.05</c:v>
                </c:pt>
                <c:pt idx="191">
                  <c:v>71.44</c:v>
                </c:pt>
                <c:pt idx="192">
                  <c:v>66.819999999999993</c:v>
                </c:pt>
                <c:pt idx="193">
                  <c:v>66.03</c:v>
                </c:pt>
                <c:pt idx="194">
                  <c:v>73.111721668468235</c:v>
                </c:pt>
                <c:pt idx="195">
                  <c:v>74.770252802927459</c:v>
                </c:pt>
                <c:pt idx="196">
                  <c:v>71.79701387028777</c:v>
                </c:pt>
                <c:pt idx="197">
                  <c:v>68.3</c:v>
                </c:pt>
                <c:pt idx="198">
                  <c:v>75.36</c:v>
                </c:pt>
                <c:pt idx="199">
                  <c:v>68.920152108640323</c:v>
                </c:pt>
                <c:pt idx="200">
                  <c:v>74.6987185078506</c:v>
                </c:pt>
                <c:pt idx="201">
                  <c:v>82.41</c:v>
                </c:pt>
                <c:pt idx="202">
                  <c:v>78.7</c:v>
                </c:pt>
                <c:pt idx="203">
                  <c:v>69.34</c:v>
                </c:pt>
                <c:pt idx="204">
                  <c:v>78.040000000000006</c:v>
                </c:pt>
                <c:pt idx="205">
                  <c:v>80.59</c:v>
                </c:pt>
                <c:pt idx="206">
                  <c:v>80.59</c:v>
                </c:pt>
                <c:pt idx="207">
                  <c:v>75.61</c:v>
                </c:pt>
                <c:pt idx="208">
                  <c:v>79.349999999999994</c:v>
                </c:pt>
                <c:pt idx="209">
                  <c:v>76.959999999999994</c:v>
                </c:pt>
                <c:pt idx="210">
                  <c:v>74.54938675101036</c:v>
                </c:pt>
                <c:pt idx="211">
                  <c:v>70.67</c:v>
                </c:pt>
                <c:pt idx="212">
                  <c:v>73.434029380972831</c:v>
                </c:pt>
                <c:pt idx="213">
                  <c:v>75.2</c:v>
                </c:pt>
                <c:pt idx="214">
                  <c:v>67.718876319991423</c:v>
                </c:pt>
                <c:pt idx="215">
                  <c:v>72.38</c:v>
                </c:pt>
                <c:pt idx="216">
                  <c:v>64.644309294417681</c:v>
                </c:pt>
                <c:pt idx="217">
                  <c:v>68.987682111093264</c:v>
                </c:pt>
                <c:pt idx="218">
                  <c:v>64.890590684952869</c:v>
                </c:pt>
                <c:pt idx="219">
                  <c:v>62.241647649607863</c:v>
                </c:pt>
                <c:pt idx="220">
                  <c:v>69.64</c:v>
                </c:pt>
                <c:pt idx="221">
                  <c:v>66.996841541268978</c:v>
                </c:pt>
                <c:pt idx="222">
                  <c:v>69.790000000000006</c:v>
                </c:pt>
                <c:pt idx="223">
                  <c:v>69.329311191633309</c:v>
                </c:pt>
                <c:pt idx="224">
                  <c:v>74.069999999999993</c:v>
                </c:pt>
                <c:pt idx="225">
                  <c:v>80.062653919700892</c:v>
                </c:pt>
                <c:pt idx="226">
                  <c:v>81.106509528482462</c:v>
                </c:pt>
                <c:pt idx="227">
                  <c:v>75.099999999999994</c:v>
                </c:pt>
                <c:pt idx="228">
                  <c:v>63.63</c:v>
                </c:pt>
                <c:pt idx="229">
                  <c:v>67.894457948067739</c:v>
                </c:pt>
                <c:pt idx="230">
                  <c:v>81.459999999999994</c:v>
                </c:pt>
                <c:pt idx="231">
                  <c:v>67.154126665880412</c:v>
                </c:pt>
                <c:pt idx="232">
                  <c:v>71.009568267801384</c:v>
                </c:pt>
                <c:pt idx="233">
                  <c:v>69.038302560083508</c:v>
                </c:pt>
                <c:pt idx="234">
                  <c:v>75.205407754363151</c:v>
                </c:pt>
                <c:pt idx="235">
                  <c:v>65.3</c:v>
                </c:pt>
                <c:pt idx="236">
                  <c:v>74.76537125868812</c:v>
                </c:pt>
                <c:pt idx="237">
                  <c:v>72.373964284332402</c:v>
                </c:pt>
                <c:pt idx="238">
                  <c:v>79.784863307507152</c:v>
                </c:pt>
                <c:pt idx="239">
                  <c:v>76.209999999999994</c:v>
                </c:pt>
                <c:pt idx="240">
                  <c:v>72.560125447903829</c:v>
                </c:pt>
                <c:pt idx="241">
                  <c:v>77.214820543562183</c:v>
                </c:pt>
                <c:pt idx="242">
                  <c:v>84.657473574355436</c:v>
                </c:pt>
                <c:pt idx="243">
                  <c:v>85.237649778824292</c:v>
                </c:pt>
                <c:pt idx="244">
                  <c:v>84.95</c:v>
                </c:pt>
                <c:pt idx="245">
                  <c:v>68.031670653907497</c:v>
                </c:pt>
                <c:pt idx="246">
                  <c:v>70.546738702079097</c:v>
                </c:pt>
                <c:pt idx="247">
                  <c:v>73.069976244773841</c:v>
                </c:pt>
                <c:pt idx="248">
                  <c:v>88.83</c:v>
                </c:pt>
                <c:pt idx="249">
                  <c:v>74.437526685140526</c:v>
                </c:pt>
                <c:pt idx="250">
                  <c:v>69.209999999999994</c:v>
                </c:pt>
                <c:pt idx="251">
                  <c:v>69.051384190356984</c:v>
                </c:pt>
                <c:pt idx="252">
                  <c:v>70.55699369412838</c:v>
                </c:pt>
                <c:pt idx="253">
                  <c:v>73.844935948782407</c:v>
                </c:pt>
                <c:pt idx="254">
                  <c:v>67.266559431363532</c:v>
                </c:pt>
                <c:pt idx="255">
                  <c:v>68.235453440929604</c:v>
                </c:pt>
                <c:pt idx="256">
                  <c:v>68.239999999999995</c:v>
                </c:pt>
                <c:pt idx="257">
                  <c:v>66.645430134489871</c:v>
                </c:pt>
                <c:pt idx="258">
                  <c:v>69.33</c:v>
                </c:pt>
                <c:pt idx="259">
                  <c:v>67.11</c:v>
                </c:pt>
                <c:pt idx="260">
                  <c:v>73.617243364813135</c:v>
                </c:pt>
                <c:pt idx="261">
                  <c:v>78.06</c:v>
                </c:pt>
                <c:pt idx="262">
                  <c:v>74.464357318172816</c:v>
                </c:pt>
                <c:pt idx="263">
                  <c:v>77.006582104193242</c:v>
                </c:pt>
                <c:pt idx="264">
                  <c:v>72.643434673850294</c:v>
                </c:pt>
                <c:pt idx="265">
                  <c:v>70.921735941236349</c:v>
                </c:pt>
                <c:pt idx="266">
                  <c:v>72.180220055449155</c:v>
                </c:pt>
                <c:pt idx="267">
                  <c:v>63.890000000000008</c:v>
                </c:pt>
                <c:pt idx="268">
                  <c:v>64.603430256024026</c:v>
                </c:pt>
                <c:pt idx="269">
                  <c:v>63.95</c:v>
                </c:pt>
                <c:pt idx="270">
                  <c:v>73.539677562949763</c:v>
                </c:pt>
                <c:pt idx="271">
                  <c:v>69.818382983738758</c:v>
                </c:pt>
                <c:pt idx="272">
                  <c:v>70.010000000000005</c:v>
                </c:pt>
                <c:pt idx="273">
                  <c:v>70.129921106219143</c:v>
                </c:pt>
                <c:pt idx="274">
                  <c:v>65.3</c:v>
                </c:pt>
                <c:pt idx="275">
                  <c:v>58.983348985058555</c:v>
                </c:pt>
                <c:pt idx="276">
                  <c:v>66.464062609407577</c:v>
                </c:pt>
                <c:pt idx="277">
                  <c:v>66.559878126499811</c:v>
                </c:pt>
                <c:pt idx="278">
                  <c:v>66.869152641005854</c:v>
                </c:pt>
                <c:pt idx="279">
                  <c:v>67.135150707122392</c:v>
                </c:pt>
                <c:pt idx="280">
                  <c:v>84.57</c:v>
                </c:pt>
                <c:pt idx="281">
                  <c:v>76.700063574661968</c:v>
                </c:pt>
                <c:pt idx="282">
                  <c:v>78.15115583389067</c:v>
                </c:pt>
                <c:pt idx="283">
                  <c:v>70.637948837871136</c:v>
                </c:pt>
                <c:pt idx="284">
                  <c:v>73.703470078631113</c:v>
                </c:pt>
                <c:pt idx="285">
                  <c:v>80.58</c:v>
                </c:pt>
                <c:pt idx="286">
                  <c:v>66.608882477297215</c:v>
                </c:pt>
                <c:pt idx="287">
                  <c:v>67.860344576554112</c:v>
                </c:pt>
                <c:pt idx="288">
                  <c:v>66.89</c:v>
                </c:pt>
                <c:pt idx="289">
                  <c:v>67.930000000000007</c:v>
                </c:pt>
                <c:pt idx="290">
                  <c:v>74.430000000000007</c:v>
                </c:pt>
                <c:pt idx="291">
                  <c:v>68.711481095951513</c:v>
                </c:pt>
                <c:pt idx="292">
                  <c:v>74.98</c:v>
                </c:pt>
                <c:pt idx="293">
                  <c:v>66.87</c:v>
                </c:pt>
                <c:pt idx="294">
                  <c:v>76.849999999999994</c:v>
                </c:pt>
                <c:pt idx="295">
                  <c:v>71.533349075874682</c:v>
                </c:pt>
                <c:pt idx="296">
                  <c:v>69.551084492955752</c:v>
                </c:pt>
              </c:numCache>
            </c:numRef>
          </c:xVal>
          <c:yVal>
            <c:numRef>
              <c:f>'Chart 11 Literacy Rate vs Winn'!$B$2:$B$298</c:f>
              <c:numCache>
                <c:formatCode>0.00</c:formatCode>
                <c:ptCount val="297"/>
                <c:pt idx="0">
                  <c:v>50.690963985335344</c:v>
                </c:pt>
                <c:pt idx="1">
                  <c:v>63.931283198818143</c:v>
                </c:pt>
                <c:pt idx="2">
                  <c:v>55.131544323375095</c:v>
                </c:pt>
                <c:pt idx="3">
                  <c:v>54.137495160756174</c:v>
                </c:pt>
                <c:pt idx="4">
                  <c:v>84.391797967986534</c:v>
                </c:pt>
                <c:pt idx="5">
                  <c:v>50.749902328206161</c:v>
                </c:pt>
                <c:pt idx="6">
                  <c:v>51.533913241230309</c:v>
                </c:pt>
                <c:pt idx="7">
                  <c:v>68.488914620440681</c:v>
                </c:pt>
                <c:pt idx="8">
                  <c:v>65.655713385009079</c:v>
                </c:pt>
                <c:pt idx="9">
                  <c:v>56.944033998958645</c:v>
                </c:pt>
                <c:pt idx="10">
                  <c:v>63.210939578140547</c:v>
                </c:pt>
                <c:pt idx="11">
                  <c:v>58.710630348842265</c:v>
                </c:pt>
                <c:pt idx="12">
                  <c:v>59.489164646720447</c:v>
                </c:pt>
                <c:pt idx="13">
                  <c:v>58.349734630694385</c:v>
                </c:pt>
                <c:pt idx="14">
                  <c:v>55.964152113841003</c:v>
                </c:pt>
                <c:pt idx="15">
                  <c:v>71.795653606503365</c:v>
                </c:pt>
                <c:pt idx="16">
                  <c:v>69.925919907824579</c:v>
                </c:pt>
                <c:pt idx="17">
                  <c:v>74.734414709741543</c:v>
                </c:pt>
                <c:pt idx="18">
                  <c:v>60.788357393155948</c:v>
                </c:pt>
                <c:pt idx="19">
                  <c:v>53.434941618574683</c:v>
                </c:pt>
                <c:pt idx="20">
                  <c:v>58.76996182614058</c:v>
                </c:pt>
                <c:pt idx="21">
                  <c:v>63.452329346966877</c:v>
                </c:pt>
                <c:pt idx="22">
                  <c:v>68.90000318562646</c:v>
                </c:pt>
                <c:pt idx="23">
                  <c:v>69.369376465368077</c:v>
                </c:pt>
                <c:pt idx="24">
                  <c:v>65.909090909090907</c:v>
                </c:pt>
                <c:pt idx="25">
                  <c:v>59.577045044501745</c:v>
                </c:pt>
                <c:pt idx="26">
                  <c:v>77.020240059077906</c:v>
                </c:pt>
                <c:pt idx="27">
                  <c:v>60.370923596301132</c:v>
                </c:pt>
                <c:pt idx="28">
                  <c:v>50.311185673140656</c:v>
                </c:pt>
                <c:pt idx="29">
                  <c:v>70.457736590845272</c:v>
                </c:pt>
                <c:pt idx="30">
                  <c:v>65.404129793510322</c:v>
                </c:pt>
                <c:pt idx="31">
                  <c:v>75.009457385239514</c:v>
                </c:pt>
                <c:pt idx="32">
                  <c:v>62.119135160307806</c:v>
                </c:pt>
                <c:pt idx="33">
                  <c:v>51.751203516360846</c:v>
                </c:pt>
                <c:pt idx="34">
                  <c:v>71.018600802868264</c:v>
                </c:pt>
                <c:pt idx="35">
                  <c:v>56.00663764726265</c:v>
                </c:pt>
                <c:pt idx="36">
                  <c:v>52.46793280751104</c:v>
                </c:pt>
                <c:pt idx="37">
                  <c:v>59.884361668198196</c:v>
                </c:pt>
                <c:pt idx="38">
                  <c:v>60.373493580579087</c:v>
                </c:pt>
                <c:pt idx="39">
                  <c:v>61.520683151823185</c:v>
                </c:pt>
                <c:pt idx="40">
                  <c:v>60.202927133070375</c:v>
                </c:pt>
                <c:pt idx="41">
                  <c:v>82.32231792883573</c:v>
                </c:pt>
                <c:pt idx="42">
                  <c:v>71.037254703279629</c:v>
                </c:pt>
                <c:pt idx="43">
                  <c:v>50.337588839168198</c:v>
                </c:pt>
                <c:pt idx="44">
                  <c:v>57.528938164942524</c:v>
                </c:pt>
                <c:pt idx="45">
                  <c:v>52.854111827176183</c:v>
                </c:pt>
                <c:pt idx="46">
                  <c:v>64.807141145884174</c:v>
                </c:pt>
                <c:pt idx="47">
                  <c:v>75.94077761654178</c:v>
                </c:pt>
                <c:pt idx="48">
                  <c:v>80.640623073743441</c:v>
                </c:pt>
                <c:pt idx="49">
                  <c:v>70.85929423598111</c:v>
                </c:pt>
                <c:pt idx="50">
                  <c:v>74.065161499615073</c:v>
                </c:pt>
                <c:pt idx="51">
                  <c:v>67.02901436931279</c:v>
                </c:pt>
                <c:pt idx="52">
                  <c:v>57.941048886155599</c:v>
                </c:pt>
                <c:pt idx="53">
                  <c:v>55.933775760444007</c:v>
                </c:pt>
                <c:pt idx="54">
                  <c:v>59.859914933237398</c:v>
                </c:pt>
                <c:pt idx="55">
                  <c:v>56.947459986082116</c:v>
                </c:pt>
                <c:pt idx="56">
                  <c:v>63.496327627104108</c:v>
                </c:pt>
                <c:pt idx="57">
                  <c:v>54.99421767250611</c:v>
                </c:pt>
                <c:pt idx="58">
                  <c:v>59.24020975119938</c:v>
                </c:pt>
                <c:pt idx="59">
                  <c:v>76.955023375279481</c:v>
                </c:pt>
                <c:pt idx="60">
                  <c:v>51.910279767786562</c:v>
                </c:pt>
                <c:pt idx="61">
                  <c:v>62.727914491054463</c:v>
                </c:pt>
                <c:pt idx="62">
                  <c:v>65.399895862310004</c:v>
                </c:pt>
                <c:pt idx="63">
                  <c:v>78.955891892900979</c:v>
                </c:pt>
                <c:pt idx="64">
                  <c:v>58.832608342071289</c:v>
                </c:pt>
                <c:pt idx="65">
                  <c:v>63.118946288099117</c:v>
                </c:pt>
                <c:pt idx="66">
                  <c:v>57.738971264579277</c:v>
                </c:pt>
                <c:pt idx="67">
                  <c:v>52.946735170372442</c:v>
                </c:pt>
                <c:pt idx="68">
                  <c:v>50.189677772378502</c:v>
                </c:pt>
                <c:pt idx="69">
                  <c:v>60.677087879666068</c:v>
                </c:pt>
                <c:pt idx="70">
                  <c:v>51.047140354885393</c:v>
                </c:pt>
                <c:pt idx="71">
                  <c:v>50.548988987910938</c:v>
                </c:pt>
                <c:pt idx="72">
                  <c:v>63.459450528700913</c:v>
                </c:pt>
                <c:pt idx="73">
                  <c:v>50.664931729854288</c:v>
                </c:pt>
                <c:pt idx="74">
                  <c:v>54.822811164848503</c:v>
                </c:pt>
                <c:pt idx="75">
                  <c:v>57.271736497941397</c:v>
                </c:pt>
                <c:pt idx="76">
                  <c:v>50.964169941765405</c:v>
                </c:pt>
                <c:pt idx="77">
                  <c:v>51.559940141419446</c:v>
                </c:pt>
                <c:pt idx="78">
                  <c:v>56.526647188413051</c:v>
                </c:pt>
                <c:pt idx="79">
                  <c:v>60.385949490765476</c:v>
                </c:pt>
                <c:pt idx="80">
                  <c:v>67.454225716354614</c:v>
                </c:pt>
                <c:pt idx="81">
                  <c:v>74.008054582946983</c:v>
                </c:pt>
                <c:pt idx="82">
                  <c:v>54.357633464344644</c:v>
                </c:pt>
                <c:pt idx="83">
                  <c:v>50.961703136733107</c:v>
                </c:pt>
                <c:pt idx="84">
                  <c:v>52.484630591097691</c:v>
                </c:pt>
                <c:pt idx="85">
                  <c:v>58.60405657502583</c:v>
                </c:pt>
                <c:pt idx="86">
                  <c:v>51.52178942549557</c:v>
                </c:pt>
                <c:pt idx="87">
                  <c:v>52.308071863462949</c:v>
                </c:pt>
                <c:pt idx="88">
                  <c:v>67.535464438398748</c:v>
                </c:pt>
                <c:pt idx="89">
                  <c:v>60.416785997068679</c:v>
                </c:pt>
                <c:pt idx="90">
                  <c:v>58.630173716625769</c:v>
                </c:pt>
                <c:pt idx="91">
                  <c:v>50.837943942298914</c:v>
                </c:pt>
                <c:pt idx="92">
                  <c:v>56.464092919524077</c:v>
                </c:pt>
                <c:pt idx="93">
                  <c:v>51.056164026630967</c:v>
                </c:pt>
                <c:pt idx="94">
                  <c:v>51.93170761526823</c:v>
                </c:pt>
                <c:pt idx="95">
                  <c:v>54.929958912554653</c:v>
                </c:pt>
                <c:pt idx="96">
                  <c:v>57.675154858553832</c:v>
                </c:pt>
                <c:pt idx="97">
                  <c:v>54.479938384801585</c:v>
                </c:pt>
                <c:pt idx="98">
                  <c:v>62.703200031488628</c:v>
                </c:pt>
                <c:pt idx="99">
                  <c:v>58.342051099898306</c:v>
                </c:pt>
                <c:pt idx="100">
                  <c:v>62.105950735558622</c:v>
                </c:pt>
                <c:pt idx="101">
                  <c:v>59.274808441741811</c:v>
                </c:pt>
                <c:pt idx="102">
                  <c:v>78.739725720808167</c:v>
                </c:pt>
                <c:pt idx="103">
                  <c:v>56.899591685226426</c:v>
                </c:pt>
                <c:pt idx="104">
                  <c:v>53.736591239113395</c:v>
                </c:pt>
                <c:pt idx="105">
                  <c:v>50.536972142579032</c:v>
                </c:pt>
                <c:pt idx="106">
                  <c:v>54.851097034228943</c:v>
                </c:pt>
                <c:pt idx="107">
                  <c:v>58.253522070338128</c:v>
                </c:pt>
                <c:pt idx="108">
                  <c:v>57.230334146548692</c:v>
                </c:pt>
                <c:pt idx="109">
                  <c:v>61.755084030097152</c:v>
                </c:pt>
                <c:pt idx="110">
                  <c:v>52.963277115455668</c:v>
                </c:pt>
                <c:pt idx="111">
                  <c:v>63.148137665572293</c:v>
                </c:pt>
                <c:pt idx="112">
                  <c:v>56.112318343013627</c:v>
                </c:pt>
                <c:pt idx="113">
                  <c:v>54.794970377768962</c:v>
                </c:pt>
                <c:pt idx="114">
                  <c:v>63.983920538534342</c:v>
                </c:pt>
                <c:pt idx="115">
                  <c:v>66.614128269028313</c:v>
                </c:pt>
                <c:pt idx="116">
                  <c:v>65.810392783799941</c:v>
                </c:pt>
                <c:pt idx="117">
                  <c:v>75.750867408842254</c:v>
                </c:pt>
                <c:pt idx="118">
                  <c:v>69.043851759393533</c:v>
                </c:pt>
                <c:pt idx="119">
                  <c:v>64.745626185672549</c:v>
                </c:pt>
                <c:pt idx="120">
                  <c:v>60.558201826980174</c:v>
                </c:pt>
                <c:pt idx="121">
                  <c:v>71.808116548147424</c:v>
                </c:pt>
                <c:pt idx="122">
                  <c:v>76.633065249827141</c:v>
                </c:pt>
                <c:pt idx="123">
                  <c:v>63.780895551040651</c:v>
                </c:pt>
                <c:pt idx="124">
                  <c:v>56.008183036659062</c:v>
                </c:pt>
                <c:pt idx="125">
                  <c:v>55.271340085274822</c:v>
                </c:pt>
                <c:pt idx="126">
                  <c:v>51.784455841276532</c:v>
                </c:pt>
                <c:pt idx="127">
                  <c:v>57.284775717306346</c:v>
                </c:pt>
                <c:pt idx="128">
                  <c:v>60.974389801808911</c:v>
                </c:pt>
                <c:pt idx="129">
                  <c:v>53.507759245830314</c:v>
                </c:pt>
                <c:pt idx="130">
                  <c:v>52.941176470588239</c:v>
                </c:pt>
                <c:pt idx="131">
                  <c:v>61.649137111020522</c:v>
                </c:pt>
                <c:pt idx="132">
                  <c:v>75.240413824228852</c:v>
                </c:pt>
                <c:pt idx="133">
                  <c:v>52.652507761928078</c:v>
                </c:pt>
                <c:pt idx="134">
                  <c:v>53.997199688035423</c:v>
                </c:pt>
                <c:pt idx="135">
                  <c:v>57.890367716531131</c:v>
                </c:pt>
                <c:pt idx="136">
                  <c:v>51.54180486176331</c:v>
                </c:pt>
                <c:pt idx="137">
                  <c:v>63.079151734761474</c:v>
                </c:pt>
                <c:pt idx="138">
                  <c:v>68.856419958514735</c:v>
                </c:pt>
                <c:pt idx="139">
                  <c:v>63.303738171498921</c:v>
                </c:pt>
                <c:pt idx="140">
                  <c:v>51.536381919488313</c:v>
                </c:pt>
                <c:pt idx="141">
                  <c:v>53.136203897625222</c:v>
                </c:pt>
                <c:pt idx="142">
                  <c:v>52.929193955958951</c:v>
                </c:pt>
                <c:pt idx="143">
                  <c:v>50.441884107082345</c:v>
                </c:pt>
                <c:pt idx="144">
                  <c:v>54.722365430556863</c:v>
                </c:pt>
                <c:pt idx="145">
                  <c:v>55.085780776046221</c:v>
                </c:pt>
                <c:pt idx="146">
                  <c:v>54.287646800985478</c:v>
                </c:pt>
                <c:pt idx="147">
                  <c:v>52.323882721850545</c:v>
                </c:pt>
                <c:pt idx="148">
                  <c:v>69.611825476481997</c:v>
                </c:pt>
                <c:pt idx="149">
                  <c:v>54.985519238725686</c:v>
                </c:pt>
                <c:pt idx="150">
                  <c:v>81.36560288656905</c:v>
                </c:pt>
                <c:pt idx="151">
                  <c:v>53.419911780853035</c:v>
                </c:pt>
                <c:pt idx="152">
                  <c:v>51.221921856565224</c:v>
                </c:pt>
                <c:pt idx="153">
                  <c:v>57.629670763874799</c:v>
                </c:pt>
                <c:pt idx="154">
                  <c:v>56.174175764277145</c:v>
                </c:pt>
                <c:pt idx="155">
                  <c:v>65.682862809838824</c:v>
                </c:pt>
                <c:pt idx="156">
                  <c:v>57.183897780318183</c:v>
                </c:pt>
                <c:pt idx="157">
                  <c:v>58.742063530765712</c:v>
                </c:pt>
                <c:pt idx="158">
                  <c:v>51.493724896109846</c:v>
                </c:pt>
                <c:pt idx="159">
                  <c:v>59.428653577589749</c:v>
                </c:pt>
                <c:pt idx="160">
                  <c:v>52.253954195965271</c:v>
                </c:pt>
                <c:pt idx="161">
                  <c:v>52.478580881840763</c:v>
                </c:pt>
                <c:pt idx="162">
                  <c:v>60.966367653674155</c:v>
                </c:pt>
                <c:pt idx="163">
                  <c:v>51.698737782284219</c:v>
                </c:pt>
                <c:pt idx="164">
                  <c:v>64.944197013361276</c:v>
                </c:pt>
                <c:pt idx="165">
                  <c:v>71.289579940888515</c:v>
                </c:pt>
                <c:pt idx="166">
                  <c:v>50.148725595481835</c:v>
                </c:pt>
                <c:pt idx="167">
                  <c:v>57.054148955830719</c:v>
                </c:pt>
                <c:pt idx="168">
                  <c:v>53.191324640277827</c:v>
                </c:pt>
                <c:pt idx="169">
                  <c:v>67.388529936843028</c:v>
                </c:pt>
                <c:pt idx="170">
                  <c:v>55.827929063771641</c:v>
                </c:pt>
                <c:pt idx="171">
                  <c:v>63.904801220830187</c:v>
                </c:pt>
                <c:pt idx="172">
                  <c:v>68.313726404645038</c:v>
                </c:pt>
                <c:pt idx="173">
                  <c:v>72.260100955580413</c:v>
                </c:pt>
                <c:pt idx="174">
                  <c:v>53.897915282101508</c:v>
                </c:pt>
                <c:pt idx="175">
                  <c:v>52.83004377543967</c:v>
                </c:pt>
                <c:pt idx="176">
                  <c:v>54.211092418434049</c:v>
                </c:pt>
                <c:pt idx="177">
                  <c:v>62.310788993154212</c:v>
                </c:pt>
                <c:pt idx="178">
                  <c:v>66.87785044775228</c:v>
                </c:pt>
                <c:pt idx="179">
                  <c:v>77.291580913782738</c:v>
                </c:pt>
                <c:pt idx="180">
                  <c:v>62.260617545424147</c:v>
                </c:pt>
                <c:pt idx="181">
                  <c:v>67.410016302503237</c:v>
                </c:pt>
                <c:pt idx="182">
                  <c:v>58.368558281490635</c:v>
                </c:pt>
                <c:pt idx="183">
                  <c:v>51.507914230390448</c:v>
                </c:pt>
                <c:pt idx="184">
                  <c:v>53.005652253187286</c:v>
                </c:pt>
                <c:pt idx="185">
                  <c:v>62.754589666339434</c:v>
                </c:pt>
                <c:pt idx="186">
                  <c:v>55.196652272354143</c:v>
                </c:pt>
                <c:pt idx="187">
                  <c:v>53.299366663128467</c:v>
                </c:pt>
                <c:pt idx="188">
                  <c:v>51.195927142121214</c:v>
                </c:pt>
                <c:pt idx="189">
                  <c:v>55.769197487063224</c:v>
                </c:pt>
                <c:pt idx="190">
                  <c:v>59.049100027213001</c:v>
                </c:pt>
                <c:pt idx="191">
                  <c:v>53.860250135943446</c:v>
                </c:pt>
                <c:pt idx="192">
                  <c:v>70.143054613739494</c:v>
                </c:pt>
                <c:pt idx="193">
                  <c:v>54.649554894251537</c:v>
                </c:pt>
                <c:pt idx="194">
                  <c:v>53.059082031250007</c:v>
                </c:pt>
                <c:pt idx="195">
                  <c:v>51.26657707229252</c:v>
                </c:pt>
                <c:pt idx="196">
                  <c:v>58.289616150326573</c:v>
                </c:pt>
                <c:pt idx="197">
                  <c:v>57.848290995166494</c:v>
                </c:pt>
                <c:pt idx="198">
                  <c:v>55.261561853996888</c:v>
                </c:pt>
                <c:pt idx="199">
                  <c:v>52.720889125644689</c:v>
                </c:pt>
                <c:pt idx="200">
                  <c:v>57.063356164383563</c:v>
                </c:pt>
                <c:pt idx="201">
                  <c:v>60.092879414442599</c:v>
                </c:pt>
                <c:pt idx="202">
                  <c:v>63.331040440235476</c:v>
                </c:pt>
                <c:pt idx="203">
                  <c:v>60.527892084053668</c:v>
                </c:pt>
                <c:pt idx="204">
                  <c:v>53.52751121184356</c:v>
                </c:pt>
                <c:pt idx="205">
                  <c:v>56.839766582793516</c:v>
                </c:pt>
                <c:pt idx="206">
                  <c:v>53.148915484154728</c:v>
                </c:pt>
                <c:pt idx="207">
                  <c:v>62.863674957352181</c:v>
                </c:pt>
                <c:pt idx="208">
                  <c:v>62.383710370714184</c:v>
                </c:pt>
                <c:pt idx="209">
                  <c:v>64.239136391035117</c:v>
                </c:pt>
                <c:pt idx="210">
                  <c:v>67.479433045891568</c:v>
                </c:pt>
                <c:pt idx="211">
                  <c:v>75.375949110696283</c:v>
                </c:pt>
                <c:pt idx="212">
                  <c:v>53.144950179519277</c:v>
                </c:pt>
                <c:pt idx="213">
                  <c:v>55.594779230267633</c:v>
                </c:pt>
                <c:pt idx="214">
                  <c:v>64.301514012670452</c:v>
                </c:pt>
                <c:pt idx="215">
                  <c:v>55.747098258791837</c:v>
                </c:pt>
                <c:pt idx="216">
                  <c:v>64.411323226118753</c:v>
                </c:pt>
                <c:pt idx="217">
                  <c:v>71.7853463223407</c:v>
                </c:pt>
                <c:pt idx="218">
                  <c:v>63.207063970549001</c:v>
                </c:pt>
                <c:pt idx="219">
                  <c:v>80.143639634969915</c:v>
                </c:pt>
                <c:pt idx="220">
                  <c:v>50.855565663504322</c:v>
                </c:pt>
                <c:pt idx="221">
                  <c:v>55.808874128594077</c:v>
                </c:pt>
                <c:pt idx="222">
                  <c:v>51.898449144152039</c:v>
                </c:pt>
                <c:pt idx="223">
                  <c:v>54.922038631603442</c:v>
                </c:pt>
                <c:pt idx="224">
                  <c:v>60.499246575674327</c:v>
                </c:pt>
                <c:pt idx="225">
                  <c:v>56.403061337934531</c:v>
                </c:pt>
                <c:pt idx="226">
                  <c:v>55.60396196933182</c:v>
                </c:pt>
                <c:pt idx="227">
                  <c:v>53.224869042766784</c:v>
                </c:pt>
                <c:pt idx="228">
                  <c:v>59.532662811573964</c:v>
                </c:pt>
                <c:pt idx="229">
                  <c:v>55.098579368599985</c:v>
                </c:pt>
                <c:pt idx="230">
                  <c:v>58.939840944073886</c:v>
                </c:pt>
                <c:pt idx="231">
                  <c:v>55.492509147421856</c:v>
                </c:pt>
                <c:pt idx="232">
                  <c:v>73.944915444619937</c:v>
                </c:pt>
                <c:pt idx="233">
                  <c:v>50.560372461696169</c:v>
                </c:pt>
                <c:pt idx="234">
                  <c:v>50.699873687621754</c:v>
                </c:pt>
                <c:pt idx="235">
                  <c:v>52.440194973466426</c:v>
                </c:pt>
                <c:pt idx="236">
                  <c:v>51.179485093748731</c:v>
                </c:pt>
                <c:pt idx="237">
                  <c:v>57.543029600147612</c:v>
                </c:pt>
                <c:pt idx="238">
                  <c:v>72.336954453787911</c:v>
                </c:pt>
                <c:pt idx="239">
                  <c:v>58.093942084808504</c:v>
                </c:pt>
                <c:pt idx="240">
                  <c:v>54.466544290479277</c:v>
                </c:pt>
                <c:pt idx="241">
                  <c:v>63.878129185124131</c:v>
                </c:pt>
                <c:pt idx="242">
                  <c:v>55.328990173670775</c:v>
                </c:pt>
                <c:pt idx="243">
                  <c:v>52.050652705337441</c:v>
                </c:pt>
                <c:pt idx="244">
                  <c:v>63.532423038234384</c:v>
                </c:pt>
                <c:pt idx="245">
                  <c:v>60.454244952725197</c:v>
                </c:pt>
                <c:pt idx="246">
                  <c:v>77.902368389081701</c:v>
                </c:pt>
                <c:pt idx="247">
                  <c:v>50.275690103252089</c:v>
                </c:pt>
                <c:pt idx="248">
                  <c:v>56.154222509566829</c:v>
                </c:pt>
                <c:pt idx="249">
                  <c:v>56.108450412894392</c:v>
                </c:pt>
                <c:pt idx="250">
                  <c:v>51.282895761659553</c:v>
                </c:pt>
                <c:pt idx="251">
                  <c:v>67.626834751179089</c:v>
                </c:pt>
                <c:pt idx="252">
                  <c:v>61.527001245670156</c:v>
                </c:pt>
                <c:pt idx="253">
                  <c:v>86.58652896041518</c:v>
                </c:pt>
                <c:pt idx="254">
                  <c:v>67.641669968996936</c:v>
                </c:pt>
                <c:pt idx="255">
                  <c:v>66.091812937277524</c:v>
                </c:pt>
                <c:pt idx="256">
                  <c:v>67.520592922562926</c:v>
                </c:pt>
                <c:pt idx="257">
                  <c:v>51.448552143356409</c:v>
                </c:pt>
                <c:pt idx="258">
                  <c:v>60.552481605258698</c:v>
                </c:pt>
                <c:pt idx="259">
                  <c:v>50.417922980038931</c:v>
                </c:pt>
                <c:pt idx="260">
                  <c:v>53.268163412294136</c:v>
                </c:pt>
                <c:pt idx="261">
                  <c:v>69.656257501591639</c:v>
                </c:pt>
                <c:pt idx="262">
                  <c:v>63.613731475215118</c:v>
                </c:pt>
                <c:pt idx="263">
                  <c:v>55.585710646306786</c:v>
                </c:pt>
                <c:pt idx="264">
                  <c:v>55.238910894622272</c:v>
                </c:pt>
                <c:pt idx="265">
                  <c:v>64.678684244616505</c:v>
                </c:pt>
                <c:pt idx="266">
                  <c:v>60.674943566591423</c:v>
                </c:pt>
                <c:pt idx="267">
                  <c:v>61.998127604255096</c:v>
                </c:pt>
                <c:pt idx="268">
                  <c:v>52.234719386967775</c:v>
                </c:pt>
                <c:pt idx="269">
                  <c:v>51.72959880760154</c:v>
                </c:pt>
                <c:pt idx="270">
                  <c:v>56.391887189408521</c:v>
                </c:pt>
                <c:pt idx="271">
                  <c:v>59.893830348313372</c:v>
                </c:pt>
                <c:pt idx="272">
                  <c:v>50.091907782763421</c:v>
                </c:pt>
                <c:pt idx="273">
                  <c:v>56.059068028489669</c:v>
                </c:pt>
                <c:pt idx="274">
                  <c:v>62.277771322333251</c:v>
                </c:pt>
                <c:pt idx="275">
                  <c:v>63.505535055350549</c:v>
                </c:pt>
                <c:pt idx="276">
                  <c:v>61.153236411006375</c:v>
                </c:pt>
                <c:pt idx="277">
                  <c:v>69.738926035015297</c:v>
                </c:pt>
                <c:pt idx="278">
                  <c:v>56.430819147773356</c:v>
                </c:pt>
                <c:pt idx="279">
                  <c:v>59.80057944543293</c:v>
                </c:pt>
                <c:pt idx="280">
                  <c:v>56.724983088558247</c:v>
                </c:pt>
                <c:pt idx="281">
                  <c:v>75.706973394834662</c:v>
                </c:pt>
                <c:pt idx="282">
                  <c:v>60.816313495041761</c:v>
                </c:pt>
                <c:pt idx="283">
                  <c:v>72.354465084399209</c:v>
                </c:pt>
                <c:pt idx="284">
                  <c:v>53.212319535435761</c:v>
                </c:pt>
                <c:pt idx="285">
                  <c:v>55.867799900565828</c:v>
                </c:pt>
                <c:pt idx="286">
                  <c:v>61.97090106846381</c:v>
                </c:pt>
                <c:pt idx="287">
                  <c:v>76.505303299316054</c:v>
                </c:pt>
                <c:pt idx="288">
                  <c:v>56.59044422300309</c:v>
                </c:pt>
                <c:pt idx="289">
                  <c:v>62.75923289107601</c:v>
                </c:pt>
                <c:pt idx="290">
                  <c:v>62.052258912281033</c:v>
                </c:pt>
                <c:pt idx="291">
                  <c:v>62.154439073398507</c:v>
                </c:pt>
                <c:pt idx="292">
                  <c:v>66.536814685364092</c:v>
                </c:pt>
                <c:pt idx="293">
                  <c:v>59.691032522067246</c:v>
                </c:pt>
                <c:pt idx="294">
                  <c:v>62.87590199366597</c:v>
                </c:pt>
                <c:pt idx="295">
                  <c:v>51.121559284229733</c:v>
                </c:pt>
                <c:pt idx="296">
                  <c:v>59.091536103163335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B-472A-9A33-67C9CA7FA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643119"/>
        <c:axId val="1401645519"/>
      </c:scatterChart>
      <c:valAx>
        <c:axId val="140164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Literacy Rate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45519"/>
        <c:crosses val="autoZero"/>
        <c:crossBetween val="midCat"/>
      </c:valAx>
      <c:valAx>
        <c:axId val="14016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Winner Vote Share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4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Density vs Winner Vote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12 Density Vote Share'!$B$1</c:f>
              <c:strCache>
                <c:ptCount val="1"/>
                <c:pt idx="0">
                  <c:v>Winner_Vote_Share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53929165277537"/>
                  <c:y val="0.255878225617837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'Chart 12 Density Vote Share'!$A$2:$A$298</c:f>
              <c:numCache>
                <c:formatCode>0.00</c:formatCode>
                <c:ptCount val="297"/>
                <c:pt idx="0">
                  <c:v>561.3302521111699</c:v>
                </c:pt>
                <c:pt idx="1">
                  <c:v>1100.0507131537242</c:v>
                </c:pt>
                <c:pt idx="2">
                  <c:v>190.78330500644483</c:v>
                </c:pt>
                <c:pt idx="3">
                  <c:v>681.44846350832267</c:v>
                </c:pt>
                <c:pt idx="4">
                  <c:v>111.76694707545484</c:v>
                </c:pt>
                <c:pt idx="5">
                  <c:v>493.231783919598</c:v>
                </c:pt>
                <c:pt idx="6">
                  <c:v>526.96624602441773</c:v>
                </c:pt>
                <c:pt idx="7">
                  <c:v>882.77534113060437</c:v>
                </c:pt>
                <c:pt idx="8">
                  <c:v>1038.612334801762</c:v>
                </c:pt>
                <c:pt idx="9">
                  <c:v>4378.9366808196419</c:v>
                </c:pt>
                <c:pt idx="10">
                  <c:v>366.52937378954164</c:v>
                </c:pt>
                <c:pt idx="11">
                  <c:v>1371.5980890738172</c:v>
                </c:pt>
                <c:pt idx="12">
                  <c:v>890.34667380538087</c:v>
                </c:pt>
                <c:pt idx="13">
                  <c:v>1264.1827947821639</c:v>
                </c:pt>
                <c:pt idx="14">
                  <c:v>522.95198896190448</c:v>
                </c:pt>
                <c:pt idx="15">
                  <c:v>505.44488400945716</c:v>
                </c:pt>
                <c:pt idx="16">
                  <c:v>1678.9385113268609</c:v>
                </c:pt>
                <c:pt idx="17">
                  <c:v>846.13998738852365</c:v>
                </c:pt>
                <c:pt idx="18">
                  <c:v>774.93129475517696</c:v>
                </c:pt>
                <c:pt idx="19">
                  <c:v>2297.8408217455103</c:v>
                </c:pt>
                <c:pt idx="20">
                  <c:v>831.99716822286837</c:v>
                </c:pt>
                <c:pt idx="21">
                  <c:v>1188.4818464819498</c:v>
                </c:pt>
                <c:pt idx="22">
                  <c:v>1073.702333065165</c:v>
                </c:pt>
                <c:pt idx="23">
                  <c:v>1066.3774948923465</c:v>
                </c:pt>
                <c:pt idx="24">
                  <c:v>639.18923581162676</c:v>
                </c:pt>
                <c:pt idx="25">
                  <c:v>1949.4538670284937</c:v>
                </c:pt>
                <c:pt idx="26">
                  <c:v>1610.8221937374105</c:v>
                </c:pt>
                <c:pt idx="27">
                  <c:v>744.23520097269943</c:v>
                </c:pt>
                <c:pt idx="28">
                  <c:v>1538.0117495869285</c:v>
                </c:pt>
                <c:pt idx="29">
                  <c:v>1045.6771508699978</c:v>
                </c:pt>
                <c:pt idx="30">
                  <c:v>1719.4597574421168</c:v>
                </c:pt>
                <c:pt idx="31">
                  <c:v>884.59793465380051</c:v>
                </c:pt>
                <c:pt idx="32">
                  <c:v>1731.3113320594618</c:v>
                </c:pt>
                <c:pt idx="33">
                  <c:v>1012.7492461254353</c:v>
                </c:pt>
                <c:pt idx="34">
                  <c:v>1767.2385057471265</c:v>
                </c:pt>
                <c:pt idx="35">
                  <c:v>774.93129475517696</c:v>
                </c:pt>
                <c:pt idx="36">
                  <c:v>596.83407449716458</c:v>
                </c:pt>
                <c:pt idx="37">
                  <c:v>1235.7253298879546</c:v>
                </c:pt>
                <c:pt idx="38">
                  <c:v>1458.6030296485978</c:v>
                </c:pt>
                <c:pt idx="39">
                  <c:v>20794.578815679732</c:v>
                </c:pt>
                <c:pt idx="40">
                  <c:v>3667.048710601719</c:v>
                </c:pt>
                <c:pt idx="41">
                  <c:v>1950.137308748529</c:v>
                </c:pt>
                <c:pt idx="42">
                  <c:v>1981.7386363636363</c:v>
                </c:pt>
                <c:pt idx="43">
                  <c:v>958.55081904917017</c:v>
                </c:pt>
                <c:pt idx="44">
                  <c:v>1267.8410012747711</c:v>
                </c:pt>
                <c:pt idx="45">
                  <c:v>1376.5813060179257</c:v>
                </c:pt>
                <c:pt idx="46">
                  <c:v>429.62278009496083</c:v>
                </c:pt>
                <c:pt idx="47">
                  <c:v>1697.373083475298</c:v>
                </c:pt>
                <c:pt idx="48">
                  <c:v>1996.4237143001058</c:v>
                </c:pt>
                <c:pt idx="49">
                  <c:v>1118.3479448935443</c:v>
                </c:pt>
                <c:pt idx="50">
                  <c:v>1087.5117071094085</c:v>
                </c:pt>
                <c:pt idx="51">
                  <c:v>20794.594594594593</c:v>
                </c:pt>
                <c:pt idx="52">
                  <c:v>1046.6539475408881</c:v>
                </c:pt>
                <c:pt idx="53">
                  <c:v>1065.385569567914</c:v>
                </c:pt>
                <c:pt idx="54">
                  <c:v>931.60975609756099</c:v>
                </c:pt>
                <c:pt idx="55">
                  <c:v>1548.4239858140629</c:v>
                </c:pt>
                <c:pt idx="56">
                  <c:v>1845.4746055680187</c:v>
                </c:pt>
                <c:pt idx="57">
                  <c:v>828.79177871686511</c:v>
                </c:pt>
                <c:pt idx="58">
                  <c:v>1711.0895855348126</c:v>
                </c:pt>
                <c:pt idx="59">
                  <c:v>3179.8194191766056</c:v>
                </c:pt>
                <c:pt idx="60">
                  <c:v>1066.4578639852007</c:v>
                </c:pt>
                <c:pt idx="61">
                  <c:v>1071.6642754662842</c:v>
                </c:pt>
                <c:pt idx="62">
                  <c:v>953.90636324104946</c:v>
                </c:pt>
                <c:pt idx="63">
                  <c:v>1835.7389975058331</c:v>
                </c:pt>
                <c:pt idx="64">
                  <c:v>1351.5836371000405</c:v>
                </c:pt>
                <c:pt idx="65">
                  <c:v>1860.0350403674504</c:v>
                </c:pt>
                <c:pt idx="66">
                  <c:v>915.46247274992209</c:v>
                </c:pt>
                <c:pt idx="67">
                  <c:v>1227.1014189308896</c:v>
                </c:pt>
                <c:pt idx="68">
                  <c:v>917.60248389922992</c:v>
                </c:pt>
                <c:pt idx="69">
                  <c:v>971.79320752267677</c:v>
                </c:pt>
                <c:pt idx="70">
                  <c:v>33704.756604576549</c:v>
                </c:pt>
                <c:pt idx="71">
                  <c:v>33704.756604576549</c:v>
                </c:pt>
                <c:pt idx="72">
                  <c:v>33704.756604576549</c:v>
                </c:pt>
                <c:pt idx="73">
                  <c:v>33704.704226274262</c:v>
                </c:pt>
                <c:pt idx="74">
                  <c:v>33704.704226274262</c:v>
                </c:pt>
                <c:pt idx="75">
                  <c:v>33704.704226274262</c:v>
                </c:pt>
                <c:pt idx="76">
                  <c:v>33704.704226274262</c:v>
                </c:pt>
                <c:pt idx="77">
                  <c:v>33704.704226274262</c:v>
                </c:pt>
                <c:pt idx="78">
                  <c:v>33704.704226274262</c:v>
                </c:pt>
                <c:pt idx="79">
                  <c:v>9278.738008268776</c:v>
                </c:pt>
                <c:pt idx="80">
                  <c:v>6060.4304040282941</c:v>
                </c:pt>
                <c:pt idx="81">
                  <c:v>1679.8785043692949</c:v>
                </c:pt>
                <c:pt idx="82">
                  <c:v>8899.3131826571062</c:v>
                </c:pt>
                <c:pt idx="83">
                  <c:v>33704.756604576549</c:v>
                </c:pt>
                <c:pt idx="84">
                  <c:v>33704.756604576549</c:v>
                </c:pt>
                <c:pt idx="85">
                  <c:v>33704.756604576549</c:v>
                </c:pt>
                <c:pt idx="86">
                  <c:v>33704.756604576549</c:v>
                </c:pt>
                <c:pt idx="87">
                  <c:v>33704.756604576549</c:v>
                </c:pt>
                <c:pt idx="88">
                  <c:v>33704.756604576549</c:v>
                </c:pt>
                <c:pt idx="89">
                  <c:v>1330.0010024560172</c:v>
                </c:pt>
                <c:pt idx="90">
                  <c:v>666.55490360435874</c:v>
                </c:pt>
                <c:pt idx="91">
                  <c:v>1595.0043566656984</c:v>
                </c:pt>
                <c:pt idx="92">
                  <c:v>753.29624277456651</c:v>
                </c:pt>
                <c:pt idx="93">
                  <c:v>931.06422105613603</c:v>
                </c:pt>
                <c:pt idx="94">
                  <c:v>812.32975213602913</c:v>
                </c:pt>
                <c:pt idx="95">
                  <c:v>1198.0842097123416</c:v>
                </c:pt>
                <c:pt idx="96">
                  <c:v>778.6153348430928</c:v>
                </c:pt>
                <c:pt idx="97">
                  <c:v>2297.7816459539326</c:v>
                </c:pt>
                <c:pt idx="98">
                  <c:v>704.76314937893608</c:v>
                </c:pt>
                <c:pt idx="99">
                  <c:v>1117.1391842123548</c:v>
                </c:pt>
                <c:pt idx="100">
                  <c:v>1503.3726772847933</c:v>
                </c:pt>
                <c:pt idx="101">
                  <c:v>1403.7296267899981</c:v>
                </c:pt>
                <c:pt idx="102">
                  <c:v>1131.2834099221609</c:v>
                </c:pt>
                <c:pt idx="103">
                  <c:v>866.16579461264416</c:v>
                </c:pt>
                <c:pt idx="104">
                  <c:v>1407.3786900499056</c:v>
                </c:pt>
                <c:pt idx="105">
                  <c:v>1126.8123158637288</c:v>
                </c:pt>
                <c:pt idx="106">
                  <c:v>1202.992591030137</c:v>
                </c:pt>
                <c:pt idx="107">
                  <c:v>1313.8251573921495</c:v>
                </c:pt>
                <c:pt idx="108">
                  <c:v>3236.1459255462892</c:v>
                </c:pt>
                <c:pt idx="109">
                  <c:v>2418.0846551870386</c:v>
                </c:pt>
                <c:pt idx="110">
                  <c:v>1063.8817949653412</c:v>
                </c:pt>
                <c:pt idx="111">
                  <c:v>1986.0991441208571</c:v>
                </c:pt>
                <c:pt idx="112">
                  <c:v>999.80961979954088</c:v>
                </c:pt>
                <c:pt idx="113">
                  <c:v>1024.6722705099073</c:v>
                </c:pt>
                <c:pt idx="114">
                  <c:v>897.95278061024396</c:v>
                </c:pt>
                <c:pt idx="115">
                  <c:v>866.49141979502031</c:v>
                </c:pt>
                <c:pt idx="116">
                  <c:v>713.90626617566579</c:v>
                </c:pt>
                <c:pt idx="117">
                  <c:v>662.31597528684904</c:v>
                </c:pt>
                <c:pt idx="118">
                  <c:v>838.83057951435808</c:v>
                </c:pt>
                <c:pt idx="119">
                  <c:v>941.33388005419658</c:v>
                </c:pt>
                <c:pt idx="120">
                  <c:v>1304.4468015665796</c:v>
                </c:pt>
                <c:pt idx="121">
                  <c:v>1364.9236048696789</c:v>
                </c:pt>
                <c:pt idx="122">
                  <c:v>1302.3187855787476</c:v>
                </c:pt>
                <c:pt idx="123">
                  <c:v>955.26406061238799</c:v>
                </c:pt>
                <c:pt idx="124">
                  <c:v>970.76035186248203</c:v>
                </c:pt>
                <c:pt idx="125">
                  <c:v>1225.7011319479643</c:v>
                </c:pt>
                <c:pt idx="126">
                  <c:v>1898.549649217485</c:v>
                </c:pt>
                <c:pt idx="127">
                  <c:v>1343.2222222222222</c:v>
                </c:pt>
                <c:pt idx="128">
                  <c:v>1892.4761627180749</c:v>
                </c:pt>
                <c:pt idx="129">
                  <c:v>1085.9484324867601</c:v>
                </c:pt>
                <c:pt idx="130">
                  <c:v>541.66488251351495</c:v>
                </c:pt>
                <c:pt idx="131">
                  <c:v>625.90711530009287</c:v>
                </c:pt>
                <c:pt idx="132">
                  <c:v>1637.6832018038331</c:v>
                </c:pt>
                <c:pt idx="133">
                  <c:v>1201.5249137510043</c:v>
                </c:pt>
                <c:pt idx="134">
                  <c:v>695.8038915840541</c:v>
                </c:pt>
                <c:pt idx="135">
                  <c:v>1313.8251573921495</c:v>
                </c:pt>
                <c:pt idx="136">
                  <c:v>1057.0296275126227</c:v>
                </c:pt>
                <c:pt idx="137">
                  <c:v>894.68172804848155</c:v>
                </c:pt>
                <c:pt idx="138">
                  <c:v>179.85803596458521</c:v>
                </c:pt>
                <c:pt idx="139">
                  <c:v>350.83988287871784</c:v>
                </c:pt>
                <c:pt idx="140">
                  <c:v>15759.04511607534</c:v>
                </c:pt>
                <c:pt idx="141">
                  <c:v>15759.04511607534</c:v>
                </c:pt>
                <c:pt idx="142">
                  <c:v>1031.3691294445925</c:v>
                </c:pt>
                <c:pt idx="143">
                  <c:v>2056.7543859649127</c:v>
                </c:pt>
                <c:pt idx="144">
                  <c:v>231.47585954645206</c:v>
                </c:pt>
                <c:pt idx="145">
                  <c:v>483.66358145396083</c:v>
                </c:pt>
                <c:pt idx="146">
                  <c:v>1562.1682891052139</c:v>
                </c:pt>
                <c:pt idx="147">
                  <c:v>1071.3530246356249</c:v>
                </c:pt>
                <c:pt idx="148">
                  <c:v>1143.0767245689585</c:v>
                </c:pt>
                <c:pt idx="149">
                  <c:v>1072.8169123151183</c:v>
                </c:pt>
                <c:pt idx="150">
                  <c:v>1580.4462456966053</c:v>
                </c:pt>
                <c:pt idx="151">
                  <c:v>989.95532558599837</c:v>
                </c:pt>
                <c:pt idx="152">
                  <c:v>625.13280896100161</c:v>
                </c:pt>
                <c:pt idx="153">
                  <c:v>604.55337525570121</c:v>
                </c:pt>
                <c:pt idx="154">
                  <c:v>459.58018867924528</c:v>
                </c:pt>
                <c:pt idx="155">
                  <c:v>1058.2485537602233</c:v>
                </c:pt>
                <c:pt idx="156">
                  <c:v>1525.5025349672619</c:v>
                </c:pt>
                <c:pt idx="157">
                  <c:v>1668.9536163755913</c:v>
                </c:pt>
                <c:pt idx="158">
                  <c:v>1428.8396582555138</c:v>
                </c:pt>
                <c:pt idx="159">
                  <c:v>548.95977565506973</c:v>
                </c:pt>
                <c:pt idx="160">
                  <c:v>1852.5072352489517</c:v>
                </c:pt>
                <c:pt idx="161">
                  <c:v>1582.7450904217092</c:v>
                </c:pt>
                <c:pt idx="162">
                  <c:v>468.42383505777508</c:v>
                </c:pt>
                <c:pt idx="163">
                  <c:v>1207.8224974200207</c:v>
                </c:pt>
                <c:pt idx="164">
                  <c:v>1481.2379612596042</c:v>
                </c:pt>
                <c:pt idx="165">
                  <c:v>1326.2749445676275</c:v>
                </c:pt>
                <c:pt idx="166">
                  <c:v>1116.0879340494628</c:v>
                </c:pt>
                <c:pt idx="167">
                  <c:v>1349.0712724827704</c:v>
                </c:pt>
                <c:pt idx="168">
                  <c:v>872.38652914424995</c:v>
                </c:pt>
                <c:pt idx="169">
                  <c:v>1686.2020419977896</c:v>
                </c:pt>
                <c:pt idx="170">
                  <c:v>1019.2679807947499</c:v>
                </c:pt>
                <c:pt idx="171">
                  <c:v>1024.6281515517617</c:v>
                </c:pt>
                <c:pt idx="172">
                  <c:v>815.98832304005941</c:v>
                </c:pt>
                <c:pt idx="173">
                  <c:v>921.80683811604274</c:v>
                </c:pt>
                <c:pt idx="174">
                  <c:v>1203.5247596298602</c:v>
                </c:pt>
                <c:pt idx="175">
                  <c:v>304.1562401127506</c:v>
                </c:pt>
                <c:pt idx="176">
                  <c:v>953.31833761782354</c:v>
                </c:pt>
                <c:pt idx="177">
                  <c:v>585.30182182064345</c:v>
                </c:pt>
                <c:pt idx="178">
                  <c:v>1041.4215199098919</c:v>
                </c:pt>
                <c:pt idx="179">
                  <c:v>716.01788185672547</c:v>
                </c:pt>
                <c:pt idx="180">
                  <c:v>1178.9603816956092</c:v>
                </c:pt>
                <c:pt idx="181">
                  <c:v>914.51597918989228</c:v>
                </c:pt>
                <c:pt idx="182">
                  <c:v>1477.8980422009183</c:v>
                </c:pt>
                <c:pt idx="183">
                  <c:v>1115.7184346336264</c:v>
                </c:pt>
                <c:pt idx="184">
                  <c:v>1238.3992300906248</c:v>
                </c:pt>
                <c:pt idx="185">
                  <c:v>1315.0613669631798</c:v>
                </c:pt>
                <c:pt idx="186">
                  <c:v>1264.1537297842453</c:v>
                </c:pt>
                <c:pt idx="187">
                  <c:v>1076.8171407907425</c:v>
                </c:pt>
                <c:pt idx="188">
                  <c:v>1084.8577680525163</c:v>
                </c:pt>
                <c:pt idx="189">
                  <c:v>2005.580483554781</c:v>
                </c:pt>
                <c:pt idx="190">
                  <c:v>1232.3103302601824</c:v>
                </c:pt>
                <c:pt idx="191">
                  <c:v>1449.8406985662871</c:v>
                </c:pt>
                <c:pt idx="192">
                  <c:v>1413.7391243579441</c:v>
                </c:pt>
                <c:pt idx="193">
                  <c:v>1212.9711209006364</c:v>
                </c:pt>
                <c:pt idx="194">
                  <c:v>608.02927814235238</c:v>
                </c:pt>
                <c:pt idx="195">
                  <c:v>652.5448091759805</c:v>
                </c:pt>
                <c:pt idx="196">
                  <c:v>742.74057521804934</c:v>
                </c:pt>
                <c:pt idx="197">
                  <c:v>787.45887562333166</c:v>
                </c:pt>
                <c:pt idx="198">
                  <c:v>1624.3317738367243</c:v>
                </c:pt>
                <c:pt idx="199">
                  <c:v>725.05018878349745</c:v>
                </c:pt>
                <c:pt idx="200">
                  <c:v>1085.0721086249146</c:v>
                </c:pt>
                <c:pt idx="201">
                  <c:v>1267.8410012747711</c:v>
                </c:pt>
                <c:pt idx="202">
                  <c:v>2849.2864939159963</c:v>
                </c:pt>
                <c:pt idx="203">
                  <c:v>2552.7683739215904</c:v>
                </c:pt>
                <c:pt idx="204">
                  <c:v>3214.6161015961784</c:v>
                </c:pt>
                <c:pt idx="205">
                  <c:v>3899.0638363447242</c:v>
                </c:pt>
                <c:pt idx="206">
                  <c:v>3899.0638363447242</c:v>
                </c:pt>
                <c:pt idx="207">
                  <c:v>3986.8556459912061</c:v>
                </c:pt>
                <c:pt idx="208">
                  <c:v>2019.3791538336845</c:v>
                </c:pt>
                <c:pt idx="209">
                  <c:v>1456.4547439941762</c:v>
                </c:pt>
                <c:pt idx="210">
                  <c:v>1802.6607538802662</c:v>
                </c:pt>
                <c:pt idx="211">
                  <c:v>1952.1085781884453</c:v>
                </c:pt>
                <c:pt idx="212">
                  <c:v>663.15180465516482</c:v>
                </c:pt>
                <c:pt idx="213">
                  <c:v>1268.1600977257212</c:v>
                </c:pt>
                <c:pt idx="214">
                  <c:v>1014.1155734194315</c:v>
                </c:pt>
                <c:pt idx="215">
                  <c:v>1030.9948937022327</c:v>
                </c:pt>
                <c:pt idx="216">
                  <c:v>535.11925446217037</c:v>
                </c:pt>
                <c:pt idx="217">
                  <c:v>774.08000615037668</c:v>
                </c:pt>
                <c:pt idx="218">
                  <c:v>566.51126841775954</c:v>
                </c:pt>
                <c:pt idx="219">
                  <c:v>443.34465122276185</c:v>
                </c:pt>
                <c:pt idx="220">
                  <c:v>1078.7615214851357</c:v>
                </c:pt>
                <c:pt idx="221">
                  <c:v>1346.6306864940384</c:v>
                </c:pt>
                <c:pt idx="222">
                  <c:v>1665.8188408100978</c:v>
                </c:pt>
                <c:pt idx="223">
                  <c:v>1125.6282378411815</c:v>
                </c:pt>
                <c:pt idx="224">
                  <c:v>1493.1921186966269</c:v>
                </c:pt>
                <c:pt idx="225">
                  <c:v>308.3161765515419</c:v>
                </c:pt>
                <c:pt idx="226">
                  <c:v>1203.390460677738</c:v>
                </c:pt>
                <c:pt idx="227">
                  <c:v>598.84513212471461</c:v>
                </c:pt>
                <c:pt idx="228">
                  <c:v>617.73527267677991</c:v>
                </c:pt>
                <c:pt idx="229">
                  <c:v>1611.5453299555627</c:v>
                </c:pt>
                <c:pt idx="230">
                  <c:v>4544.7047449055481</c:v>
                </c:pt>
                <c:pt idx="231">
                  <c:v>2057.5935288169871</c:v>
                </c:pt>
                <c:pt idx="232">
                  <c:v>1540.9620483296721</c:v>
                </c:pt>
                <c:pt idx="233">
                  <c:v>634.72666472811864</c:v>
                </c:pt>
                <c:pt idx="234">
                  <c:v>815.33016164163701</c:v>
                </c:pt>
                <c:pt idx="235">
                  <c:v>1686.7496565452659</c:v>
                </c:pt>
                <c:pt idx="236">
                  <c:v>817.36140512938937</c:v>
                </c:pt>
                <c:pt idx="237">
                  <c:v>988.92330679105714</c:v>
                </c:pt>
                <c:pt idx="238">
                  <c:v>723.45991980647523</c:v>
                </c:pt>
                <c:pt idx="239">
                  <c:v>925.90048063330505</c:v>
                </c:pt>
                <c:pt idx="240">
                  <c:v>481.21696373693914</c:v>
                </c:pt>
                <c:pt idx="241">
                  <c:v>576.56136657800789</c:v>
                </c:pt>
                <c:pt idx="242">
                  <c:v>778.46477500128265</c:v>
                </c:pt>
                <c:pt idx="243">
                  <c:v>361.72849030983826</c:v>
                </c:pt>
                <c:pt idx="244">
                  <c:v>2153.3819422897923</c:v>
                </c:pt>
                <c:pt idx="245">
                  <c:v>1167.70053971416</c:v>
                </c:pt>
                <c:pt idx="246">
                  <c:v>1574.1459270823768</c:v>
                </c:pt>
                <c:pt idx="247">
                  <c:v>783.12936017540369</c:v>
                </c:pt>
                <c:pt idx="248">
                  <c:v>5692.7109181141441</c:v>
                </c:pt>
                <c:pt idx="249">
                  <c:v>1572.5968476753728</c:v>
                </c:pt>
                <c:pt idx="250">
                  <c:v>1028.5647485972054</c:v>
                </c:pt>
                <c:pt idx="251">
                  <c:v>884.06851599211768</c:v>
                </c:pt>
                <c:pt idx="252">
                  <c:v>1036.2792186999679</c:v>
                </c:pt>
                <c:pt idx="253">
                  <c:v>119.18344687898504</c:v>
                </c:pt>
                <c:pt idx="254">
                  <c:v>821.13379324946629</c:v>
                </c:pt>
                <c:pt idx="255">
                  <c:v>1192.8413820771275</c:v>
                </c:pt>
                <c:pt idx="256">
                  <c:v>755.64202334630352</c:v>
                </c:pt>
                <c:pt idx="257">
                  <c:v>969.33926737418699</c:v>
                </c:pt>
                <c:pt idx="258">
                  <c:v>1315.8902704155164</c:v>
                </c:pt>
                <c:pt idx="259">
                  <c:v>1479.2746853047106</c:v>
                </c:pt>
                <c:pt idx="260">
                  <c:v>1087.9473216270283</c:v>
                </c:pt>
                <c:pt idx="261">
                  <c:v>1301.2516485430613</c:v>
                </c:pt>
                <c:pt idx="262">
                  <c:v>789.24113259247986</c:v>
                </c:pt>
                <c:pt idx="263">
                  <c:v>1562.6566936768477</c:v>
                </c:pt>
                <c:pt idx="264">
                  <c:v>1066.6977655455521</c:v>
                </c:pt>
                <c:pt idx="265">
                  <c:v>1264.5429483144117</c:v>
                </c:pt>
                <c:pt idx="266">
                  <c:v>1354.9838936527381</c:v>
                </c:pt>
                <c:pt idx="267">
                  <c:v>1538.2980464913239</c:v>
                </c:pt>
                <c:pt idx="268">
                  <c:v>871.84705519580643</c:v>
                </c:pt>
                <c:pt idx="269">
                  <c:v>763.44573149228222</c:v>
                </c:pt>
                <c:pt idx="270">
                  <c:v>1392.772749012453</c:v>
                </c:pt>
                <c:pt idx="271">
                  <c:v>756.01728095045223</c:v>
                </c:pt>
                <c:pt idx="272">
                  <c:v>4610.7483951777049</c:v>
                </c:pt>
                <c:pt idx="273">
                  <c:v>1941.056193527485</c:v>
                </c:pt>
                <c:pt idx="274">
                  <c:v>1686.7496565452659</c:v>
                </c:pt>
                <c:pt idx="275">
                  <c:v>634.20899211790493</c:v>
                </c:pt>
                <c:pt idx="276">
                  <c:v>564.16731239649334</c:v>
                </c:pt>
                <c:pt idx="277">
                  <c:v>656.74055701958355</c:v>
                </c:pt>
                <c:pt idx="278">
                  <c:v>1257.034795763994</c:v>
                </c:pt>
                <c:pt idx="279">
                  <c:v>788.68137040648219</c:v>
                </c:pt>
                <c:pt idx="280">
                  <c:v>6702.3773584905657</c:v>
                </c:pt>
                <c:pt idx="281">
                  <c:v>599.00916784203093</c:v>
                </c:pt>
                <c:pt idx="282">
                  <c:v>1171.5860046092605</c:v>
                </c:pt>
                <c:pt idx="283">
                  <c:v>393.88448887337137</c:v>
                </c:pt>
                <c:pt idx="284">
                  <c:v>811.34585506603059</c:v>
                </c:pt>
                <c:pt idx="285">
                  <c:v>1029.1327699233868</c:v>
                </c:pt>
                <c:pt idx="286">
                  <c:v>808.00055250314631</c:v>
                </c:pt>
                <c:pt idx="287">
                  <c:v>881.1427125871852</c:v>
                </c:pt>
                <c:pt idx="288">
                  <c:v>993.56552930496207</c:v>
                </c:pt>
                <c:pt idx="289">
                  <c:v>1492.10211805325</c:v>
                </c:pt>
                <c:pt idx="290">
                  <c:v>1209.6034285024446</c:v>
                </c:pt>
                <c:pt idx="291">
                  <c:v>880.60629869704712</c:v>
                </c:pt>
                <c:pt idx="292">
                  <c:v>970.42322633408298</c:v>
                </c:pt>
                <c:pt idx="293">
                  <c:v>1207.866137010943</c:v>
                </c:pt>
                <c:pt idx="294">
                  <c:v>3804.0544454097885</c:v>
                </c:pt>
                <c:pt idx="295">
                  <c:v>718.80983425544161</c:v>
                </c:pt>
                <c:pt idx="296">
                  <c:v>1071.2193139326939</c:v>
                </c:pt>
              </c:numCache>
            </c:numRef>
          </c:xVal>
          <c:yVal>
            <c:numRef>
              <c:f>'Chart 12 Density Vote Share'!$B$2:$B$298</c:f>
              <c:numCache>
                <c:formatCode>0.00</c:formatCode>
                <c:ptCount val="297"/>
                <c:pt idx="0">
                  <c:v>50.690963985335344</c:v>
                </c:pt>
                <c:pt idx="1">
                  <c:v>63.931283198818143</c:v>
                </c:pt>
                <c:pt idx="2">
                  <c:v>55.131544323375095</c:v>
                </c:pt>
                <c:pt idx="3">
                  <c:v>54.137495160756174</c:v>
                </c:pt>
                <c:pt idx="4">
                  <c:v>84.391797967986534</c:v>
                </c:pt>
                <c:pt idx="5">
                  <c:v>50.749902328206161</c:v>
                </c:pt>
                <c:pt idx="6">
                  <c:v>51.533913241230309</c:v>
                </c:pt>
                <c:pt idx="7">
                  <c:v>68.488914620440681</c:v>
                </c:pt>
                <c:pt idx="8">
                  <c:v>65.655713385009079</c:v>
                </c:pt>
                <c:pt idx="9">
                  <c:v>56.944033998958645</c:v>
                </c:pt>
                <c:pt idx="10">
                  <c:v>63.210939578140547</c:v>
                </c:pt>
                <c:pt idx="11">
                  <c:v>58.710630348842265</c:v>
                </c:pt>
                <c:pt idx="12">
                  <c:v>59.489164646720447</c:v>
                </c:pt>
                <c:pt idx="13">
                  <c:v>58.349734630694385</c:v>
                </c:pt>
                <c:pt idx="14">
                  <c:v>55.964152113841003</c:v>
                </c:pt>
                <c:pt idx="15">
                  <c:v>71.795653606503365</c:v>
                </c:pt>
                <c:pt idx="16">
                  <c:v>69.925919907824579</c:v>
                </c:pt>
                <c:pt idx="17">
                  <c:v>74.734414709741543</c:v>
                </c:pt>
                <c:pt idx="18">
                  <c:v>60.788357393155948</c:v>
                </c:pt>
                <c:pt idx="19">
                  <c:v>53.434941618574683</c:v>
                </c:pt>
                <c:pt idx="20">
                  <c:v>58.76996182614058</c:v>
                </c:pt>
                <c:pt idx="21">
                  <c:v>63.452329346966877</c:v>
                </c:pt>
                <c:pt idx="22">
                  <c:v>68.90000318562646</c:v>
                </c:pt>
                <c:pt idx="23">
                  <c:v>69.369376465368077</c:v>
                </c:pt>
                <c:pt idx="24">
                  <c:v>65.909090909090907</c:v>
                </c:pt>
                <c:pt idx="25">
                  <c:v>59.577045044501745</c:v>
                </c:pt>
                <c:pt idx="26">
                  <c:v>77.020240059077906</c:v>
                </c:pt>
                <c:pt idx="27">
                  <c:v>60.370923596301132</c:v>
                </c:pt>
                <c:pt idx="28">
                  <c:v>50.311185673140656</c:v>
                </c:pt>
                <c:pt idx="29">
                  <c:v>70.457736590845272</c:v>
                </c:pt>
                <c:pt idx="30">
                  <c:v>65.404129793510322</c:v>
                </c:pt>
                <c:pt idx="31">
                  <c:v>75.009457385239514</c:v>
                </c:pt>
                <c:pt idx="32">
                  <c:v>62.119135160307806</c:v>
                </c:pt>
                <c:pt idx="33">
                  <c:v>51.751203516360846</c:v>
                </c:pt>
                <c:pt idx="34">
                  <c:v>71.018600802868264</c:v>
                </c:pt>
                <c:pt idx="35">
                  <c:v>56.00663764726265</c:v>
                </c:pt>
                <c:pt idx="36">
                  <c:v>52.46793280751104</c:v>
                </c:pt>
                <c:pt idx="37">
                  <c:v>59.884361668198196</c:v>
                </c:pt>
                <c:pt idx="38">
                  <c:v>60.373493580579087</c:v>
                </c:pt>
                <c:pt idx="39">
                  <c:v>61.520683151823185</c:v>
                </c:pt>
                <c:pt idx="40">
                  <c:v>60.202927133070375</c:v>
                </c:pt>
                <c:pt idx="41">
                  <c:v>82.32231792883573</c:v>
                </c:pt>
                <c:pt idx="42">
                  <c:v>71.037254703279629</c:v>
                </c:pt>
                <c:pt idx="43">
                  <c:v>50.337588839168198</c:v>
                </c:pt>
                <c:pt idx="44">
                  <c:v>57.528938164942524</c:v>
                </c:pt>
                <c:pt idx="45">
                  <c:v>52.854111827176183</c:v>
                </c:pt>
                <c:pt idx="46">
                  <c:v>64.807141145884174</c:v>
                </c:pt>
                <c:pt idx="47">
                  <c:v>75.94077761654178</c:v>
                </c:pt>
                <c:pt idx="48">
                  <c:v>80.640623073743441</c:v>
                </c:pt>
                <c:pt idx="49">
                  <c:v>70.85929423598111</c:v>
                </c:pt>
                <c:pt idx="50">
                  <c:v>74.065161499615073</c:v>
                </c:pt>
                <c:pt idx="51">
                  <c:v>67.02901436931279</c:v>
                </c:pt>
                <c:pt idx="52">
                  <c:v>57.941048886155599</c:v>
                </c:pt>
                <c:pt idx="53">
                  <c:v>55.933775760444007</c:v>
                </c:pt>
                <c:pt idx="54">
                  <c:v>59.859914933237398</c:v>
                </c:pt>
                <c:pt idx="55">
                  <c:v>56.947459986082116</c:v>
                </c:pt>
                <c:pt idx="56">
                  <c:v>63.496327627104108</c:v>
                </c:pt>
                <c:pt idx="57">
                  <c:v>54.99421767250611</c:v>
                </c:pt>
                <c:pt idx="58">
                  <c:v>59.24020975119938</c:v>
                </c:pt>
                <c:pt idx="59">
                  <c:v>76.955023375279481</c:v>
                </c:pt>
                <c:pt idx="60">
                  <c:v>51.910279767786562</c:v>
                </c:pt>
                <c:pt idx="61">
                  <c:v>62.727914491054463</c:v>
                </c:pt>
                <c:pt idx="62">
                  <c:v>65.399895862310004</c:v>
                </c:pt>
                <c:pt idx="63">
                  <c:v>78.955891892900979</c:v>
                </c:pt>
                <c:pt idx="64">
                  <c:v>58.832608342071289</c:v>
                </c:pt>
                <c:pt idx="65">
                  <c:v>63.118946288099117</c:v>
                </c:pt>
                <c:pt idx="66">
                  <c:v>57.738971264579277</c:v>
                </c:pt>
                <c:pt idx="67">
                  <c:v>52.946735170372442</c:v>
                </c:pt>
                <c:pt idx="68">
                  <c:v>50.189677772378502</c:v>
                </c:pt>
                <c:pt idx="69">
                  <c:v>60.677087879666068</c:v>
                </c:pt>
                <c:pt idx="70">
                  <c:v>51.047140354885393</c:v>
                </c:pt>
                <c:pt idx="71">
                  <c:v>50.548988987910938</c:v>
                </c:pt>
                <c:pt idx="72">
                  <c:v>63.459450528700913</c:v>
                </c:pt>
                <c:pt idx="73">
                  <c:v>50.664931729854288</c:v>
                </c:pt>
                <c:pt idx="74">
                  <c:v>54.822811164848503</c:v>
                </c:pt>
                <c:pt idx="75">
                  <c:v>57.271736497941397</c:v>
                </c:pt>
                <c:pt idx="76">
                  <c:v>50.964169941765405</c:v>
                </c:pt>
                <c:pt idx="77">
                  <c:v>51.559940141419446</c:v>
                </c:pt>
                <c:pt idx="78">
                  <c:v>56.526647188413051</c:v>
                </c:pt>
                <c:pt idx="79">
                  <c:v>60.385949490765476</c:v>
                </c:pt>
                <c:pt idx="80">
                  <c:v>67.454225716354614</c:v>
                </c:pt>
                <c:pt idx="81">
                  <c:v>74.008054582946983</c:v>
                </c:pt>
                <c:pt idx="82">
                  <c:v>54.357633464344644</c:v>
                </c:pt>
                <c:pt idx="83">
                  <c:v>50.961703136733107</c:v>
                </c:pt>
                <c:pt idx="84">
                  <c:v>52.484630591097691</c:v>
                </c:pt>
                <c:pt idx="85">
                  <c:v>58.60405657502583</c:v>
                </c:pt>
                <c:pt idx="86">
                  <c:v>51.52178942549557</c:v>
                </c:pt>
                <c:pt idx="87">
                  <c:v>52.308071863462949</c:v>
                </c:pt>
                <c:pt idx="88">
                  <c:v>67.535464438398748</c:v>
                </c:pt>
                <c:pt idx="89">
                  <c:v>60.416785997068679</c:v>
                </c:pt>
                <c:pt idx="90">
                  <c:v>58.630173716625769</c:v>
                </c:pt>
                <c:pt idx="91">
                  <c:v>50.837943942298914</c:v>
                </c:pt>
                <c:pt idx="92">
                  <c:v>56.464092919524077</c:v>
                </c:pt>
                <c:pt idx="93">
                  <c:v>51.056164026630967</c:v>
                </c:pt>
                <c:pt idx="94">
                  <c:v>51.93170761526823</c:v>
                </c:pt>
                <c:pt idx="95">
                  <c:v>54.929958912554653</c:v>
                </c:pt>
                <c:pt idx="96">
                  <c:v>57.675154858553832</c:v>
                </c:pt>
                <c:pt idx="97">
                  <c:v>54.479938384801585</c:v>
                </c:pt>
                <c:pt idx="98">
                  <c:v>62.703200031488628</c:v>
                </c:pt>
                <c:pt idx="99">
                  <c:v>58.342051099898306</c:v>
                </c:pt>
                <c:pt idx="100">
                  <c:v>62.105950735558622</c:v>
                </c:pt>
                <c:pt idx="101">
                  <c:v>59.274808441741811</c:v>
                </c:pt>
                <c:pt idx="102">
                  <c:v>78.739725720808167</c:v>
                </c:pt>
                <c:pt idx="103">
                  <c:v>56.899591685226426</c:v>
                </c:pt>
                <c:pt idx="104">
                  <c:v>53.736591239113395</c:v>
                </c:pt>
                <c:pt idx="105">
                  <c:v>50.536972142579032</c:v>
                </c:pt>
                <c:pt idx="106">
                  <c:v>54.851097034228943</c:v>
                </c:pt>
                <c:pt idx="107">
                  <c:v>58.253522070338128</c:v>
                </c:pt>
                <c:pt idx="108">
                  <c:v>57.230334146548692</c:v>
                </c:pt>
                <c:pt idx="109">
                  <c:v>61.755084030097152</c:v>
                </c:pt>
                <c:pt idx="110">
                  <c:v>52.963277115455668</c:v>
                </c:pt>
                <c:pt idx="111">
                  <c:v>63.148137665572293</c:v>
                </c:pt>
                <c:pt idx="112">
                  <c:v>56.112318343013627</c:v>
                </c:pt>
                <c:pt idx="113">
                  <c:v>54.794970377768962</c:v>
                </c:pt>
                <c:pt idx="114">
                  <c:v>63.983920538534342</c:v>
                </c:pt>
                <c:pt idx="115">
                  <c:v>66.614128269028313</c:v>
                </c:pt>
                <c:pt idx="116">
                  <c:v>65.810392783799941</c:v>
                </c:pt>
                <c:pt idx="117">
                  <c:v>75.750867408842254</c:v>
                </c:pt>
                <c:pt idx="118">
                  <c:v>69.043851759393533</c:v>
                </c:pt>
                <c:pt idx="119">
                  <c:v>64.745626185672549</c:v>
                </c:pt>
                <c:pt idx="120">
                  <c:v>60.558201826980174</c:v>
                </c:pt>
                <c:pt idx="121">
                  <c:v>71.808116548147424</c:v>
                </c:pt>
                <c:pt idx="122">
                  <c:v>76.633065249827141</c:v>
                </c:pt>
                <c:pt idx="123">
                  <c:v>63.780895551040651</c:v>
                </c:pt>
                <c:pt idx="124">
                  <c:v>56.008183036659062</c:v>
                </c:pt>
                <c:pt idx="125">
                  <c:v>55.271340085274822</c:v>
                </c:pt>
                <c:pt idx="126">
                  <c:v>51.784455841276532</c:v>
                </c:pt>
                <c:pt idx="127">
                  <c:v>57.284775717306346</c:v>
                </c:pt>
                <c:pt idx="128">
                  <c:v>60.974389801808911</c:v>
                </c:pt>
                <c:pt idx="129">
                  <c:v>53.507759245830314</c:v>
                </c:pt>
                <c:pt idx="130">
                  <c:v>52.941176470588239</c:v>
                </c:pt>
                <c:pt idx="131">
                  <c:v>61.649137111020522</c:v>
                </c:pt>
                <c:pt idx="132">
                  <c:v>75.240413824228852</c:v>
                </c:pt>
                <c:pt idx="133">
                  <c:v>52.652507761928078</c:v>
                </c:pt>
                <c:pt idx="134">
                  <c:v>53.997199688035423</c:v>
                </c:pt>
                <c:pt idx="135">
                  <c:v>57.890367716531131</c:v>
                </c:pt>
                <c:pt idx="136">
                  <c:v>51.54180486176331</c:v>
                </c:pt>
                <c:pt idx="137">
                  <c:v>63.079151734761474</c:v>
                </c:pt>
                <c:pt idx="138">
                  <c:v>68.856419958514735</c:v>
                </c:pt>
                <c:pt idx="139">
                  <c:v>63.303738171498921</c:v>
                </c:pt>
                <c:pt idx="140">
                  <c:v>51.536381919488313</c:v>
                </c:pt>
                <c:pt idx="141">
                  <c:v>53.136203897625222</c:v>
                </c:pt>
                <c:pt idx="142">
                  <c:v>52.929193955958951</c:v>
                </c:pt>
                <c:pt idx="143">
                  <c:v>50.441884107082345</c:v>
                </c:pt>
                <c:pt idx="144">
                  <c:v>54.722365430556863</c:v>
                </c:pt>
                <c:pt idx="145">
                  <c:v>55.085780776046221</c:v>
                </c:pt>
                <c:pt idx="146">
                  <c:v>54.287646800985478</c:v>
                </c:pt>
                <c:pt idx="147">
                  <c:v>52.323882721850545</c:v>
                </c:pt>
                <c:pt idx="148">
                  <c:v>69.611825476481997</c:v>
                </c:pt>
                <c:pt idx="149">
                  <c:v>54.985519238725686</c:v>
                </c:pt>
                <c:pt idx="150">
                  <c:v>81.36560288656905</c:v>
                </c:pt>
                <c:pt idx="151">
                  <c:v>53.419911780853035</c:v>
                </c:pt>
                <c:pt idx="152">
                  <c:v>51.221921856565224</c:v>
                </c:pt>
                <c:pt idx="153">
                  <c:v>57.629670763874799</c:v>
                </c:pt>
                <c:pt idx="154">
                  <c:v>56.174175764277145</c:v>
                </c:pt>
                <c:pt idx="155">
                  <c:v>65.682862809838824</c:v>
                </c:pt>
                <c:pt idx="156">
                  <c:v>57.183897780318183</c:v>
                </c:pt>
                <c:pt idx="157">
                  <c:v>58.742063530765712</c:v>
                </c:pt>
                <c:pt idx="158">
                  <c:v>51.493724896109846</c:v>
                </c:pt>
                <c:pt idx="159">
                  <c:v>59.428653577589749</c:v>
                </c:pt>
                <c:pt idx="160">
                  <c:v>52.253954195965271</c:v>
                </c:pt>
                <c:pt idx="161">
                  <c:v>52.478580881840763</c:v>
                </c:pt>
                <c:pt idx="162">
                  <c:v>60.966367653674155</c:v>
                </c:pt>
                <c:pt idx="163">
                  <c:v>51.698737782284219</c:v>
                </c:pt>
                <c:pt idx="164">
                  <c:v>64.944197013361276</c:v>
                </c:pt>
                <c:pt idx="165">
                  <c:v>71.289579940888515</c:v>
                </c:pt>
                <c:pt idx="166">
                  <c:v>50.148725595481835</c:v>
                </c:pt>
                <c:pt idx="167">
                  <c:v>57.054148955830719</c:v>
                </c:pt>
                <c:pt idx="168">
                  <c:v>53.191324640277827</c:v>
                </c:pt>
                <c:pt idx="169">
                  <c:v>67.388529936843028</c:v>
                </c:pt>
                <c:pt idx="170">
                  <c:v>55.827929063771641</c:v>
                </c:pt>
                <c:pt idx="171">
                  <c:v>63.904801220830187</c:v>
                </c:pt>
                <c:pt idx="172">
                  <c:v>68.313726404645038</c:v>
                </c:pt>
                <c:pt idx="173">
                  <c:v>72.260100955580413</c:v>
                </c:pt>
                <c:pt idx="174">
                  <c:v>53.897915282101508</c:v>
                </c:pt>
                <c:pt idx="175">
                  <c:v>52.83004377543967</c:v>
                </c:pt>
                <c:pt idx="176">
                  <c:v>54.211092418434049</c:v>
                </c:pt>
                <c:pt idx="177">
                  <c:v>62.310788993154212</c:v>
                </c:pt>
                <c:pt idx="178">
                  <c:v>66.87785044775228</c:v>
                </c:pt>
                <c:pt idx="179">
                  <c:v>77.291580913782738</c:v>
                </c:pt>
                <c:pt idx="180">
                  <c:v>62.260617545424147</c:v>
                </c:pt>
                <c:pt idx="181">
                  <c:v>67.410016302503237</c:v>
                </c:pt>
                <c:pt idx="182">
                  <c:v>58.368558281490635</c:v>
                </c:pt>
                <c:pt idx="183">
                  <c:v>51.507914230390448</c:v>
                </c:pt>
                <c:pt idx="184">
                  <c:v>53.005652253187286</c:v>
                </c:pt>
                <c:pt idx="185">
                  <c:v>62.754589666339434</c:v>
                </c:pt>
                <c:pt idx="186">
                  <c:v>55.196652272354143</c:v>
                </c:pt>
                <c:pt idx="187">
                  <c:v>53.299366663128467</c:v>
                </c:pt>
                <c:pt idx="188">
                  <c:v>51.195927142121214</c:v>
                </c:pt>
                <c:pt idx="189">
                  <c:v>55.769197487063224</c:v>
                </c:pt>
                <c:pt idx="190">
                  <c:v>59.049100027213001</c:v>
                </c:pt>
                <c:pt idx="191">
                  <c:v>53.860250135943446</c:v>
                </c:pt>
                <c:pt idx="192">
                  <c:v>70.143054613739494</c:v>
                </c:pt>
                <c:pt idx="193">
                  <c:v>54.649554894251537</c:v>
                </c:pt>
                <c:pt idx="194">
                  <c:v>53.059082031250007</c:v>
                </c:pt>
                <c:pt idx="195">
                  <c:v>51.26657707229252</c:v>
                </c:pt>
                <c:pt idx="196">
                  <c:v>58.289616150326573</c:v>
                </c:pt>
                <c:pt idx="197">
                  <c:v>57.848290995166494</c:v>
                </c:pt>
                <c:pt idx="198">
                  <c:v>55.261561853996888</c:v>
                </c:pt>
                <c:pt idx="199">
                  <c:v>52.720889125644689</c:v>
                </c:pt>
                <c:pt idx="200">
                  <c:v>57.063356164383563</c:v>
                </c:pt>
                <c:pt idx="201">
                  <c:v>60.092879414442599</c:v>
                </c:pt>
                <c:pt idx="202">
                  <c:v>63.331040440235476</c:v>
                </c:pt>
                <c:pt idx="203">
                  <c:v>60.527892084053668</c:v>
                </c:pt>
                <c:pt idx="204">
                  <c:v>53.52751121184356</c:v>
                </c:pt>
                <c:pt idx="205">
                  <c:v>56.839766582793516</c:v>
                </c:pt>
                <c:pt idx="206">
                  <c:v>53.148915484154728</c:v>
                </c:pt>
                <c:pt idx="207">
                  <c:v>62.863674957352181</c:v>
                </c:pt>
                <c:pt idx="208">
                  <c:v>62.383710370714184</c:v>
                </c:pt>
                <c:pt idx="209">
                  <c:v>64.239136391035117</c:v>
                </c:pt>
                <c:pt idx="210">
                  <c:v>67.479433045891568</c:v>
                </c:pt>
                <c:pt idx="211">
                  <c:v>75.375949110696283</c:v>
                </c:pt>
                <c:pt idx="212">
                  <c:v>53.144950179519277</c:v>
                </c:pt>
                <c:pt idx="213">
                  <c:v>55.594779230267633</c:v>
                </c:pt>
                <c:pt idx="214">
                  <c:v>64.301514012670452</c:v>
                </c:pt>
                <c:pt idx="215">
                  <c:v>55.747098258791837</c:v>
                </c:pt>
                <c:pt idx="216">
                  <c:v>64.411323226118753</c:v>
                </c:pt>
                <c:pt idx="217">
                  <c:v>71.7853463223407</c:v>
                </c:pt>
                <c:pt idx="218">
                  <c:v>63.207063970549001</c:v>
                </c:pt>
                <c:pt idx="219">
                  <c:v>80.143639634969915</c:v>
                </c:pt>
                <c:pt idx="220">
                  <c:v>50.855565663504322</c:v>
                </c:pt>
                <c:pt idx="221">
                  <c:v>55.808874128594077</c:v>
                </c:pt>
                <c:pt idx="222">
                  <c:v>51.898449144152039</c:v>
                </c:pt>
                <c:pt idx="223">
                  <c:v>54.922038631603442</c:v>
                </c:pt>
                <c:pt idx="224">
                  <c:v>60.499246575674327</c:v>
                </c:pt>
                <c:pt idx="225">
                  <c:v>56.403061337934531</c:v>
                </c:pt>
                <c:pt idx="226">
                  <c:v>55.60396196933182</c:v>
                </c:pt>
                <c:pt idx="227">
                  <c:v>53.224869042766784</c:v>
                </c:pt>
                <c:pt idx="228">
                  <c:v>59.532662811573964</c:v>
                </c:pt>
                <c:pt idx="229">
                  <c:v>55.098579368599985</c:v>
                </c:pt>
                <c:pt idx="230">
                  <c:v>58.939840944073886</c:v>
                </c:pt>
                <c:pt idx="231">
                  <c:v>55.492509147421856</c:v>
                </c:pt>
                <c:pt idx="232">
                  <c:v>73.944915444619937</c:v>
                </c:pt>
                <c:pt idx="233">
                  <c:v>50.560372461696169</c:v>
                </c:pt>
                <c:pt idx="234">
                  <c:v>50.699873687621754</c:v>
                </c:pt>
                <c:pt idx="235">
                  <c:v>52.440194973466426</c:v>
                </c:pt>
                <c:pt idx="236">
                  <c:v>51.179485093748731</c:v>
                </c:pt>
                <c:pt idx="237">
                  <c:v>57.543029600147612</c:v>
                </c:pt>
                <c:pt idx="238">
                  <c:v>72.336954453787911</c:v>
                </c:pt>
                <c:pt idx="239">
                  <c:v>58.093942084808504</c:v>
                </c:pt>
                <c:pt idx="240">
                  <c:v>54.466544290479277</c:v>
                </c:pt>
                <c:pt idx="241">
                  <c:v>63.878129185124131</c:v>
                </c:pt>
                <c:pt idx="242">
                  <c:v>55.328990173670775</c:v>
                </c:pt>
                <c:pt idx="243">
                  <c:v>52.050652705337441</c:v>
                </c:pt>
                <c:pt idx="244">
                  <c:v>63.532423038234384</c:v>
                </c:pt>
                <c:pt idx="245">
                  <c:v>60.454244952725197</c:v>
                </c:pt>
                <c:pt idx="246">
                  <c:v>77.902368389081701</c:v>
                </c:pt>
                <c:pt idx="247">
                  <c:v>50.275690103252089</c:v>
                </c:pt>
                <c:pt idx="248">
                  <c:v>56.154222509566829</c:v>
                </c:pt>
                <c:pt idx="249">
                  <c:v>56.108450412894392</c:v>
                </c:pt>
                <c:pt idx="250">
                  <c:v>51.282895761659553</c:v>
                </c:pt>
                <c:pt idx="251">
                  <c:v>67.626834751179089</c:v>
                </c:pt>
                <c:pt idx="252">
                  <c:v>61.527001245670156</c:v>
                </c:pt>
                <c:pt idx="253">
                  <c:v>86.58652896041518</c:v>
                </c:pt>
                <c:pt idx="254">
                  <c:v>67.641669968996936</c:v>
                </c:pt>
                <c:pt idx="255">
                  <c:v>66.091812937277524</c:v>
                </c:pt>
                <c:pt idx="256">
                  <c:v>67.520592922562926</c:v>
                </c:pt>
                <c:pt idx="257">
                  <c:v>51.448552143356409</c:v>
                </c:pt>
                <c:pt idx="258">
                  <c:v>60.552481605258698</c:v>
                </c:pt>
                <c:pt idx="259">
                  <c:v>50.417922980038931</c:v>
                </c:pt>
                <c:pt idx="260">
                  <c:v>53.268163412294136</c:v>
                </c:pt>
                <c:pt idx="261">
                  <c:v>69.656257501591639</c:v>
                </c:pt>
                <c:pt idx="262">
                  <c:v>63.613731475215118</c:v>
                </c:pt>
                <c:pt idx="263">
                  <c:v>55.585710646306786</c:v>
                </c:pt>
                <c:pt idx="264">
                  <c:v>55.238910894622272</c:v>
                </c:pt>
                <c:pt idx="265">
                  <c:v>64.678684244616505</c:v>
                </c:pt>
                <c:pt idx="266">
                  <c:v>60.674943566591423</c:v>
                </c:pt>
                <c:pt idx="267">
                  <c:v>61.998127604255096</c:v>
                </c:pt>
                <c:pt idx="268">
                  <c:v>52.234719386967775</c:v>
                </c:pt>
                <c:pt idx="269">
                  <c:v>51.72959880760154</c:v>
                </c:pt>
                <c:pt idx="270">
                  <c:v>56.391887189408521</c:v>
                </c:pt>
                <c:pt idx="271">
                  <c:v>59.893830348313372</c:v>
                </c:pt>
                <c:pt idx="272">
                  <c:v>50.091907782763421</c:v>
                </c:pt>
                <c:pt idx="273">
                  <c:v>56.059068028489669</c:v>
                </c:pt>
                <c:pt idx="274">
                  <c:v>62.277771322333251</c:v>
                </c:pt>
                <c:pt idx="275">
                  <c:v>63.505535055350549</c:v>
                </c:pt>
                <c:pt idx="276">
                  <c:v>61.153236411006375</c:v>
                </c:pt>
                <c:pt idx="277">
                  <c:v>69.738926035015297</c:v>
                </c:pt>
                <c:pt idx="278">
                  <c:v>56.430819147773356</c:v>
                </c:pt>
                <c:pt idx="279">
                  <c:v>59.80057944543293</c:v>
                </c:pt>
                <c:pt idx="280">
                  <c:v>56.724983088558247</c:v>
                </c:pt>
                <c:pt idx="281">
                  <c:v>75.706973394834662</c:v>
                </c:pt>
                <c:pt idx="282">
                  <c:v>60.816313495041761</c:v>
                </c:pt>
                <c:pt idx="283">
                  <c:v>72.354465084399209</c:v>
                </c:pt>
                <c:pt idx="284">
                  <c:v>53.212319535435761</c:v>
                </c:pt>
                <c:pt idx="285">
                  <c:v>55.867799900565828</c:v>
                </c:pt>
                <c:pt idx="286">
                  <c:v>61.97090106846381</c:v>
                </c:pt>
                <c:pt idx="287">
                  <c:v>76.505303299316054</c:v>
                </c:pt>
                <c:pt idx="288">
                  <c:v>56.59044422300309</c:v>
                </c:pt>
                <c:pt idx="289">
                  <c:v>62.75923289107601</c:v>
                </c:pt>
                <c:pt idx="290">
                  <c:v>62.052258912281033</c:v>
                </c:pt>
                <c:pt idx="291">
                  <c:v>62.154439073398507</c:v>
                </c:pt>
                <c:pt idx="292">
                  <c:v>66.536814685364092</c:v>
                </c:pt>
                <c:pt idx="293">
                  <c:v>59.691032522067246</c:v>
                </c:pt>
                <c:pt idx="294">
                  <c:v>62.87590199366597</c:v>
                </c:pt>
                <c:pt idx="295">
                  <c:v>51.121559284229733</c:v>
                </c:pt>
                <c:pt idx="296">
                  <c:v>59.091536103163335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C-43C8-A1DB-D0A1E361B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118463"/>
        <c:axId val="1382969791"/>
      </c:scatterChart>
      <c:valAx>
        <c:axId val="139011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Population Density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69791"/>
        <c:crosses val="autoZero"/>
        <c:crossBetween val="midCat"/>
      </c:valAx>
      <c:valAx>
        <c:axId val="138296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Winner Vote Share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11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Crime Rate vs Winner Vote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13 Crime Vote Share'!$B$1</c:f>
              <c:strCache>
                <c:ptCount val="1"/>
                <c:pt idx="0">
                  <c:v>Winner_Vote_Share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979348250316516E-2"/>
                  <c:y val="0.31924358301756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'Chart 13 Crime Vote Share'!$A$2:$A$298</c:f>
              <c:numCache>
                <c:formatCode>0.00</c:formatCode>
                <c:ptCount val="297"/>
                <c:pt idx="0">
                  <c:v>102.32166075410298</c:v>
                </c:pt>
                <c:pt idx="1">
                  <c:v>102.32166075410298</c:v>
                </c:pt>
                <c:pt idx="2">
                  <c:v>102.32166075410299</c:v>
                </c:pt>
                <c:pt idx="3">
                  <c:v>102.32166075410296</c:v>
                </c:pt>
                <c:pt idx="4">
                  <c:v>84.879645400600879</c:v>
                </c:pt>
                <c:pt idx="5">
                  <c:v>112.01964836613054</c:v>
                </c:pt>
                <c:pt idx="6">
                  <c:v>112.01964836613054</c:v>
                </c:pt>
                <c:pt idx="7">
                  <c:v>112.01964836613054</c:v>
                </c:pt>
                <c:pt idx="8">
                  <c:v>112.01964836613054</c:v>
                </c:pt>
                <c:pt idx="9">
                  <c:v>112.01964836613054</c:v>
                </c:pt>
                <c:pt idx="10">
                  <c:v>112.01964836613054</c:v>
                </c:pt>
                <c:pt idx="11">
                  <c:v>112.01964836613054</c:v>
                </c:pt>
                <c:pt idx="12">
                  <c:v>112.01964836613055</c:v>
                </c:pt>
                <c:pt idx="13">
                  <c:v>112.01964836613054</c:v>
                </c:pt>
                <c:pt idx="14">
                  <c:v>112.01964836613054</c:v>
                </c:pt>
                <c:pt idx="15">
                  <c:v>112.01964836613054</c:v>
                </c:pt>
                <c:pt idx="16">
                  <c:v>112.01964836613054</c:v>
                </c:pt>
                <c:pt idx="17">
                  <c:v>112.81411131450233</c:v>
                </c:pt>
                <c:pt idx="18">
                  <c:v>112.81411131450233</c:v>
                </c:pt>
                <c:pt idx="19">
                  <c:v>112.81411131450231</c:v>
                </c:pt>
                <c:pt idx="20">
                  <c:v>112.81411131450233</c:v>
                </c:pt>
                <c:pt idx="21">
                  <c:v>112.81411131450231</c:v>
                </c:pt>
                <c:pt idx="22">
                  <c:v>112.81411131450233</c:v>
                </c:pt>
                <c:pt idx="23">
                  <c:v>112.81411131450234</c:v>
                </c:pt>
                <c:pt idx="24">
                  <c:v>84.879645400600893</c:v>
                </c:pt>
                <c:pt idx="25">
                  <c:v>84.879645400600893</c:v>
                </c:pt>
                <c:pt idx="26">
                  <c:v>84.879645400600893</c:v>
                </c:pt>
                <c:pt idx="27">
                  <c:v>84.879645400600893</c:v>
                </c:pt>
                <c:pt idx="28">
                  <c:v>84.879645400600893</c:v>
                </c:pt>
                <c:pt idx="29">
                  <c:v>84.879645400600893</c:v>
                </c:pt>
                <c:pt idx="30">
                  <c:v>84.879645400600879</c:v>
                </c:pt>
                <c:pt idx="31">
                  <c:v>84.879645400600893</c:v>
                </c:pt>
                <c:pt idx="32">
                  <c:v>84.879645400600893</c:v>
                </c:pt>
                <c:pt idx="33">
                  <c:v>84.879645400600907</c:v>
                </c:pt>
                <c:pt idx="34">
                  <c:v>84.879645400600893</c:v>
                </c:pt>
                <c:pt idx="35">
                  <c:v>112.81411131450233</c:v>
                </c:pt>
                <c:pt idx="36">
                  <c:v>112.81411131450234</c:v>
                </c:pt>
                <c:pt idx="37">
                  <c:v>112.81411131450233</c:v>
                </c:pt>
                <c:pt idx="38">
                  <c:v>84.879645400600893</c:v>
                </c:pt>
                <c:pt idx="39">
                  <c:v>84.879645400600893</c:v>
                </c:pt>
                <c:pt idx="40">
                  <c:v>84.879645400600893</c:v>
                </c:pt>
                <c:pt idx="41">
                  <c:v>84.879645400600907</c:v>
                </c:pt>
                <c:pt idx="42">
                  <c:v>84.879645400600907</c:v>
                </c:pt>
                <c:pt idx="43">
                  <c:v>84.879645400600893</c:v>
                </c:pt>
                <c:pt idx="44">
                  <c:v>84.879645400600893</c:v>
                </c:pt>
                <c:pt idx="45">
                  <c:v>84.879645400600893</c:v>
                </c:pt>
                <c:pt idx="46">
                  <c:v>84.879645400600893</c:v>
                </c:pt>
                <c:pt idx="47">
                  <c:v>84.879645400600893</c:v>
                </c:pt>
                <c:pt idx="48">
                  <c:v>84.879645400600879</c:v>
                </c:pt>
                <c:pt idx="49">
                  <c:v>84.879645400600893</c:v>
                </c:pt>
                <c:pt idx="50">
                  <c:v>84.879645400600893</c:v>
                </c:pt>
                <c:pt idx="51">
                  <c:v>84.879645400600893</c:v>
                </c:pt>
                <c:pt idx="52">
                  <c:v>102.32166075410298</c:v>
                </c:pt>
                <c:pt idx="53">
                  <c:v>102.32166075410298</c:v>
                </c:pt>
                <c:pt idx="54">
                  <c:v>84.879645400600893</c:v>
                </c:pt>
                <c:pt idx="55">
                  <c:v>84.879645400600893</c:v>
                </c:pt>
                <c:pt idx="56">
                  <c:v>84.879645400600893</c:v>
                </c:pt>
                <c:pt idx="57">
                  <c:v>84.879645400600879</c:v>
                </c:pt>
                <c:pt idx="58">
                  <c:v>84.879645400600893</c:v>
                </c:pt>
                <c:pt idx="59">
                  <c:v>84.879645400600893</c:v>
                </c:pt>
                <c:pt idx="60">
                  <c:v>84.879645400600879</c:v>
                </c:pt>
                <c:pt idx="61">
                  <c:v>84.879645400600893</c:v>
                </c:pt>
                <c:pt idx="62">
                  <c:v>84.879645400600893</c:v>
                </c:pt>
                <c:pt idx="63">
                  <c:v>84.879645400600893</c:v>
                </c:pt>
                <c:pt idx="64">
                  <c:v>84.879645400600893</c:v>
                </c:pt>
                <c:pt idx="65">
                  <c:v>84.879645400600907</c:v>
                </c:pt>
                <c:pt idx="66">
                  <c:v>84.879645400600893</c:v>
                </c:pt>
                <c:pt idx="67">
                  <c:v>84.879645400600879</c:v>
                </c:pt>
                <c:pt idx="68">
                  <c:v>84.879645400600893</c:v>
                </c:pt>
                <c:pt idx="69">
                  <c:v>87.055167395391194</c:v>
                </c:pt>
                <c:pt idx="70">
                  <c:v>87.055167395391194</c:v>
                </c:pt>
                <c:pt idx="71">
                  <c:v>87.055167395391194</c:v>
                </c:pt>
                <c:pt idx="72">
                  <c:v>87.055167395391194</c:v>
                </c:pt>
                <c:pt idx="73">
                  <c:v>87.055167395391194</c:v>
                </c:pt>
                <c:pt idx="74">
                  <c:v>87.055167395391194</c:v>
                </c:pt>
                <c:pt idx="75">
                  <c:v>87.055167395391194</c:v>
                </c:pt>
                <c:pt idx="76">
                  <c:v>87.055167395391194</c:v>
                </c:pt>
                <c:pt idx="77">
                  <c:v>87.055167395391194</c:v>
                </c:pt>
                <c:pt idx="78">
                  <c:v>87.055167395391194</c:v>
                </c:pt>
                <c:pt idx="79">
                  <c:v>87.055167395391194</c:v>
                </c:pt>
                <c:pt idx="80">
                  <c:v>87.055167395391194</c:v>
                </c:pt>
                <c:pt idx="81">
                  <c:v>87.055167395391194</c:v>
                </c:pt>
                <c:pt idx="82">
                  <c:v>87.055167395391194</c:v>
                </c:pt>
                <c:pt idx="83">
                  <c:v>87.055167395391194</c:v>
                </c:pt>
                <c:pt idx="84">
                  <c:v>87.055167395391194</c:v>
                </c:pt>
                <c:pt idx="85">
                  <c:v>87.055167395391194</c:v>
                </c:pt>
                <c:pt idx="86">
                  <c:v>87.055167395391194</c:v>
                </c:pt>
                <c:pt idx="87">
                  <c:v>87.055167395391194</c:v>
                </c:pt>
                <c:pt idx="88">
                  <c:v>87.055167395391194</c:v>
                </c:pt>
                <c:pt idx="89">
                  <c:v>101.90869513385242</c:v>
                </c:pt>
                <c:pt idx="90">
                  <c:v>101.90869513385242</c:v>
                </c:pt>
                <c:pt idx="91">
                  <c:v>101.90869513385242</c:v>
                </c:pt>
                <c:pt idx="92">
                  <c:v>101.90869513385242</c:v>
                </c:pt>
                <c:pt idx="93">
                  <c:v>101.90869513385243</c:v>
                </c:pt>
                <c:pt idx="94">
                  <c:v>101.90869513385242</c:v>
                </c:pt>
                <c:pt idx="95">
                  <c:v>87.055167395391194</c:v>
                </c:pt>
                <c:pt idx="96">
                  <c:v>87.05516739539118</c:v>
                </c:pt>
                <c:pt idx="97">
                  <c:v>87.055167395391194</c:v>
                </c:pt>
                <c:pt idx="98">
                  <c:v>87.055167395391194</c:v>
                </c:pt>
                <c:pt idx="99">
                  <c:v>84.879645400600893</c:v>
                </c:pt>
                <c:pt idx="100">
                  <c:v>84.879645400600893</c:v>
                </c:pt>
                <c:pt idx="101">
                  <c:v>84.879645400600893</c:v>
                </c:pt>
                <c:pt idx="102">
                  <c:v>101.90869513385242</c:v>
                </c:pt>
                <c:pt idx="103">
                  <c:v>101.90869513385242</c:v>
                </c:pt>
                <c:pt idx="104">
                  <c:v>101.90869513385242</c:v>
                </c:pt>
                <c:pt idx="105">
                  <c:v>101.90869513385242</c:v>
                </c:pt>
                <c:pt idx="106">
                  <c:v>101.90869513385242</c:v>
                </c:pt>
                <c:pt idx="107">
                  <c:v>87.055167395391194</c:v>
                </c:pt>
                <c:pt idx="108">
                  <c:v>87.055167395391194</c:v>
                </c:pt>
                <c:pt idx="109">
                  <c:v>87.055167395391194</c:v>
                </c:pt>
                <c:pt idx="110">
                  <c:v>87.055167395391194</c:v>
                </c:pt>
                <c:pt idx="111">
                  <c:v>87.055167395391194</c:v>
                </c:pt>
                <c:pt idx="112">
                  <c:v>87.055167395391209</c:v>
                </c:pt>
                <c:pt idx="113">
                  <c:v>87.055167395391194</c:v>
                </c:pt>
                <c:pt idx="114">
                  <c:v>87.055167395391194</c:v>
                </c:pt>
                <c:pt idx="115">
                  <c:v>74.251724391082064</c:v>
                </c:pt>
                <c:pt idx="116">
                  <c:v>74.251724391082064</c:v>
                </c:pt>
                <c:pt idx="117">
                  <c:v>74.251724391082064</c:v>
                </c:pt>
                <c:pt idx="118">
                  <c:v>74.251724391082064</c:v>
                </c:pt>
                <c:pt idx="119">
                  <c:v>84.741263899591758</c:v>
                </c:pt>
                <c:pt idx="120">
                  <c:v>84.741263899591743</c:v>
                </c:pt>
                <c:pt idx="121">
                  <c:v>84.741263899591743</c:v>
                </c:pt>
                <c:pt idx="122">
                  <c:v>84.741263899591743</c:v>
                </c:pt>
                <c:pt idx="123">
                  <c:v>84.741263899591743</c:v>
                </c:pt>
                <c:pt idx="124">
                  <c:v>102.32166075410298</c:v>
                </c:pt>
                <c:pt idx="125">
                  <c:v>102.32166075410298</c:v>
                </c:pt>
                <c:pt idx="126">
                  <c:v>102.32166075410299</c:v>
                </c:pt>
                <c:pt idx="127">
                  <c:v>102.32166075410298</c:v>
                </c:pt>
                <c:pt idx="128">
                  <c:v>102.32166075410298</c:v>
                </c:pt>
                <c:pt idx="129">
                  <c:v>102.32166075410298</c:v>
                </c:pt>
                <c:pt idx="130">
                  <c:v>112.01964836613053</c:v>
                </c:pt>
                <c:pt idx="131">
                  <c:v>112.01964836613054</c:v>
                </c:pt>
                <c:pt idx="132">
                  <c:v>102.32166075410298</c:v>
                </c:pt>
                <c:pt idx="133">
                  <c:v>102.32166075410298</c:v>
                </c:pt>
                <c:pt idx="134">
                  <c:v>102.32166075410299</c:v>
                </c:pt>
                <c:pt idx="135">
                  <c:v>102.32166075410298</c:v>
                </c:pt>
                <c:pt idx="136">
                  <c:v>112.81411131450233</c:v>
                </c:pt>
                <c:pt idx="137">
                  <c:v>112.81411131450233</c:v>
                </c:pt>
                <c:pt idx="138">
                  <c:v>84.879645400600893</c:v>
                </c:pt>
                <c:pt idx="139">
                  <c:v>102.32166075410298</c:v>
                </c:pt>
                <c:pt idx="140">
                  <c:v>102.32166075410299</c:v>
                </c:pt>
                <c:pt idx="141">
                  <c:v>102.32166075410299</c:v>
                </c:pt>
                <c:pt idx="142">
                  <c:v>102.32166075410298</c:v>
                </c:pt>
                <c:pt idx="143">
                  <c:v>102.32166075410298</c:v>
                </c:pt>
                <c:pt idx="144">
                  <c:v>102.32166075410298</c:v>
                </c:pt>
                <c:pt idx="145">
                  <c:v>87.055167395391194</c:v>
                </c:pt>
                <c:pt idx="146">
                  <c:v>87.055167395391194</c:v>
                </c:pt>
                <c:pt idx="147">
                  <c:v>87.055167395391194</c:v>
                </c:pt>
                <c:pt idx="148">
                  <c:v>87.055167395391194</c:v>
                </c:pt>
                <c:pt idx="149">
                  <c:v>87.055167395391209</c:v>
                </c:pt>
                <c:pt idx="150">
                  <c:v>87.055167395391194</c:v>
                </c:pt>
                <c:pt idx="151">
                  <c:v>101.90869513385242</c:v>
                </c:pt>
                <c:pt idx="152">
                  <c:v>101.90869513385242</c:v>
                </c:pt>
                <c:pt idx="153">
                  <c:v>101.90869513385242</c:v>
                </c:pt>
                <c:pt idx="154">
                  <c:v>101.90869513385242</c:v>
                </c:pt>
                <c:pt idx="155">
                  <c:v>102.32166075410298</c:v>
                </c:pt>
                <c:pt idx="156">
                  <c:v>102.32166075410298</c:v>
                </c:pt>
                <c:pt idx="157">
                  <c:v>102.32166075410298</c:v>
                </c:pt>
                <c:pt idx="158">
                  <c:v>102.32166075410298</c:v>
                </c:pt>
                <c:pt idx="159">
                  <c:v>84.879645400600893</c:v>
                </c:pt>
                <c:pt idx="160">
                  <c:v>84.879645400600893</c:v>
                </c:pt>
                <c:pt idx="161">
                  <c:v>84.879645400600893</c:v>
                </c:pt>
                <c:pt idx="162">
                  <c:v>84.879645400600893</c:v>
                </c:pt>
                <c:pt idx="163">
                  <c:v>101.9086951338524</c:v>
                </c:pt>
                <c:pt idx="164">
                  <c:v>101.90869513385242</c:v>
                </c:pt>
                <c:pt idx="165">
                  <c:v>101.90869513385242</c:v>
                </c:pt>
                <c:pt idx="166">
                  <c:v>87.055167395391194</c:v>
                </c:pt>
                <c:pt idx="167">
                  <c:v>87.055167395391209</c:v>
                </c:pt>
                <c:pt idx="168">
                  <c:v>87.055167395391194</c:v>
                </c:pt>
                <c:pt idx="169">
                  <c:v>102.32166075410298</c:v>
                </c:pt>
                <c:pt idx="170">
                  <c:v>102.32166075410296</c:v>
                </c:pt>
                <c:pt idx="171">
                  <c:v>87.055167395391194</c:v>
                </c:pt>
                <c:pt idx="172">
                  <c:v>87.055167395391209</c:v>
                </c:pt>
                <c:pt idx="173">
                  <c:v>87.055167395391194</c:v>
                </c:pt>
                <c:pt idx="174">
                  <c:v>102.32166075410298</c:v>
                </c:pt>
                <c:pt idx="175">
                  <c:v>102.32166075410299</c:v>
                </c:pt>
                <c:pt idx="176">
                  <c:v>74.251724391082064</c:v>
                </c:pt>
                <c:pt idx="177">
                  <c:v>74.251724391082064</c:v>
                </c:pt>
                <c:pt idx="178">
                  <c:v>74.251724391082064</c:v>
                </c:pt>
                <c:pt idx="179">
                  <c:v>74.251724391082064</c:v>
                </c:pt>
                <c:pt idx="180">
                  <c:v>87.05516739539118</c:v>
                </c:pt>
                <c:pt idx="181">
                  <c:v>87.055167395391209</c:v>
                </c:pt>
                <c:pt idx="182">
                  <c:v>87.055167395391194</c:v>
                </c:pt>
                <c:pt idx="183">
                  <c:v>84.741263899591743</c:v>
                </c:pt>
                <c:pt idx="184">
                  <c:v>84.741263899591743</c:v>
                </c:pt>
                <c:pt idx="185">
                  <c:v>84.741263899591743</c:v>
                </c:pt>
                <c:pt idx="186">
                  <c:v>84.741263899591743</c:v>
                </c:pt>
                <c:pt idx="187">
                  <c:v>84.741263899591743</c:v>
                </c:pt>
                <c:pt idx="188">
                  <c:v>84.741263899591743</c:v>
                </c:pt>
                <c:pt idx="189">
                  <c:v>84.741263899591743</c:v>
                </c:pt>
                <c:pt idx="190">
                  <c:v>84.741263899591743</c:v>
                </c:pt>
                <c:pt idx="191">
                  <c:v>84.741263899591743</c:v>
                </c:pt>
                <c:pt idx="192">
                  <c:v>84.741263899591743</c:v>
                </c:pt>
                <c:pt idx="193">
                  <c:v>84.741263899591743</c:v>
                </c:pt>
                <c:pt idx="194">
                  <c:v>112.81411131450233</c:v>
                </c:pt>
                <c:pt idx="195">
                  <c:v>112.81411131450233</c:v>
                </c:pt>
                <c:pt idx="196">
                  <c:v>112.81411131450233</c:v>
                </c:pt>
                <c:pt idx="197">
                  <c:v>112.81411131450233</c:v>
                </c:pt>
                <c:pt idx="198">
                  <c:v>112.81411131450233</c:v>
                </c:pt>
                <c:pt idx="199">
                  <c:v>112.81411131450233</c:v>
                </c:pt>
                <c:pt idx="200">
                  <c:v>102.32166075410298</c:v>
                </c:pt>
                <c:pt idx="201">
                  <c:v>102.32166075410298</c:v>
                </c:pt>
                <c:pt idx="202">
                  <c:v>87.055167395391194</c:v>
                </c:pt>
                <c:pt idx="203">
                  <c:v>87.055167395391194</c:v>
                </c:pt>
                <c:pt idx="204">
                  <c:v>87.055167395391194</c:v>
                </c:pt>
                <c:pt idx="205">
                  <c:v>87.055167395391194</c:v>
                </c:pt>
                <c:pt idx="206">
                  <c:v>87.055167395391194</c:v>
                </c:pt>
                <c:pt idx="207">
                  <c:v>87.055167395391194</c:v>
                </c:pt>
                <c:pt idx="208">
                  <c:v>87.055167395391194</c:v>
                </c:pt>
                <c:pt idx="209">
                  <c:v>87.055167395391194</c:v>
                </c:pt>
                <c:pt idx="210">
                  <c:v>87.055167395391194</c:v>
                </c:pt>
                <c:pt idx="211">
                  <c:v>87.055167395391194</c:v>
                </c:pt>
                <c:pt idx="212">
                  <c:v>112.81411131450233</c:v>
                </c:pt>
                <c:pt idx="213">
                  <c:v>112.81411131450233</c:v>
                </c:pt>
                <c:pt idx="214">
                  <c:v>112.81411131450233</c:v>
                </c:pt>
                <c:pt idx="215">
                  <c:v>112.81411131450231</c:v>
                </c:pt>
                <c:pt idx="216">
                  <c:v>84.741263899591743</c:v>
                </c:pt>
                <c:pt idx="217">
                  <c:v>84.741263899591743</c:v>
                </c:pt>
                <c:pt idx="218">
                  <c:v>84.741263899591743</c:v>
                </c:pt>
                <c:pt idx="219">
                  <c:v>84.741263899591758</c:v>
                </c:pt>
                <c:pt idx="220">
                  <c:v>84.741263899591743</c:v>
                </c:pt>
                <c:pt idx="221">
                  <c:v>101.90869513385243</c:v>
                </c:pt>
                <c:pt idx="222">
                  <c:v>101.90869513385242</c:v>
                </c:pt>
                <c:pt idx="223">
                  <c:v>101.90869513385242</c:v>
                </c:pt>
                <c:pt idx="224">
                  <c:v>101.90869513385242</c:v>
                </c:pt>
                <c:pt idx="225">
                  <c:v>84.879645400600893</c:v>
                </c:pt>
                <c:pt idx="226">
                  <c:v>84.879645400600893</c:v>
                </c:pt>
                <c:pt idx="227">
                  <c:v>84.879645400600893</c:v>
                </c:pt>
                <c:pt idx="228">
                  <c:v>84.879645400600893</c:v>
                </c:pt>
                <c:pt idx="229">
                  <c:v>84.879645400600893</c:v>
                </c:pt>
                <c:pt idx="230">
                  <c:v>84.879645400600893</c:v>
                </c:pt>
                <c:pt idx="231">
                  <c:v>112.81411131450233</c:v>
                </c:pt>
                <c:pt idx="232">
                  <c:v>112.81411131450233</c:v>
                </c:pt>
                <c:pt idx="233">
                  <c:v>112.81411131450231</c:v>
                </c:pt>
                <c:pt idx="234">
                  <c:v>112.81411131450231</c:v>
                </c:pt>
                <c:pt idx="235">
                  <c:v>112.81411131450231</c:v>
                </c:pt>
                <c:pt idx="236">
                  <c:v>101.90869513385242</c:v>
                </c:pt>
                <c:pt idx="237">
                  <c:v>101.90869513385242</c:v>
                </c:pt>
                <c:pt idx="238">
                  <c:v>112.01964836613054</c:v>
                </c:pt>
                <c:pt idx="239">
                  <c:v>112.01964836613055</c:v>
                </c:pt>
                <c:pt idx="240">
                  <c:v>112.01964836613053</c:v>
                </c:pt>
                <c:pt idx="241">
                  <c:v>112.01964836613054</c:v>
                </c:pt>
                <c:pt idx="242">
                  <c:v>112.01964836613055</c:v>
                </c:pt>
                <c:pt idx="243">
                  <c:v>112.01964836613055</c:v>
                </c:pt>
                <c:pt idx="244">
                  <c:v>112.01964836613054</c:v>
                </c:pt>
                <c:pt idx="245">
                  <c:v>87.055167395391194</c:v>
                </c:pt>
                <c:pt idx="246">
                  <c:v>87.055167395391194</c:v>
                </c:pt>
                <c:pt idx="247">
                  <c:v>112.81411131450233</c:v>
                </c:pt>
                <c:pt idx="248">
                  <c:v>112.81411131450233</c:v>
                </c:pt>
                <c:pt idx="249">
                  <c:v>112.81411131450231</c:v>
                </c:pt>
                <c:pt idx="250">
                  <c:v>112.81411131450231</c:v>
                </c:pt>
                <c:pt idx="251">
                  <c:v>112.81411131450233</c:v>
                </c:pt>
                <c:pt idx="252">
                  <c:v>112.81411131450233</c:v>
                </c:pt>
                <c:pt idx="253">
                  <c:v>84.879645400600893</c:v>
                </c:pt>
                <c:pt idx="254">
                  <c:v>101.9086951338524</c:v>
                </c:pt>
                <c:pt idx="255">
                  <c:v>101.90869513385242</c:v>
                </c:pt>
                <c:pt idx="256">
                  <c:v>101.90869513385242</c:v>
                </c:pt>
                <c:pt idx="257">
                  <c:v>101.90869513385242</c:v>
                </c:pt>
                <c:pt idx="258">
                  <c:v>101.90869513385242</c:v>
                </c:pt>
                <c:pt idx="259">
                  <c:v>101.90869513385242</c:v>
                </c:pt>
                <c:pt idx="260">
                  <c:v>102.32166075410298</c:v>
                </c:pt>
                <c:pt idx="261">
                  <c:v>102.32166075410298</c:v>
                </c:pt>
                <c:pt idx="262">
                  <c:v>102.32166075410298</c:v>
                </c:pt>
                <c:pt idx="263">
                  <c:v>102.32166075410298</c:v>
                </c:pt>
                <c:pt idx="264">
                  <c:v>87.055167395391194</c:v>
                </c:pt>
                <c:pt idx="265">
                  <c:v>87.05516739539118</c:v>
                </c:pt>
                <c:pt idx="266">
                  <c:v>87.055167395391194</c:v>
                </c:pt>
                <c:pt idx="267">
                  <c:v>84.741263899591743</c:v>
                </c:pt>
                <c:pt idx="268">
                  <c:v>84.741263899591743</c:v>
                </c:pt>
                <c:pt idx="269">
                  <c:v>112.81411131450233</c:v>
                </c:pt>
                <c:pt idx="270">
                  <c:v>112.81411131450234</c:v>
                </c:pt>
                <c:pt idx="271">
                  <c:v>112.81411131450233</c:v>
                </c:pt>
                <c:pt idx="272">
                  <c:v>112.81411131450233</c:v>
                </c:pt>
                <c:pt idx="273">
                  <c:v>112.81411131450234</c:v>
                </c:pt>
                <c:pt idx="274">
                  <c:v>112.81411131450231</c:v>
                </c:pt>
                <c:pt idx="275">
                  <c:v>74.251724391082064</c:v>
                </c:pt>
                <c:pt idx="276">
                  <c:v>74.251724391082064</c:v>
                </c:pt>
                <c:pt idx="277">
                  <c:v>74.251724391082064</c:v>
                </c:pt>
                <c:pt idx="278">
                  <c:v>74.251724391082064</c:v>
                </c:pt>
                <c:pt idx="279">
                  <c:v>74.251724391082078</c:v>
                </c:pt>
                <c:pt idx="280">
                  <c:v>74.251724391082064</c:v>
                </c:pt>
                <c:pt idx="281">
                  <c:v>74.251724391082078</c:v>
                </c:pt>
                <c:pt idx="282">
                  <c:v>74.251724391082064</c:v>
                </c:pt>
                <c:pt idx="283">
                  <c:v>74.251724391082064</c:v>
                </c:pt>
                <c:pt idx="284">
                  <c:v>74.251724391082064</c:v>
                </c:pt>
                <c:pt idx="285">
                  <c:v>74.251724391082064</c:v>
                </c:pt>
                <c:pt idx="286">
                  <c:v>87.055167395391194</c:v>
                </c:pt>
                <c:pt idx="287">
                  <c:v>87.055167395391194</c:v>
                </c:pt>
                <c:pt idx="288">
                  <c:v>87.055167395391194</c:v>
                </c:pt>
                <c:pt idx="289">
                  <c:v>87.055167395391194</c:v>
                </c:pt>
                <c:pt idx="290">
                  <c:v>87.055167395391194</c:v>
                </c:pt>
                <c:pt idx="291">
                  <c:v>87.055167395391194</c:v>
                </c:pt>
                <c:pt idx="292">
                  <c:v>87.055167395391194</c:v>
                </c:pt>
                <c:pt idx="293">
                  <c:v>87.055167395391194</c:v>
                </c:pt>
                <c:pt idx="294">
                  <c:v>101.90869513385242</c:v>
                </c:pt>
                <c:pt idx="295">
                  <c:v>101.90869513385242</c:v>
                </c:pt>
                <c:pt idx="296">
                  <c:v>101.9086951338524</c:v>
                </c:pt>
              </c:numCache>
            </c:numRef>
          </c:xVal>
          <c:yVal>
            <c:numRef>
              <c:f>'Chart 13 Crime Vote Share'!$B$2:$B$298</c:f>
              <c:numCache>
                <c:formatCode>0.00</c:formatCode>
                <c:ptCount val="297"/>
                <c:pt idx="0">
                  <c:v>50.690963985335344</c:v>
                </c:pt>
                <c:pt idx="1">
                  <c:v>63.931283198818143</c:v>
                </c:pt>
                <c:pt idx="2">
                  <c:v>55.131544323375095</c:v>
                </c:pt>
                <c:pt idx="3">
                  <c:v>54.137495160756174</c:v>
                </c:pt>
                <c:pt idx="4">
                  <c:v>84.391797967986534</c:v>
                </c:pt>
                <c:pt idx="5">
                  <c:v>50.749902328206161</c:v>
                </c:pt>
                <c:pt idx="6">
                  <c:v>51.533913241230309</c:v>
                </c:pt>
                <c:pt idx="7">
                  <c:v>68.488914620440681</c:v>
                </c:pt>
                <c:pt idx="8">
                  <c:v>65.655713385009079</c:v>
                </c:pt>
                <c:pt idx="9">
                  <c:v>56.944033998958645</c:v>
                </c:pt>
                <c:pt idx="10">
                  <c:v>63.210939578140547</c:v>
                </c:pt>
                <c:pt idx="11">
                  <c:v>58.710630348842265</c:v>
                </c:pt>
                <c:pt idx="12">
                  <c:v>59.489164646720447</c:v>
                </c:pt>
                <c:pt idx="13">
                  <c:v>58.349734630694385</c:v>
                </c:pt>
                <c:pt idx="14">
                  <c:v>55.964152113841003</c:v>
                </c:pt>
                <c:pt idx="15">
                  <c:v>71.795653606503365</c:v>
                </c:pt>
                <c:pt idx="16">
                  <c:v>69.925919907824579</c:v>
                </c:pt>
                <c:pt idx="17">
                  <c:v>74.734414709741543</c:v>
                </c:pt>
                <c:pt idx="18">
                  <c:v>60.788357393155948</c:v>
                </c:pt>
                <c:pt idx="19">
                  <c:v>53.434941618574683</c:v>
                </c:pt>
                <c:pt idx="20">
                  <c:v>58.76996182614058</c:v>
                </c:pt>
                <c:pt idx="21">
                  <c:v>63.452329346966877</c:v>
                </c:pt>
                <c:pt idx="22">
                  <c:v>68.90000318562646</c:v>
                </c:pt>
                <c:pt idx="23">
                  <c:v>69.369376465368077</c:v>
                </c:pt>
                <c:pt idx="24">
                  <c:v>65.909090909090907</c:v>
                </c:pt>
                <c:pt idx="25">
                  <c:v>59.577045044501745</c:v>
                </c:pt>
                <c:pt idx="26">
                  <c:v>77.020240059077906</c:v>
                </c:pt>
                <c:pt idx="27">
                  <c:v>60.370923596301132</c:v>
                </c:pt>
                <c:pt idx="28">
                  <c:v>50.311185673140656</c:v>
                </c:pt>
                <c:pt idx="29">
                  <c:v>70.457736590845272</c:v>
                </c:pt>
                <c:pt idx="30">
                  <c:v>65.404129793510322</c:v>
                </c:pt>
                <c:pt idx="31">
                  <c:v>75.009457385239514</c:v>
                </c:pt>
                <c:pt idx="32">
                  <c:v>62.119135160307806</c:v>
                </c:pt>
                <c:pt idx="33">
                  <c:v>51.751203516360846</c:v>
                </c:pt>
                <c:pt idx="34">
                  <c:v>71.018600802868264</c:v>
                </c:pt>
                <c:pt idx="35">
                  <c:v>56.00663764726265</c:v>
                </c:pt>
                <c:pt idx="36">
                  <c:v>52.46793280751104</c:v>
                </c:pt>
                <c:pt idx="37">
                  <c:v>59.884361668198196</c:v>
                </c:pt>
                <c:pt idx="38">
                  <c:v>60.373493580579087</c:v>
                </c:pt>
                <c:pt idx="39">
                  <c:v>61.520683151823185</c:v>
                </c:pt>
                <c:pt idx="40">
                  <c:v>60.202927133070375</c:v>
                </c:pt>
                <c:pt idx="41">
                  <c:v>82.32231792883573</c:v>
                </c:pt>
                <c:pt idx="42">
                  <c:v>71.037254703279629</c:v>
                </c:pt>
                <c:pt idx="43">
                  <c:v>50.337588839168198</c:v>
                </c:pt>
                <c:pt idx="44">
                  <c:v>57.528938164942524</c:v>
                </c:pt>
                <c:pt idx="45">
                  <c:v>52.854111827176183</c:v>
                </c:pt>
                <c:pt idx="46">
                  <c:v>64.807141145884174</c:v>
                </c:pt>
                <c:pt idx="47">
                  <c:v>75.94077761654178</c:v>
                </c:pt>
                <c:pt idx="48">
                  <c:v>80.640623073743441</c:v>
                </c:pt>
                <c:pt idx="49">
                  <c:v>70.85929423598111</c:v>
                </c:pt>
                <c:pt idx="50">
                  <c:v>74.065161499615073</c:v>
                </c:pt>
                <c:pt idx="51">
                  <c:v>67.02901436931279</c:v>
                </c:pt>
                <c:pt idx="52">
                  <c:v>57.941048886155599</c:v>
                </c:pt>
                <c:pt idx="53">
                  <c:v>55.933775760444007</c:v>
                </c:pt>
                <c:pt idx="54">
                  <c:v>59.859914933237398</c:v>
                </c:pt>
                <c:pt idx="55">
                  <c:v>56.947459986082116</c:v>
                </c:pt>
                <c:pt idx="56">
                  <c:v>63.496327627104108</c:v>
                </c:pt>
                <c:pt idx="57">
                  <c:v>54.99421767250611</c:v>
                </c:pt>
                <c:pt idx="58">
                  <c:v>59.24020975119938</c:v>
                </c:pt>
                <c:pt idx="59">
                  <c:v>76.955023375279481</c:v>
                </c:pt>
                <c:pt idx="60">
                  <c:v>51.910279767786562</c:v>
                </c:pt>
                <c:pt idx="61">
                  <c:v>62.727914491054463</c:v>
                </c:pt>
                <c:pt idx="62">
                  <c:v>65.399895862310004</c:v>
                </c:pt>
                <c:pt idx="63">
                  <c:v>78.955891892900979</c:v>
                </c:pt>
                <c:pt idx="64">
                  <c:v>58.832608342071289</c:v>
                </c:pt>
                <c:pt idx="65">
                  <c:v>63.118946288099117</c:v>
                </c:pt>
                <c:pt idx="66">
                  <c:v>57.738971264579277</c:v>
                </c:pt>
                <c:pt idx="67">
                  <c:v>52.946735170372442</c:v>
                </c:pt>
                <c:pt idx="68">
                  <c:v>50.189677772378502</c:v>
                </c:pt>
                <c:pt idx="69">
                  <c:v>60.677087879666068</c:v>
                </c:pt>
                <c:pt idx="70">
                  <c:v>51.047140354885393</c:v>
                </c:pt>
                <c:pt idx="71">
                  <c:v>50.548988987910938</c:v>
                </c:pt>
                <c:pt idx="72">
                  <c:v>63.459450528700913</c:v>
                </c:pt>
                <c:pt idx="73">
                  <c:v>50.664931729854288</c:v>
                </c:pt>
                <c:pt idx="74">
                  <c:v>54.822811164848503</c:v>
                </c:pt>
                <c:pt idx="75">
                  <c:v>57.271736497941397</c:v>
                </c:pt>
                <c:pt idx="76">
                  <c:v>50.964169941765405</c:v>
                </c:pt>
                <c:pt idx="77">
                  <c:v>51.559940141419446</c:v>
                </c:pt>
                <c:pt idx="78">
                  <c:v>56.526647188413051</c:v>
                </c:pt>
                <c:pt idx="79">
                  <c:v>60.385949490765476</c:v>
                </c:pt>
                <c:pt idx="80">
                  <c:v>67.454225716354614</c:v>
                </c:pt>
                <c:pt idx="81">
                  <c:v>74.008054582946983</c:v>
                </c:pt>
                <c:pt idx="82">
                  <c:v>54.357633464344644</c:v>
                </c:pt>
                <c:pt idx="83">
                  <c:v>50.961703136733107</c:v>
                </c:pt>
                <c:pt idx="84">
                  <c:v>52.484630591097691</c:v>
                </c:pt>
                <c:pt idx="85">
                  <c:v>58.60405657502583</c:v>
                </c:pt>
                <c:pt idx="86">
                  <c:v>51.52178942549557</c:v>
                </c:pt>
                <c:pt idx="87">
                  <c:v>52.308071863462949</c:v>
                </c:pt>
                <c:pt idx="88">
                  <c:v>67.535464438398748</c:v>
                </c:pt>
                <c:pt idx="89">
                  <c:v>60.416785997068679</c:v>
                </c:pt>
                <c:pt idx="90">
                  <c:v>58.630173716625769</c:v>
                </c:pt>
                <c:pt idx="91">
                  <c:v>50.837943942298914</c:v>
                </c:pt>
                <c:pt idx="92">
                  <c:v>56.464092919524077</c:v>
                </c:pt>
                <c:pt idx="93">
                  <c:v>51.056164026630967</c:v>
                </c:pt>
                <c:pt idx="94">
                  <c:v>51.93170761526823</c:v>
                </c:pt>
                <c:pt idx="95">
                  <c:v>54.929958912554653</c:v>
                </c:pt>
                <c:pt idx="96">
                  <c:v>57.675154858553832</c:v>
                </c:pt>
                <c:pt idx="97">
                  <c:v>54.479938384801585</c:v>
                </c:pt>
                <c:pt idx="98">
                  <c:v>62.703200031488628</c:v>
                </c:pt>
                <c:pt idx="99">
                  <c:v>58.342051099898306</c:v>
                </c:pt>
                <c:pt idx="100">
                  <c:v>62.105950735558622</c:v>
                </c:pt>
                <c:pt idx="101">
                  <c:v>59.274808441741811</c:v>
                </c:pt>
                <c:pt idx="102">
                  <c:v>78.739725720808167</c:v>
                </c:pt>
                <c:pt idx="103">
                  <c:v>56.899591685226426</c:v>
                </c:pt>
                <c:pt idx="104">
                  <c:v>53.736591239113395</c:v>
                </c:pt>
                <c:pt idx="105">
                  <c:v>50.536972142579032</c:v>
                </c:pt>
                <c:pt idx="106">
                  <c:v>54.851097034228943</c:v>
                </c:pt>
                <c:pt idx="107">
                  <c:v>58.253522070338128</c:v>
                </c:pt>
                <c:pt idx="108">
                  <c:v>57.230334146548692</c:v>
                </c:pt>
                <c:pt idx="109">
                  <c:v>61.755084030097152</c:v>
                </c:pt>
                <c:pt idx="110">
                  <c:v>52.963277115455668</c:v>
                </c:pt>
                <c:pt idx="111">
                  <c:v>63.148137665572293</c:v>
                </c:pt>
                <c:pt idx="112">
                  <c:v>56.112318343013627</c:v>
                </c:pt>
                <c:pt idx="113">
                  <c:v>54.794970377768962</c:v>
                </c:pt>
                <c:pt idx="114">
                  <c:v>63.983920538534342</c:v>
                </c:pt>
                <c:pt idx="115">
                  <c:v>66.614128269028313</c:v>
                </c:pt>
                <c:pt idx="116">
                  <c:v>65.810392783799941</c:v>
                </c:pt>
                <c:pt idx="117">
                  <c:v>75.750867408842254</c:v>
                </c:pt>
                <c:pt idx="118">
                  <c:v>69.043851759393533</c:v>
                </c:pt>
                <c:pt idx="119">
                  <c:v>64.745626185672549</c:v>
                </c:pt>
                <c:pt idx="120">
                  <c:v>60.558201826980174</c:v>
                </c:pt>
                <c:pt idx="121">
                  <c:v>71.808116548147424</c:v>
                </c:pt>
                <c:pt idx="122">
                  <c:v>76.633065249827141</c:v>
                </c:pt>
                <c:pt idx="123">
                  <c:v>63.780895551040651</c:v>
                </c:pt>
                <c:pt idx="124">
                  <c:v>56.008183036659062</c:v>
                </c:pt>
                <c:pt idx="125">
                  <c:v>55.271340085274822</c:v>
                </c:pt>
                <c:pt idx="126">
                  <c:v>51.784455841276532</c:v>
                </c:pt>
                <c:pt idx="127">
                  <c:v>57.284775717306346</c:v>
                </c:pt>
                <c:pt idx="128">
                  <c:v>60.974389801808911</c:v>
                </c:pt>
                <c:pt idx="129">
                  <c:v>53.507759245830314</c:v>
                </c:pt>
                <c:pt idx="130">
                  <c:v>52.941176470588239</c:v>
                </c:pt>
                <c:pt idx="131">
                  <c:v>61.649137111020522</c:v>
                </c:pt>
                <c:pt idx="132">
                  <c:v>75.240413824228852</c:v>
                </c:pt>
                <c:pt idx="133">
                  <c:v>52.652507761928078</c:v>
                </c:pt>
                <c:pt idx="134">
                  <c:v>53.997199688035423</c:v>
                </c:pt>
                <c:pt idx="135">
                  <c:v>57.890367716531131</c:v>
                </c:pt>
                <c:pt idx="136">
                  <c:v>51.54180486176331</c:v>
                </c:pt>
                <c:pt idx="137">
                  <c:v>63.079151734761474</c:v>
                </c:pt>
                <c:pt idx="138">
                  <c:v>68.856419958514735</c:v>
                </c:pt>
                <c:pt idx="139">
                  <c:v>63.303738171498921</c:v>
                </c:pt>
                <c:pt idx="140">
                  <c:v>51.536381919488313</c:v>
                </c:pt>
                <c:pt idx="141">
                  <c:v>53.136203897625222</c:v>
                </c:pt>
                <c:pt idx="142">
                  <c:v>52.929193955958951</c:v>
                </c:pt>
                <c:pt idx="143">
                  <c:v>50.441884107082345</c:v>
                </c:pt>
                <c:pt idx="144">
                  <c:v>54.722365430556863</c:v>
                </c:pt>
                <c:pt idx="145">
                  <c:v>55.085780776046221</c:v>
                </c:pt>
                <c:pt idx="146">
                  <c:v>54.287646800985478</c:v>
                </c:pt>
                <c:pt idx="147">
                  <c:v>52.323882721850545</c:v>
                </c:pt>
                <c:pt idx="148">
                  <c:v>69.611825476481997</c:v>
                </c:pt>
                <c:pt idx="149">
                  <c:v>54.985519238725686</c:v>
                </c:pt>
                <c:pt idx="150">
                  <c:v>81.36560288656905</c:v>
                </c:pt>
                <c:pt idx="151">
                  <c:v>53.419911780853035</c:v>
                </c:pt>
                <c:pt idx="152">
                  <c:v>51.221921856565224</c:v>
                </c:pt>
                <c:pt idx="153">
                  <c:v>57.629670763874799</c:v>
                </c:pt>
                <c:pt idx="154">
                  <c:v>56.174175764277145</c:v>
                </c:pt>
                <c:pt idx="155">
                  <c:v>65.682862809838824</c:v>
                </c:pt>
                <c:pt idx="156">
                  <c:v>57.183897780318183</c:v>
                </c:pt>
                <c:pt idx="157">
                  <c:v>58.742063530765712</c:v>
                </c:pt>
                <c:pt idx="158">
                  <c:v>51.493724896109846</c:v>
                </c:pt>
                <c:pt idx="159">
                  <c:v>59.428653577589749</c:v>
                </c:pt>
                <c:pt idx="160">
                  <c:v>52.253954195965271</c:v>
                </c:pt>
                <c:pt idx="161">
                  <c:v>52.478580881840763</c:v>
                </c:pt>
                <c:pt idx="162">
                  <c:v>60.966367653674155</c:v>
                </c:pt>
                <c:pt idx="163">
                  <c:v>51.698737782284219</c:v>
                </c:pt>
                <c:pt idx="164">
                  <c:v>64.944197013361276</c:v>
                </c:pt>
                <c:pt idx="165">
                  <c:v>71.289579940888515</c:v>
                </c:pt>
                <c:pt idx="166">
                  <c:v>50.148725595481835</c:v>
                </c:pt>
                <c:pt idx="167">
                  <c:v>57.054148955830719</c:v>
                </c:pt>
                <c:pt idx="168">
                  <c:v>53.191324640277827</c:v>
                </c:pt>
                <c:pt idx="169">
                  <c:v>67.388529936843028</c:v>
                </c:pt>
                <c:pt idx="170">
                  <c:v>55.827929063771641</c:v>
                </c:pt>
                <c:pt idx="171">
                  <c:v>63.904801220830187</c:v>
                </c:pt>
                <c:pt idx="172">
                  <c:v>68.313726404645038</c:v>
                </c:pt>
                <c:pt idx="173">
                  <c:v>72.260100955580413</c:v>
                </c:pt>
                <c:pt idx="174">
                  <c:v>53.897915282101508</c:v>
                </c:pt>
                <c:pt idx="175">
                  <c:v>52.83004377543967</c:v>
                </c:pt>
                <c:pt idx="176">
                  <c:v>54.211092418434049</c:v>
                </c:pt>
                <c:pt idx="177">
                  <c:v>62.310788993154212</c:v>
                </c:pt>
                <c:pt idx="178">
                  <c:v>66.87785044775228</c:v>
                </c:pt>
                <c:pt idx="179">
                  <c:v>77.291580913782738</c:v>
                </c:pt>
                <c:pt idx="180">
                  <c:v>62.260617545424147</c:v>
                </c:pt>
                <c:pt idx="181">
                  <c:v>67.410016302503237</c:v>
                </c:pt>
                <c:pt idx="182">
                  <c:v>58.368558281490635</c:v>
                </c:pt>
                <c:pt idx="183">
                  <c:v>51.507914230390448</c:v>
                </c:pt>
                <c:pt idx="184">
                  <c:v>53.005652253187286</c:v>
                </c:pt>
                <c:pt idx="185">
                  <c:v>62.754589666339434</c:v>
                </c:pt>
                <c:pt idx="186">
                  <c:v>55.196652272354143</c:v>
                </c:pt>
                <c:pt idx="187">
                  <c:v>53.299366663128467</c:v>
                </c:pt>
                <c:pt idx="188">
                  <c:v>51.195927142121214</c:v>
                </c:pt>
                <c:pt idx="189">
                  <c:v>55.769197487063224</c:v>
                </c:pt>
                <c:pt idx="190">
                  <c:v>59.049100027213001</c:v>
                </c:pt>
                <c:pt idx="191">
                  <c:v>53.860250135943446</c:v>
                </c:pt>
                <c:pt idx="192">
                  <c:v>70.143054613739494</c:v>
                </c:pt>
                <c:pt idx="193">
                  <c:v>54.649554894251537</c:v>
                </c:pt>
                <c:pt idx="194">
                  <c:v>53.059082031250007</c:v>
                </c:pt>
                <c:pt idx="195">
                  <c:v>51.26657707229252</c:v>
                </c:pt>
                <c:pt idx="196">
                  <c:v>58.289616150326573</c:v>
                </c:pt>
                <c:pt idx="197">
                  <c:v>57.848290995166494</c:v>
                </c:pt>
                <c:pt idx="198">
                  <c:v>55.261561853996888</c:v>
                </c:pt>
                <c:pt idx="199">
                  <c:v>52.720889125644689</c:v>
                </c:pt>
                <c:pt idx="200">
                  <c:v>57.063356164383563</c:v>
                </c:pt>
                <c:pt idx="201">
                  <c:v>60.092879414442599</c:v>
                </c:pt>
                <c:pt idx="202">
                  <c:v>63.331040440235476</c:v>
                </c:pt>
                <c:pt idx="203">
                  <c:v>60.527892084053668</c:v>
                </c:pt>
                <c:pt idx="204">
                  <c:v>53.52751121184356</c:v>
                </c:pt>
                <c:pt idx="205">
                  <c:v>56.839766582793516</c:v>
                </c:pt>
                <c:pt idx="206">
                  <c:v>53.148915484154728</c:v>
                </c:pt>
                <c:pt idx="207">
                  <c:v>62.863674957352181</c:v>
                </c:pt>
                <c:pt idx="208">
                  <c:v>62.383710370714184</c:v>
                </c:pt>
                <c:pt idx="209">
                  <c:v>64.239136391035117</c:v>
                </c:pt>
                <c:pt idx="210">
                  <c:v>67.479433045891568</c:v>
                </c:pt>
                <c:pt idx="211">
                  <c:v>75.375949110696283</c:v>
                </c:pt>
                <c:pt idx="212">
                  <c:v>53.144950179519277</c:v>
                </c:pt>
                <c:pt idx="213">
                  <c:v>55.594779230267633</c:v>
                </c:pt>
                <c:pt idx="214">
                  <c:v>64.301514012670452</c:v>
                </c:pt>
                <c:pt idx="215">
                  <c:v>55.747098258791837</c:v>
                </c:pt>
                <c:pt idx="216">
                  <c:v>64.411323226118753</c:v>
                </c:pt>
                <c:pt idx="217">
                  <c:v>71.7853463223407</c:v>
                </c:pt>
                <c:pt idx="218">
                  <c:v>63.207063970549001</c:v>
                </c:pt>
                <c:pt idx="219">
                  <c:v>80.143639634969915</c:v>
                </c:pt>
                <c:pt idx="220">
                  <c:v>50.855565663504322</c:v>
                </c:pt>
                <c:pt idx="221">
                  <c:v>55.808874128594077</c:v>
                </c:pt>
                <c:pt idx="222">
                  <c:v>51.898449144152039</c:v>
                </c:pt>
                <c:pt idx="223">
                  <c:v>54.922038631603442</c:v>
                </c:pt>
                <c:pt idx="224">
                  <c:v>60.499246575674327</c:v>
                </c:pt>
                <c:pt idx="225">
                  <c:v>56.403061337934531</c:v>
                </c:pt>
                <c:pt idx="226">
                  <c:v>55.60396196933182</c:v>
                </c:pt>
                <c:pt idx="227">
                  <c:v>53.224869042766784</c:v>
                </c:pt>
                <c:pt idx="228">
                  <c:v>59.532662811573964</c:v>
                </c:pt>
                <c:pt idx="229">
                  <c:v>55.098579368599985</c:v>
                </c:pt>
                <c:pt idx="230">
                  <c:v>58.939840944073886</c:v>
                </c:pt>
                <c:pt idx="231">
                  <c:v>55.492509147421856</c:v>
                </c:pt>
                <c:pt idx="232">
                  <c:v>73.944915444619937</c:v>
                </c:pt>
                <c:pt idx="233">
                  <c:v>50.560372461696169</c:v>
                </c:pt>
                <c:pt idx="234">
                  <c:v>50.699873687621754</c:v>
                </c:pt>
                <c:pt idx="235">
                  <c:v>52.440194973466426</c:v>
                </c:pt>
                <c:pt idx="236">
                  <c:v>51.179485093748731</c:v>
                </c:pt>
                <c:pt idx="237">
                  <c:v>57.543029600147612</c:v>
                </c:pt>
                <c:pt idx="238">
                  <c:v>72.336954453787911</c:v>
                </c:pt>
                <c:pt idx="239">
                  <c:v>58.093942084808504</c:v>
                </c:pt>
                <c:pt idx="240">
                  <c:v>54.466544290479277</c:v>
                </c:pt>
                <c:pt idx="241">
                  <c:v>63.878129185124131</c:v>
                </c:pt>
                <c:pt idx="242">
                  <c:v>55.328990173670775</c:v>
                </c:pt>
                <c:pt idx="243">
                  <c:v>52.050652705337441</c:v>
                </c:pt>
                <c:pt idx="244">
                  <c:v>63.532423038234384</c:v>
                </c:pt>
                <c:pt idx="245">
                  <c:v>60.454244952725197</c:v>
                </c:pt>
                <c:pt idx="246">
                  <c:v>77.902368389081701</c:v>
                </c:pt>
                <c:pt idx="247">
                  <c:v>50.275690103252089</c:v>
                </c:pt>
                <c:pt idx="248">
                  <c:v>56.154222509566829</c:v>
                </c:pt>
                <c:pt idx="249">
                  <c:v>56.108450412894392</c:v>
                </c:pt>
                <c:pt idx="250">
                  <c:v>51.282895761659553</c:v>
                </c:pt>
                <c:pt idx="251">
                  <c:v>67.626834751179089</c:v>
                </c:pt>
                <c:pt idx="252">
                  <c:v>61.527001245670156</c:v>
                </c:pt>
                <c:pt idx="253">
                  <c:v>86.58652896041518</c:v>
                </c:pt>
                <c:pt idx="254">
                  <c:v>67.641669968996936</c:v>
                </c:pt>
                <c:pt idx="255">
                  <c:v>66.091812937277524</c:v>
                </c:pt>
                <c:pt idx="256">
                  <c:v>67.520592922562926</c:v>
                </c:pt>
                <c:pt idx="257">
                  <c:v>51.448552143356409</c:v>
                </c:pt>
                <c:pt idx="258">
                  <c:v>60.552481605258698</c:v>
                </c:pt>
                <c:pt idx="259">
                  <c:v>50.417922980038931</c:v>
                </c:pt>
                <c:pt idx="260">
                  <c:v>53.268163412294136</c:v>
                </c:pt>
                <c:pt idx="261">
                  <c:v>69.656257501591639</c:v>
                </c:pt>
                <c:pt idx="262">
                  <c:v>63.613731475215118</c:v>
                </c:pt>
                <c:pt idx="263">
                  <c:v>55.585710646306786</c:v>
                </c:pt>
                <c:pt idx="264">
                  <c:v>55.238910894622272</c:v>
                </c:pt>
                <c:pt idx="265">
                  <c:v>64.678684244616505</c:v>
                </c:pt>
                <c:pt idx="266">
                  <c:v>60.674943566591423</c:v>
                </c:pt>
                <c:pt idx="267">
                  <c:v>61.998127604255096</c:v>
                </c:pt>
                <c:pt idx="268">
                  <c:v>52.234719386967775</c:v>
                </c:pt>
                <c:pt idx="269">
                  <c:v>51.72959880760154</c:v>
                </c:pt>
                <c:pt idx="270">
                  <c:v>56.391887189408521</c:v>
                </c:pt>
                <c:pt idx="271">
                  <c:v>59.893830348313372</c:v>
                </c:pt>
                <c:pt idx="272">
                  <c:v>50.091907782763421</c:v>
                </c:pt>
                <c:pt idx="273">
                  <c:v>56.059068028489669</c:v>
                </c:pt>
                <c:pt idx="274">
                  <c:v>62.277771322333251</c:v>
                </c:pt>
                <c:pt idx="275">
                  <c:v>63.505535055350549</c:v>
                </c:pt>
                <c:pt idx="276">
                  <c:v>61.153236411006375</c:v>
                </c:pt>
                <c:pt idx="277">
                  <c:v>69.738926035015297</c:v>
                </c:pt>
                <c:pt idx="278">
                  <c:v>56.430819147773356</c:v>
                </c:pt>
                <c:pt idx="279">
                  <c:v>59.80057944543293</c:v>
                </c:pt>
                <c:pt idx="280">
                  <c:v>56.724983088558247</c:v>
                </c:pt>
                <c:pt idx="281">
                  <c:v>75.706973394834662</c:v>
                </c:pt>
                <c:pt idx="282">
                  <c:v>60.816313495041761</c:v>
                </c:pt>
                <c:pt idx="283">
                  <c:v>72.354465084399209</c:v>
                </c:pt>
                <c:pt idx="284">
                  <c:v>53.212319535435761</c:v>
                </c:pt>
                <c:pt idx="285">
                  <c:v>55.867799900565828</c:v>
                </c:pt>
                <c:pt idx="286">
                  <c:v>61.97090106846381</c:v>
                </c:pt>
                <c:pt idx="287">
                  <c:v>76.505303299316054</c:v>
                </c:pt>
                <c:pt idx="288">
                  <c:v>56.59044422300309</c:v>
                </c:pt>
                <c:pt idx="289">
                  <c:v>62.75923289107601</c:v>
                </c:pt>
                <c:pt idx="290">
                  <c:v>62.052258912281033</c:v>
                </c:pt>
                <c:pt idx="291">
                  <c:v>62.154439073398507</c:v>
                </c:pt>
                <c:pt idx="292">
                  <c:v>66.536814685364092</c:v>
                </c:pt>
                <c:pt idx="293">
                  <c:v>59.691032522067246</c:v>
                </c:pt>
                <c:pt idx="294">
                  <c:v>62.87590199366597</c:v>
                </c:pt>
                <c:pt idx="295">
                  <c:v>51.121559284229733</c:v>
                </c:pt>
                <c:pt idx="296">
                  <c:v>59.091536103163335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A-4D51-811D-6E8AA2646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420095"/>
        <c:axId val="1460417695"/>
      </c:scatterChart>
      <c:valAx>
        <c:axId val="146042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Total Crime per 100k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17695"/>
        <c:crosses val="autoZero"/>
        <c:crossBetween val="midCat"/>
      </c:valAx>
      <c:valAx>
        <c:axId val="14604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Winner Vote Share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2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Foreign Remittance Recipient Households by District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'Chart 14 Remittance_EDA'!$A$7:$A$70</c:f>
              <c:strCache>
                <c:ptCount val="64"/>
                <c:pt idx="0">
                  <c:v>Comilla</c:v>
                </c:pt>
                <c:pt idx="1">
                  <c:v>Chittagong</c:v>
                </c:pt>
                <c:pt idx="2">
                  <c:v>Brahmanbaria</c:v>
                </c:pt>
                <c:pt idx="3">
                  <c:v>Dhaka</c:v>
                </c:pt>
                <c:pt idx="4">
                  <c:v>Noakhali</c:v>
                </c:pt>
                <c:pt idx="5">
                  <c:v>Tangail</c:v>
                </c:pt>
                <c:pt idx="6">
                  <c:v>Chandpur</c:v>
                </c:pt>
                <c:pt idx="7">
                  <c:v>Sylhet</c:v>
                </c:pt>
                <c:pt idx="8">
                  <c:v>Feni</c:v>
                </c:pt>
                <c:pt idx="9">
                  <c:v>Narsingdi</c:v>
                </c:pt>
                <c:pt idx="10">
                  <c:v>Munshiganj</c:v>
                </c:pt>
                <c:pt idx="11">
                  <c:v>Lakshmipur</c:v>
                </c:pt>
                <c:pt idx="12">
                  <c:v>Moulvibazar</c:v>
                </c:pt>
                <c:pt idx="13">
                  <c:v>Kishoreganj</c:v>
                </c:pt>
                <c:pt idx="14">
                  <c:v>Narayanganj</c:v>
                </c:pt>
                <c:pt idx="15">
                  <c:v>Faridpur</c:v>
                </c:pt>
                <c:pt idx="16">
                  <c:v>Gazipur</c:v>
                </c:pt>
                <c:pt idx="17">
                  <c:v>Madaripur</c:v>
                </c:pt>
                <c:pt idx="18">
                  <c:v>Cox's Bazar</c:v>
                </c:pt>
                <c:pt idx="19">
                  <c:v>Habiganj</c:v>
                </c:pt>
                <c:pt idx="20">
                  <c:v>Manikganj</c:v>
                </c:pt>
                <c:pt idx="21">
                  <c:v>Sunamganj</c:v>
                </c:pt>
                <c:pt idx="22">
                  <c:v>Shariatpur</c:v>
                </c:pt>
                <c:pt idx="23">
                  <c:v>Mymensingh</c:v>
                </c:pt>
                <c:pt idx="24">
                  <c:v>Jashore</c:v>
                </c:pt>
                <c:pt idx="25">
                  <c:v>Bogura</c:v>
                </c:pt>
                <c:pt idx="26">
                  <c:v>Pabna</c:v>
                </c:pt>
                <c:pt idx="27">
                  <c:v>Jhenaidah</c:v>
                </c:pt>
                <c:pt idx="28">
                  <c:v>Barishal</c:v>
                </c:pt>
                <c:pt idx="29">
                  <c:v>Kushtia</c:v>
                </c:pt>
                <c:pt idx="30">
                  <c:v>Sirajganj</c:v>
                </c:pt>
                <c:pt idx="31">
                  <c:v>Chapainawabganj</c:v>
                </c:pt>
                <c:pt idx="32">
                  <c:v>Naogaon</c:v>
                </c:pt>
                <c:pt idx="33">
                  <c:v>Meherpur</c:v>
                </c:pt>
                <c:pt idx="34">
                  <c:v>Bhola</c:v>
                </c:pt>
                <c:pt idx="35">
                  <c:v>Rajbari</c:v>
                </c:pt>
                <c:pt idx="36">
                  <c:v>Jamalpur</c:v>
                </c:pt>
                <c:pt idx="37">
                  <c:v>Chuadanga</c:v>
                </c:pt>
                <c:pt idx="38">
                  <c:v>Pirojpur</c:v>
                </c:pt>
                <c:pt idx="39">
                  <c:v>Gopalganj</c:v>
                </c:pt>
                <c:pt idx="40">
                  <c:v>Satkhira</c:v>
                </c:pt>
                <c:pt idx="41">
                  <c:v>Magura</c:v>
                </c:pt>
                <c:pt idx="42">
                  <c:v>Rajshahi</c:v>
                </c:pt>
                <c:pt idx="43">
                  <c:v>Khulna</c:v>
                </c:pt>
                <c:pt idx="44">
                  <c:v>Natore</c:v>
                </c:pt>
                <c:pt idx="45">
                  <c:v>Narail</c:v>
                </c:pt>
                <c:pt idx="46">
                  <c:v>Bagerhat</c:v>
                </c:pt>
                <c:pt idx="47">
                  <c:v>Gaibandha</c:v>
                </c:pt>
                <c:pt idx="48">
                  <c:v>Netrokona</c:v>
                </c:pt>
                <c:pt idx="49">
                  <c:v>Barguna</c:v>
                </c:pt>
                <c:pt idx="50">
                  <c:v>Jhalokati</c:v>
                </c:pt>
                <c:pt idx="51">
                  <c:v>Joypurhat</c:v>
                </c:pt>
                <c:pt idx="52">
                  <c:v>Patuakhali</c:v>
                </c:pt>
                <c:pt idx="53">
                  <c:v>Rangpur</c:v>
                </c:pt>
                <c:pt idx="54">
                  <c:v>Dinajpur</c:v>
                </c:pt>
                <c:pt idx="55">
                  <c:v>Kurigram</c:v>
                </c:pt>
                <c:pt idx="56">
                  <c:v>Sherpur</c:v>
                </c:pt>
                <c:pt idx="57">
                  <c:v>Khagrachhari</c:v>
                </c:pt>
                <c:pt idx="58">
                  <c:v>Nilphamari</c:v>
                </c:pt>
                <c:pt idx="59">
                  <c:v>Thakurgaon</c:v>
                </c:pt>
                <c:pt idx="60">
                  <c:v>Rangamati</c:v>
                </c:pt>
                <c:pt idx="61">
                  <c:v>Bandarban</c:v>
                </c:pt>
                <c:pt idx="62">
                  <c:v>Lalmonirhat</c:v>
                </c:pt>
                <c:pt idx="63">
                  <c:v>Panchagarh</c:v>
                </c:pt>
              </c:strCache>
            </c:strRef>
          </c:cat>
          <c:val>
            <c:numRef>
              <c:f>'Chart 14 Remittance_EDA'!$B$7:$B$70</c:f>
              <c:numCache>
                <c:formatCode>General</c:formatCode>
                <c:ptCount val="64"/>
                <c:pt idx="0">
                  <c:v>441125</c:v>
                </c:pt>
                <c:pt idx="1">
                  <c:v>354531</c:v>
                </c:pt>
                <c:pt idx="2">
                  <c:v>236366</c:v>
                </c:pt>
                <c:pt idx="3">
                  <c:v>224944</c:v>
                </c:pt>
                <c:pt idx="4">
                  <c:v>179444</c:v>
                </c:pt>
                <c:pt idx="5">
                  <c:v>158130</c:v>
                </c:pt>
                <c:pt idx="6">
                  <c:v>153319</c:v>
                </c:pt>
                <c:pt idx="7">
                  <c:v>149149</c:v>
                </c:pt>
                <c:pt idx="8">
                  <c:v>125270</c:v>
                </c:pt>
                <c:pt idx="9">
                  <c:v>117936</c:v>
                </c:pt>
                <c:pt idx="10">
                  <c:v>108962</c:v>
                </c:pt>
                <c:pt idx="11">
                  <c:v>108389</c:v>
                </c:pt>
                <c:pt idx="12">
                  <c:v>98592</c:v>
                </c:pt>
                <c:pt idx="13">
                  <c:v>93532</c:v>
                </c:pt>
                <c:pt idx="14">
                  <c:v>72484</c:v>
                </c:pt>
                <c:pt idx="15">
                  <c:v>72310</c:v>
                </c:pt>
                <c:pt idx="16">
                  <c:v>70579</c:v>
                </c:pt>
                <c:pt idx="17">
                  <c:v>66343</c:v>
                </c:pt>
                <c:pt idx="18">
                  <c:v>63899</c:v>
                </c:pt>
                <c:pt idx="19">
                  <c:v>63766</c:v>
                </c:pt>
                <c:pt idx="20">
                  <c:v>63218</c:v>
                </c:pt>
                <c:pt idx="21">
                  <c:v>63212</c:v>
                </c:pt>
                <c:pt idx="22">
                  <c:v>60712</c:v>
                </c:pt>
                <c:pt idx="23">
                  <c:v>59469</c:v>
                </c:pt>
                <c:pt idx="24">
                  <c:v>57950</c:v>
                </c:pt>
                <c:pt idx="25">
                  <c:v>55243</c:v>
                </c:pt>
                <c:pt idx="26">
                  <c:v>36218</c:v>
                </c:pt>
                <c:pt idx="27">
                  <c:v>35955</c:v>
                </c:pt>
                <c:pt idx="28">
                  <c:v>35831</c:v>
                </c:pt>
                <c:pt idx="29">
                  <c:v>34944</c:v>
                </c:pt>
                <c:pt idx="30">
                  <c:v>30007</c:v>
                </c:pt>
                <c:pt idx="31">
                  <c:v>28493</c:v>
                </c:pt>
                <c:pt idx="32">
                  <c:v>28428</c:v>
                </c:pt>
                <c:pt idx="33">
                  <c:v>25380</c:v>
                </c:pt>
                <c:pt idx="34">
                  <c:v>24978</c:v>
                </c:pt>
                <c:pt idx="35">
                  <c:v>23972</c:v>
                </c:pt>
                <c:pt idx="36">
                  <c:v>23323</c:v>
                </c:pt>
                <c:pt idx="37">
                  <c:v>21607</c:v>
                </c:pt>
                <c:pt idx="38">
                  <c:v>20674</c:v>
                </c:pt>
                <c:pt idx="39">
                  <c:v>20294</c:v>
                </c:pt>
                <c:pt idx="40">
                  <c:v>20170</c:v>
                </c:pt>
                <c:pt idx="41">
                  <c:v>17913</c:v>
                </c:pt>
                <c:pt idx="42">
                  <c:v>17411</c:v>
                </c:pt>
                <c:pt idx="43">
                  <c:v>17169</c:v>
                </c:pt>
                <c:pt idx="44">
                  <c:v>15186</c:v>
                </c:pt>
                <c:pt idx="45">
                  <c:v>14435</c:v>
                </c:pt>
                <c:pt idx="46">
                  <c:v>13393</c:v>
                </c:pt>
                <c:pt idx="47">
                  <c:v>13007</c:v>
                </c:pt>
                <c:pt idx="48">
                  <c:v>12694</c:v>
                </c:pt>
                <c:pt idx="49">
                  <c:v>12017</c:v>
                </c:pt>
                <c:pt idx="50">
                  <c:v>11423</c:v>
                </c:pt>
                <c:pt idx="51">
                  <c:v>9894</c:v>
                </c:pt>
                <c:pt idx="52">
                  <c:v>9027</c:v>
                </c:pt>
                <c:pt idx="53">
                  <c:v>8897</c:v>
                </c:pt>
                <c:pt idx="54">
                  <c:v>7999</c:v>
                </c:pt>
                <c:pt idx="55">
                  <c:v>7399</c:v>
                </c:pt>
                <c:pt idx="56">
                  <c:v>5294</c:v>
                </c:pt>
                <c:pt idx="57">
                  <c:v>5192</c:v>
                </c:pt>
                <c:pt idx="58">
                  <c:v>4885</c:v>
                </c:pt>
                <c:pt idx="59">
                  <c:v>4683</c:v>
                </c:pt>
                <c:pt idx="60">
                  <c:v>4548</c:v>
                </c:pt>
                <c:pt idx="61">
                  <c:v>4106</c:v>
                </c:pt>
                <c:pt idx="62">
                  <c:v>2418</c:v>
                </c:pt>
                <c:pt idx="63">
                  <c:v>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A-4D4D-810A-650D3D3668F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0883360"/>
        <c:axId val="1615430816"/>
      </c:barChart>
      <c:catAx>
        <c:axId val="173088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430816"/>
        <c:crosses val="autoZero"/>
        <c:auto val="1"/>
        <c:lblAlgn val="ctr"/>
        <c:lblOffset val="100"/>
        <c:noMultiLvlLbl val="0"/>
      </c:catAx>
      <c:valAx>
        <c:axId val="161543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38100</xdr:rowOff>
    </xdr:from>
    <xdr:to>
      <xdr:col>9</xdr:col>
      <xdr:colOff>495300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5EC58-5F96-14FF-09F8-AA4226E40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385761</xdr:colOff>
      <xdr:row>0</xdr:row>
      <xdr:rowOff>0</xdr:rowOff>
    </xdr:from>
    <xdr:to>
      <xdr:col>12</xdr:col>
      <xdr:colOff>85725</xdr:colOff>
      <xdr:row>12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F0A82-AAFF-BE02-2C7D-6EE1F32F3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604837</xdr:colOff>
      <xdr:row>0</xdr:row>
      <xdr:rowOff>0</xdr:rowOff>
    </xdr:from>
    <xdr:to>
      <xdr:col>10</xdr:col>
      <xdr:colOff>300037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15EAF-FDC3-27BA-5BEF-E95C9477E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0</xdr:row>
      <xdr:rowOff>0</xdr:rowOff>
    </xdr:from>
    <xdr:to>
      <xdr:col>12</xdr:col>
      <xdr:colOff>9524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E2E3F-2350-8803-BEC5-8E4713D8D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595311</xdr:colOff>
      <xdr:row>0</xdr:row>
      <xdr:rowOff>0</xdr:rowOff>
    </xdr:from>
    <xdr:to>
      <xdr:col>14</xdr:col>
      <xdr:colOff>47625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3D9C7-AF4C-A72A-1AA6-03CCE5D8B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0</xdr:row>
      <xdr:rowOff>0</xdr:rowOff>
    </xdr:from>
    <xdr:to>
      <xdr:col>12</xdr:col>
      <xdr:colOff>561975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9DB218-C482-B8F0-2C2A-89318477B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604837</xdr:colOff>
      <xdr:row>0</xdr:row>
      <xdr:rowOff>4762</xdr:rowOff>
    </xdr:from>
    <xdr:to>
      <xdr:col>10</xdr:col>
      <xdr:colOff>300037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E9519-9224-CEDD-0A08-72FBD7BB8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0</xdr:row>
      <xdr:rowOff>0</xdr:rowOff>
    </xdr:from>
    <xdr:to>
      <xdr:col>10</xdr:col>
      <xdr:colOff>290512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D2CFA-B5F4-021E-8651-B2E9EBCC7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52386</xdr:rowOff>
    </xdr:from>
    <xdr:to>
      <xdr:col>2</xdr:col>
      <xdr:colOff>1466849</xdr:colOff>
      <xdr:row>13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F67AE3-E04C-0384-52C2-47597E0C5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1471612</xdr:colOff>
      <xdr:row>3</xdr:row>
      <xdr:rowOff>61912</xdr:rowOff>
    </xdr:from>
    <xdr:to>
      <xdr:col>6</xdr:col>
      <xdr:colOff>342900</xdr:colOff>
      <xdr:row>14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969B5C-B986-A25C-F39C-42BE7BC8A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261937</xdr:colOff>
      <xdr:row>0</xdr:row>
      <xdr:rowOff>0</xdr:rowOff>
    </xdr:from>
    <xdr:to>
      <xdr:col>13</xdr:col>
      <xdr:colOff>9525</xdr:colOff>
      <xdr:row>18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313EB5-881F-9612-437D-7C5B97B42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0</xdr:row>
      <xdr:rowOff>0</xdr:rowOff>
    </xdr:from>
    <xdr:to>
      <xdr:col>14</xdr:col>
      <xdr:colOff>9525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12D600-493E-4BD9-D647-AB9E92CF5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0</xdr:row>
      <xdr:rowOff>0</xdr:rowOff>
    </xdr:from>
    <xdr:to>
      <xdr:col>14</xdr:col>
      <xdr:colOff>28575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67424-D061-5980-C7E1-74CCF0215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0</xdr:row>
      <xdr:rowOff>1</xdr:rowOff>
    </xdr:from>
    <xdr:to>
      <xdr:col>11</xdr:col>
      <xdr:colOff>430696</xdr:colOff>
      <xdr:row>19</xdr:row>
      <xdr:rowOff>16565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F821B-6CBE-B3DD-D5E8-4D35E9E45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B8B6E85-173B-4662-AFCB-492618CDCE23}" autoFormatId="16" applyNumberFormats="0" applyBorderFormats="0" applyFontFormats="0" applyPatternFormats="0" applyAlignmentFormats="0" applyWidthHeightFormats="0">
  <queryTableRefresh nextId="9" unboundColumnsLeft="1" unboundColumnsRight="3">
    <queryTableFields count="8">
      <queryTableField id="7" dataBound="0" tableColumnId="7"/>
      <queryTableField id="1" name="Upazila" tableColumnId="1"/>
      <queryTableField id="2" name="Population" tableColumnId="2"/>
      <queryTableField id="3" name="Household_Size" tableColumnId="3"/>
      <queryTableField id="4" name="Literacy_Rate" tableColumnId="4"/>
      <queryTableField id="5" dataBound="0" tableColumnId="5"/>
      <queryTableField id="6" dataBound="0" tableColumnId="6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C597E4-5389-4A15-A6BB-A15BD0A2349C}" autoFormatId="16" applyNumberFormats="0" applyBorderFormats="0" applyFontFormats="0" applyPatternFormats="0" applyAlignmentFormats="0" applyWidthHeightFormats="0">
  <queryTableRefresh nextId="13">
    <queryTableFields count="12">
      <queryTableField id="1" name="Constituency_ID" tableColumnId="1"/>
      <queryTableField id="2" name="Division" tableColumnId="2"/>
      <queryTableField id="3" name="Constituency" tableColumnId="3"/>
      <queryTableField id="4" name="Winner" tableColumnId="4"/>
      <queryTableField id="5" name="Party" tableColumnId="5"/>
      <queryTableField id="12" dataBound="0" tableColumnId="12"/>
      <queryTableField id="6" name="Votes" tableColumnId="6"/>
      <queryTableField id="7" name="Runner_Up" tableColumnId="7"/>
      <queryTableField id="8" name="Runner_Party" tableColumnId="8"/>
      <queryTableField id="9" name="Runner_Votes" tableColumnId="9"/>
      <queryTableField id="10" name="Margin_Votes" tableColumnId="10"/>
      <queryTableField id="11" name="Margin_Percen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B440F8-B4A7-447D-8FB2-F38C078FF125}" autoFormatId="16" applyNumberFormats="0" applyBorderFormats="0" applyFontFormats="0" applyPatternFormats="0" applyAlignmentFormats="0" applyWidthHeightFormats="0">
  <queryTableRefresh nextId="19" unboundColumnsRight="3">
    <queryTableFields count="17">
      <queryTableField id="1" name="Constituency_ID" tableColumnId="1"/>
      <queryTableField id="2" name="Division" tableColumnId="2"/>
      <queryTableField id="3" name="Constituency" tableColumnId="3"/>
      <queryTableField id="4" name="Winner" tableColumnId="4"/>
      <queryTableField id="5" name="Party" tableColumnId="5"/>
      <queryTableField id="12" dataBound="0" tableColumnId="12"/>
      <queryTableField id="6" name="Votes" tableColumnId="6"/>
      <queryTableField id="13" dataBound="0" tableColumnId="13"/>
      <queryTableField id="7" name="Runner_Up" tableColumnId="7"/>
      <queryTableField id="8" name="Runner_Party" tableColumnId="8"/>
      <queryTableField id="9" name="Runner_Votes" tableColumnId="9"/>
      <queryTableField id="14" dataBound="0" tableColumnId="14"/>
      <queryTableField id="10" name="Margin_Votes" tableColumnId="10"/>
      <queryTableField id="11" name="Margin_Percent" tableColumnId="11"/>
      <queryTableField id="15" dataBound="0" tableColumnId="15"/>
      <queryTableField id="16" dataBound="0" tableColumnId="16"/>
      <queryTableField id="18" dataBound="0" tableColumnId="1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1440A06-DBE3-44D2-92B3-D8F8E4D7C368}" name="Table1176__Page_443" displayName="Table1176__Page_443" ref="A1:H496" tableType="queryTable" totalsRowShown="0">
  <autoFilter ref="A1:H496" xr:uid="{61440A06-DBE3-44D2-92B3-D8F8E4D7C368}"/>
  <tableColumns count="8">
    <tableColumn id="7" xr3:uid="{3EDF1385-64C6-4F6C-A2A1-B99CE4F394A0}" uniqueName="7" name="District" queryTableFieldId="7" dataDxfId="37"/>
    <tableColumn id="1" xr3:uid="{960C8D25-5389-4BFB-A308-07A8974AB420}" uniqueName="1" name="Upazila" queryTableFieldId="1" dataDxfId="36"/>
    <tableColumn id="2" xr3:uid="{583D11A5-6B86-46AD-8776-5AB77C52004C}" uniqueName="2" name="Area_sqkm" queryTableFieldId="2"/>
    <tableColumn id="3" xr3:uid="{946B7799-B46E-430A-8A94-757B269EFB0F}" uniqueName="3" name="Population" queryTableFieldId="3"/>
    <tableColumn id="4" xr3:uid="{7F70471A-BBC7-4F73-88AE-8AED1A08EF11}" uniqueName="4" name="Population_Density" queryTableFieldId="4"/>
    <tableColumn id="5" xr3:uid="{96D3BF79-46A9-4520-9950-54EA41198A79}" uniqueName="5" name="Household_Size" queryTableFieldId="5"/>
    <tableColumn id="6" xr3:uid="{589669B2-83E2-43C2-9419-4D81CC17679A}" uniqueName="6" name="Literacy_Rate" queryTableFieldId="6"/>
    <tableColumn id="8" xr3:uid="{005058EE-3DEC-43CB-908B-051621666328}" uniqueName="8" name="Merge_Key" queryTableFieldId="8" dataDxfId="35">
      <calculatedColumnFormula>TRIM(A2)&amp;"|"&amp;TRIM(B2)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637333-6C02-4B8E-85D9-EF976B5BA4D7}" name="Table3" displayName="Table3" ref="A1:W19" totalsRowShown="0">
  <autoFilter ref="A1:W19" xr:uid="{4A637333-6C02-4B8E-85D9-EF976B5BA4D7}"/>
  <tableColumns count="23">
    <tableColumn id="1" xr3:uid="{7752BB2C-1DE5-463F-B158-A2F1355CCF8C}" name="Crime_Unit"/>
    <tableColumn id="2" xr3:uid="{2ABB4260-5DEB-4C6C-9019-4DB3E8B3BD2A}" name="Dacoity"/>
    <tableColumn id="3" xr3:uid="{7AEFCFFC-315E-457B-B962-36F68E0DBF2E}" name="Robbery"/>
    <tableColumn id="4" xr3:uid="{2CFCAFB0-D024-4C5B-AF68-482F2925EE4E}" name="Murder"/>
    <tableColumn id="5" xr3:uid="{045D2753-D656-4CD6-96FE-C1B43E1E250A}" name="Speedy_Trial"/>
    <tableColumn id="6" xr3:uid="{6D678ECE-725E-4827-85BA-454031CC8D64}" name="Riot"/>
    <tableColumn id="7" xr3:uid="{AC553D76-77F7-414B-8284-8B00A516B746}" name="Woman_Child_Repression"/>
    <tableColumn id="8" xr3:uid="{28AE4D00-DD2B-4249-9E3C-BC46BE76DE15}" name="Kidnapping"/>
    <tableColumn id="9" xr3:uid="{17E9E170-8725-4829-83C6-9C624B93F6AB}" name="Police_Assault"/>
    <tableColumn id="10" xr3:uid="{DB15C459-A356-45CA-9958-24C592BA03D8}" name="Burglary"/>
    <tableColumn id="11" xr3:uid="{90D25DB8-42A6-409D-ADBB-A70D7A1DCEDA}" name="Theft"/>
    <tableColumn id="12" xr3:uid="{C5BE222A-ED7F-4A67-8ECF-505435121C20}" name="Other_Cases"/>
    <tableColumn id="13" xr3:uid="{8BB3E301-BE41-46FE-89A7-6BA2B7405CD8}" name="Arms_Act"/>
    <tableColumn id="14" xr3:uid="{A6BB5E14-C3AE-4E4B-8479-8865F4D9D688}" name="Explosive_Act"/>
    <tableColumn id="15" xr3:uid="{CC144EEA-F57F-4B67-881E-303AC865E8EE}" name="Narcotics"/>
    <tableColumn id="16" xr3:uid="{DDA2A3D5-3551-4C94-9A6D-0E77472FA295}" name="Smuggling"/>
    <tableColumn id="17" xr3:uid="{73951006-2260-43A8-863B-BB5665546A44}" name="Recovery_Total"/>
    <tableColumn id="18" xr3:uid="{05C8EDFF-F528-4BA5-A909-85C8D724F236}" name="Total_Cases"/>
    <tableColumn id="19" xr3:uid="{B7CAE9B8-3F7A-4855-ACEE-E5AFE4F6BF0D}" name="Violent_Cases" dataDxfId="34">
      <calculatedColumnFormula>B2+C2+D2+F2+G2+H2+I2</calculatedColumnFormula>
    </tableColumn>
    <tableColumn id="20" xr3:uid="{B15B6B87-D97F-4E2E-BB27-02CC735891FE}" name="Property_Cases" dataDxfId="33">
      <calculatedColumnFormula>B2+C2+J2+K2</calculatedColumnFormula>
    </tableColumn>
    <tableColumn id="21" xr3:uid="{BD86CD1F-1E51-411F-83D0-24841637EA2D}" name="Population_2022"/>
    <tableColumn id="22" xr3:uid="{1A1CCED3-5094-487F-96A3-DE912F06B188}" name="Total_Crime_per_100k" dataDxfId="32">
      <calculatedColumnFormula>IF(U2="","",R2/U2*100000)</calculatedColumnFormula>
    </tableColumn>
    <tableColumn id="23" xr3:uid="{93A798C7-C54B-4846-B47D-5AE08249E8DE}" name="Violent_Crime_per_100k" dataDxfId="31">
      <calculatedColumnFormula>IF(U2="","",S2/U2*100000)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30233F-30B1-4725-BBCF-AD04A67ABBCA}" name="Table5" displayName="Table5" ref="A1:B65" totalsRowShown="0">
  <autoFilter ref="A1:B65" xr:uid="{5430233F-30B1-4725-BBCF-AD04A67ABBCA}"/>
  <tableColumns count="2">
    <tableColumn id="1" xr3:uid="{3082F0B6-D4C5-4425-8A3F-79425037386A}" name="District"/>
    <tableColumn id="2" xr3:uid="{EA244BC4-3FE1-4CD3-9A22-451603536C50}" name="Crime_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690D0-1260-4D08-94A6-438386211969}" name="Election_Data" displayName="Election_Data" ref="A1:L301" tableType="queryTable" totalsRowShown="0">
  <autoFilter ref="A1:L301" xr:uid="{3DD690D0-1260-4D08-94A6-438386211969}"/>
  <tableColumns count="12">
    <tableColumn id="1" xr3:uid="{D834FCCF-E950-4FB0-B932-0D64A528E8A8}" uniqueName="1" name="Constituency_ID" queryTableFieldId="1"/>
    <tableColumn id="2" xr3:uid="{020E3DB2-E7F4-466C-81F1-C741EE03DD3C}" uniqueName="2" name="Division" queryTableFieldId="2" dataDxfId="30"/>
    <tableColumn id="3" xr3:uid="{D1065FEA-84B6-4E0F-B0B1-0C3B931EA011}" uniqueName="3" name="Constituency" queryTableFieldId="3" dataDxfId="29"/>
    <tableColumn id="4" xr3:uid="{E956C393-150D-466F-8687-E6294D133DCC}" uniqueName="4" name="Winner" queryTableFieldId="4" dataDxfId="28"/>
    <tableColumn id="5" xr3:uid="{87A98AAE-41D5-412D-9E5F-1890F7979B08}" uniqueName="5" name="Party" queryTableFieldId="5" dataDxfId="27"/>
    <tableColumn id="12" xr3:uid="{8F453FFA-D37A-4F72-8697-BC45BE24C289}" uniqueName="12" name="Party_binary" queryTableFieldId="12" dataDxfId="26">
      <calculatedColumnFormula>IF(E2="Jamaat",1,0)</calculatedColumnFormula>
    </tableColumn>
    <tableColumn id="6" xr3:uid="{5F8E40C4-751E-426E-B7EA-5E9EAA063EDB}" uniqueName="6" name="Votes" queryTableFieldId="6"/>
    <tableColumn id="7" xr3:uid="{D52926BA-EECF-4B12-8A2B-C229263D1689}" uniqueName="7" name="Runner_Up" queryTableFieldId="7" dataDxfId="25"/>
    <tableColumn id="8" xr3:uid="{734F004E-647E-4EA9-8EBB-6D049885918F}" uniqueName="8" name="Runner_Party" queryTableFieldId="8" dataDxfId="24"/>
    <tableColumn id="9" xr3:uid="{5A1CA3F8-C57C-4D1D-98F1-91BB360F5888}" uniqueName="9" name="Runner_Votes" queryTableFieldId="9"/>
    <tableColumn id="10" xr3:uid="{EBD52AF6-3F51-45AC-B171-040BA5F9C404}" uniqueName="10" name="Margin_Votes" queryTableFieldId="10"/>
    <tableColumn id="11" xr3:uid="{C8E9C066-C0B2-4D1A-8D47-A9B4F36E5DF6}" uniqueName="11" name="Margin_Percent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823440-2488-43FF-B9C7-40173582AC4D}" name="Table6" displayName="Table6" ref="A1:P500" totalsRowShown="0" headerRowDxfId="23">
  <autoFilter ref="A1:P500" xr:uid="{0F823440-2488-43FF-B9C7-40173582AC4D}"/>
  <tableColumns count="16">
    <tableColumn id="1" xr3:uid="{E31F907E-23CB-4D0C-A65A-385D84A04EE9}" name="Constituency"/>
    <tableColumn id="12" xr3:uid="{931707D2-9DE6-411A-9E70-0123E349D7F7}" name="Constituency_Clean" dataDxfId="22">
      <calculatedColumnFormula>SUBSTITUTE(SUBSTITUTE(SUBSTITUTE(SUBSTITUTE(TRIM(Table6[[#This Row],[Constituency]]),"Barisal","Barishal"),"Jessore","Jashore"),"Bogra","Bogura"),"Chapai Nawabganj","Chapainawabganj")</calculatedColumnFormula>
    </tableColumn>
    <tableColumn id="2" xr3:uid="{70D49A7C-CCE9-4D32-BADE-8EA93212195C}" name="Upazila"/>
    <tableColumn id="3" xr3:uid="{853EE121-27EF-48AA-B91C-E536C5A14461}" name="District"/>
    <tableColumn id="4" xr3:uid="{5A70A8A3-CD10-4AF3-B00F-5C471E6D48F6}" name="Area_sqkm" dataDxfId="21">
      <calculatedColumnFormula>_xlfn.XLOOKUP(C2,Population_data!B:B,Population_data!C:C,"")</calculatedColumnFormula>
    </tableColumn>
    <tableColumn id="5" xr3:uid="{DCCF46CA-DD7E-4DE5-83F1-3D93F7150A89}" name="Population" dataDxfId="20">
      <calculatedColumnFormula>_xlfn.XLOOKUP(C2,Population_data!B:B,Population_data!D:D,"")</calculatedColumnFormula>
    </tableColumn>
    <tableColumn id="6" xr3:uid="{925C950E-F6A6-42E8-8D31-53965B74182F}" name="Population_Density" dataDxfId="19">
      <calculatedColumnFormula>_xlfn.XLOOKUP(C2,Population_data!B:B,Population_data!E:E,"")</calculatedColumnFormula>
    </tableColumn>
    <tableColumn id="7" xr3:uid="{132FEB3A-0771-4690-9AD7-A4743A50DA7B}" name="Household_Size" dataDxfId="18">
      <calculatedColumnFormula>_xlfn.XLOOKUP(C2,Population_data!B:B,Population_data!F:F,"")</calculatedColumnFormula>
    </tableColumn>
    <tableColumn id="8" xr3:uid="{A826A529-AA61-46CD-9573-26772386E073}" name="Literacy_Rate" dataDxfId="17">
      <calculatedColumnFormula>_xlfn.XLOOKUP(C2,Population_data!B:B,Population_data!G:G,"")</calculatedColumnFormula>
    </tableColumn>
    <tableColumn id="9" xr3:uid="{B74D6CB7-2063-437E-98DD-39D808AC0133}" name="Crime_Unit" dataDxfId="16">
      <calculatedColumnFormula>_xlfn.XLOOKUP(D2,District_Crime_Unit_Map!A:A,District_Crime_Unit_Map!B:B,"")</calculatedColumnFormula>
    </tableColumn>
    <tableColumn id="10" xr3:uid="{497A75E9-F4B9-4FEB-93AB-2D90B63CA4D2}" name="Total_Crime_per_100k" dataDxfId="15">
      <calculatedColumnFormula>_xlfn.XLOOKUP(J2,Crime_Data!A:A,Crime_Data!V:V,"")</calculatedColumnFormula>
    </tableColumn>
    <tableColumn id="11" xr3:uid="{E03644B8-72C9-448D-BFDD-161895836B57}" name="Violent_Crime_per_100k" dataDxfId="14">
      <calculatedColumnFormula>_xlfn.XLOOKUP(J2,Crime_Data!A:A,Crime_Data!W:W,"")</calculatedColumnFormula>
    </tableColumn>
    <tableColumn id="13" xr3:uid="{496C727A-897D-47EB-BE55-FF19FC9162EA}" name="Merge_Key" dataDxfId="13">
      <calculatedColumnFormula>TRIM(Table6[[#This Row],[District]])&amp;"|"&amp;TRIM(Table6[[#This Row],[Upazila]])</calculatedColumnFormula>
    </tableColumn>
    <tableColumn id="14" xr3:uid="{9F60684F-C39B-4151-8648-D999B4412E98}" name="Remittance_HH_Total" dataDxfId="12">
      <calculatedColumnFormula>_xlfn.XLOOKUP(B2,Remittance_Data!A:A,Remittance_Data!B:B,"CHECK")</calculatedColumnFormula>
    </tableColumn>
    <tableColumn id="15" xr3:uid="{E74BCFF7-C318-4951-8C19-F42C4F8CBFF8}" name="Remittance_HH_Rural" dataDxfId="11">
      <calculatedColumnFormula>_xlfn.XLOOKUP(B2,Remittance_Data!A:A,Remittance_Data!C:C,"CHECK")</calculatedColumnFormula>
    </tableColumn>
    <tableColumn id="16" xr3:uid="{946CB154-1169-4D85-A8B3-616DD892455E}" name="Remittance_HH_Urban" dataDxfId="10">
      <calculatedColumnFormula>_xlfn.XLOOKUP(B2,Remittance_Data!A:A,Remittance_Data!D:D,"CHECK")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B135FD-74ED-4FD7-9712-5CA85BFF31C5}" name="Election_Data3" displayName="Election_Data3" ref="A1:Q301" tableType="queryTable" totalsRowShown="0">
  <autoFilter ref="A1:Q301" xr:uid="{3DD690D0-1260-4D08-94A6-438386211969}"/>
  <tableColumns count="17">
    <tableColumn id="1" xr3:uid="{2800BD51-FDEB-48B3-9F7F-9DA5733BE70B}" uniqueName="1" name="Constituency_ID" queryTableFieldId="1"/>
    <tableColumn id="2" xr3:uid="{53816345-A805-4DFB-83E6-237E88655AD8}" uniqueName="2" name="Division" queryTableFieldId="2" dataDxfId="9"/>
    <tableColumn id="3" xr3:uid="{A4644732-014A-4128-891B-4DFFC78AFC4E}" uniqueName="3" name="Constituency" queryTableFieldId="3" dataDxfId="8"/>
    <tableColumn id="4" xr3:uid="{8AE647EE-812C-49AD-8EBF-3BDEEF6EF8DE}" uniqueName="4" name="Winner" queryTableFieldId="4" dataDxfId="7"/>
    <tableColumn id="5" xr3:uid="{43C26CC0-75F7-47BC-AE07-CDE655CED4EF}" uniqueName="5" name="Party" queryTableFieldId="5" dataDxfId="6"/>
    <tableColumn id="12" xr3:uid="{9CB8FA55-200C-4735-9147-0E3DDD93EE2B}" uniqueName="12" name="Party_binary" queryTableFieldId="12" dataDxfId="5">
      <calculatedColumnFormula>IF(E2="BNP",1,
IF(E2="Jamaat",2,
IF(E2="AL",3,
IF(E2="JP",4,
IF(E2="IND",5,0)))))</calculatedColumnFormula>
    </tableColumn>
    <tableColumn id="6" xr3:uid="{A33DEBAF-AE2E-40B2-975B-5328FAFB5521}" uniqueName="6" name="Votes" queryTableFieldId="6"/>
    <tableColumn id="13" xr3:uid="{C1E90CBB-C022-4003-A422-36F2EC83FF65}" uniqueName="13" name="Winner_Vote_Share" queryTableFieldId="13" dataDxfId="4">
      <calculatedColumnFormula>G2/(G2+K2)*100</calculatedColumnFormula>
    </tableColumn>
    <tableColumn id="7" xr3:uid="{664FB69E-5285-4851-AC9B-3BEC22CF3BE0}" uniqueName="7" name="Runner_Up" queryTableFieldId="7" dataDxfId="3"/>
    <tableColumn id="8" xr3:uid="{1BDB34EB-F888-4A6C-A3E8-21D6D4C75946}" uniqueName="8" name="Runner_Party" queryTableFieldId="8" dataDxfId="2"/>
    <tableColumn id="9" xr3:uid="{53ADACED-6F42-46C1-A669-A57CB6D865AF}" uniqueName="9" name="Runner_Votes" queryTableFieldId="9"/>
    <tableColumn id="14" xr3:uid="{D763D0C1-0552-4C5F-B6F4-676B731112E7}" uniqueName="14" name="Runner_Up_Vote_Share" queryTableFieldId="14" dataDxfId="1">
      <calculatedColumnFormula>K2/(G2+K2)*100</calculatedColumnFormula>
    </tableColumn>
    <tableColumn id="10" xr3:uid="{9F6970E8-40D4-45B7-9780-768BA710274B}" uniqueName="10" name="Margin_Votes" queryTableFieldId="10"/>
    <tableColumn id="11" xr3:uid="{32D3F793-667B-49C6-8B10-ABD9B375B1E5}" uniqueName="11" name="Margin_Percentage" queryTableFieldId="11"/>
    <tableColumn id="15" xr3:uid="{63C7D78A-DB74-4FB3-A384-C1F77458B03F}" uniqueName="15" name="Competitiveness" queryTableFieldId="15" dataDxfId="0">
      <calculatedColumnFormula>IF(N2&lt;5,"Highly Competitive",
IF(N2&lt;0.1,"Competitive",
IF(N2&lt;0.2,"Moderate","Safe Seat")))</calculatedColumnFormula>
    </tableColumn>
    <tableColumn id="16" xr3:uid="{599A63C7-ED09-422A-AE6E-C4BC6DB34A2D}" uniqueName="16" name="Metropolitan" queryTableFieldId="16"/>
    <tableColumn id="18" xr3:uid="{AFA6604B-B12E-4849-B7A9-B8682964D6E4}" uniqueName="18" name="Election_Year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7"/>
  <sheetViews>
    <sheetView workbookViewId="0">
      <selection activeCell="F7" sqref="F7"/>
    </sheetView>
  </sheetViews>
  <sheetFormatPr defaultRowHeight="15"/>
  <cols>
    <col min="1" max="1" width="12.42578125" customWidth="1"/>
  </cols>
  <sheetData>
    <row r="1" spans="1:3">
      <c r="A1" s="1" t="s">
        <v>2</v>
      </c>
      <c r="B1" s="1" t="s">
        <v>913</v>
      </c>
      <c r="C1" s="1" t="s">
        <v>914</v>
      </c>
    </row>
    <row r="2" spans="1:3">
      <c r="A2" t="s">
        <v>12</v>
      </c>
      <c r="B2" t="s">
        <v>915</v>
      </c>
      <c r="C2" t="s">
        <v>916</v>
      </c>
    </row>
    <row r="3" spans="1:3">
      <c r="A3" t="s">
        <v>12</v>
      </c>
      <c r="B3" t="s">
        <v>917</v>
      </c>
      <c r="C3" t="s">
        <v>916</v>
      </c>
    </row>
    <row r="4" spans="1:3">
      <c r="A4" t="s">
        <v>12</v>
      </c>
      <c r="B4" t="s">
        <v>918</v>
      </c>
      <c r="C4" t="s">
        <v>916</v>
      </c>
    </row>
    <row r="5" spans="1:3">
      <c r="A5" t="s">
        <v>17</v>
      </c>
      <c r="B5" t="s">
        <v>919</v>
      </c>
      <c r="C5" t="s">
        <v>916</v>
      </c>
    </row>
    <row r="6" spans="1:3">
      <c r="A6" t="s">
        <v>17</v>
      </c>
      <c r="B6" t="s">
        <v>920</v>
      </c>
      <c r="C6" t="s">
        <v>916</v>
      </c>
    </row>
    <row r="7" spans="1:3">
      <c r="A7" t="s">
        <v>21</v>
      </c>
      <c r="B7" t="s">
        <v>921</v>
      </c>
      <c r="C7" t="s">
        <v>922</v>
      </c>
    </row>
    <row r="8" spans="1:3">
      <c r="A8" t="s">
        <v>24</v>
      </c>
      <c r="B8" t="s">
        <v>923</v>
      </c>
      <c r="C8" t="s">
        <v>922</v>
      </c>
    </row>
    <row r="9" spans="1:3">
      <c r="A9" t="s">
        <v>24</v>
      </c>
      <c r="B9" t="s">
        <v>924</v>
      </c>
      <c r="C9" t="s">
        <v>922</v>
      </c>
    </row>
    <row r="10" spans="1:3">
      <c r="A10" t="s">
        <v>24</v>
      </c>
      <c r="B10" t="s">
        <v>926</v>
      </c>
      <c r="C10" t="s">
        <v>922</v>
      </c>
    </row>
    <row r="11" spans="1:3">
      <c r="A11" t="s">
        <v>27</v>
      </c>
      <c r="B11" t="s">
        <v>925</v>
      </c>
      <c r="C11" t="s">
        <v>922</v>
      </c>
    </row>
    <row r="12" spans="1:3">
      <c r="A12" t="s">
        <v>27</v>
      </c>
      <c r="B12" t="s">
        <v>927</v>
      </c>
      <c r="C12" t="s">
        <v>922</v>
      </c>
    </row>
    <row r="13" spans="1:3">
      <c r="A13" t="s">
        <v>30</v>
      </c>
      <c r="B13" t="s">
        <v>928</v>
      </c>
      <c r="C13" t="s">
        <v>929</v>
      </c>
    </row>
    <row r="14" spans="1:3">
      <c r="A14" t="s">
        <v>30</v>
      </c>
      <c r="B14" t="s">
        <v>930</v>
      </c>
      <c r="C14" t="s">
        <v>929</v>
      </c>
    </row>
    <row r="15" spans="1:3">
      <c r="A15" t="s">
        <v>33</v>
      </c>
      <c r="B15" t="s">
        <v>931</v>
      </c>
      <c r="C15" t="s">
        <v>929</v>
      </c>
    </row>
    <row r="16" spans="1:3">
      <c r="A16" t="s">
        <v>33</v>
      </c>
      <c r="B16" t="s">
        <v>932</v>
      </c>
      <c r="C16" t="s">
        <v>929</v>
      </c>
    </row>
    <row r="17" spans="1:3">
      <c r="A17" t="s">
        <v>36</v>
      </c>
      <c r="B17" t="s">
        <v>933</v>
      </c>
      <c r="C17" t="s">
        <v>929</v>
      </c>
    </row>
    <row r="18" spans="1:3">
      <c r="A18" t="s">
        <v>39</v>
      </c>
      <c r="B18" t="s">
        <v>934</v>
      </c>
      <c r="C18" t="s">
        <v>929</v>
      </c>
    </row>
    <row r="19" spans="1:3">
      <c r="A19" t="s">
        <v>39</v>
      </c>
      <c r="B19" t="s">
        <v>935</v>
      </c>
      <c r="C19" t="s">
        <v>929</v>
      </c>
    </row>
    <row r="20" spans="1:3">
      <c r="A20" t="s">
        <v>42</v>
      </c>
      <c r="B20" t="s">
        <v>936</v>
      </c>
      <c r="C20" t="s">
        <v>929</v>
      </c>
    </row>
    <row r="21" spans="1:3">
      <c r="A21" t="s">
        <v>42</v>
      </c>
      <c r="B21" t="s">
        <v>937</v>
      </c>
      <c r="C21" t="s">
        <v>929</v>
      </c>
    </row>
    <row r="22" spans="1:3">
      <c r="A22" t="s">
        <v>46</v>
      </c>
      <c r="B22" t="s">
        <v>938</v>
      </c>
      <c r="C22" t="s">
        <v>929</v>
      </c>
    </row>
    <row r="23" spans="1:3">
      <c r="A23" t="s">
        <v>46</v>
      </c>
      <c r="B23" t="s">
        <v>939</v>
      </c>
      <c r="C23" t="s">
        <v>929</v>
      </c>
    </row>
    <row r="24" spans="1:3">
      <c r="A24" t="s">
        <v>46</v>
      </c>
      <c r="B24" t="s">
        <v>940</v>
      </c>
      <c r="C24" t="s">
        <v>929</v>
      </c>
    </row>
    <row r="25" spans="1:3">
      <c r="A25" t="s">
        <v>49</v>
      </c>
      <c r="B25" t="s">
        <v>941</v>
      </c>
      <c r="C25" t="s">
        <v>942</v>
      </c>
    </row>
    <row r="26" spans="1:3">
      <c r="A26" t="s">
        <v>49</v>
      </c>
      <c r="B26" t="s">
        <v>943</v>
      </c>
      <c r="C26" t="s">
        <v>942</v>
      </c>
    </row>
    <row r="27" spans="1:3">
      <c r="A27" t="s">
        <v>52</v>
      </c>
      <c r="B27" t="s">
        <v>944</v>
      </c>
      <c r="C27" t="s">
        <v>942</v>
      </c>
    </row>
    <row r="28" spans="1:3">
      <c r="A28" t="s">
        <v>55</v>
      </c>
      <c r="B28" t="s">
        <v>945</v>
      </c>
      <c r="C28" t="s">
        <v>942</v>
      </c>
    </row>
    <row r="29" spans="1:3">
      <c r="A29" t="s">
        <v>55</v>
      </c>
      <c r="B29" t="s">
        <v>946</v>
      </c>
      <c r="C29" t="s">
        <v>942</v>
      </c>
    </row>
    <row r="30" spans="1:3">
      <c r="A30" t="s">
        <v>58</v>
      </c>
      <c r="B30" t="s">
        <v>947</v>
      </c>
      <c r="C30" t="s">
        <v>942</v>
      </c>
    </row>
    <row r="31" spans="1:3">
      <c r="A31" t="s">
        <v>61</v>
      </c>
      <c r="B31" t="s">
        <v>948</v>
      </c>
      <c r="C31" t="s">
        <v>949</v>
      </c>
    </row>
    <row r="32" spans="1:3">
      <c r="A32" t="s">
        <v>61</v>
      </c>
      <c r="B32" t="s">
        <v>950</v>
      </c>
      <c r="C32" t="s">
        <v>949</v>
      </c>
    </row>
    <row r="33" spans="1:3">
      <c r="A33" t="s">
        <v>64</v>
      </c>
      <c r="B33" t="s">
        <v>951</v>
      </c>
      <c r="C33" t="s">
        <v>949</v>
      </c>
    </row>
    <row r="34" spans="1:3">
      <c r="A34" t="s">
        <v>64</v>
      </c>
      <c r="B34" t="s">
        <v>952</v>
      </c>
      <c r="C34" t="s">
        <v>949</v>
      </c>
    </row>
    <row r="35" spans="1:3">
      <c r="A35" t="s">
        <v>67</v>
      </c>
      <c r="B35" t="s">
        <v>953</v>
      </c>
      <c r="C35" t="s">
        <v>949</v>
      </c>
    </row>
    <row r="36" spans="1:3">
      <c r="A36" t="s">
        <v>70</v>
      </c>
      <c r="B36" t="s">
        <v>954</v>
      </c>
      <c r="C36" t="s">
        <v>11</v>
      </c>
    </row>
    <row r="37" spans="1:3">
      <c r="A37" t="s">
        <v>70</v>
      </c>
      <c r="B37" t="s">
        <v>955</v>
      </c>
      <c r="C37" t="s">
        <v>11</v>
      </c>
    </row>
    <row r="38" spans="1:3">
      <c r="A38" t="s">
        <v>73</v>
      </c>
      <c r="B38" t="s">
        <v>956</v>
      </c>
      <c r="C38" t="s">
        <v>11</v>
      </c>
    </row>
    <row r="39" spans="1:3">
      <c r="A39" t="s">
        <v>73</v>
      </c>
      <c r="B39" t="s">
        <v>957</v>
      </c>
      <c r="C39" t="s">
        <v>11</v>
      </c>
    </row>
    <row r="40" spans="1:3">
      <c r="A40" t="s">
        <v>76</v>
      </c>
      <c r="B40" t="s">
        <v>958</v>
      </c>
      <c r="C40" t="s">
        <v>11</v>
      </c>
    </row>
    <row r="41" spans="1:3">
      <c r="A41" t="s">
        <v>79</v>
      </c>
      <c r="B41" t="s">
        <v>959</v>
      </c>
      <c r="C41" t="s">
        <v>11</v>
      </c>
    </row>
    <row r="42" spans="1:3">
      <c r="A42" t="s">
        <v>79</v>
      </c>
      <c r="B42" t="s">
        <v>960</v>
      </c>
      <c r="C42" t="s">
        <v>11</v>
      </c>
    </row>
    <row r="43" spans="1:3">
      <c r="A43" t="s">
        <v>82</v>
      </c>
      <c r="B43" t="s">
        <v>961</v>
      </c>
      <c r="C43" t="s">
        <v>11</v>
      </c>
    </row>
    <row r="44" spans="1:3">
      <c r="A44" t="s">
        <v>84</v>
      </c>
      <c r="B44" t="s">
        <v>925</v>
      </c>
      <c r="C44" t="s">
        <v>11</v>
      </c>
    </row>
    <row r="45" spans="1:3">
      <c r="A45" t="s">
        <v>87</v>
      </c>
      <c r="B45" t="s">
        <v>962</v>
      </c>
      <c r="C45" t="s">
        <v>963</v>
      </c>
    </row>
    <row r="46" spans="1:3">
      <c r="A46" t="s">
        <v>87</v>
      </c>
      <c r="B46" t="s">
        <v>964</v>
      </c>
      <c r="C46" t="s">
        <v>963</v>
      </c>
    </row>
    <row r="47" spans="1:3">
      <c r="A47" t="s">
        <v>89</v>
      </c>
      <c r="B47" t="s">
        <v>965</v>
      </c>
      <c r="C47" t="s">
        <v>963</v>
      </c>
    </row>
    <row r="48" spans="1:3">
      <c r="A48" t="s">
        <v>89</v>
      </c>
      <c r="B48" t="s">
        <v>966</v>
      </c>
      <c r="C48" t="s">
        <v>963</v>
      </c>
    </row>
    <row r="49" spans="1:3">
      <c r="A49" t="s">
        <v>89</v>
      </c>
      <c r="B49" t="s">
        <v>967</v>
      </c>
      <c r="C49" t="s">
        <v>963</v>
      </c>
    </row>
    <row r="50" spans="1:3">
      <c r="A50" t="s">
        <v>92</v>
      </c>
      <c r="B50" t="s">
        <v>968</v>
      </c>
      <c r="C50" t="s">
        <v>963</v>
      </c>
    </row>
    <row r="51" spans="1:3">
      <c r="A51" t="s">
        <v>92</v>
      </c>
      <c r="B51" t="s">
        <v>969</v>
      </c>
      <c r="C51" t="s">
        <v>963</v>
      </c>
    </row>
    <row r="52" spans="1:3">
      <c r="A52" t="s">
        <v>92</v>
      </c>
      <c r="B52" t="s">
        <v>970</v>
      </c>
      <c r="C52" t="s">
        <v>963</v>
      </c>
    </row>
    <row r="53" spans="1:3">
      <c r="A53" t="s">
        <v>92</v>
      </c>
      <c r="B53" t="s">
        <v>971</v>
      </c>
      <c r="C53" t="s">
        <v>963</v>
      </c>
    </row>
    <row r="54" spans="1:3">
      <c r="A54" t="s">
        <v>95</v>
      </c>
      <c r="B54" t="s">
        <v>937</v>
      </c>
      <c r="C54" t="s">
        <v>963</v>
      </c>
    </row>
    <row r="55" spans="1:3">
      <c r="A55" t="s">
        <v>95</v>
      </c>
      <c r="B55" t="s">
        <v>966</v>
      </c>
      <c r="C55" t="s">
        <v>963</v>
      </c>
    </row>
    <row r="56" spans="1:3">
      <c r="A56" t="s">
        <v>98</v>
      </c>
      <c r="B56" t="s">
        <v>972</v>
      </c>
      <c r="C56" t="s">
        <v>973</v>
      </c>
    </row>
    <row r="57" spans="1:3">
      <c r="A57" t="s">
        <v>101</v>
      </c>
      <c r="B57" t="s">
        <v>974</v>
      </c>
      <c r="C57" t="s">
        <v>973</v>
      </c>
    </row>
    <row r="58" spans="1:3">
      <c r="A58" t="s">
        <v>101</v>
      </c>
      <c r="B58" t="s">
        <v>975</v>
      </c>
      <c r="C58" t="s">
        <v>973</v>
      </c>
    </row>
    <row r="59" spans="1:3">
      <c r="A59" t="s">
        <v>104</v>
      </c>
      <c r="B59" t="s">
        <v>976</v>
      </c>
      <c r="C59" t="s">
        <v>973</v>
      </c>
    </row>
    <row r="60" spans="1:3">
      <c r="A60" t="s">
        <v>107</v>
      </c>
      <c r="B60" t="s">
        <v>977</v>
      </c>
      <c r="C60" t="s">
        <v>973</v>
      </c>
    </row>
    <row r="61" spans="1:3">
      <c r="A61" t="s">
        <v>110</v>
      </c>
      <c r="B61" t="s">
        <v>978</v>
      </c>
      <c r="C61" t="s">
        <v>973</v>
      </c>
    </row>
    <row r="62" spans="1:3">
      <c r="A62" t="s">
        <v>110</v>
      </c>
      <c r="B62" t="s">
        <v>979</v>
      </c>
      <c r="C62" t="s">
        <v>973</v>
      </c>
    </row>
    <row r="63" spans="1:3">
      <c r="A63" t="s">
        <v>114</v>
      </c>
      <c r="B63" t="s">
        <v>980</v>
      </c>
      <c r="C63" t="s">
        <v>981</v>
      </c>
    </row>
    <row r="64" spans="1:3">
      <c r="A64" t="s">
        <v>114</v>
      </c>
      <c r="B64" t="s">
        <v>982</v>
      </c>
      <c r="C64" t="s">
        <v>981</v>
      </c>
    </row>
    <row r="65" spans="1:3">
      <c r="A65" t="s">
        <v>117</v>
      </c>
      <c r="B65" t="s">
        <v>983</v>
      </c>
      <c r="C65" t="s">
        <v>981</v>
      </c>
    </row>
    <row r="66" spans="1:3">
      <c r="A66" t="s">
        <v>117</v>
      </c>
      <c r="B66" t="s">
        <v>984</v>
      </c>
      <c r="C66" t="s">
        <v>981</v>
      </c>
    </row>
    <row r="67" spans="1:3">
      <c r="A67" t="s">
        <v>117</v>
      </c>
      <c r="B67" t="s">
        <v>985</v>
      </c>
      <c r="C67" t="s">
        <v>981</v>
      </c>
    </row>
    <row r="68" spans="1:3">
      <c r="A68" t="s">
        <v>986</v>
      </c>
      <c r="B68" t="s">
        <v>987</v>
      </c>
      <c r="C68" t="s">
        <v>988</v>
      </c>
    </row>
    <row r="69" spans="1:3">
      <c r="A69" t="s">
        <v>986</v>
      </c>
      <c r="B69" t="s">
        <v>989</v>
      </c>
      <c r="C69" t="s">
        <v>988</v>
      </c>
    </row>
    <row r="70" spans="1:3">
      <c r="A70" t="s">
        <v>990</v>
      </c>
      <c r="B70" t="s">
        <v>991</v>
      </c>
      <c r="C70" t="s">
        <v>988</v>
      </c>
    </row>
    <row r="71" spans="1:3">
      <c r="A71" t="s">
        <v>992</v>
      </c>
      <c r="B71" t="s">
        <v>993</v>
      </c>
      <c r="C71" t="s">
        <v>988</v>
      </c>
    </row>
    <row r="72" spans="1:3">
      <c r="A72" t="s">
        <v>994</v>
      </c>
      <c r="B72" t="s">
        <v>995</v>
      </c>
      <c r="C72" t="s">
        <v>988</v>
      </c>
    </row>
    <row r="73" spans="1:3">
      <c r="A73" t="s">
        <v>994</v>
      </c>
      <c r="B73" t="s">
        <v>996</v>
      </c>
      <c r="C73" t="s">
        <v>988</v>
      </c>
    </row>
    <row r="74" spans="1:3">
      <c r="A74" t="s">
        <v>997</v>
      </c>
      <c r="B74" t="s">
        <v>998</v>
      </c>
      <c r="C74" t="s">
        <v>988</v>
      </c>
    </row>
    <row r="75" spans="1:3">
      <c r="A75" t="s">
        <v>997</v>
      </c>
      <c r="B75" t="s">
        <v>999</v>
      </c>
      <c r="C75" t="s">
        <v>988</v>
      </c>
    </row>
    <row r="76" spans="1:3">
      <c r="A76" t="s">
        <v>1000</v>
      </c>
      <c r="B76" t="s">
        <v>1001</v>
      </c>
      <c r="C76" t="s">
        <v>988</v>
      </c>
    </row>
    <row r="77" spans="1:3">
      <c r="A77" t="s">
        <v>1002</v>
      </c>
      <c r="B77" t="s">
        <v>1003</v>
      </c>
      <c r="C77" t="s">
        <v>988</v>
      </c>
    </row>
    <row r="78" spans="1:3">
      <c r="A78" t="s">
        <v>1002</v>
      </c>
      <c r="B78" t="s">
        <v>1001</v>
      </c>
      <c r="C78" t="s">
        <v>988</v>
      </c>
    </row>
    <row r="79" spans="1:3">
      <c r="A79" t="s">
        <v>1004</v>
      </c>
      <c r="B79" t="s">
        <v>991</v>
      </c>
      <c r="C79" t="s">
        <v>1005</v>
      </c>
    </row>
    <row r="80" spans="1:3">
      <c r="A80" t="s">
        <v>1006</v>
      </c>
      <c r="B80" t="s">
        <v>1007</v>
      </c>
      <c r="C80" t="s">
        <v>1005</v>
      </c>
    </row>
    <row r="81" spans="1:3">
      <c r="A81" t="s">
        <v>1006</v>
      </c>
      <c r="B81" t="s">
        <v>1008</v>
      </c>
      <c r="C81" t="s">
        <v>1005</v>
      </c>
    </row>
    <row r="82" spans="1:3">
      <c r="A82" t="s">
        <v>1006</v>
      </c>
      <c r="B82" t="s">
        <v>1009</v>
      </c>
      <c r="C82" t="s">
        <v>1005</v>
      </c>
    </row>
    <row r="83" spans="1:3">
      <c r="A83" t="s">
        <v>1010</v>
      </c>
      <c r="B83" t="s">
        <v>1011</v>
      </c>
      <c r="C83" t="s">
        <v>1005</v>
      </c>
    </row>
    <row r="84" spans="1:3">
      <c r="A84" t="s">
        <v>148</v>
      </c>
      <c r="B84" t="s">
        <v>1012</v>
      </c>
      <c r="C84" t="s">
        <v>1013</v>
      </c>
    </row>
    <row r="85" spans="1:3">
      <c r="A85" t="s">
        <v>148</v>
      </c>
      <c r="B85" t="s">
        <v>1014</v>
      </c>
      <c r="C85" t="s">
        <v>1013</v>
      </c>
    </row>
    <row r="86" spans="1:3">
      <c r="A86" t="s">
        <v>148</v>
      </c>
      <c r="B86" t="s">
        <v>1015</v>
      </c>
      <c r="C86" t="s">
        <v>1013</v>
      </c>
    </row>
    <row r="87" spans="1:3">
      <c r="A87" t="s">
        <v>149</v>
      </c>
      <c r="B87" t="s">
        <v>1016</v>
      </c>
      <c r="C87" t="s">
        <v>1013</v>
      </c>
    </row>
    <row r="88" spans="1:3">
      <c r="A88" t="s">
        <v>149</v>
      </c>
      <c r="B88" t="s">
        <v>1017</v>
      </c>
      <c r="C88" t="s">
        <v>1013</v>
      </c>
    </row>
    <row r="89" spans="1:3">
      <c r="A89" t="s">
        <v>152</v>
      </c>
      <c r="B89" t="s">
        <v>1018</v>
      </c>
      <c r="C89" t="s">
        <v>1013</v>
      </c>
    </row>
    <row r="90" spans="1:3">
      <c r="A90" t="s">
        <v>152</v>
      </c>
      <c r="B90" t="s">
        <v>1019</v>
      </c>
      <c r="C90" t="s">
        <v>1013</v>
      </c>
    </row>
    <row r="91" spans="1:3">
      <c r="A91" t="s">
        <v>155</v>
      </c>
      <c r="B91" t="s">
        <v>1020</v>
      </c>
      <c r="C91" t="s">
        <v>1013</v>
      </c>
    </row>
    <row r="92" spans="1:3">
      <c r="A92" t="s">
        <v>158</v>
      </c>
      <c r="B92" t="s">
        <v>1021</v>
      </c>
      <c r="C92" t="s">
        <v>1013</v>
      </c>
    </row>
    <row r="93" spans="1:3">
      <c r="A93" t="s">
        <v>161</v>
      </c>
      <c r="B93" t="s">
        <v>1022</v>
      </c>
      <c r="C93" t="s">
        <v>1013</v>
      </c>
    </row>
    <row r="94" spans="1:3">
      <c r="A94" t="s">
        <v>161</v>
      </c>
      <c r="B94" t="s">
        <v>1023</v>
      </c>
      <c r="C94" t="s">
        <v>1013</v>
      </c>
    </row>
    <row r="95" spans="1:3">
      <c r="A95" t="s">
        <v>164</v>
      </c>
      <c r="B95" t="s">
        <v>1024</v>
      </c>
      <c r="C95" t="s">
        <v>113</v>
      </c>
    </row>
    <row r="96" spans="1:3">
      <c r="A96" t="s">
        <v>164</v>
      </c>
      <c r="B96" t="s">
        <v>1025</v>
      </c>
      <c r="C96" t="s">
        <v>113</v>
      </c>
    </row>
    <row r="97" spans="1:3">
      <c r="A97" t="s">
        <v>167</v>
      </c>
      <c r="B97" t="s">
        <v>1026</v>
      </c>
      <c r="C97" t="s">
        <v>113</v>
      </c>
    </row>
    <row r="98" spans="1:3">
      <c r="A98" t="s">
        <v>170</v>
      </c>
      <c r="B98" t="s">
        <v>1027</v>
      </c>
      <c r="C98" t="s">
        <v>113</v>
      </c>
    </row>
    <row r="99" spans="1:3">
      <c r="A99" t="s">
        <v>170</v>
      </c>
      <c r="B99" t="s">
        <v>1028</v>
      </c>
      <c r="C99" t="s">
        <v>113</v>
      </c>
    </row>
    <row r="100" spans="1:3">
      <c r="A100" t="s">
        <v>173</v>
      </c>
      <c r="B100" t="s">
        <v>1029</v>
      </c>
      <c r="C100" t="s">
        <v>113</v>
      </c>
    </row>
    <row r="101" spans="1:3">
      <c r="A101" t="s">
        <v>175</v>
      </c>
      <c r="B101" t="s">
        <v>1030</v>
      </c>
      <c r="C101" t="s">
        <v>113</v>
      </c>
    </row>
    <row r="102" spans="1:3">
      <c r="A102" t="s">
        <v>175</v>
      </c>
      <c r="B102" t="s">
        <v>1031</v>
      </c>
      <c r="C102" t="s">
        <v>113</v>
      </c>
    </row>
    <row r="103" spans="1:3">
      <c r="A103" t="s">
        <v>178</v>
      </c>
      <c r="B103" t="s">
        <v>1032</v>
      </c>
      <c r="C103" t="s">
        <v>113</v>
      </c>
    </row>
    <row r="104" spans="1:3">
      <c r="A104" t="s">
        <v>178</v>
      </c>
      <c r="B104" t="s">
        <v>1033</v>
      </c>
      <c r="C104" t="s">
        <v>113</v>
      </c>
    </row>
    <row r="105" spans="1:3">
      <c r="A105" t="s">
        <v>181</v>
      </c>
      <c r="B105" t="s">
        <v>1034</v>
      </c>
      <c r="C105" t="s">
        <v>1035</v>
      </c>
    </row>
    <row r="106" spans="1:3">
      <c r="A106" t="s">
        <v>181</v>
      </c>
      <c r="B106" t="s">
        <v>1036</v>
      </c>
      <c r="C106" t="s">
        <v>1035</v>
      </c>
    </row>
    <row r="107" spans="1:3">
      <c r="A107" t="s">
        <v>183</v>
      </c>
      <c r="B107" t="s">
        <v>1037</v>
      </c>
      <c r="C107" t="s">
        <v>1035</v>
      </c>
    </row>
    <row r="108" spans="1:3">
      <c r="A108" t="s">
        <v>186</v>
      </c>
      <c r="B108" t="s">
        <v>1038</v>
      </c>
      <c r="C108" t="s">
        <v>1035</v>
      </c>
    </row>
    <row r="109" spans="1:3">
      <c r="A109" t="s">
        <v>186</v>
      </c>
      <c r="B109" t="s">
        <v>1039</v>
      </c>
      <c r="C109" t="s">
        <v>1035</v>
      </c>
    </row>
    <row r="110" spans="1:3">
      <c r="A110" t="s">
        <v>188</v>
      </c>
      <c r="B110" t="s">
        <v>1040</v>
      </c>
      <c r="C110" t="s">
        <v>1035</v>
      </c>
    </row>
    <row r="111" spans="1:3">
      <c r="A111" t="s">
        <v>190</v>
      </c>
      <c r="B111" t="s">
        <v>1041</v>
      </c>
      <c r="C111" t="s">
        <v>1042</v>
      </c>
    </row>
    <row r="112" spans="1:3">
      <c r="A112" t="s">
        <v>193</v>
      </c>
      <c r="B112" t="s">
        <v>1043</v>
      </c>
      <c r="C112" t="s">
        <v>1042</v>
      </c>
    </row>
    <row r="113" spans="1:3">
      <c r="A113" t="s">
        <v>193</v>
      </c>
      <c r="B113" t="s">
        <v>1044</v>
      </c>
      <c r="C113" t="s">
        <v>1042</v>
      </c>
    </row>
    <row r="114" spans="1:3">
      <c r="A114" t="s">
        <v>196</v>
      </c>
      <c r="B114" t="s">
        <v>1045</v>
      </c>
      <c r="C114" t="s">
        <v>1042</v>
      </c>
    </row>
    <row r="115" spans="1:3">
      <c r="A115" t="s">
        <v>196</v>
      </c>
      <c r="B115" t="s">
        <v>1046</v>
      </c>
      <c r="C115" t="s">
        <v>1042</v>
      </c>
    </row>
    <row r="116" spans="1:3">
      <c r="A116" t="s">
        <v>200</v>
      </c>
      <c r="B116" t="s">
        <v>1047</v>
      </c>
      <c r="C116" t="s">
        <v>1042</v>
      </c>
    </row>
    <row r="117" spans="1:3">
      <c r="A117" t="s">
        <v>203</v>
      </c>
      <c r="B117" t="s">
        <v>1048</v>
      </c>
      <c r="C117" t="s">
        <v>1042</v>
      </c>
    </row>
    <row r="118" spans="1:3">
      <c r="A118" t="s">
        <v>203</v>
      </c>
      <c r="B118" t="s">
        <v>1049</v>
      </c>
      <c r="C118" t="s">
        <v>1042</v>
      </c>
    </row>
    <row r="119" spans="1:3">
      <c r="A119" t="s">
        <v>203</v>
      </c>
      <c r="B119" t="s">
        <v>1050</v>
      </c>
      <c r="C119" t="s">
        <v>1042</v>
      </c>
    </row>
    <row r="120" spans="1:3">
      <c r="A120" t="s">
        <v>206</v>
      </c>
      <c r="B120" t="s">
        <v>1051</v>
      </c>
      <c r="C120" t="s">
        <v>1042</v>
      </c>
    </row>
    <row r="121" spans="1:3">
      <c r="A121" t="s">
        <v>209</v>
      </c>
      <c r="B121" t="s">
        <v>1052</v>
      </c>
      <c r="C121" t="s">
        <v>1053</v>
      </c>
    </row>
    <row r="122" spans="1:3">
      <c r="A122" t="s">
        <v>209</v>
      </c>
      <c r="B122" t="s">
        <v>1054</v>
      </c>
      <c r="C122" t="s">
        <v>1053</v>
      </c>
    </row>
    <row r="123" spans="1:3">
      <c r="A123" t="s">
        <v>212</v>
      </c>
      <c r="B123" t="s">
        <v>1055</v>
      </c>
      <c r="C123" t="s">
        <v>1053</v>
      </c>
    </row>
    <row r="124" spans="1:3">
      <c r="A124" t="s">
        <v>212</v>
      </c>
      <c r="B124" t="s">
        <v>1056</v>
      </c>
      <c r="C124" t="s">
        <v>1053</v>
      </c>
    </row>
    <row r="125" spans="1:3">
      <c r="A125" t="s">
        <v>215</v>
      </c>
      <c r="B125" t="s">
        <v>1057</v>
      </c>
      <c r="C125" t="s">
        <v>1053</v>
      </c>
    </row>
    <row r="126" spans="1:3">
      <c r="A126" t="s">
        <v>215</v>
      </c>
      <c r="B126" t="s">
        <v>1058</v>
      </c>
      <c r="C126" t="s">
        <v>1053</v>
      </c>
    </row>
    <row r="127" spans="1:3">
      <c r="A127" t="s">
        <v>215</v>
      </c>
      <c r="B127" t="s">
        <v>1059</v>
      </c>
      <c r="C127" t="s">
        <v>1053</v>
      </c>
    </row>
    <row r="128" spans="1:3">
      <c r="A128" t="s">
        <v>218</v>
      </c>
      <c r="B128" t="s">
        <v>1060</v>
      </c>
      <c r="C128" t="s">
        <v>1053</v>
      </c>
    </row>
    <row r="129" spans="1:3">
      <c r="A129" t="s">
        <v>218</v>
      </c>
      <c r="B129" t="s">
        <v>1061</v>
      </c>
      <c r="C129" t="s">
        <v>1053</v>
      </c>
    </row>
    <row r="130" spans="1:3">
      <c r="A130" t="s">
        <v>221</v>
      </c>
      <c r="B130" t="s">
        <v>1051</v>
      </c>
      <c r="C130" t="s">
        <v>1053</v>
      </c>
    </row>
    <row r="131" spans="1:3">
      <c r="A131" t="s">
        <v>225</v>
      </c>
      <c r="B131" t="s">
        <v>1062</v>
      </c>
      <c r="C131" t="s">
        <v>1063</v>
      </c>
    </row>
    <row r="132" spans="1:3">
      <c r="A132" t="s">
        <v>225</v>
      </c>
      <c r="B132" t="s">
        <v>1064</v>
      </c>
      <c r="C132" t="s">
        <v>1063</v>
      </c>
    </row>
    <row r="133" spans="1:3">
      <c r="A133" t="s">
        <v>228</v>
      </c>
      <c r="B133" t="s">
        <v>1065</v>
      </c>
      <c r="C133" t="s">
        <v>1063</v>
      </c>
    </row>
    <row r="134" spans="1:3">
      <c r="A134" t="s">
        <v>231</v>
      </c>
      <c r="B134" t="s">
        <v>1066</v>
      </c>
      <c r="C134" t="s">
        <v>1067</v>
      </c>
    </row>
    <row r="135" spans="1:3">
      <c r="A135" t="s">
        <v>231</v>
      </c>
      <c r="B135" t="s">
        <v>1068</v>
      </c>
      <c r="C135" t="s">
        <v>1067</v>
      </c>
    </row>
    <row r="136" spans="1:3">
      <c r="A136" t="s">
        <v>234</v>
      </c>
      <c r="B136" t="s">
        <v>1069</v>
      </c>
      <c r="C136" t="s">
        <v>1067</v>
      </c>
    </row>
    <row r="137" spans="1:3">
      <c r="A137" t="s">
        <v>234</v>
      </c>
      <c r="B137" t="s">
        <v>1070</v>
      </c>
      <c r="C137" t="s">
        <v>1067</v>
      </c>
    </row>
    <row r="138" spans="1:3">
      <c r="A138" t="s">
        <v>237</v>
      </c>
      <c r="B138" t="s">
        <v>1071</v>
      </c>
      <c r="C138" t="s">
        <v>1067</v>
      </c>
    </row>
    <row r="139" spans="1:3">
      <c r="A139" t="s">
        <v>240</v>
      </c>
      <c r="B139" t="s">
        <v>1072</v>
      </c>
      <c r="C139" t="s">
        <v>1067</v>
      </c>
    </row>
    <row r="140" spans="1:3">
      <c r="A140" t="s">
        <v>243</v>
      </c>
      <c r="B140" t="s">
        <v>1073</v>
      </c>
      <c r="C140" t="s">
        <v>1074</v>
      </c>
    </row>
    <row r="141" spans="1:3">
      <c r="A141" t="s">
        <v>243</v>
      </c>
      <c r="B141" t="s">
        <v>1075</v>
      </c>
      <c r="C141" t="s">
        <v>1074</v>
      </c>
    </row>
    <row r="142" spans="1:3">
      <c r="A142" t="s">
        <v>246</v>
      </c>
      <c r="B142" t="s">
        <v>1076</v>
      </c>
      <c r="C142" t="s">
        <v>1074</v>
      </c>
    </row>
    <row r="143" spans="1:3">
      <c r="A143" t="s">
        <v>246</v>
      </c>
      <c r="B143" t="s">
        <v>1077</v>
      </c>
      <c r="C143" t="s">
        <v>1074</v>
      </c>
    </row>
    <row r="144" spans="1:3">
      <c r="A144" t="s">
        <v>249</v>
      </c>
      <c r="B144" t="s">
        <v>1078</v>
      </c>
      <c r="C144" t="s">
        <v>1079</v>
      </c>
    </row>
    <row r="145" spans="1:3">
      <c r="A145" t="s">
        <v>252</v>
      </c>
      <c r="B145" t="s">
        <v>1080</v>
      </c>
      <c r="C145" t="s">
        <v>1079</v>
      </c>
    </row>
    <row r="146" spans="1:3">
      <c r="A146" t="s">
        <v>252</v>
      </c>
      <c r="B146" t="s">
        <v>1081</v>
      </c>
      <c r="C146" t="s">
        <v>1079</v>
      </c>
    </row>
    <row r="147" spans="1:3">
      <c r="A147" t="s">
        <v>255</v>
      </c>
      <c r="B147" t="s">
        <v>1082</v>
      </c>
      <c r="C147" t="s">
        <v>1079</v>
      </c>
    </row>
    <row r="148" spans="1:3">
      <c r="A148" t="s">
        <v>255</v>
      </c>
      <c r="B148" t="s">
        <v>1083</v>
      </c>
      <c r="C148" t="s">
        <v>1079</v>
      </c>
    </row>
    <row r="149" spans="1:3">
      <c r="A149" t="s">
        <v>258</v>
      </c>
      <c r="B149" t="s">
        <v>952</v>
      </c>
      <c r="C149" t="s">
        <v>1079</v>
      </c>
    </row>
    <row r="150" spans="1:3">
      <c r="A150" t="s">
        <v>261</v>
      </c>
      <c r="B150" t="s">
        <v>1084</v>
      </c>
      <c r="C150" t="s">
        <v>1085</v>
      </c>
    </row>
    <row r="151" spans="1:3">
      <c r="A151" t="s">
        <v>261</v>
      </c>
      <c r="B151" t="s">
        <v>1086</v>
      </c>
      <c r="C151" t="s">
        <v>1085</v>
      </c>
    </row>
    <row r="152" spans="1:3">
      <c r="A152" t="s">
        <v>264</v>
      </c>
      <c r="B152" t="s">
        <v>1087</v>
      </c>
      <c r="C152" t="s">
        <v>1085</v>
      </c>
    </row>
    <row r="153" spans="1:3">
      <c r="A153" t="s">
        <v>264</v>
      </c>
      <c r="B153" t="s">
        <v>1088</v>
      </c>
      <c r="C153" t="s">
        <v>1085</v>
      </c>
    </row>
    <row r="154" spans="1:3">
      <c r="A154" t="s">
        <v>267</v>
      </c>
      <c r="B154" t="s">
        <v>1089</v>
      </c>
      <c r="C154" t="s">
        <v>1085</v>
      </c>
    </row>
    <row r="155" spans="1:3">
      <c r="A155" t="s">
        <v>270</v>
      </c>
      <c r="B155" t="s">
        <v>1090</v>
      </c>
      <c r="C155" t="s">
        <v>1085</v>
      </c>
    </row>
    <row r="156" spans="1:3">
      <c r="A156" t="s">
        <v>270</v>
      </c>
      <c r="B156" t="s">
        <v>1091</v>
      </c>
      <c r="C156" t="s">
        <v>1085</v>
      </c>
    </row>
    <row r="157" spans="1:3">
      <c r="A157" t="s">
        <v>273</v>
      </c>
      <c r="B157" t="s">
        <v>1092</v>
      </c>
      <c r="C157" t="s">
        <v>1085</v>
      </c>
    </row>
    <row r="158" spans="1:3">
      <c r="A158" t="s">
        <v>279</v>
      </c>
      <c r="B158" t="s">
        <v>1093</v>
      </c>
      <c r="C158" t="s">
        <v>1094</v>
      </c>
    </row>
    <row r="159" spans="1:3">
      <c r="A159" t="s">
        <v>279</v>
      </c>
      <c r="B159" t="s">
        <v>1095</v>
      </c>
      <c r="C159" t="s">
        <v>1094</v>
      </c>
    </row>
    <row r="160" spans="1:3">
      <c r="A160" t="s">
        <v>282</v>
      </c>
      <c r="B160" t="s">
        <v>1096</v>
      </c>
      <c r="C160" t="s">
        <v>1094</v>
      </c>
    </row>
    <row r="161" spans="1:3">
      <c r="A161" t="s">
        <v>282</v>
      </c>
      <c r="B161" t="s">
        <v>1097</v>
      </c>
      <c r="C161" t="s">
        <v>1094</v>
      </c>
    </row>
    <row r="162" spans="1:3">
      <c r="A162" t="s">
        <v>285</v>
      </c>
      <c r="B162" t="s">
        <v>1098</v>
      </c>
      <c r="C162" t="s">
        <v>1099</v>
      </c>
    </row>
    <row r="163" spans="1:3">
      <c r="A163" t="s">
        <v>285</v>
      </c>
      <c r="B163" t="s">
        <v>1100</v>
      </c>
      <c r="C163" t="s">
        <v>1099</v>
      </c>
    </row>
    <row r="164" spans="1:3">
      <c r="A164" t="s">
        <v>288</v>
      </c>
      <c r="B164" t="s">
        <v>1101</v>
      </c>
      <c r="C164" t="s">
        <v>1099</v>
      </c>
    </row>
    <row r="165" spans="1:3">
      <c r="A165" t="s">
        <v>291</v>
      </c>
      <c r="B165" t="s">
        <v>1102</v>
      </c>
      <c r="C165" t="s">
        <v>1103</v>
      </c>
    </row>
    <row r="166" spans="1:3">
      <c r="A166" t="s">
        <v>291</v>
      </c>
      <c r="B166" t="s">
        <v>1104</v>
      </c>
      <c r="C166" t="s">
        <v>1103</v>
      </c>
    </row>
    <row r="167" spans="1:3">
      <c r="A167" t="s">
        <v>291</v>
      </c>
      <c r="B167" t="s">
        <v>1105</v>
      </c>
      <c r="C167" t="s">
        <v>1103</v>
      </c>
    </row>
    <row r="168" spans="1:3">
      <c r="A168" t="s">
        <v>294</v>
      </c>
      <c r="B168" t="s">
        <v>1106</v>
      </c>
      <c r="C168" t="s">
        <v>1103</v>
      </c>
    </row>
    <row r="169" spans="1:3">
      <c r="A169" t="s">
        <v>294</v>
      </c>
      <c r="B169" t="s">
        <v>1107</v>
      </c>
      <c r="C169" t="s">
        <v>1103</v>
      </c>
    </row>
    <row r="170" spans="1:3">
      <c r="A170" t="s">
        <v>297</v>
      </c>
      <c r="B170" t="s">
        <v>1108</v>
      </c>
      <c r="C170" t="s">
        <v>1103</v>
      </c>
    </row>
    <row r="171" spans="1:3">
      <c r="A171" t="s">
        <v>297</v>
      </c>
      <c r="B171" t="s">
        <v>1109</v>
      </c>
      <c r="C171" t="s">
        <v>1103</v>
      </c>
    </row>
    <row r="172" spans="1:3">
      <c r="A172" t="s">
        <v>300</v>
      </c>
      <c r="B172" t="s">
        <v>1110</v>
      </c>
      <c r="C172" t="s">
        <v>1103</v>
      </c>
    </row>
    <row r="173" spans="1:3">
      <c r="A173" t="s">
        <v>300</v>
      </c>
      <c r="B173" t="s">
        <v>1111</v>
      </c>
      <c r="C173" t="s">
        <v>1103</v>
      </c>
    </row>
    <row r="174" spans="1:3">
      <c r="A174" t="s">
        <v>303</v>
      </c>
      <c r="B174" t="s">
        <v>1112</v>
      </c>
      <c r="C174" t="s">
        <v>224</v>
      </c>
    </row>
    <row r="175" spans="1:3">
      <c r="A175" t="s">
        <v>303</v>
      </c>
      <c r="B175" t="s">
        <v>1113</v>
      </c>
      <c r="C175" t="s">
        <v>224</v>
      </c>
    </row>
    <row r="176" spans="1:3">
      <c r="A176" t="s">
        <v>303</v>
      </c>
      <c r="B176" t="s">
        <v>1114</v>
      </c>
      <c r="C176" t="s">
        <v>224</v>
      </c>
    </row>
    <row r="177" spans="1:3">
      <c r="A177" t="s">
        <v>306</v>
      </c>
      <c r="B177" t="s">
        <v>1115</v>
      </c>
      <c r="C177" t="s">
        <v>224</v>
      </c>
    </row>
    <row r="178" spans="1:3">
      <c r="A178" t="s">
        <v>306</v>
      </c>
      <c r="B178" t="s">
        <v>1116</v>
      </c>
      <c r="C178" t="s">
        <v>224</v>
      </c>
    </row>
    <row r="179" spans="1:3">
      <c r="A179" t="s">
        <v>309</v>
      </c>
      <c r="B179" t="s">
        <v>1117</v>
      </c>
      <c r="C179" t="s">
        <v>224</v>
      </c>
    </row>
    <row r="180" spans="1:3">
      <c r="A180" t="s">
        <v>312</v>
      </c>
      <c r="B180" t="s">
        <v>1118</v>
      </c>
      <c r="C180" t="s">
        <v>224</v>
      </c>
    </row>
    <row r="181" spans="1:3">
      <c r="A181" t="s">
        <v>312</v>
      </c>
      <c r="B181" t="s">
        <v>1119</v>
      </c>
      <c r="C181" t="s">
        <v>224</v>
      </c>
    </row>
    <row r="182" spans="1:3">
      <c r="A182" t="s">
        <v>316</v>
      </c>
      <c r="B182" t="s">
        <v>1120</v>
      </c>
      <c r="C182" t="s">
        <v>224</v>
      </c>
    </row>
    <row r="183" spans="1:3">
      <c r="A183" t="s">
        <v>316</v>
      </c>
      <c r="B183" t="s">
        <v>1121</v>
      </c>
      <c r="C183" t="s">
        <v>224</v>
      </c>
    </row>
    <row r="184" spans="1:3">
      <c r="A184" t="s">
        <v>319</v>
      </c>
      <c r="B184" t="s">
        <v>1122</v>
      </c>
      <c r="C184" t="s">
        <v>224</v>
      </c>
    </row>
    <row r="185" spans="1:3">
      <c r="A185" t="s">
        <v>322</v>
      </c>
      <c r="B185" t="s">
        <v>1123</v>
      </c>
      <c r="C185" t="s">
        <v>1124</v>
      </c>
    </row>
    <row r="186" spans="1:3">
      <c r="A186" t="s">
        <v>322</v>
      </c>
      <c r="B186" t="s">
        <v>1125</v>
      </c>
      <c r="C186" t="s">
        <v>1124</v>
      </c>
    </row>
    <row r="187" spans="1:3">
      <c r="A187" t="s">
        <v>325</v>
      </c>
      <c r="B187" t="s">
        <v>1126</v>
      </c>
      <c r="C187" t="s">
        <v>1124</v>
      </c>
    </row>
    <row r="188" spans="1:3">
      <c r="A188" t="s">
        <v>328</v>
      </c>
      <c r="B188" t="s">
        <v>1127</v>
      </c>
      <c r="C188" t="s">
        <v>1124</v>
      </c>
    </row>
    <row r="189" spans="1:3">
      <c r="A189" t="s">
        <v>328</v>
      </c>
      <c r="B189" t="s">
        <v>1128</v>
      </c>
      <c r="C189" t="s">
        <v>1124</v>
      </c>
    </row>
    <row r="190" spans="1:3">
      <c r="A190" t="s">
        <v>331</v>
      </c>
      <c r="B190" t="s">
        <v>1129</v>
      </c>
      <c r="C190" t="s">
        <v>1124</v>
      </c>
    </row>
    <row r="191" spans="1:3">
      <c r="A191" t="s">
        <v>331</v>
      </c>
      <c r="B191" t="s">
        <v>952</v>
      </c>
      <c r="C191" t="s">
        <v>1124</v>
      </c>
    </row>
    <row r="192" spans="1:3">
      <c r="A192" t="s">
        <v>335</v>
      </c>
      <c r="B192" t="s">
        <v>1130</v>
      </c>
      <c r="C192" t="s">
        <v>1131</v>
      </c>
    </row>
    <row r="193" spans="1:3">
      <c r="A193" t="s">
        <v>335</v>
      </c>
      <c r="B193" t="s">
        <v>1132</v>
      </c>
      <c r="C193" t="s">
        <v>1131</v>
      </c>
    </row>
    <row r="194" spans="1:3">
      <c r="A194" t="s">
        <v>335</v>
      </c>
      <c r="B194" t="s">
        <v>1133</v>
      </c>
      <c r="C194" t="s">
        <v>1131</v>
      </c>
    </row>
    <row r="195" spans="1:3">
      <c r="A195" t="s">
        <v>339</v>
      </c>
      <c r="B195" t="s">
        <v>1134</v>
      </c>
      <c r="C195" t="s">
        <v>1131</v>
      </c>
    </row>
    <row r="196" spans="1:3">
      <c r="A196" t="s">
        <v>339</v>
      </c>
      <c r="B196" t="s">
        <v>1135</v>
      </c>
      <c r="C196" t="s">
        <v>1131</v>
      </c>
    </row>
    <row r="197" spans="1:3">
      <c r="A197" t="s">
        <v>342</v>
      </c>
      <c r="B197" t="s">
        <v>1136</v>
      </c>
      <c r="C197" t="s">
        <v>1137</v>
      </c>
    </row>
    <row r="198" spans="1:3">
      <c r="A198" t="s">
        <v>342</v>
      </c>
      <c r="B198" t="s">
        <v>1138</v>
      </c>
      <c r="C198" t="s">
        <v>1137</v>
      </c>
    </row>
    <row r="199" spans="1:3">
      <c r="A199" t="s">
        <v>345</v>
      </c>
      <c r="B199" t="s">
        <v>1139</v>
      </c>
      <c r="C199" t="s">
        <v>1137</v>
      </c>
    </row>
    <row r="200" spans="1:3">
      <c r="A200" t="s">
        <v>348</v>
      </c>
      <c r="B200" t="s">
        <v>1140</v>
      </c>
      <c r="C200" t="s">
        <v>1137</v>
      </c>
    </row>
    <row r="201" spans="1:3">
      <c r="A201" t="s">
        <v>348</v>
      </c>
      <c r="B201" t="s">
        <v>1141</v>
      </c>
      <c r="C201" t="s">
        <v>1137</v>
      </c>
    </row>
    <row r="202" spans="1:3">
      <c r="A202" t="s">
        <v>352</v>
      </c>
      <c r="B202" t="s">
        <v>1142</v>
      </c>
      <c r="C202" t="s">
        <v>1137</v>
      </c>
    </row>
    <row r="203" spans="1:3">
      <c r="A203" t="s">
        <v>352</v>
      </c>
      <c r="B203" t="s">
        <v>1143</v>
      </c>
      <c r="C203" t="s">
        <v>1137</v>
      </c>
    </row>
    <row r="204" spans="1:3">
      <c r="A204" t="s">
        <v>355</v>
      </c>
      <c r="B204" t="s">
        <v>1144</v>
      </c>
      <c r="C204" t="s">
        <v>1145</v>
      </c>
    </row>
    <row r="205" spans="1:3">
      <c r="A205" t="s">
        <v>359</v>
      </c>
      <c r="B205" t="s">
        <v>1146</v>
      </c>
      <c r="C205" t="s">
        <v>1145</v>
      </c>
    </row>
    <row r="206" spans="1:3">
      <c r="A206" t="s">
        <v>359</v>
      </c>
      <c r="B206" t="s">
        <v>1147</v>
      </c>
      <c r="C206" t="s">
        <v>1145</v>
      </c>
    </row>
    <row r="207" spans="1:3">
      <c r="A207" t="s">
        <v>362</v>
      </c>
      <c r="B207" t="s">
        <v>1148</v>
      </c>
      <c r="C207" t="s">
        <v>1145</v>
      </c>
    </row>
    <row r="208" spans="1:3">
      <c r="A208" t="s">
        <v>362</v>
      </c>
      <c r="B208" t="s">
        <v>1149</v>
      </c>
      <c r="C208" t="s">
        <v>1145</v>
      </c>
    </row>
    <row r="209" spans="1:3">
      <c r="A209" t="s">
        <v>366</v>
      </c>
      <c r="B209" t="s">
        <v>1150</v>
      </c>
      <c r="C209" t="s">
        <v>1145</v>
      </c>
    </row>
    <row r="210" spans="1:3">
      <c r="A210" t="s">
        <v>1151</v>
      </c>
      <c r="B210" t="s">
        <v>1152</v>
      </c>
      <c r="C210" t="s">
        <v>334</v>
      </c>
    </row>
    <row r="211" spans="1:3">
      <c r="A211" t="s">
        <v>1151</v>
      </c>
      <c r="B211" t="s">
        <v>1153</v>
      </c>
      <c r="C211" t="s">
        <v>334</v>
      </c>
    </row>
    <row r="212" spans="1:3">
      <c r="A212" t="s">
        <v>1154</v>
      </c>
      <c r="B212" t="s">
        <v>1155</v>
      </c>
      <c r="C212" t="s">
        <v>334</v>
      </c>
    </row>
    <row r="213" spans="1:3">
      <c r="A213" t="s">
        <v>1154</v>
      </c>
      <c r="B213" t="s">
        <v>1156</v>
      </c>
      <c r="C213" t="s">
        <v>334</v>
      </c>
    </row>
    <row r="214" spans="1:3">
      <c r="A214" t="s">
        <v>1157</v>
      </c>
      <c r="B214" t="s">
        <v>1158</v>
      </c>
      <c r="C214" t="s">
        <v>334</v>
      </c>
    </row>
    <row r="215" spans="1:3">
      <c r="A215" t="s">
        <v>1159</v>
      </c>
      <c r="B215" t="s">
        <v>1160</v>
      </c>
      <c r="C215" t="s">
        <v>334</v>
      </c>
    </row>
    <row r="216" spans="1:3">
      <c r="A216" t="s">
        <v>1161</v>
      </c>
      <c r="B216" t="s">
        <v>1162</v>
      </c>
      <c r="C216" t="s">
        <v>334</v>
      </c>
    </row>
    <row r="217" spans="1:3">
      <c r="A217" t="s">
        <v>1163</v>
      </c>
      <c r="B217" t="s">
        <v>1164</v>
      </c>
      <c r="C217" t="s">
        <v>334</v>
      </c>
    </row>
    <row r="218" spans="1:3">
      <c r="A218" t="s">
        <v>1163</v>
      </c>
      <c r="B218" t="s">
        <v>1165</v>
      </c>
      <c r="C218" t="s">
        <v>334</v>
      </c>
    </row>
    <row r="219" spans="1:3">
      <c r="A219" t="s">
        <v>388</v>
      </c>
      <c r="B219" t="s">
        <v>1166</v>
      </c>
      <c r="C219" t="s">
        <v>1167</v>
      </c>
    </row>
    <row r="220" spans="1:3">
      <c r="A220" t="s">
        <v>388</v>
      </c>
      <c r="B220" t="s">
        <v>1168</v>
      </c>
      <c r="C220" t="s">
        <v>1167</v>
      </c>
    </row>
    <row r="221" spans="1:3">
      <c r="A221" t="s">
        <v>391</v>
      </c>
      <c r="B221" t="s">
        <v>1169</v>
      </c>
      <c r="C221" t="s">
        <v>1167</v>
      </c>
    </row>
    <row r="222" spans="1:3">
      <c r="A222" t="s">
        <v>391</v>
      </c>
      <c r="B222" t="s">
        <v>1170</v>
      </c>
      <c r="C222" t="s">
        <v>1167</v>
      </c>
    </row>
    <row r="223" spans="1:3">
      <c r="A223" t="s">
        <v>394</v>
      </c>
      <c r="B223" t="s">
        <v>1171</v>
      </c>
      <c r="C223" t="s">
        <v>1172</v>
      </c>
    </row>
    <row r="224" spans="1:3">
      <c r="A224" t="s">
        <v>394</v>
      </c>
      <c r="B224" t="s">
        <v>1173</v>
      </c>
      <c r="C224" t="s">
        <v>1172</v>
      </c>
    </row>
    <row r="225" spans="1:3">
      <c r="A225" t="s">
        <v>394</v>
      </c>
      <c r="B225" t="s">
        <v>1174</v>
      </c>
      <c r="C225" t="s">
        <v>1172</v>
      </c>
    </row>
    <row r="226" spans="1:3">
      <c r="A226" t="s">
        <v>397</v>
      </c>
      <c r="B226" t="s">
        <v>1175</v>
      </c>
      <c r="C226" t="s">
        <v>1172</v>
      </c>
    </row>
    <row r="227" spans="1:3">
      <c r="A227" t="s">
        <v>397</v>
      </c>
      <c r="B227" t="s">
        <v>1176</v>
      </c>
      <c r="C227" t="s">
        <v>1172</v>
      </c>
    </row>
    <row r="228" spans="1:3">
      <c r="A228" t="s">
        <v>397</v>
      </c>
      <c r="B228" t="s">
        <v>1177</v>
      </c>
      <c r="C228" t="s">
        <v>1172</v>
      </c>
    </row>
    <row r="229" spans="1:3">
      <c r="A229" t="s">
        <v>404</v>
      </c>
      <c r="B229" t="s">
        <v>1178</v>
      </c>
      <c r="C229" t="s">
        <v>1179</v>
      </c>
    </row>
    <row r="230" spans="1:3">
      <c r="A230" t="s">
        <v>404</v>
      </c>
      <c r="B230" t="s">
        <v>1180</v>
      </c>
      <c r="C230" t="s">
        <v>1179</v>
      </c>
    </row>
    <row r="231" spans="1:3">
      <c r="A231" t="s">
        <v>407</v>
      </c>
      <c r="B231" t="s">
        <v>1181</v>
      </c>
      <c r="C231" t="s">
        <v>1179</v>
      </c>
    </row>
    <row r="232" spans="1:3">
      <c r="A232" t="s">
        <v>410</v>
      </c>
      <c r="B232" t="s">
        <v>1182</v>
      </c>
      <c r="C232" t="s">
        <v>1179</v>
      </c>
    </row>
    <row r="233" spans="1:3">
      <c r="A233" t="s">
        <v>413</v>
      </c>
      <c r="B233" t="s">
        <v>1183</v>
      </c>
      <c r="C233" t="s">
        <v>1179</v>
      </c>
    </row>
    <row r="234" spans="1:3">
      <c r="A234" t="s">
        <v>416</v>
      </c>
      <c r="B234" t="s">
        <v>1184</v>
      </c>
      <c r="C234" t="s">
        <v>1179</v>
      </c>
    </row>
    <row r="235" spans="1:3">
      <c r="A235" t="s">
        <v>416</v>
      </c>
      <c r="B235" t="s">
        <v>1185</v>
      </c>
      <c r="C235" t="s">
        <v>1179</v>
      </c>
    </row>
    <row r="236" spans="1:3">
      <c r="A236" t="s">
        <v>427</v>
      </c>
      <c r="B236" t="s">
        <v>1186</v>
      </c>
      <c r="C236" t="s">
        <v>403</v>
      </c>
    </row>
    <row r="237" spans="1:3">
      <c r="A237" t="s">
        <v>427</v>
      </c>
      <c r="B237" t="s">
        <v>1187</v>
      </c>
      <c r="C237" t="s">
        <v>403</v>
      </c>
    </row>
    <row r="238" spans="1:3">
      <c r="A238" t="s">
        <v>430</v>
      </c>
      <c r="B238" t="s">
        <v>1188</v>
      </c>
      <c r="C238" t="s">
        <v>403</v>
      </c>
    </row>
    <row r="239" spans="1:3">
      <c r="A239" t="s">
        <v>433</v>
      </c>
      <c r="B239" t="s">
        <v>1189</v>
      </c>
      <c r="C239" t="s">
        <v>403</v>
      </c>
    </row>
    <row r="240" spans="1:3">
      <c r="A240" t="s">
        <v>436</v>
      </c>
      <c r="B240" t="s">
        <v>1190</v>
      </c>
      <c r="C240" t="s">
        <v>403</v>
      </c>
    </row>
    <row r="241" spans="1:3">
      <c r="A241" t="s">
        <v>439</v>
      </c>
      <c r="B241" t="s">
        <v>1191</v>
      </c>
      <c r="C241" t="s">
        <v>403</v>
      </c>
    </row>
    <row r="242" spans="1:3">
      <c r="A242" t="s">
        <v>442</v>
      </c>
      <c r="B242" t="s">
        <v>1192</v>
      </c>
      <c r="C242" t="s">
        <v>403</v>
      </c>
    </row>
    <row r="243" spans="1:3">
      <c r="A243" t="s">
        <v>445</v>
      </c>
      <c r="B243" t="s">
        <v>1193</v>
      </c>
      <c r="C243" t="s">
        <v>403</v>
      </c>
    </row>
    <row r="244" spans="1:3">
      <c r="A244" t="s">
        <v>448</v>
      </c>
      <c r="B244" t="s">
        <v>1194</v>
      </c>
      <c r="C244" t="s">
        <v>403</v>
      </c>
    </row>
    <row r="245" spans="1:3">
      <c r="A245" t="s">
        <v>452</v>
      </c>
      <c r="B245" t="s">
        <v>1195</v>
      </c>
      <c r="C245" t="s">
        <v>403</v>
      </c>
    </row>
    <row r="246" spans="1:3">
      <c r="A246" t="s">
        <v>455</v>
      </c>
      <c r="B246" t="s">
        <v>1196</v>
      </c>
      <c r="C246" t="s">
        <v>403</v>
      </c>
    </row>
    <row r="247" spans="1:3">
      <c r="A247" t="s">
        <v>458</v>
      </c>
      <c r="B247" t="s">
        <v>1197</v>
      </c>
      <c r="C247" t="s">
        <v>403</v>
      </c>
    </row>
    <row r="248" spans="1:3">
      <c r="A248" t="s">
        <v>461</v>
      </c>
      <c r="B248" t="s">
        <v>1030</v>
      </c>
      <c r="C248" t="s">
        <v>1198</v>
      </c>
    </row>
    <row r="249" spans="1:3">
      <c r="A249" t="s">
        <v>461</v>
      </c>
      <c r="B249" t="s">
        <v>1199</v>
      </c>
      <c r="C249" t="s">
        <v>1198</v>
      </c>
    </row>
    <row r="250" spans="1:3">
      <c r="A250" t="s">
        <v>464</v>
      </c>
      <c r="B250" t="s">
        <v>1200</v>
      </c>
      <c r="C250" t="s">
        <v>1198</v>
      </c>
    </row>
    <row r="251" spans="1:3">
      <c r="A251" t="s">
        <v>464</v>
      </c>
      <c r="B251" t="s">
        <v>1201</v>
      </c>
      <c r="C251" t="s">
        <v>1198</v>
      </c>
    </row>
    <row r="252" spans="1:3">
      <c r="A252" t="s">
        <v>467</v>
      </c>
      <c r="B252" t="s">
        <v>1202</v>
      </c>
      <c r="C252" t="s">
        <v>1198</v>
      </c>
    </row>
    <row r="253" spans="1:3">
      <c r="A253" t="s">
        <v>467</v>
      </c>
      <c r="B253" t="s">
        <v>1203</v>
      </c>
      <c r="C253" t="s">
        <v>1198</v>
      </c>
    </row>
    <row r="254" spans="1:3">
      <c r="A254" t="s">
        <v>470</v>
      </c>
      <c r="B254" t="s">
        <v>1204</v>
      </c>
      <c r="C254" t="s">
        <v>1198</v>
      </c>
    </row>
    <row r="255" spans="1:3">
      <c r="A255" t="s">
        <v>470</v>
      </c>
      <c r="B255" t="s">
        <v>1205</v>
      </c>
      <c r="C255" t="s">
        <v>1198</v>
      </c>
    </row>
    <row r="256" spans="1:3">
      <c r="A256" t="s">
        <v>470</v>
      </c>
      <c r="B256" t="s">
        <v>1199</v>
      </c>
      <c r="C256" t="s">
        <v>1198</v>
      </c>
    </row>
    <row r="257" spans="1:3">
      <c r="A257" t="s">
        <v>473</v>
      </c>
      <c r="B257" t="s">
        <v>1206</v>
      </c>
      <c r="C257" t="s">
        <v>1198</v>
      </c>
    </row>
    <row r="258" spans="1:3">
      <c r="A258" t="s">
        <v>477</v>
      </c>
      <c r="B258" t="s">
        <v>1207</v>
      </c>
      <c r="C258" t="s">
        <v>1208</v>
      </c>
    </row>
    <row r="259" spans="1:3">
      <c r="A259" t="s">
        <v>477</v>
      </c>
      <c r="B259" t="s">
        <v>1209</v>
      </c>
      <c r="C259" t="s">
        <v>1208</v>
      </c>
    </row>
    <row r="260" spans="1:3">
      <c r="A260" t="s">
        <v>480</v>
      </c>
      <c r="B260" t="s">
        <v>1210</v>
      </c>
      <c r="C260" t="s">
        <v>1208</v>
      </c>
    </row>
    <row r="261" spans="1:3">
      <c r="A261" t="s">
        <v>480</v>
      </c>
      <c r="B261" t="s">
        <v>1211</v>
      </c>
      <c r="C261" t="s">
        <v>1208</v>
      </c>
    </row>
    <row r="262" spans="1:3">
      <c r="A262" t="s">
        <v>483</v>
      </c>
      <c r="B262" t="s">
        <v>1212</v>
      </c>
      <c r="C262" t="s">
        <v>1208</v>
      </c>
    </row>
    <row r="263" spans="1:3">
      <c r="A263" t="s">
        <v>486</v>
      </c>
      <c r="B263" t="s">
        <v>1213</v>
      </c>
      <c r="C263" t="s">
        <v>1208</v>
      </c>
    </row>
    <row r="264" spans="1:3">
      <c r="A264" t="s">
        <v>489</v>
      </c>
      <c r="B264" t="s">
        <v>1214</v>
      </c>
      <c r="C264" t="s">
        <v>1208</v>
      </c>
    </row>
    <row r="265" spans="1:3">
      <c r="A265" t="s">
        <v>492</v>
      </c>
      <c r="B265" t="s">
        <v>1215</v>
      </c>
      <c r="C265" t="s">
        <v>1208</v>
      </c>
    </row>
    <row r="266" spans="1:3">
      <c r="A266" t="s">
        <v>492</v>
      </c>
      <c r="B266" t="s">
        <v>1216</v>
      </c>
      <c r="C266" t="s">
        <v>1208</v>
      </c>
    </row>
    <row r="267" spans="1:3">
      <c r="A267" t="s">
        <v>495</v>
      </c>
      <c r="B267" t="s">
        <v>1217</v>
      </c>
      <c r="C267" t="s">
        <v>1208</v>
      </c>
    </row>
    <row r="268" spans="1:3">
      <c r="A268" t="s">
        <v>498</v>
      </c>
      <c r="B268" t="s">
        <v>1218</v>
      </c>
      <c r="C268" t="s">
        <v>1208</v>
      </c>
    </row>
    <row r="269" spans="1:3">
      <c r="A269" t="s">
        <v>501</v>
      </c>
      <c r="B269" t="s">
        <v>1219</v>
      </c>
      <c r="C269" t="s">
        <v>945</v>
      </c>
    </row>
    <row r="270" spans="1:3">
      <c r="A270" t="s">
        <v>501</v>
      </c>
      <c r="B270" t="s">
        <v>1220</v>
      </c>
      <c r="C270" t="s">
        <v>945</v>
      </c>
    </row>
    <row r="271" spans="1:3">
      <c r="A271" t="s">
        <v>501</v>
      </c>
      <c r="B271" t="s">
        <v>1221</v>
      </c>
      <c r="C271" t="s">
        <v>945</v>
      </c>
    </row>
    <row r="272" spans="1:3">
      <c r="A272" t="s">
        <v>504</v>
      </c>
      <c r="B272" t="s">
        <v>1222</v>
      </c>
      <c r="C272" t="s">
        <v>945</v>
      </c>
    </row>
    <row r="273" spans="1:3">
      <c r="A273" t="s">
        <v>507</v>
      </c>
      <c r="B273" t="s">
        <v>1223</v>
      </c>
      <c r="C273" t="s">
        <v>945</v>
      </c>
    </row>
    <row r="274" spans="1:3">
      <c r="A274" t="s">
        <v>507</v>
      </c>
      <c r="B274" t="s">
        <v>1224</v>
      </c>
      <c r="C274" t="s">
        <v>945</v>
      </c>
    </row>
    <row r="275" spans="1:3">
      <c r="A275" t="s">
        <v>510</v>
      </c>
      <c r="B275" t="s">
        <v>1225</v>
      </c>
      <c r="C275" t="s">
        <v>945</v>
      </c>
    </row>
    <row r="276" spans="1:3">
      <c r="A276" t="s">
        <v>510</v>
      </c>
      <c r="B276" t="s">
        <v>1226</v>
      </c>
      <c r="C276" t="s">
        <v>945</v>
      </c>
    </row>
    <row r="277" spans="1:3">
      <c r="A277" t="s">
        <v>513</v>
      </c>
      <c r="B277" t="s">
        <v>1227</v>
      </c>
      <c r="C277" t="s">
        <v>945</v>
      </c>
    </row>
    <row r="278" spans="1:3">
      <c r="A278" t="s">
        <v>513</v>
      </c>
      <c r="B278" t="s">
        <v>1228</v>
      </c>
      <c r="C278" t="s">
        <v>945</v>
      </c>
    </row>
    <row r="279" spans="1:3">
      <c r="A279" t="s">
        <v>516</v>
      </c>
      <c r="B279" t="s">
        <v>1229</v>
      </c>
      <c r="C279" t="s">
        <v>945</v>
      </c>
    </row>
    <row r="280" spans="1:3">
      <c r="A280" t="s">
        <v>519</v>
      </c>
      <c r="B280" t="s">
        <v>1230</v>
      </c>
      <c r="C280" t="s">
        <v>1231</v>
      </c>
    </row>
    <row r="281" spans="1:3">
      <c r="A281" t="s">
        <v>519</v>
      </c>
      <c r="B281" t="s">
        <v>1066</v>
      </c>
      <c r="C281" t="s">
        <v>1231</v>
      </c>
    </row>
    <row r="282" spans="1:3">
      <c r="A282" t="s">
        <v>519</v>
      </c>
      <c r="B282" t="s">
        <v>1232</v>
      </c>
      <c r="C282" t="s">
        <v>1231</v>
      </c>
    </row>
    <row r="283" spans="1:3">
      <c r="A283" t="s">
        <v>522</v>
      </c>
      <c r="B283" t="s">
        <v>1233</v>
      </c>
      <c r="C283" t="s">
        <v>1231</v>
      </c>
    </row>
    <row r="284" spans="1:3">
      <c r="A284" t="s">
        <v>522</v>
      </c>
      <c r="B284" t="s">
        <v>1234</v>
      </c>
      <c r="C284" t="s">
        <v>1231</v>
      </c>
    </row>
    <row r="285" spans="1:3">
      <c r="A285" t="s">
        <v>525</v>
      </c>
      <c r="B285" t="s">
        <v>1235</v>
      </c>
      <c r="C285" t="s">
        <v>1231</v>
      </c>
    </row>
    <row r="286" spans="1:3">
      <c r="A286" t="s">
        <v>525</v>
      </c>
      <c r="B286" t="s">
        <v>1236</v>
      </c>
      <c r="C286" t="s">
        <v>1231</v>
      </c>
    </row>
    <row r="287" spans="1:3">
      <c r="A287" t="s">
        <v>528</v>
      </c>
      <c r="B287" t="s">
        <v>1237</v>
      </c>
      <c r="C287" t="s">
        <v>1238</v>
      </c>
    </row>
    <row r="288" spans="1:3">
      <c r="A288" t="s">
        <v>528</v>
      </c>
      <c r="B288" t="s">
        <v>1239</v>
      </c>
      <c r="C288" t="s">
        <v>1238</v>
      </c>
    </row>
    <row r="289" spans="1:3">
      <c r="A289" t="s">
        <v>531</v>
      </c>
      <c r="B289" t="s">
        <v>1240</v>
      </c>
      <c r="C289" t="s">
        <v>1238</v>
      </c>
    </row>
    <row r="290" spans="1:3">
      <c r="A290" t="s">
        <v>531</v>
      </c>
      <c r="B290" t="s">
        <v>1241</v>
      </c>
      <c r="C290" t="s">
        <v>1238</v>
      </c>
    </row>
    <row r="291" spans="1:3">
      <c r="A291" t="s">
        <v>534</v>
      </c>
      <c r="B291" t="s">
        <v>1242</v>
      </c>
      <c r="C291" t="s">
        <v>1238</v>
      </c>
    </row>
    <row r="292" spans="1:3">
      <c r="A292" t="s">
        <v>534</v>
      </c>
      <c r="B292" t="s">
        <v>1243</v>
      </c>
      <c r="C292" t="s">
        <v>1238</v>
      </c>
    </row>
    <row r="293" spans="1:3">
      <c r="A293" t="s">
        <v>537</v>
      </c>
      <c r="B293" t="s">
        <v>1244</v>
      </c>
      <c r="C293" t="s">
        <v>476</v>
      </c>
    </row>
    <row r="294" spans="1:3">
      <c r="A294" t="s">
        <v>537</v>
      </c>
      <c r="B294" t="s">
        <v>939</v>
      </c>
      <c r="C294" t="s">
        <v>476</v>
      </c>
    </row>
    <row r="295" spans="1:3">
      <c r="A295" t="s">
        <v>539</v>
      </c>
      <c r="B295" t="s">
        <v>1245</v>
      </c>
      <c r="C295" t="s">
        <v>476</v>
      </c>
    </row>
    <row r="296" spans="1:3">
      <c r="A296" t="s">
        <v>542</v>
      </c>
      <c r="B296" t="s">
        <v>1246</v>
      </c>
      <c r="C296" t="s">
        <v>476</v>
      </c>
    </row>
    <row r="297" spans="1:3">
      <c r="A297" t="s">
        <v>542</v>
      </c>
      <c r="B297" t="s">
        <v>1247</v>
      </c>
      <c r="C297" t="s">
        <v>476</v>
      </c>
    </row>
    <row r="298" spans="1:3">
      <c r="A298" t="s">
        <v>545</v>
      </c>
      <c r="B298" t="s">
        <v>1248</v>
      </c>
      <c r="C298" t="s">
        <v>476</v>
      </c>
    </row>
    <row r="299" spans="1:3">
      <c r="A299" t="s">
        <v>548</v>
      </c>
      <c r="B299" t="s">
        <v>1249</v>
      </c>
      <c r="C299" t="s">
        <v>476</v>
      </c>
    </row>
    <row r="300" spans="1:3">
      <c r="A300" t="s">
        <v>551</v>
      </c>
      <c r="B300" t="s">
        <v>1246</v>
      </c>
      <c r="C300" t="s">
        <v>476</v>
      </c>
    </row>
    <row r="301" spans="1:3">
      <c r="A301" t="s">
        <v>554</v>
      </c>
      <c r="B301" t="s">
        <v>1250</v>
      </c>
      <c r="C301" t="s">
        <v>476</v>
      </c>
    </row>
    <row r="302" spans="1:3">
      <c r="A302" t="s">
        <v>557</v>
      </c>
      <c r="B302" t="s">
        <v>1251</v>
      </c>
      <c r="C302" t="s">
        <v>476</v>
      </c>
    </row>
    <row r="303" spans="1:3">
      <c r="A303" t="s">
        <v>560</v>
      </c>
      <c r="B303" t="s">
        <v>1252</v>
      </c>
      <c r="C303" t="s">
        <v>476</v>
      </c>
    </row>
    <row r="304" spans="1:3">
      <c r="A304" t="s">
        <v>563</v>
      </c>
      <c r="B304" t="s">
        <v>1253</v>
      </c>
      <c r="C304" t="s">
        <v>476</v>
      </c>
    </row>
    <row r="305" spans="1:3">
      <c r="A305" t="s">
        <v>566</v>
      </c>
      <c r="B305" t="s">
        <v>1254</v>
      </c>
      <c r="C305" t="s">
        <v>476</v>
      </c>
    </row>
    <row r="306" spans="1:3">
      <c r="A306" t="s">
        <v>569</v>
      </c>
      <c r="B306" t="s">
        <v>1096</v>
      </c>
      <c r="C306" t="s">
        <v>476</v>
      </c>
    </row>
    <row r="307" spans="1:3">
      <c r="A307" t="s">
        <v>573</v>
      </c>
      <c r="B307" t="s">
        <v>1255</v>
      </c>
      <c r="C307" t="s">
        <v>476</v>
      </c>
    </row>
    <row r="308" spans="1:3">
      <c r="A308" t="s">
        <v>576</v>
      </c>
      <c r="B308" t="s">
        <v>1068</v>
      </c>
      <c r="C308" t="s">
        <v>476</v>
      </c>
    </row>
    <row r="309" spans="1:3">
      <c r="A309" t="s">
        <v>579</v>
      </c>
      <c r="B309" t="s">
        <v>1256</v>
      </c>
      <c r="C309" t="s">
        <v>476</v>
      </c>
    </row>
    <row r="310" spans="1:3">
      <c r="A310" t="s">
        <v>582</v>
      </c>
      <c r="B310" t="s">
        <v>1257</v>
      </c>
      <c r="C310" t="s">
        <v>476</v>
      </c>
    </row>
    <row r="311" spans="1:3">
      <c r="A311" t="s">
        <v>585</v>
      </c>
      <c r="B311" t="s">
        <v>1258</v>
      </c>
      <c r="C311" t="s">
        <v>476</v>
      </c>
    </row>
    <row r="312" spans="1:3">
      <c r="A312" t="s">
        <v>587</v>
      </c>
      <c r="B312" t="s">
        <v>1259</v>
      </c>
      <c r="C312" t="s">
        <v>476</v>
      </c>
    </row>
    <row r="313" spans="1:3">
      <c r="A313" t="s">
        <v>590</v>
      </c>
      <c r="B313" t="s">
        <v>1260</v>
      </c>
      <c r="C313" t="s">
        <v>476</v>
      </c>
    </row>
    <row r="314" spans="1:3">
      <c r="A314" t="s">
        <v>593</v>
      </c>
      <c r="B314" t="s">
        <v>1261</v>
      </c>
      <c r="C314" t="s">
        <v>476</v>
      </c>
    </row>
    <row r="315" spans="1:3">
      <c r="A315" t="s">
        <v>596</v>
      </c>
      <c r="B315" t="s">
        <v>952</v>
      </c>
      <c r="C315" t="s">
        <v>1262</v>
      </c>
    </row>
    <row r="316" spans="1:3">
      <c r="A316" t="s">
        <v>599</v>
      </c>
      <c r="B316" t="s">
        <v>1263</v>
      </c>
      <c r="C316" t="s">
        <v>1262</v>
      </c>
    </row>
    <row r="317" spans="1:3">
      <c r="A317" t="s">
        <v>602</v>
      </c>
      <c r="B317" t="s">
        <v>1095</v>
      </c>
      <c r="C317" t="s">
        <v>1262</v>
      </c>
    </row>
    <row r="318" spans="1:3">
      <c r="A318" t="s">
        <v>605</v>
      </c>
      <c r="B318" t="s">
        <v>1264</v>
      </c>
      <c r="C318" t="s">
        <v>1262</v>
      </c>
    </row>
    <row r="319" spans="1:3">
      <c r="A319" t="s">
        <v>608</v>
      </c>
      <c r="B319" t="s">
        <v>1265</v>
      </c>
      <c r="C319" t="s">
        <v>1262</v>
      </c>
    </row>
    <row r="320" spans="1:3">
      <c r="A320" t="s">
        <v>611</v>
      </c>
      <c r="B320" t="s">
        <v>1266</v>
      </c>
      <c r="C320" t="s">
        <v>1267</v>
      </c>
    </row>
    <row r="321" spans="1:3">
      <c r="A321" t="s">
        <v>614</v>
      </c>
      <c r="B321" t="s">
        <v>1268</v>
      </c>
      <c r="C321" t="s">
        <v>1267</v>
      </c>
    </row>
    <row r="322" spans="1:3">
      <c r="A322" t="s">
        <v>616</v>
      </c>
      <c r="B322" t="s">
        <v>1269</v>
      </c>
      <c r="C322" t="s">
        <v>1267</v>
      </c>
    </row>
    <row r="323" spans="1:3">
      <c r="A323" t="s">
        <v>619</v>
      </c>
      <c r="B323" t="s">
        <v>1270</v>
      </c>
      <c r="C323" t="s">
        <v>1267</v>
      </c>
    </row>
    <row r="324" spans="1:3">
      <c r="A324" t="s">
        <v>619</v>
      </c>
      <c r="B324" t="s">
        <v>1271</v>
      </c>
      <c r="C324" t="s">
        <v>1267</v>
      </c>
    </row>
    <row r="325" spans="1:3">
      <c r="A325" t="s">
        <v>622</v>
      </c>
      <c r="B325" t="s">
        <v>1272</v>
      </c>
      <c r="C325" t="s">
        <v>1267</v>
      </c>
    </row>
    <row r="326" spans="1:3">
      <c r="A326" t="s">
        <v>625</v>
      </c>
      <c r="B326" t="s">
        <v>1273</v>
      </c>
      <c r="C326" t="s">
        <v>1274</v>
      </c>
    </row>
    <row r="327" spans="1:3">
      <c r="A327" t="s">
        <v>628</v>
      </c>
      <c r="B327" t="s">
        <v>1275</v>
      </c>
      <c r="C327" t="s">
        <v>1274</v>
      </c>
    </row>
    <row r="328" spans="1:3">
      <c r="A328" t="s">
        <v>631</v>
      </c>
      <c r="B328" t="s">
        <v>1276</v>
      </c>
      <c r="C328" t="s">
        <v>1274</v>
      </c>
    </row>
    <row r="329" spans="1:3">
      <c r="A329" t="s">
        <v>634</v>
      </c>
      <c r="B329" t="s">
        <v>1277</v>
      </c>
      <c r="C329" t="s">
        <v>1274</v>
      </c>
    </row>
    <row r="330" spans="1:3">
      <c r="A330" t="s">
        <v>637</v>
      </c>
      <c r="B330" t="s">
        <v>1278</v>
      </c>
      <c r="C330" t="s">
        <v>1274</v>
      </c>
    </row>
    <row r="331" spans="1:3">
      <c r="A331" t="s">
        <v>640</v>
      </c>
      <c r="B331" t="s">
        <v>1279</v>
      </c>
      <c r="C331" t="s">
        <v>1280</v>
      </c>
    </row>
    <row r="332" spans="1:3">
      <c r="A332" t="s">
        <v>640</v>
      </c>
      <c r="B332" t="s">
        <v>1281</v>
      </c>
      <c r="C332" t="s">
        <v>1280</v>
      </c>
    </row>
    <row r="333" spans="1:3">
      <c r="A333" t="s">
        <v>642</v>
      </c>
      <c r="B333" t="s">
        <v>1282</v>
      </c>
      <c r="C333" t="s">
        <v>1280</v>
      </c>
    </row>
    <row r="334" spans="1:3">
      <c r="A334" t="s">
        <v>642</v>
      </c>
      <c r="B334" t="s">
        <v>1283</v>
      </c>
      <c r="C334" t="s">
        <v>1280</v>
      </c>
    </row>
    <row r="335" spans="1:3">
      <c r="A335" t="s">
        <v>642</v>
      </c>
      <c r="B335" t="s">
        <v>1284</v>
      </c>
      <c r="C335" t="s">
        <v>1280</v>
      </c>
    </row>
    <row r="336" spans="1:3">
      <c r="A336" t="s">
        <v>645</v>
      </c>
      <c r="B336" t="s">
        <v>1285</v>
      </c>
      <c r="C336" t="s">
        <v>1058</v>
      </c>
    </row>
    <row r="337" spans="1:3">
      <c r="A337" t="s">
        <v>645</v>
      </c>
      <c r="B337" t="s">
        <v>1286</v>
      </c>
      <c r="C337" t="s">
        <v>1058</v>
      </c>
    </row>
    <row r="338" spans="1:3">
      <c r="A338" t="s">
        <v>645</v>
      </c>
      <c r="B338" t="s">
        <v>1287</v>
      </c>
      <c r="C338" t="s">
        <v>1058</v>
      </c>
    </row>
    <row r="339" spans="1:3">
      <c r="A339" t="s">
        <v>648</v>
      </c>
      <c r="B339" t="s">
        <v>1288</v>
      </c>
      <c r="C339" t="s">
        <v>1058</v>
      </c>
    </row>
    <row r="340" spans="1:3">
      <c r="A340" t="s">
        <v>648</v>
      </c>
      <c r="B340" t="s">
        <v>1289</v>
      </c>
      <c r="C340" t="s">
        <v>1058</v>
      </c>
    </row>
    <row r="341" spans="1:3">
      <c r="A341" t="s">
        <v>651</v>
      </c>
      <c r="B341" t="s">
        <v>1290</v>
      </c>
      <c r="C341" t="s">
        <v>1058</v>
      </c>
    </row>
    <row r="342" spans="1:3">
      <c r="A342" t="s">
        <v>654</v>
      </c>
      <c r="B342" t="s">
        <v>1291</v>
      </c>
      <c r="C342" t="s">
        <v>1058</v>
      </c>
    </row>
    <row r="343" spans="1:3">
      <c r="A343" t="s">
        <v>654</v>
      </c>
      <c r="B343" t="s">
        <v>1292</v>
      </c>
      <c r="C343" t="s">
        <v>1058</v>
      </c>
    </row>
    <row r="344" spans="1:3">
      <c r="A344" t="s">
        <v>654</v>
      </c>
      <c r="B344" t="s">
        <v>1293</v>
      </c>
      <c r="C344" t="s">
        <v>1058</v>
      </c>
    </row>
    <row r="345" spans="1:3">
      <c r="A345" t="s">
        <v>657</v>
      </c>
      <c r="B345" t="s">
        <v>1294</v>
      </c>
      <c r="C345" t="s">
        <v>1295</v>
      </c>
    </row>
    <row r="346" spans="1:3">
      <c r="A346" t="s">
        <v>657</v>
      </c>
      <c r="B346" t="s">
        <v>1296</v>
      </c>
      <c r="C346" t="s">
        <v>1295</v>
      </c>
    </row>
    <row r="347" spans="1:3">
      <c r="A347" t="s">
        <v>660</v>
      </c>
      <c r="B347" t="s">
        <v>1297</v>
      </c>
      <c r="C347" t="s">
        <v>1295</v>
      </c>
    </row>
    <row r="348" spans="1:3">
      <c r="A348" t="s">
        <v>660</v>
      </c>
      <c r="B348" t="s">
        <v>1298</v>
      </c>
      <c r="C348" t="s">
        <v>1295</v>
      </c>
    </row>
    <row r="349" spans="1:3">
      <c r="A349" t="s">
        <v>663</v>
      </c>
      <c r="B349" t="s">
        <v>1299</v>
      </c>
      <c r="C349" t="s">
        <v>1295</v>
      </c>
    </row>
    <row r="350" spans="1:3">
      <c r="A350" t="s">
        <v>666</v>
      </c>
      <c r="B350" t="s">
        <v>1300</v>
      </c>
      <c r="C350" t="s">
        <v>1301</v>
      </c>
    </row>
    <row r="351" spans="1:3">
      <c r="A351" t="s">
        <v>669</v>
      </c>
      <c r="B351" t="s">
        <v>1302</v>
      </c>
      <c r="C351" t="s">
        <v>1301</v>
      </c>
    </row>
    <row r="352" spans="1:3">
      <c r="A352" t="s">
        <v>669</v>
      </c>
      <c r="B352" t="s">
        <v>1303</v>
      </c>
      <c r="C352" t="s">
        <v>1301</v>
      </c>
    </row>
    <row r="353" spans="1:3">
      <c r="A353" t="s">
        <v>672</v>
      </c>
      <c r="B353" t="s">
        <v>1304</v>
      </c>
      <c r="C353" t="s">
        <v>1301</v>
      </c>
    </row>
    <row r="354" spans="1:3">
      <c r="A354" t="s">
        <v>672</v>
      </c>
      <c r="B354" t="s">
        <v>1305</v>
      </c>
      <c r="C354" t="s">
        <v>1301</v>
      </c>
    </row>
    <row r="355" spans="1:3">
      <c r="A355" t="s">
        <v>675</v>
      </c>
      <c r="B355" t="s">
        <v>1306</v>
      </c>
      <c r="C355" t="s">
        <v>1307</v>
      </c>
    </row>
    <row r="356" spans="1:3">
      <c r="A356" t="s">
        <v>675</v>
      </c>
      <c r="B356" t="s">
        <v>1308</v>
      </c>
      <c r="C356" t="s">
        <v>1307</v>
      </c>
    </row>
    <row r="357" spans="1:3">
      <c r="A357" t="s">
        <v>678</v>
      </c>
      <c r="B357" t="s">
        <v>1309</v>
      </c>
      <c r="C357" t="s">
        <v>1307</v>
      </c>
    </row>
    <row r="358" spans="1:3">
      <c r="A358" t="s">
        <v>678</v>
      </c>
      <c r="B358" t="s">
        <v>1218</v>
      </c>
      <c r="C358" t="s">
        <v>1307</v>
      </c>
    </row>
    <row r="359" spans="1:3">
      <c r="A359" t="s">
        <v>681</v>
      </c>
      <c r="B359" t="s">
        <v>1310</v>
      </c>
      <c r="C359" t="s">
        <v>1307</v>
      </c>
    </row>
    <row r="360" spans="1:3">
      <c r="A360" t="s">
        <v>681</v>
      </c>
      <c r="B360" t="s">
        <v>1311</v>
      </c>
      <c r="C360" t="s">
        <v>1307</v>
      </c>
    </row>
    <row r="361" spans="1:3">
      <c r="A361" t="s">
        <v>685</v>
      </c>
      <c r="B361" t="s">
        <v>1312</v>
      </c>
      <c r="C361" t="s">
        <v>1313</v>
      </c>
    </row>
    <row r="362" spans="1:3">
      <c r="A362" t="s">
        <v>685</v>
      </c>
      <c r="B362" t="s">
        <v>1314</v>
      </c>
      <c r="C362" t="s">
        <v>1313</v>
      </c>
    </row>
    <row r="363" spans="1:3">
      <c r="A363" t="s">
        <v>685</v>
      </c>
      <c r="B363" t="s">
        <v>1315</v>
      </c>
      <c r="C363" t="s">
        <v>1313</v>
      </c>
    </row>
    <row r="364" spans="1:3">
      <c r="A364" t="s">
        <v>688</v>
      </c>
      <c r="B364" t="s">
        <v>1316</v>
      </c>
      <c r="C364" t="s">
        <v>1313</v>
      </c>
    </row>
    <row r="365" spans="1:3">
      <c r="A365" t="s">
        <v>688</v>
      </c>
      <c r="B365" t="s">
        <v>1317</v>
      </c>
      <c r="C365" t="s">
        <v>1313</v>
      </c>
    </row>
    <row r="366" spans="1:3">
      <c r="A366" t="s">
        <v>691</v>
      </c>
      <c r="B366" t="s">
        <v>1318</v>
      </c>
      <c r="C366" t="s">
        <v>1313</v>
      </c>
    </row>
    <row r="367" spans="1:3">
      <c r="A367" t="s">
        <v>691</v>
      </c>
      <c r="B367" t="s">
        <v>1319</v>
      </c>
      <c r="C367" t="s">
        <v>1313</v>
      </c>
    </row>
    <row r="368" spans="1:3">
      <c r="A368" t="s">
        <v>694</v>
      </c>
      <c r="B368" t="s">
        <v>1320</v>
      </c>
      <c r="C368" t="s">
        <v>1313</v>
      </c>
    </row>
    <row r="369" spans="1:3">
      <c r="A369" t="s">
        <v>694</v>
      </c>
      <c r="B369" t="s">
        <v>1321</v>
      </c>
      <c r="C369" t="s">
        <v>1313</v>
      </c>
    </row>
    <row r="370" spans="1:3">
      <c r="A370" t="s">
        <v>697</v>
      </c>
      <c r="B370" t="s">
        <v>1322</v>
      </c>
      <c r="C370" t="s">
        <v>1313</v>
      </c>
    </row>
    <row r="371" spans="1:3">
      <c r="A371" t="s">
        <v>697</v>
      </c>
      <c r="B371" t="s">
        <v>1323</v>
      </c>
      <c r="C371" t="s">
        <v>1313</v>
      </c>
    </row>
    <row r="372" spans="1:3">
      <c r="A372" t="s">
        <v>700</v>
      </c>
      <c r="B372" t="s">
        <v>1324</v>
      </c>
      <c r="C372" t="s">
        <v>684</v>
      </c>
    </row>
    <row r="373" spans="1:3">
      <c r="A373" t="s">
        <v>703</v>
      </c>
      <c r="B373" t="s">
        <v>1325</v>
      </c>
      <c r="C373" t="s">
        <v>684</v>
      </c>
    </row>
    <row r="374" spans="1:3">
      <c r="A374" t="s">
        <v>703</v>
      </c>
      <c r="B374" t="s">
        <v>1326</v>
      </c>
      <c r="C374" t="s">
        <v>684</v>
      </c>
    </row>
    <row r="375" spans="1:3">
      <c r="A375" t="s">
        <v>706</v>
      </c>
      <c r="B375" t="s">
        <v>1327</v>
      </c>
      <c r="C375" t="s">
        <v>684</v>
      </c>
    </row>
    <row r="376" spans="1:3">
      <c r="A376" t="s">
        <v>706</v>
      </c>
      <c r="B376" t="s">
        <v>1328</v>
      </c>
      <c r="C376" t="s">
        <v>684</v>
      </c>
    </row>
    <row r="377" spans="1:3">
      <c r="A377" t="s">
        <v>709</v>
      </c>
      <c r="B377" t="s">
        <v>1329</v>
      </c>
      <c r="C377" t="s">
        <v>684</v>
      </c>
    </row>
    <row r="378" spans="1:3">
      <c r="A378" t="s">
        <v>709</v>
      </c>
      <c r="B378" t="s">
        <v>1330</v>
      </c>
      <c r="C378" t="s">
        <v>684</v>
      </c>
    </row>
    <row r="379" spans="1:3">
      <c r="A379" t="s">
        <v>709</v>
      </c>
      <c r="B379" t="s">
        <v>1331</v>
      </c>
      <c r="C379" t="s">
        <v>684</v>
      </c>
    </row>
    <row r="380" spans="1:3">
      <c r="A380" t="s">
        <v>712</v>
      </c>
      <c r="B380" t="s">
        <v>1332</v>
      </c>
      <c r="C380" t="s">
        <v>684</v>
      </c>
    </row>
    <row r="381" spans="1:3">
      <c r="A381" t="s">
        <v>712</v>
      </c>
      <c r="B381" t="s">
        <v>1333</v>
      </c>
      <c r="C381" t="s">
        <v>684</v>
      </c>
    </row>
    <row r="382" spans="1:3">
      <c r="A382" t="s">
        <v>715</v>
      </c>
      <c r="B382" t="s">
        <v>1334</v>
      </c>
      <c r="C382" t="s">
        <v>684</v>
      </c>
    </row>
    <row r="383" spans="1:3">
      <c r="A383" t="s">
        <v>718</v>
      </c>
      <c r="B383" t="s">
        <v>1335</v>
      </c>
      <c r="C383" t="s">
        <v>1336</v>
      </c>
    </row>
    <row r="384" spans="1:3">
      <c r="A384" t="s">
        <v>718</v>
      </c>
      <c r="B384" t="s">
        <v>1337</v>
      </c>
      <c r="C384" t="s">
        <v>1336</v>
      </c>
    </row>
    <row r="385" spans="1:3">
      <c r="A385" t="s">
        <v>721</v>
      </c>
      <c r="B385" t="s">
        <v>1338</v>
      </c>
      <c r="C385" t="s">
        <v>1336</v>
      </c>
    </row>
    <row r="386" spans="1:3">
      <c r="A386" t="s">
        <v>724</v>
      </c>
      <c r="B386" t="s">
        <v>1339</v>
      </c>
      <c r="C386" t="s">
        <v>1336</v>
      </c>
    </row>
    <row r="387" spans="1:3">
      <c r="A387" t="s">
        <v>724</v>
      </c>
      <c r="B387" t="s">
        <v>1340</v>
      </c>
      <c r="C387" t="s">
        <v>1336</v>
      </c>
    </row>
    <row r="388" spans="1:3">
      <c r="A388" t="s">
        <v>726</v>
      </c>
      <c r="B388" t="s">
        <v>1341</v>
      </c>
      <c r="C388" t="s">
        <v>1336</v>
      </c>
    </row>
    <row r="389" spans="1:3">
      <c r="A389" t="s">
        <v>726</v>
      </c>
      <c r="B389" t="s">
        <v>1342</v>
      </c>
      <c r="C389" t="s">
        <v>1336</v>
      </c>
    </row>
    <row r="390" spans="1:3">
      <c r="A390" t="s">
        <v>729</v>
      </c>
      <c r="B390" t="s">
        <v>1343</v>
      </c>
      <c r="C390" t="s">
        <v>1344</v>
      </c>
    </row>
    <row r="391" spans="1:3">
      <c r="A391" t="s">
        <v>729</v>
      </c>
      <c r="B391" t="s">
        <v>1345</v>
      </c>
      <c r="C391" t="s">
        <v>1344</v>
      </c>
    </row>
    <row r="392" spans="1:3">
      <c r="A392" t="s">
        <v>732</v>
      </c>
      <c r="B392" t="s">
        <v>1346</v>
      </c>
      <c r="C392" t="s">
        <v>1344</v>
      </c>
    </row>
    <row r="393" spans="1:3">
      <c r="A393" t="s">
        <v>732</v>
      </c>
      <c r="B393" t="s">
        <v>1347</v>
      </c>
      <c r="C393" t="s">
        <v>1344</v>
      </c>
    </row>
    <row r="394" spans="1:3">
      <c r="A394" t="s">
        <v>735</v>
      </c>
      <c r="B394" t="s">
        <v>1348</v>
      </c>
      <c r="C394" t="s">
        <v>1344</v>
      </c>
    </row>
    <row r="395" spans="1:3">
      <c r="A395" t="s">
        <v>735</v>
      </c>
      <c r="B395" t="s">
        <v>1349</v>
      </c>
      <c r="C395" t="s">
        <v>1344</v>
      </c>
    </row>
    <row r="396" spans="1:3">
      <c r="A396" t="s">
        <v>738</v>
      </c>
      <c r="B396" t="s">
        <v>1350</v>
      </c>
      <c r="C396" t="s">
        <v>1344</v>
      </c>
    </row>
    <row r="397" spans="1:3">
      <c r="A397" t="s">
        <v>1351</v>
      </c>
      <c r="B397" t="s">
        <v>1352</v>
      </c>
      <c r="C397" t="s">
        <v>1344</v>
      </c>
    </row>
    <row r="398" spans="1:3">
      <c r="A398" t="s">
        <v>1353</v>
      </c>
      <c r="B398" t="s">
        <v>1354</v>
      </c>
      <c r="C398" t="s">
        <v>1344</v>
      </c>
    </row>
    <row r="399" spans="1:3">
      <c r="A399" t="s">
        <v>743</v>
      </c>
      <c r="B399" t="s">
        <v>1355</v>
      </c>
      <c r="C399" t="s">
        <v>1356</v>
      </c>
    </row>
    <row r="400" spans="1:3">
      <c r="A400" t="s">
        <v>746</v>
      </c>
      <c r="B400" t="s">
        <v>1357</v>
      </c>
      <c r="C400" t="s">
        <v>1356</v>
      </c>
    </row>
    <row r="401" spans="1:3">
      <c r="A401" t="s">
        <v>746</v>
      </c>
      <c r="B401" t="s">
        <v>1358</v>
      </c>
      <c r="C401" t="s">
        <v>1356</v>
      </c>
    </row>
    <row r="402" spans="1:3">
      <c r="A402" t="s">
        <v>749</v>
      </c>
      <c r="B402" t="s">
        <v>1359</v>
      </c>
      <c r="C402" t="s">
        <v>1356</v>
      </c>
    </row>
    <row r="403" spans="1:3">
      <c r="A403" t="s">
        <v>749</v>
      </c>
      <c r="B403" t="s">
        <v>1360</v>
      </c>
      <c r="C403" t="s">
        <v>1356</v>
      </c>
    </row>
    <row r="404" spans="1:3">
      <c r="A404" t="s">
        <v>752</v>
      </c>
      <c r="B404" t="s">
        <v>1361</v>
      </c>
      <c r="C404" t="s">
        <v>1356</v>
      </c>
    </row>
    <row r="405" spans="1:3">
      <c r="A405" t="s">
        <v>752</v>
      </c>
      <c r="B405" t="s">
        <v>1362</v>
      </c>
      <c r="C405" t="s">
        <v>1356</v>
      </c>
    </row>
    <row r="406" spans="1:3">
      <c r="A406" t="s">
        <v>755</v>
      </c>
      <c r="B406" t="s">
        <v>1363</v>
      </c>
      <c r="C406" t="s">
        <v>1356</v>
      </c>
    </row>
    <row r="407" spans="1:3">
      <c r="A407" t="s">
        <v>758</v>
      </c>
      <c r="B407" t="s">
        <v>1364</v>
      </c>
      <c r="C407" t="s">
        <v>1356</v>
      </c>
    </row>
    <row r="408" spans="1:3">
      <c r="A408" t="s">
        <v>762</v>
      </c>
      <c r="B408" t="s">
        <v>1365</v>
      </c>
      <c r="C408" t="s">
        <v>1391</v>
      </c>
    </row>
    <row r="409" spans="1:3">
      <c r="A409" t="s">
        <v>762</v>
      </c>
      <c r="B409" t="s">
        <v>1366</v>
      </c>
      <c r="C409" t="s">
        <v>1391</v>
      </c>
    </row>
    <row r="410" spans="1:3">
      <c r="A410" t="s">
        <v>764</v>
      </c>
      <c r="B410" t="s">
        <v>1367</v>
      </c>
      <c r="C410" t="s">
        <v>1391</v>
      </c>
    </row>
    <row r="411" spans="1:3">
      <c r="A411" t="s">
        <v>764</v>
      </c>
      <c r="B411" t="s">
        <v>1368</v>
      </c>
      <c r="C411" t="s">
        <v>1391</v>
      </c>
    </row>
    <row r="412" spans="1:3">
      <c r="A412" t="s">
        <v>766</v>
      </c>
      <c r="B412" t="s">
        <v>1369</v>
      </c>
      <c r="C412" t="s">
        <v>1391</v>
      </c>
    </row>
    <row r="413" spans="1:3">
      <c r="A413" t="s">
        <v>769</v>
      </c>
      <c r="B413" t="s">
        <v>1370</v>
      </c>
      <c r="C413" t="s">
        <v>1391</v>
      </c>
    </row>
    <row r="414" spans="1:3">
      <c r="A414" t="s">
        <v>772</v>
      </c>
      <c r="B414" t="s">
        <v>1371</v>
      </c>
      <c r="C414" t="s">
        <v>1391</v>
      </c>
    </row>
    <row r="415" spans="1:3">
      <c r="A415" t="s">
        <v>772</v>
      </c>
      <c r="B415" t="s">
        <v>1372</v>
      </c>
      <c r="C415" t="s">
        <v>1391</v>
      </c>
    </row>
    <row r="416" spans="1:3">
      <c r="A416" t="s">
        <v>775</v>
      </c>
      <c r="B416" t="s">
        <v>1392</v>
      </c>
      <c r="C416" t="s">
        <v>1391</v>
      </c>
    </row>
    <row r="417" spans="1:3">
      <c r="A417" t="s">
        <v>778</v>
      </c>
      <c r="B417" t="s">
        <v>1373</v>
      </c>
      <c r="C417" t="s">
        <v>1391</v>
      </c>
    </row>
    <row r="418" spans="1:3">
      <c r="A418" t="s">
        <v>781</v>
      </c>
      <c r="B418" t="s">
        <v>1374</v>
      </c>
      <c r="C418" t="s">
        <v>1391</v>
      </c>
    </row>
    <row r="419" spans="1:3">
      <c r="A419" t="s">
        <v>784</v>
      </c>
      <c r="B419" t="s">
        <v>1375</v>
      </c>
      <c r="C419" t="s">
        <v>1391</v>
      </c>
    </row>
    <row r="420" spans="1:3">
      <c r="A420" t="s">
        <v>787</v>
      </c>
      <c r="B420" t="s">
        <v>1376</v>
      </c>
      <c r="C420" t="s">
        <v>1391</v>
      </c>
    </row>
    <row r="421" spans="1:3">
      <c r="A421" t="s">
        <v>790</v>
      </c>
      <c r="B421" t="s">
        <v>1377</v>
      </c>
      <c r="C421" t="s">
        <v>1391</v>
      </c>
    </row>
    <row r="422" spans="1:3">
      <c r="A422" t="s">
        <v>793</v>
      </c>
      <c r="B422" t="s">
        <v>1107</v>
      </c>
      <c r="C422" t="s">
        <v>1378</v>
      </c>
    </row>
    <row r="423" spans="1:3">
      <c r="A423" t="s">
        <v>796</v>
      </c>
      <c r="B423" t="s">
        <v>1379</v>
      </c>
      <c r="C423" t="s">
        <v>1378</v>
      </c>
    </row>
    <row r="424" spans="1:3">
      <c r="A424" t="s">
        <v>796</v>
      </c>
      <c r="B424" t="s">
        <v>1380</v>
      </c>
      <c r="C424" t="s">
        <v>1378</v>
      </c>
    </row>
    <row r="425" spans="1:3">
      <c r="A425" t="s">
        <v>799</v>
      </c>
      <c r="B425" t="s">
        <v>1381</v>
      </c>
      <c r="C425" t="s">
        <v>1378</v>
      </c>
    </row>
    <row r="426" spans="1:3">
      <c r="A426" t="s">
        <v>801</v>
      </c>
      <c r="B426" t="s">
        <v>1382</v>
      </c>
      <c r="C426" t="s">
        <v>1378</v>
      </c>
    </row>
    <row r="427" spans="1:3">
      <c r="A427" t="s">
        <v>804</v>
      </c>
      <c r="B427" t="s">
        <v>1383</v>
      </c>
      <c r="C427" t="s">
        <v>1378</v>
      </c>
    </row>
    <row r="428" spans="1:3">
      <c r="A428" t="s">
        <v>804</v>
      </c>
      <c r="B428" t="s">
        <v>1384</v>
      </c>
      <c r="C428" t="s">
        <v>1378</v>
      </c>
    </row>
    <row r="429" spans="1:3">
      <c r="A429" t="s">
        <v>807</v>
      </c>
      <c r="B429" t="s">
        <v>1385</v>
      </c>
      <c r="C429" t="s">
        <v>1386</v>
      </c>
    </row>
    <row r="430" spans="1:3">
      <c r="A430" t="s">
        <v>807</v>
      </c>
      <c r="B430" t="s">
        <v>1387</v>
      </c>
      <c r="C430" t="s">
        <v>1386</v>
      </c>
    </row>
    <row r="431" spans="1:3">
      <c r="A431" t="s">
        <v>810</v>
      </c>
      <c r="B431" t="s">
        <v>1388</v>
      </c>
      <c r="C431" t="s">
        <v>1386</v>
      </c>
    </row>
    <row r="432" spans="1:3">
      <c r="A432" t="s">
        <v>813</v>
      </c>
      <c r="B432" t="s">
        <v>1389</v>
      </c>
      <c r="C432" t="s">
        <v>1386</v>
      </c>
    </row>
    <row r="433" spans="1:3">
      <c r="A433" t="s">
        <v>813</v>
      </c>
      <c r="B433" t="s">
        <v>1390</v>
      </c>
      <c r="C433" t="s">
        <v>1386</v>
      </c>
    </row>
    <row r="434" spans="1:3">
      <c r="A434" t="s">
        <v>816</v>
      </c>
      <c r="B434" t="s">
        <v>1393</v>
      </c>
      <c r="C434" t="s">
        <v>1394</v>
      </c>
    </row>
    <row r="435" spans="1:3">
      <c r="A435" t="s">
        <v>816</v>
      </c>
      <c r="B435" t="s">
        <v>1331</v>
      </c>
      <c r="C435" t="s">
        <v>1394</v>
      </c>
    </row>
    <row r="436" spans="1:3">
      <c r="A436" t="s">
        <v>819</v>
      </c>
      <c r="B436" t="s">
        <v>1395</v>
      </c>
      <c r="C436" t="s">
        <v>1394</v>
      </c>
    </row>
    <row r="437" spans="1:3">
      <c r="A437" t="s">
        <v>819</v>
      </c>
      <c r="B437" t="s">
        <v>1396</v>
      </c>
      <c r="C437" t="s">
        <v>1394</v>
      </c>
    </row>
    <row r="438" spans="1:3">
      <c r="A438" t="s">
        <v>822</v>
      </c>
      <c r="B438" t="s">
        <v>1397</v>
      </c>
      <c r="C438" t="s">
        <v>1394</v>
      </c>
    </row>
    <row r="439" spans="1:3">
      <c r="A439" t="s">
        <v>825</v>
      </c>
      <c r="B439" t="s">
        <v>1398</v>
      </c>
      <c r="C439" t="s">
        <v>1394</v>
      </c>
    </row>
    <row r="440" spans="1:3">
      <c r="A440" t="s">
        <v>828</v>
      </c>
      <c r="B440" t="s">
        <v>1399</v>
      </c>
      <c r="C440" t="s">
        <v>1394</v>
      </c>
    </row>
    <row r="441" spans="1:3">
      <c r="A441" t="s">
        <v>828</v>
      </c>
      <c r="B441" t="s">
        <v>1400</v>
      </c>
      <c r="C441" t="s">
        <v>1394</v>
      </c>
    </row>
    <row r="442" spans="1:3">
      <c r="A442" t="s">
        <v>831</v>
      </c>
      <c r="B442" t="s">
        <v>1401</v>
      </c>
      <c r="C442" t="s">
        <v>1394</v>
      </c>
    </row>
    <row r="443" spans="1:3">
      <c r="A443" t="s">
        <v>834</v>
      </c>
      <c r="B443" t="s">
        <v>1402</v>
      </c>
      <c r="C443" t="s">
        <v>1403</v>
      </c>
    </row>
    <row r="444" spans="1:3">
      <c r="A444" t="s">
        <v>837</v>
      </c>
      <c r="B444" t="s">
        <v>1404</v>
      </c>
      <c r="C444" t="s">
        <v>1403</v>
      </c>
    </row>
    <row r="445" spans="1:3">
      <c r="A445" t="s">
        <v>840</v>
      </c>
      <c r="B445" t="s">
        <v>1405</v>
      </c>
      <c r="C445" t="s">
        <v>1403</v>
      </c>
    </row>
    <row r="446" spans="1:3">
      <c r="A446" t="s">
        <v>843</v>
      </c>
      <c r="B446" t="s">
        <v>1406</v>
      </c>
      <c r="C446" t="s">
        <v>1403</v>
      </c>
    </row>
    <row r="447" spans="1:3">
      <c r="A447" t="s">
        <v>843</v>
      </c>
      <c r="B447" t="s">
        <v>1407</v>
      </c>
      <c r="C447" t="s">
        <v>1403</v>
      </c>
    </row>
    <row r="448" spans="1:3">
      <c r="A448" t="s">
        <v>846</v>
      </c>
      <c r="B448" t="s">
        <v>1408</v>
      </c>
      <c r="C448" t="s">
        <v>742</v>
      </c>
    </row>
    <row r="449" spans="1:3">
      <c r="A449" t="s">
        <v>849</v>
      </c>
      <c r="B449" t="s">
        <v>1409</v>
      </c>
      <c r="C449" t="s">
        <v>742</v>
      </c>
    </row>
    <row r="450" spans="1:3">
      <c r="A450" t="s">
        <v>851</v>
      </c>
      <c r="B450" t="s">
        <v>1410</v>
      </c>
      <c r="C450" t="s">
        <v>742</v>
      </c>
    </row>
    <row r="451" spans="1:3">
      <c r="A451" t="s">
        <v>854</v>
      </c>
      <c r="B451" t="s">
        <v>1411</v>
      </c>
      <c r="C451" t="s">
        <v>742</v>
      </c>
    </row>
    <row r="452" spans="1:3">
      <c r="A452" t="s">
        <v>855</v>
      </c>
      <c r="B452" t="s">
        <v>1412</v>
      </c>
      <c r="C452" t="s">
        <v>742</v>
      </c>
    </row>
    <row r="453" spans="1:3">
      <c r="A453" t="s">
        <v>858</v>
      </c>
      <c r="B453" t="s">
        <v>1413</v>
      </c>
      <c r="C453" t="s">
        <v>742</v>
      </c>
    </row>
    <row r="454" spans="1:3">
      <c r="A454" t="s">
        <v>861</v>
      </c>
      <c r="B454" t="s">
        <v>1414</v>
      </c>
      <c r="C454" t="s">
        <v>742</v>
      </c>
    </row>
    <row r="455" spans="1:3">
      <c r="A455" t="s">
        <v>864</v>
      </c>
      <c r="B455" t="s">
        <v>1415</v>
      </c>
      <c r="C455" t="s">
        <v>742</v>
      </c>
    </row>
    <row r="456" spans="1:3">
      <c r="A456" t="s">
        <v>864</v>
      </c>
      <c r="B456" t="s">
        <v>1416</v>
      </c>
      <c r="C456" t="s">
        <v>742</v>
      </c>
    </row>
    <row r="457" spans="1:3">
      <c r="A457" t="s">
        <v>867</v>
      </c>
      <c r="B457" t="s">
        <v>1247</v>
      </c>
      <c r="C457" t="s">
        <v>742</v>
      </c>
    </row>
    <row r="458" spans="1:3">
      <c r="A458" t="s">
        <v>870</v>
      </c>
      <c r="B458" t="s">
        <v>1417</v>
      </c>
      <c r="C458" t="s">
        <v>742</v>
      </c>
    </row>
    <row r="459" spans="1:3">
      <c r="A459" t="s">
        <v>873</v>
      </c>
      <c r="B459" t="s">
        <v>1418</v>
      </c>
      <c r="C459" t="s">
        <v>742</v>
      </c>
    </row>
    <row r="460" spans="1:3">
      <c r="A460" t="s">
        <v>876</v>
      </c>
      <c r="B460" t="s">
        <v>1419</v>
      </c>
      <c r="C460" t="s">
        <v>742</v>
      </c>
    </row>
    <row r="461" spans="1:3">
      <c r="A461" t="s">
        <v>879</v>
      </c>
      <c r="B461" t="s">
        <v>1420</v>
      </c>
      <c r="C461" t="s">
        <v>742</v>
      </c>
    </row>
    <row r="462" spans="1:3">
      <c r="A462" t="s">
        <v>879</v>
      </c>
      <c r="B462" t="s">
        <v>1421</v>
      </c>
      <c r="C462" t="s">
        <v>742</v>
      </c>
    </row>
    <row r="463" spans="1:3">
      <c r="A463" t="s">
        <v>882</v>
      </c>
      <c r="B463" t="s">
        <v>1416</v>
      </c>
      <c r="C463" t="s">
        <v>742</v>
      </c>
    </row>
    <row r="464" spans="1:3">
      <c r="A464" t="s">
        <v>882</v>
      </c>
      <c r="B464" t="s">
        <v>1422</v>
      </c>
      <c r="C464" t="s">
        <v>742</v>
      </c>
    </row>
    <row r="465" spans="1:3">
      <c r="A465" t="s">
        <v>885</v>
      </c>
      <c r="B465" t="s">
        <v>1101</v>
      </c>
      <c r="C465" t="s">
        <v>742</v>
      </c>
    </row>
    <row r="466" spans="1:3">
      <c r="A466" t="s">
        <v>888</v>
      </c>
      <c r="B466" t="s">
        <v>1423</v>
      </c>
      <c r="C466" t="s">
        <v>742</v>
      </c>
    </row>
    <row r="467" spans="1:3">
      <c r="A467" t="s">
        <v>891</v>
      </c>
      <c r="B467" t="s">
        <v>1424</v>
      </c>
      <c r="C467" t="s">
        <v>1425</v>
      </c>
    </row>
    <row r="468" spans="1:3">
      <c r="A468" t="s">
        <v>891</v>
      </c>
      <c r="B468" t="s">
        <v>1426</v>
      </c>
      <c r="C468" t="s">
        <v>1425</v>
      </c>
    </row>
    <row r="469" spans="1:3">
      <c r="A469" t="s">
        <v>894</v>
      </c>
      <c r="B469" t="s">
        <v>1427</v>
      </c>
      <c r="C469" t="s">
        <v>1425</v>
      </c>
    </row>
    <row r="470" spans="1:3">
      <c r="A470" t="s">
        <v>894</v>
      </c>
      <c r="B470" t="s">
        <v>1428</v>
      </c>
      <c r="C470" t="s">
        <v>1425</v>
      </c>
    </row>
    <row r="471" spans="1:3">
      <c r="A471" t="s">
        <v>897</v>
      </c>
      <c r="B471" t="s">
        <v>1429</v>
      </c>
      <c r="C471" t="s">
        <v>1425</v>
      </c>
    </row>
    <row r="472" spans="1:3">
      <c r="A472" t="s">
        <v>897</v>
      </c>
      <c r="B472" t="s">
        <v>1430</v>
      </c>
      <c r="C472" t="s">
        <v>1425</v>
      </c>
    </row>
    <row r="473" spans="1:3">
      <c r="A473" t="s">
        <v>900</v>
      </c>
      <c r="B473" t="s">
        <v>1431</v>
      </c>
      <c r="C473" t="s">
        <v>1425</v>
      </c>
    </row>
    <row r="474" spans="1:3">
      <c r="A474" t="s">
        <v>900</v>
      </c>
      <c r="B474" t="s">
        <v>1432</v>
      </c>
      <c r="C474" t="s">
        <v>1425</v>
      </c>
    </row>
    <row r="475" spans="1:3">
      <c r="A475" t="s">
        <v>1433</v>
      </c>
      <c r="B475" t="s">
        <v>1434</v>
      </c>
      <c r="C475" t="s">
        <v>903</v>
      </c>
    </row>
    <row r="476" spans="1:3">
      <c r="A476" t="s">
        <v>1433</v>
      </c>
      <c r="B476" t="s">
        <v>1435</v>
      </c>
      <c r="C476" t="s">
        <v>903</v>
      </c>
    </row>
    <row r="477" spans="1:3">
      <c r="A477" t="s">
        <v>1433</v>
      </c>
      <c r="B477" t="s">
        <v>1436</v>
      </c>
      <c r="C477" t="s">
        <v>903</v>
      </c>
    </row>
    <row r="478" spans="1:3">
      <c r="A478" t="s">
        <v>1433</v>
      </c>
      <c r="B478" t="s">
        <v>1437</v>
      </c>
      <c r="C478" t="s">
        <v>903</v>
      </c>
    </row>
    <row r="479" spans="1:3">
      <c r="A479" t="s">
        <v>1433</v>
      </c>
      <c r="B479" t="s">
        <v>1438</v>
      </c>
      <c r="C479" t="s">
        <v>903</v>
      </c>
    </row>
    <row r="480" spans="1:3">
      <c r="A480" t="s">
        <v>1433</v>
      </c>
      <c r="B480" t="s">
        <v>1439</v>
      </c>
      <c r="C480" t="s">
        <v>903</v>
      </c>
    </row>
    <row r="481" spans="1:3">
      <c r="A481" t="s">
        <v>1433</v>
      </c>
      <c r="B481" t="s">
        <v>1440</v>
      </c>
      <c r="C481" t="s">
        <v>903</v>
      </c>
    </row>
    <row r="482" spans="1:3">
      <c r="A482" t="s">
        <v>1433</v>
      </c>
      <c r="B482" t="s">
        <v>1441</v>
      </c>
      <c r="C482" t="s">
        <v>903</v>
      </c>
    </row>
    <row r="483" spans="1:3">
      <c r="A483" t="s">
        <v>1442</v>
      </c>
      <c r="B483" t="s">
        <v>1443</v>
      </c>
      <c r="C483" t="s">
        <v>906</v>
      </c>
    </row>
    <row r="484" spans="1:3">
      <c r="A484" t="s">
        <v>1442</v>
      </c>
      <c r="B484" t="s">
        <v>1444</v>
      </c>
      <c r="C484" t="s">
        <v>906</v>
      </c>
    </row>
    <row r="485" spans="1:3">
      <c r="A485" t="s">
        <v>1442</v>
      </c>
      <c r="B485" t="s">
        <v>1176</v>
      </c>
      <c r="C485" t="s">
        <v>906</v>
      </c>
    </row>
    <row r="486" spans="1:3">
      <c r="A486" t="s">
        <v>1442</v>
      </c>
      <c r="B486" t="s">
        <v>1445</v>
      </c>
      <c r="C486" t="s">
        <v>906</v>
      </c>
    </row>
    <row r="487" spans="1:3">
      <c r="A487" t="s">
        <v>1442</v>
      </c>
      <c r="B487" t="s">
        <v>1446</v>
      </c>
      <c r="C487" t="s">
        <v>906</v>
      </c>
    </row>
    <row r="488" spans="1:3">
      <c r="A488" t="s">
        <v>1442</v>
      </c>
      <c r="B488" t="s">
        <v>1447</v>
      </c>
      <c r="C488" t="s">
        <v>906</v>
      </c>
    </row>
    <row r="489" spans="1:3">
      <c r="A489" t="s">
        <v>1442</v>
      </c>
      <c r="B489" t="s">
        <v>1448</v>
      </c>
      <c r="C489" t="s">
        <v>906</v>
      </c>
    </row>
    <row r="490" spans="1:3">
      <c r="A490" t="s">
        <v>1442</v>
      </c>
      <c r="B490" t="s">
        <v>1449</v>
      </c>
      <c r="C490" t="s">
        <v>906</v>
      </c>
    </row>
    <row r="491" spans="1:3">
      <c r="A491" t="s">
        <v>1450</v>
      </c>
      <c r="B491" t="s">
        <v>1451</v>
      </c>
      <c r="C491" t="s">
        <v>909</v>
      </c>
    </row>
    <row r="492" spans="1:3">
      <c r="A492" t="s">
        <v>1450</v>
      </c>
      <c r="B492" t="s">
        <v>1452</v>
      </c>
      <c r="C492" t="s">
        <v>909</v>
      </c>
    </row>
    <row r="493" spans="1:3">
      <c r="A493" t="s">
        <v>1450</v>
      </c>
      <c r="B493" t="s">
        <v>1453</v>
      </c>
      <c r="C493" t="s">
        <v>909</v>
      </c>
    </row>
    <row r="494" spans="1:3">
      <c r="A494" t="s">
        <v>1450</v>
      </c>
      <c r="B494" t="s">
        <v>1454</v>
      </c>
      <c r="C494" t="s">
        <v>909</v>
      </c>
    </row>
    <row r="495" spans="1:3">
      <c r="A495" t="s">
        <v>1450</v>
      </c>
      <c r="B495" t="s">
        <v>1455</v>
      </c>
      <c r="C495" t="s">
        <v>909</v>
      </c>
    </row>
    <row r="496" spans="1:3">
      <c r="A496" t="s">
        <v>1450</v>
      </c>
      <c r="B496" t="s">
        <v>1456</v>
      </c>
      <c r="C496" t="s">
        <v>909</v>
      </c>
    </row>
    <row r="497" spans="1:3">
      <c r="A497" t="s">
        <v>1450</v>
      </c>
      <c r="B497" t="s">
        <v>1457</v>
      </c>
      <c r="C497" t="s">
        <v>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3309-DA36-45D9-AD51-68E57BCBE8DD}">
  <dimension ref="A1:H496"/>
  <sheetViews>
    <sheetView workbookViewId="0">
      <selection activeCell="L7" sqref="L7"/>
    </sheetView>
  </sheetViews>
  <sheetFormatPr defaultRowHeight="15"/>
  <cols>
    <col min="1" max="1" width="29" bestFit="1" customWidth="1"/>
    <col min="2" max="2" width="17.7109375" customWidth="1"/>
    <col min="3" max="3" width="17.5703125" bestFit="1" customWidth="1"/>
    <col min="4" max="4" width="20.5703125" customWidth="1"/>
    <col min="5" max="5" width="19.42578125" customWidth="1"/>
    <col min="6" max="6" width="16" customWidth="1"/>
  </cols>
  <sheetData>
    <row r="1" spans="1:8">
      <c r="A1" t="s">
        <v>914</v>
      </c>
      <c r="B1" t="s">
        <v>913</v>
      </c>
      <c r="C1" t="s">
        <v>1568</v>
      </c>
      <c r="D1" t="s">
        <v>1464</v>
      </c>
      <c r="E1" t="s">
        <v>1569</v>
      </c>
      <c r="F1" t="s">
        <v>1465</v>
      </c>
      <c r="G1" t="s">
        <v>1466</v>
      </c>
      <c r="H1" t="s">
        <v>1588</v>
      </c>
    </row>
    <row r="2" spans="1:8">
      <c r="A2" t="s">
        <v>1131</v>
      </c>
      <c r="B2" t="s">
        <v>1132</v>
      </c>
      <c r="C2">
        <v>483</v>
      </c>
      <c r="D2">
        <v>214436</v>
      </c>
      <c r="E2">
        <v>443.97</v>
      </c>
      <c r="F2">
        <v>3.97</v>
      </c>
      <c r="G2">
        <v>73.23</v>
      </c>
      <c r="H2" t="str">
        <f t="shared" ref="H2:H65" si="0">TRIM(A2)&amp;"|"&amp;TRIM(B2)</f>
        <v>Barguna|Amtali</v>
      </c>
    </row>
    <row r="3" spans="1:8">
      <c r="A3" t="s">
        <v>1131</v>
      </c>
      <c r="B3" t="s">
        <v>1135</v>
      </c>
      <c r="C3">
        <v>99.85</v>
      </c>
      <c r="D3">
        <v>78942</v>
      </c>
      <c r="E3">
        <v>790.61</v>
      </c>
      <c r="F3">
        <v>3.76</v>
      </c>
      <c r="G3">
        <v>82.51</v>
      </c>
      <c r="H3" t="str">
        <f t="shared" si="0"/>
        <v>Barguna|Bamna</v>
      </c>
    </row>
    <row r="4" spans="1:8">
      <c r="A4" t="s">
        <v>1131</v>
      </c>
      <c r="B4" t="s">
        <v>1130</v>
      </c>
      <c r="C4">
        <v>454.6</v>
      </c>
      <c r="D4">
        <v>294350</v>
      </c>
      <c r="E4">
        <v>647.49</v>
      </c>
      <c r="F4">
        <v>3.95</v>
      </c>
      <c r="G4">
        <v>82.28</v>
      </c>
      <c r="H4" t="str">
        <f t="shared" si="0"/>
        <v>Barguna|Barguna Sadar</v>
      </c>
    </row>
    <row r="5" spans="1:8">
      <c r="A5" t="s">
        <v>1131</v>
      </c>
      <c r="B5" t="s">
        <v>1467</v>
      </c>
      <c r="C5">
        <v>135.19999999999999</v>
      </c>
      <c r="D5">
        <v>125464</v>
      </c>
      <c r="E5">
        <v>927.99</v>
      </c>
      <c r="F5">
        <v>4</v>
      </c>
      <c r="G5">
        <v>82.5</v>
      </c>
      <c r="H5" t="str">
        <f t="shared" si="0"/>
        <v>Barguna|Betagi</v>
      </c>
    </row>
    <row r="6" spans="1:8">
      <c r="A6" t="s">
        <v>1131</v>
      </c>
      <c r="B6" t="s">
        <v>1134</v>
      </c>
      <c r="C6">
        <v>387.5</v>
      </c>
      <c r="D6">
        <v>177875</v>
      </c>
      <c r="E6">
        <v>459.03</v>
      </c>
      <c r="F6">
        <v>3.76</v>
      </c>
      <c r="G6">
        <v>84.67</v>
      </c>
      <c r="H6" t="str">
        <f t="shared" si="0"/>
        <v>Barguna|Patharghata</v>
      </c>
    </row>
    <row r="7" spans="1:8">
      <c r="A7" t="s">
        <v>1131</v>
      </c>
      <c r="B7" t="s">
        <v>1133</v>
      </c>
      <c r="C7">
        <v>336</v>
      </c>
      <c r="D7">
        <v>119394</v>
      </c>
      <c r="E7">
        <v>355.34</v>
      </c>
      <c r="F7">
        <v>4.03</v>
      </c>
      <c r="G7">
        <v>80.77</v>
      </c>
      <c r="H7" t="str">
        <f t="shared" si="0"/>
        <v>Barguna|Taltali</v>
      </c>
    </row>
    <row r="8" spans="1:8">
      <c r="A8" t="s">
        <v>1570</v>
      </c>
      <c r="B8" t="s">
        <v>1153</v>
      </c>
      <c r="C8">
        <v>161.82</v>
      </c>
      <c r="D8">
        <v>156415</v>
      </c>
      <c r="E8">
        <v>966.6</v>
      </c>
      <c r="F8">
        <v>4.04</v>
      </c>
      <c r="G8">
        <v>82.1</v>
      </c>
      <c r="H8" t="str">
        <f t="shared" si="0"/>
        <v>Barisal|Agailjhara</v>
      </c>
    </row>
    <row r="9" spans="1:8">
      <c r="A9" t="s">
        <v>1570</v>
      </c>
      <c r="B9" t="s">
        <v>1468</v>
      </c>
      <c r="C9">
        <v>190.4</v>
      </c>
      <c r="D9">
        <v>154546</v>
      </c>
      <c r="E9">
        <v>811.69</v>
      </c>
      <c r="F9">
        <v>4.01</v>
      </c>
      <c r="G9">
        <v>81.09</v>
      </c>
      <c r="H9" t="str">
        <f t="shared" si="0"/>
        <v>Barisal|Babuganj</v>
      </c>
    </row>
    <row r="10" spans="1:8">
      <c r="A10" t="s">
        <v>1570</v>
      </c>
      <c r="B10" t="s">
        <v>1162</v>
      </c>
      <c r="C10">
        <v>259.56</v>
      </c>
      <c r="D10">
        <v>356012</v>
      </c>
      <c r="E10">
        <v>1371.6</v>
      </c>
      <c r="F10">
        <v>3.96</v>
      </c>
      <c r="G10">
        <v>79.930000000000007</v>
      </c>
      <c r="H10" t="str">
        <f t="shared" si="0"/>
        <v>Barisal|Bakerganj</v>
      </c>
    </row>
    <row r="11" spans="1:8">
      <c r="A11" t="s">
        <v>1570</v>
      </c>
      <c r="B11" t="s">
        <v>1156</v>
      </c>
      <c r="C11">
        <v>160.13</v>
      </c>
      <c r="D11">
        <v>169874</v>
      </c>
      <c r="E11">
        <v>1060.8499999999999</v>
      </c>
      <c r="F11">
        <v>4.09</v>
      </c>
      <c r="G11">
        <v>83.84</v>
      </c>
      <c r="H11" t="str">
        <f t="shared" si="0"/>
        <v>Barisal|Banaripara</v>
      </c>
    </row>
    <row r="12" spans="1:8">
      <c r="A12" t="s">
        <v>1570</v>
      </c>
      <c r="B12" t="s">
        <v>1469</v>
      </c>
      <c r="C12">
        <v>248.58</v>
      </c>
      <c r="D12">
        <v>205876</v>
      </c>
      <c r="E12">
        <v>828.21</v>
      </c>
      <c r="F12">
        <v>4.09</v>
      </c>
      <c r="G12">
        <v>78.25</v>
      </c>
      <c r="H12" t="str">
        <f t="shared" si="0"/>
        <v>Barisal|Gaurnadi</v>
      </c>
    </row>
    <row r="13" spans="1:8">
      <c r="A13" t="s">
        <v>1570</v>
      </c>
      <c r="B13" t="s">
        <v>1165</v>
      </c>
      <c r="C13">
        <v>210.16</v>
      </c>
      <c r="D13">
        <v>150666</v>
      </c>
      <c r="E13">
        <v>716.91</v>
      </c>
      <c r="F13">
        <v>4.26</v>
      </c>
      <c r="G13">
        <v>69.83</v>
      </c>
      <c r="H13" t="str">
        <f t="shared" si="0"/>
        <v>Barisal|Hizla</v>
      </c>
    </row>
    <row r="14" spans="1:8">
      <c r="A14" t="s">
        <v>1570</v>
      </c>
      <c r="B14" t="s">
        <v>1158</v>
      </c>
      <c r="C14">
        <v>54.17</v>
      </c>
      <c r="D14">
        <v>237207</v>
      </c>
      <c r="E14">
        <v>4378.9399999999996</v>
      </c>
      <c r="F14">
        <v>4.1500000000000004</v>
      </c>
      <c r="G14">
        <v>80.010000000000005</v>
      </c>
      <c r="H14" t="str">
        <f t="shared" si="0"/>
        <v>Barisal|Barishal Sadar</v>
      </c>
    </row>
    <row r="15" spans="1:8">
      <c r="A15" t="s">
        <v>1570</v>
      </c>
      <c r="B15" t="s">
        <v>1160</v>
      </c>
      <c r="C15">
        <v>774.5</v>
      </c>
      <c r="D15">
        <v>283877</v>
      </c>
      <c r="E15">
        <v>366.53</v>
      </c>
      <c r="F15">
        <v>4.04</v>
      </c>
      <c r="G15">
        <v>71.23</v>
      </c>
      <c r="H15" t="str">
        <f t="shared" si="0"/>
        <v>Barisal|Mehendiganj</v>
      </c>
    </row>
    <row r="16" spans="1:8">
      <c r="A16" t="s">
        <v>1570</v>
      </c>
      <c r="B16" t="s">
        <v>1164</v>
      </c>
      <c r="C16">
        <v>163.38999999999999</v>
      </c>
      <c r="D16">
        <v>181923</v>
      </c>
      <c r="E16">
        <v>1113.43</v>
      </c>
      <c r="F16">
        <v>3.88</v>
      </c>
      <c r="G16">
        <v>74.34</v>
      </c>
      <c r="H16" t="str">
        <f t="shared" si="0"/>
        <v>Barisal|Muladi</v>
      </c>
    </row>
    <row r="17" spans="1:8">
      <c r="A17" t="s">
        <v>1570</v>
      </c>
      <c r="B17" t="s">
        <v>1155</v>
      </c>
      <c r="C17">
        <v>248.47</v>
      </c>
      <c r="D17">
        <v>254503</v>
      </c>
      <c r="E17">
        <v>1024.28</v>
      </c>
      <c r="F17">
        <v>4.08</v>
      </c>
      <c r="G17">
        <v>79.84</v>
      </c>
      <c r="H17" t="str">
        <f t="shared" si="0"/>
        <v>Barisal|Uzirpur</v>
      </c>
    </row>
    <row r="18" spans="1:8">
      <c r="A18" t="s">
        <v>1145</v>
      </c>
      <c r="B18" t="s">
        <v>1144</v>
      </c>
      <c r="C18">
        <v>351.87</v>
      </c>
      <c r="D18">
        <v>444828</v>
      </c>
      <c r="E18">
        <v>1264.18</v>
      </c>
      <c r="F18">
        <v>4.29</v>
      </c>
      <c r="G18">
        <v>70.41</v>
      </c>
      <c r="H18" t="str">
        <f t="shared" si="0"/>
        <v>Bhola|Bhola Sadar</v>
      </c>
    </row>
    <row r="19" spans="1:8">
      <c r="A19" t="s">
        <v>1145</v>
      </c>
      <c r="B19" t="s">
        <v>1146</v>
      </c>
      <c r="C19">
        <v>457.55</v>
      </c>
      <c r="D19">
        <v>265430</v>
      </c>
      <c r="E19">
        <v>580.11</v>
      </c>
      <c r="F19">
        <v>4.25</v>
      </c>
      <c r="G19">
        <v>69.319999999999993</v>
      </c>
      <c r="H19" t="str">
        <f t="shared" si="0"/>
        <v>Bhola|Borhanuddin</v>
      </c>
    </row>
    <row r="20" spans="1:8">
      <c r="A20" t="s">
        <v>1145</v>
      </c>
      <c r="B20" t="s">
        <v>1577</v>
      </c>
      <c r="C20">
        <v>309</v>
      </c>
      <c r="D20">
        <v>518792</v>
      </c>
      <c r="E20">
        <v>1678.94</v>
      </c>
      <c r="F20">
        <v>4.29</v>
      </c>
      <c r="G20">
        <v>67.62</v>
      </c>
      <c r="H20" t="str">
        <f t="shared" si="0"/>
        <v>Bhola|Char Fasion</v>
      </c>
    </row>
    <row r="21" spans="1:8">
      <c r="A21" t="s">
        <v>1145</v>
      </c>
      <c r="B21" t="s">
        <v>1147</v>
      </c>
      <c r="C21">
        <v>397.67</v>
      </c>
      <c r="D21">
        <v>181809</v>
      </c>
      <c r="E21">
        <v>457.19</v>
      </c>
      <c r="F21">
        <v>4.28</v>
      </c>
      <c r="G21">
        <v>66.67</v>
      </c>
      <c r="H21" t="str">
        <f t="shared" si="0"/>
        <v>Bhola|Daulatkhan</v>
      </c>
    </row>
    <row r="22" spans="1:8">
      <c r="A22" t="s">
        <v>1145</v>
      </c>
      <c r="B22" t="s">
        <v>1148</v>
      </c>
      <c r="C22">
        <v>546.4</v>
      </c>
      <c r="D22">
        <v>297669</v>
      </c>
      <c r="E22">
        <v>544.78</v>
      </c>
      <c r="F22">
        <v>4.22</v>
      </c>
      <c r="G22">
        <v>64.63</v>
      </c>
      <c r="H22" t="str">
        <f t="shared" si="0"/>
        <v>Bhola|Lalmohan</v>
      </c>
    </row>
    <row r="23" spans="1:8">
      <c r="A23" t="s">
        <v>1145</v>
      </c>
      <c r="B23" t="s">
        <v>1470</v>
      </c>
      <c r="C23">
        <v>170.5</v>
      </c>
      <c r="D23">
        <v>89743</v>
      </c>
      <c r="E23">
        <v>526.35</v>
      </c>
      <c r="F23">
        <v>4.46</v>
      </c>
      <c r="G23">
        <v>61.29</v>
      </c>
      <c r="H23" t="str">
        <f t="shared" si="0"/>
        <v>Bhola|Monpura</v>
      </c>
    </row>
    <row r="24" spans="1:8">
      <c r="A24" t="s">
        <v>1145</v>
      </c>
      <c r="B24" t="s">
        <v>1149</v>
      </c>
      <c r="C24">
        <v>307.98</v>
      </c>
      <c r="D24">
        <v>134173</v>
      </c>
      <c r="E24">
        <v>435.65</v>
      </c>
      <c r="F24">
        <v>4.1100000000000003</v>
      </c>
      <c r="G24">
        <v>62.43</v>
      </c>
      <c r="H24" t="str">
        <f t="shared" si="0"/>
        <v>Bhola|Tazumuddin</v>
      </c>
    </row>
    <row r="25" spans="1:8">
      <c r="A25" t="s">
        <v>1167</v>
      </c>
      <c r="B25" t="s">
        <v>1166</v>
      </c>
      <c r="C25">
        <v>515.79999999999995</v>
      </c>
      <c r="D25">
        <v>217915</v>
      </c>
      <c r="E25">
        <v>422.48</v>
      </c>
      <c r="F25">
        <v>3.98</v>
      </c>
      <c r="G25">
        <v>83.68</v>
      </c>
      <c r="H25" t="str">
        <f t="shared" si="0"/>
        <v>Jhalokati|Jhalokati Sadar</v>
      </c>
    </row>
    <row r="26" spans="1:8">
      <c r="A26" t="s">
        <v>1167</v>
      </c>
      <c r="B26" t="s">
        <v>1170</v>
      </c>
      <c r="C26">
        <v>208.35</v>
      </c>
      <c r="D26">
        <v>111655</v>
      </c>
      <c r="E26">
        <v>535.9</v>
      </c>
      <c r="F26">
        <v>3.84</v>
      </c>
      <c r="G26">
        <v>81.69</v>
      </c>
      <c r="H26" t="str">
        <f t="shared" si="0"/>
        <v>Jhalokati|Kathalia</v>
      </c>
    </row>
    <row r="27" spans="1:8">
      <c r="A27" t="s">
        <v>1167</v>
      </c>
      <c r="B27" t="s">
        <v>1168</v>
      </c>
      <c r="C27">
        <v>231.52</v>
      </c>
      <c r="D27">
        <v>186882</v>
      </c>
      <c r="E27">
        <v>807.2</v>
      </c>
      <c r="F27">
        <v>4.17</v>
      </c>
      <c r="G27">
        <v>83.29</v>
      </c>
      <c r="H27" t="str">
        <f t="shared" si="0"/>
        <v>Jhalokati|Nalchity</v>
      </c>
    </row>
    <row r="28" spans="1:8">
      <c r="A28" t="s">
        <v>1167</v>
      </c>
      <c r="B28" t="s">
        <v>1169</v>
      </c>
      <c r="C28">
        <v>201.19</v>
      </c>
      <c r="D28">
        <v>144679</v>
      </c>
      <c r="E28">
        <v>719.12</v>
      </c>
      <c r="F28">
        <v>4.03</v>
      </c>
      <c r="G28">
        <v>83.55</v>
      </c>
      <c r="H28" t="str">
        <f t="shared" si="0"/>
        <v>Jhalokati|Rajapur</v>
      </c>
    </row>
    <row r="29" spans="1:8">
      <c r="A29" t="s">
        <v>1137</v>
      </c>
      <c r="B29" t="s">
        <v>1139</v>
      </c>
      <c r="C29">
        <v>353.7</v>
      </c>
      <c r="D29">
        <v>327491</v>
      </c>
      <c r="E29">
        <v>925.9</v>
      </c>
      <c r="F29">
        <v>4.04</v>
      </c>
      <c r="G29">
        <v>76.209999999999994</v>
      </c>
      <c r="H29" t="str">
        <f t="shared" si="0"/>
        <v>Patuakhali|Bauphal</v>
      </c>
    </row>
    <row r="30" spans="1:8">
      <c r="A30" t="s">
        <v>1137</v>
      </c>
      <c r="B30" t="s">
        <v>1141</v>
      </c>
      <c r="C30">
        <v>411.79</v>
      </c>
      <c r="D30">
        <v>130400</v>
      </c>
      <c r="E30">
        <v>316.67</v>
      </c>
      <c r="F30">
        <v>3.92</v>
      </c>
      <c r="G30">
        <v>70.12</v>
      </c>
      <c r="H30" t="str">
        <f t="shared" si="0"/>
        <v>Patuakhali|Dashmina</v>
      </c>
    </row>
    <row r="31" spans="1:8">
      <c r="A31" t="s">
        <v>1137</v>
      </c>
      <c r="B31" t="s">
        <v>1138</v>
      </c>
      <c r="C31">
        <v>240.91</v>
      </c>
      <c r="D31">
        <v>81837</v>
      </c>
      <c r="E31">
        <v>339.7</v>
      </c>
      <c r="F31">
        <v>4.1100000000000003</v>
      </c>
      <c r="G31">
        <v>81.28</v>
      </c>
      <c r="H31" t="str">
        <f t="shared" si="0"/>
        <v>Patuakhali|Dumki</v>
      </c>
    </row>
    <row r="32" spans="1:8">
      <c r="A32" t="s">
        <v>1137</v>
      </c>
      <c r="B32" t="s">
        <v>1140</v>
      </c>
      <c r="C32">
        <v>483.06</v>
      </c>
      <c r="D32">
        <v>300217</v>
      </c>
      <c r="E32">
        <v>621.49</v>
      </c>
      <c r="F32">
        <v>3.96</v>
      </c>
      <c r="G32">
        <v>73.62</v>
      </c>
      <c r="H32" t="str">
        <f t="shared" si="0"/>
        <v>Patuakhali|Galachipa</v>
      </c>
    </row>
    <row r="33" spans="1:8">
      <c r="A33" t="s">
        <v>1137</v>
      </c>
      <c r="B33" t="s">
        <v>1142</v>
      </c>
      <c r="C33">
        <v>483.92</v>
      </c>
      <c r="D33">
        <v>286988</v>
      </c>
      <c r="E33">
        <v>593.04999999999995</v>
      </c>
      <c r="F33">
        <v>4</v>
      </c>
      <c r="G33">
        <v>80.099999999999994</v>
      </c>
      <c r="H33" t="str">
        <f t="shared" si="0"/>
        <v>Patuakhali|Kalapara</v>
      </c>
    </row>
    <row r="34" spans="1:8">
      <c r="A34" t="s">
        <v>1137</v>
      </c>
      <c r="B34" t="s">
        <v>1471</v>
      </c>
      <c r="C34">
        <v>490.52</v>
      </c>
      <c r="D34">
        <v>127110</v>
      </c>
      <c r="E34">
        <v>259.13</v>
      </c>
      <c r="F34">
        <v>3.8</v>
      </c>
      <c r="G34">
        <v>79.55</v>
      </c>
      <c r="H34" t="str">
        <f t="shared" si="0"/>
        <v>Patuakhali|Mirzaganj</v>
      </c>
    </row>
    <row r="35" spans="1:8">
      <c r="A35" t="s">
        <v>1137</v>
      </c>
      <c r="B35" t="s">
        <v>1136</v>
      </c>
      <c r="C35">
        <v>362.63</v>
      </c>
      <c r="D35">
        <v>354800</v>
      </c>
      <c r="E35">
        <v>978.41</v>
      </c>
      <c r="F35">
        <v>4.08</v>
      </c>
      <c r="G35">
        <v>79.44</v>
      </c>
      <c r="H35" t="str">
        <f t="shared" si="0"/>
        <v>Patuakhali|Patuakhali Sadar</v>
      </c>
    </row>
    <row r="36" spans="1:8">
      <c r="A36" t="s">
        <v>1137</v>
      </c>
      <c r="B36" t="s">
        <v>1143</v>
      </c>
      <c r="C36">
        <v>219.15</v>
      </c>
      <c r="D36">
        <v>118375</v>
      </c>
      <c r="E36">
        <v>540.16</v>
      </c>
      <c r="F36">
        <v>4.16</v>
      </c>
      <c r="G36">
        <v>70.22</v>
      </c>
      <c r="H36" t="str">
        <f t="shared" si="0"/>
        <v>Patuakhali|Rangabali</v>
      </c>
    </row>
    <row r="37" spans="1:8">
      <c r="A37" t="s">
        <v>1172</v>
      </c>
      <c r="B37" t="s">
        <v>1175</v>
      </c>
      <c r="C37">
        <v>414.43</v>
      </c>
      <c r="D37">
        <v>163648</v>
      </c>
      <c r="E37">
        <v>394.87</v>
      </c>
      <c r="F37">
        <v>3.91</v>
      </c>
      <c r="G37">
        <v>84.51</v>
      </c>
      <c r="H37" t="str">
        <f t="shared" si="0"/>
        <v>Pirojpur|Bhandaria</v>
      </c>
    </row>
    <row r="38" spans="1:8">
      <c r="A38" t="s">
        <v>1172</v>
      </c>
      <c r="B38" t="s">
        <v>1176</v>
      </c>
      <c r="C38">
        <v>233.65</v>
      </c>
      <c r="D38">
        <v>70781</v>
      </c>
      <c r="E38">
        <v>302.94</v>
      </c>
      <c r="F38">
        <v>3.85</v>
      </c>
      <c r="G38">
        <v>86.92</v>
      </c>
      <c r="H38" t="str">
        <f t="shared" si="0"/>
        <v>Pirojpur|Kawkhali</v>
      </c>
    </row>
    <row r="39" spans="1:8">
      <c r="A39" t="s">
        <v>1172</v>
      </c>
      <c r="B39" t="s">
        <v>1177</v>
      </c>
      <c r="C39">
        <v>128.91999999999999</v>
      </c>
      <c r="D39">
        <v>277614</v>
      </c>
      <c r="E39">
        <v>2153.38</v>
      </c>
      <c r="F39">
        <v>3.86</v>
      </c>
      <c r="G39">
        <v>84.95</v>
      </c>
      <c r="H39" t="str">
        <f t="shared" si="0"/>
        <v>Pirojpur|Mathbaria</v>
      </c>
    </row>
    <row r="40" spans="1:8">
      <c r="A40" t="s">
        <v>1172</v>
      </c>
      <c r="B40" t="s">
        <v>1173</v>
      </c>
      <c r="C40">
        <v>156.6</v>
      </c>
      <c r="D40">
        <v>187988</v>
      </c>
      <c r="E40">
        <v>1200.43</v>
      </c>
      <c r="F40">
        <v>4.03</v>
      </c>
      <c r="G40">
        <v>83.87</v>
      </c>
      <c r="H40" t="str">
        <f t="shared" si="0"/>
        <v>Pirojpur|Nazirpur</v>
      </c>
    </row>
    <row r="41" spans="1:8">
      <c r="A41" t="s">
        <v>1172</v>
      </c>
      <c r="B41" t="s">
        <v>1171</v>
      </c>
      <c r="C41">
        <v>154.13</v>
      </c>
      <c r="D41">
        <v>181703</v>
      </c>
      <c r="E41">
        <v>1178.8900000000001</v>
      </c>
      <c r="F41">
        <v>4.0199999999999996</v>
      </c>
      <c r="G41">
        <v>87.07</v>
      </c>
      <c r="H41" t="str">
        <f t="shared" si="0"/>
        <v>Pirojpur|Pirojpur Sadar</v>
      </c>
    </row>
    <row r="42" spans="1:8">
      <c r="A42" t="s">
        <v>1172</v>
      </c>
      <c r="B42" t="s">
        <v>1472</v>
      </c>
      <c r="C42">
        <v>401.34</v>
      </c>
      <c r="D42">
        <v>230966</v>
      </c>
      <c r="E42">
        <v>575.49</v>
      </c>
      <c r="F42">
        <v>4.03</v>
      </c>
      <c r="G42">
        <v>88.2</v>
      </c>
      <c r="H42" t="str">
        <f t="shared" si="0"/>
        <v>Pirojpur|Nesarabad (Swarupkathi)</v>
      </c>
    </row>
    <row r="43" spans="1:8">
      <c r="A43" t="s">
        <v>1172</v>
      </c>
      <c r="B43" t="s">
        <v>1174</v>
      </c>
      <c r="C43">
        <v>273.94</v>
      </c>
      <c r="D43">
        <v>85454</v>
      </c>
      <c r="E43">
        <v>311.94</v>
      </c>
      <c r="F43">
        <v>4.09</v>
      </c>
      <c r="G43">
        <v>81.260000000000005</v>
      </c>
      <c r="H43" t="str">
        <f t="shared" si="0"/>
        <v>Pirojpur|Indurkani</v>
      </c>
    </row>
    <row r="44" spans="1:8">
      <c r="A44" t="s">
        <v>909</v>
      </c>
      <c r="B44" t="s">
        <v>1578</v>
      </c>
      <c r="C44">
        <v>447.7</v>
      </c>
      <c r="D44">
        <v>63799</v>
      </c>
      <c r="E44">
        <v>142.5</v>
      </c>
      <c r="F44">
        <v>4.7300000000000004</v>
      </c>
      <c r="G44">
        <v>57.14</v>
      </c>
      <c r="H44" t="str">
        <f t="shared" si="0"/>
        <v>Bandarban|Ali kadam</v>
      </c>
    </row>
    <row r="45" spans="1:8">
      <c r="A45" t="s">
        <v>909</v>
      </c>
      <c r="B45" t="s">
        <v>1451</v>
      </c>
      <c r="C45">
        <v>671.84</v>
      </c>
      <c r="D45">
        <v>111096</v>
      </c>
      <c r="E45">
        <v>165.36</v>
      </c>
      <c r="F45">
        <v>4.13</v>
      </c>
      <c r="G45">
        <v>73.86</v>
      </c>
      <c r="H45" t="str">
        <f t="shared" si="0"/>
        <v>Bandarban|Bandarban Sadar</v>
      </c>
    </row>
    <row r="46" spans="1:8">
      <c r="A46" t="s">
        <v>909</v>
      </c>
      <c r="B46" t="s">
        <v>1453</v>
      </c>
      <c r="C46">
        <v>314.73</v>
      </c>
      <c r="D46">
        <v>139681</v>
      </c>
      <c r="E46">
        <v>443.81</v>
      </c>
      <c r="F46">
        <v>4.47</v>
      </c>
      <c r="G46">
        <v>65.73</v>
      </c>
      <c r="H46" t="str">
        <f t="shared" si="0"/>
        <v>Bandarban|Lama</v>
      </c>
    </row>
    <row r="47" spans="1:8">
      <c r="A47" t="s">
        <v>909</v>
      </c>
      <c r="B47" t="s">
        <v>1454</v>
      </c>
      <c r="C47">
        <v>546.49</v>
      </c>
      <c r="D47">
        <v>76475</v>
      </c>
      <c r="E47">
        <v>139.94</v>
      </c>
      <c r="F47">
        <v>4.67</v>
      </c>
      <c r="G47">
        <v>64.11</v>
      </c>
      <c r="H47" t="str">
        <f t="shared" si="0"/>
        <v>Bandarban|Naikhongchhari</v>
      </c>
    </row>
    <row r="48" spans="1:8">
      <c r="A48" t="s">
        <v>909</v>
      </c>
      <c r="B48" t="s">
        <v>1456</v>
      </c>
      <c r="C48">
        <v>386.87</v>
      </c>
      <c r="D48">
        <v>27719</v>
      </c>
      <c r="E48">
        <v>71.650000000000006</v>
      </c>
      <c r="F48">
        <v>3.81</v>
      </c>
      <c r="G48">
        <v>55.27</v>
      </c>
      <c r="H48" t="str">
        <f t="shared" si="0"/>
        <v>Bandarban|Rowangchhari</v>
      </c>
    </row>
    <row r="49" spans="1:8">
      <c r="A49" t="s">
        <v>909</v>
      </c>
      <c r="B49" t="s">
        <v>1457</v>
      </c>
      <c r="C49">
        <v>915</v>
      </c>
      <c r="D49">
        <v>32533</v>
      </c>
      <c r="E49">
        <v>35.56</v>
      </c>
      <c r="F49">
        <v>4.3499999999999996</v>
      </c>
      <c r="G49">
        <v>50.26</v>
      </c>
      <c r="H49" t="str">
        <f t="shared" si="0"/>
        <v>Bandarban|Ruma</v>
      </c>
    </row>
    <row r="50" spans="1:8">
      <c r="A50" t="s">
        <v>909</v>
      </c>
      <c r="B50" t="s">
        <v>1452</v>
      </c>
      <c r="C50">
        <v>1021.8</v>
      </c>
      <c r="D50">
        <v>29790</v>
      </c>
      <c r="E50">
        <v>29.15</v>
      </c>
      <c r="F50">
        <v>4.57</v>
      </c>
      <c r="G50">
        <v>50.68</v>
      </c>
      <c r="H50" t="str">
        <f t="shared" si="0"/>
        <v>Bandarban|Thanchi</v>
      </c>
    </row>
    <row r="51" spans="1:8">
      <c r="A51" t="s">
        <v>1356</v>
      </c>
      <c r="B51" t="s">
        <v>1362</v>
      </c>
      <c r="C51">
        <v>498.31</v>
      </c>
      <c r="D51">
        <v>168451</v>
      </c>
      <c r="E51">
        <v>338.04</v>
      </c>
      <c r="F51">
        <v>4.46</v>
      </c>
      <c r="G51">
        <v>76.58</v>
      </c>
      <c r="H51" t="str">
        <f t="shared" si="0"/>
        <v>Brahmanbaria|Akhaura</v>
      </c>
    </row>
    <row r="52" spans="1:8">
      <c r="A52" t="s">
        <v>1356</v>
      </c>
      <c r="B52" t="s">
        <v>1363</v>
      </c>
      <c r="C52">
        <v>217.88</v>
      </c>
      <c r="D52">
        <v>335102</v>
      </c>
      <c r="E52">
        <v>1538.01</v>
      </c>
      <c r="F52">
        <v>4.22</v>
      </c>
      <c r="G52">
        <v>68.55</v>
      </c>
      <c r="H52" t="str">
        <f t="shared" si="0"/>
        <v>Brahmanbaria|Bancharampur</v>
      </c>
    </row>
    <row r="53" spans="1:8">
      <c r="A53" t="s">
        <v>1356</v>
      </c>
      <c r="B53" t="s">
        <v>1473</v>
      </c>
      <c r="C53">
        <v>247.58</v>
      </c>
      <c r="D53">
        <v>290424</v>
      </c>
      <c r="E53">
        <v>1173.05</v>
      </c>
      <c r="F53">
        <v>4.6500000000000004</v>
      </c>
      <c r="G53">
        <v>71.790000000000006</v>
      </c>
      <c r="H53" t="str">
        <f t="shared" si="0"/>
        <v>Brahmanbaria|Bijoynagar</v>
      </c>
    </row>
    <row r="54" spans="1:8">
      <c r="A54" t="s">
        <v>1356</v>
      </c>
      <c r="B54" t="s">
        <v>1359</v>
      </c>
      <c r="C54">
        <v>353.13</v>
      </c>
      <c r="D54">
        <v>677213</v>
      </c>
      <c r="E54">
        <v>1917.74</v>
      </c>
      <c r="F54">
        <v>4.6500000000000004</v>
      </c>
      <c r="G54">
        <v>78.05</v>
      </c>
      <c r="H54" t="str">
        <f t="shared" si="0"/>
        <v>Brahmanbaria|Brahmanbaria Sadar</v>
      </c>
    </row>
    <row r="55" spans="1:8">
      <c r="A55" t="s">
        <v>1356</v>
      </c>
      <c r="B55" t="s">
        <v>1358</v>
      </c>
      <c r="C55">
        <v>67.58</v>
      </c>
      <c r="D55">
        <v>210347</v>
      </c>
      <c r="E55">
        <v>3112.56</v>
      </c>
      <c r="F55">
        <v>4.74</v>
      </c>
      <c r="G55">
        <v>74.06</v>
      </c>
      <c r="H55" t="str">
        <f t="shared" si="0"/>
        <v>Brahmanbaria|Ashuganj</v>
      </c>
    </row>
    <row r="56" spans="1:8">
      <c r="A56" t="s">
        <v>1356</v>
      </c>
      <c r="B56" t="s">
        <v>1361</v>
      </c>
      <c r="C56">
        <v>209</v>
      </c>
      <c r="D56">
        <v>357954</v>
      </c>
      <c r="E56">
        <v>1712.7</v>
      </c>
      <c r="F56">
        <v>4.41</v>
      </c>
      <c r="G56">
        <v>77.099999999999994</v>
      </c>
      <c r="H56" t="str">
        <f t="shared" si="0"/>
        <v>Brahmanbaria|Kasba</v>
      </c>
    </row>
    <row r="57" spans="1:8">
      <c r="A57" t="s">
        <v>1356</v>
      </c>
      <c r="B57" t="s">
        <v>1355</v>
      </c>
      <c r="C57">
        <v>869.55</v>
      </c>
      <c r="D57">
        <v>555807</v>
      </c>
      <c r="E57">
        <v>639.19000000000005</v>
      </c>
      <c r="F57">
        <v>4.4800000000000004</v>
      </c>
      <c r="G57">
        <v>70.87</v>
      </c>
      <c r="H57" t="str">
        <f t="shared" si="0"/>
        <v>Brahmanbaria|Nabinagar</v>
      </c>
    </row>
    <row r="58" spans="1:8">
      <c r="A58" t="s">
        <v>1356</v>
      </c>
      <c r="B58" t="s">
        <v>1364</v>
      </c>
      <c r="C58">
        <v>331.61</v>
      </c>
      <c r="D58">
        <v>346757</v>
      </c>
      <c r="E58">
        <v>1045.68</v>
      </c>
      <c r="F58">
        <v>4.83</v>
      </c>
      <c r="G58">
        <v>61.97</v>
      </c>
      <c r="H58" t="str">
        <f t="shared" si="0"/>
        <v>Brahmanbaria|Nasirnagar</v>
      </c>
    </row>
    <row r="59" spans="1:8">
      <c r="A59" t="s">
        <v>1356</v>
      </c>
      <c r="B59" t="s">
        <v>1357</v>
      </c>
      <c r="C59">
        <v>227.22</v>
      </c>
      <c r="D59">
        <v>364352</v>
      </c>
      <c r="E59">
        <v>1603.52</v>
      </c>
      <c r="F59">
        <v>4.8099999999999996</v>
      </c>
      <c r="G59">
        <v>67.8</v>
      </c>
      <c r="H59" t="str">
        <f t="shared" si="0"/>
        <v>Brahmanbaria|Sarail</v>
      </c>
    </row>
    <row r="60" spans="1:8">
      <c r="A60" t="s">
        <v>1378</v>
      </c>
      <c r="B60" t="s">
        <v>1381</v>
      </c>
      <c r="C60">
        <v>308.77</v>
      </c>
      <c r="D60">
        <v>534577</v>
      </c>
      <c r="E60">
        <v>1731.31</v>
      </c>
      <c r="F60">
        <v>4.0999999999999996</v>
      </c>
      <c r="G60">
        <v>79.03</v>
      </c>
      <c r="H60" t="str">
        <f t="shared" si="0"/>
        <v>Chandpur|Chandpur Sadar</v>
      </c>
    </row>
    <row r="61" spans="1:8">
      <c r="A61" t="s">
        <v>1378</v>
      </c>
      <c r="B61" t="s">
        <v>1382</v>
      </c>
      <c r="C61">
        <v>427.79</v>
      </c>
      <c r="D61">
        <v>433244</v>
      </c>
      <c r="E61">
        <v>1012.75</v>
      </c>
      <c r="F61">
        <v>4</v>
      </c>
      <c r="G61">
        <v>79.89</v>
      </c>
      <c r="H61" t="str">
        <f t="shared" si="0"/>
        <v>Chandpur|Faridganj</v>
      </c>
    </row>
    <row r="62" spans="1:8">
      <c r="A62" t="s">
        <v>1378</v>
      </c>
      <c r="B62" t="s">
        <v>1474</v>
      </c>
      <c r="C62">
        <v>174.29</v>
      </c>
      <c r="D62">
        <v>124833</v>
      </c>
      <c r="E62">
        <v>716.24</v>
      </c>
      <c r="F62">
        <v>3.96</v>
      </c>
      <c r="G62">
        <v>71.97</v>
      </c>
      <c r="H62" t="str">
        <f t="shared" si="0"/>
        <v>Chandpur|Haimchar</v>
      </c>
    </row>
    <row r="63" spans="1:8">
      <c r="A63" t="s">
        <v>1378</v>
      </c>
      <c r="B63" t="s">
        <v>1383</v>
      </c>
      <c r="C63">
        <v>193.87</v>
      </c>
      <c r="D63">
        <v>360346</v>
      </c>
      <c r="E63">
        <v>1858.7</v>
      </c>
      <c r="F63">
        <v>4.22</v>
      </c>
      <c r="G63">
        <v>80.459999999999994</v>
      </c>
      <c r="H63" t="str">
        <f t="shared" si="0"/>
        <v>Chandpur|Hajiganj</v>
      </c>
    </row>
    <row r="64" spans="1:8">
      <c r="A64" t="s">
        <v>1378</v>
      </c>
      <c r="B64" t="s">
        <v>1107</v>
      </c>
      <c r="C64">
        <v>235.82</v>
      </c>
      <c r="D64">
        <v>405483</v>
      </c>
      <c r="E64">
        <v>1719.46</v>
      </c>
      <c r="F64">
        <v>4.17</v>
      </c>
      <c r="G64">
        <v>75.02</v>
      </c>
      <c r="H64" t="str">
        <f t="shared" si="0"/>
        <v>Chandpur|Kachua</v>
      </c>
    </row>
    <row r="65" spans="1:8">
      <c r="A65" t="s">
        <v>1378</v>
      </c>
      <c r="B65" t="s">
        <v>1475</v>
      </c>
      <c r="C65">
        <v>386.05</v>
      </c>
      <c r="D65">
        <v>226718</v>
      </c>
      <c r="E65">
        <v>587.28</v>
      </c>
      <c r="F65">
        <v>4.01</v>
      </c>
      <c r="G65">
        <v>75.819999999999993</v>
      </c>
      <c r="H65" t="str">
        <f t="shared" si="0"/>
        <v>Chandpur|Matlab Dakkhin</v>
      </c>
    </row>
    <row r="66" spans="1:8">
      <c r="A66" t="s">
        <v>1378</v>
      </c>
      <c r="B66" t="s">
        <v>1379</v>
      </c>
      <c r="C66">
        <v>204.65</v>
      </c>
      <c r="D66">
        <v>295814</v>
      </c>
      <c r="E66">
        <v>1445.46</v>
      </c>
      <c r="F66">
        <v>3.95</v>
      </c>
      <c r="G66">
        <v>76.97</v>
      </c>
      <c r="H66" t="str">
        <f t="shared" ref="H66:H129" si="1">TRIM(A66)&amp;"|"&amp;TRIM(B66)</f>
        <v>Chandpur|Matlab Uttar</v>
      </c>
    </row>
    <row r="67" spans="1:8">
      <c r="A67" t="s">
        <v>1378</v>
      </c>
      <c r="B67" t="s">
        <v>1384</v>
      </c>
      <c r="C67">
        <v>154.13</v>
      </c>
      <c r="D67">
        <v>254653</v>
      </c>
      <c r="E67">
        <v>1652.2</v>
      </c>
      <c r="F67">
        <v>4.3</v>
      </c>
      <c r="G67">
        <v>82.33</v>
      </c>
      <c r="H67" t="str">
        <f t="shared" si="1"/>
        <v>Chandpur|Shahrasti</v>
      </c>
    </row>
    <row r="68" spans="1:8">
      <c r="A68" t="s">
        <v>742</v>
      </c>
      <c r="B68" t="s">
        <v>1420</v>
      </c>
      <c r="C68">
        <v>164.13</v>
      </c>
      <c r="D68">
        <v>319482</v>
      </c>
      <c r="E68">
        <v>1946.52</v>
      </c>
      <c r="F68">
        <v>4.55</v>
      </c>
      <c r="G68">
        <v>75.900000000000006</v>
      </c>
      <c r="H68" t="str">
        <f t="shared" si="1"/>
        <v>Chittagong|Anwara</v>
      </c>
    </row>
    <row r="69" spans="1:8">
      <c r="A69" t="s">
        <v>742</v>
      </c>
      <c r="B69" t="s">
        <v>1423</v>
      </c>
      <c r="C69">
        <v>390.5</v>
      </c>
      <c r="D69">
        <v>537555</v>
      </c>
      <c r="E69">
        <v>1376.58</v>
      </c>
      <c r="F69">
        <v>4.75</v>
      </c>
      <c r="G69">
        <v>71.319999999999993</v>
      </c>
      <c r="H69" t="str">
        <f t="shared" si="1"/>
        <v>Chittagong|Banshkhali</v>
      </c>
    </row>
    <row r="70" spans="1:8">
      <c r="A70" t="s">
        <v>742</v>
      </c>
      <c r="B70" t="s">
        <v>1415</v>
      </c>
      <c r="C70">
        <v>145.66999999999999</v>
      </c>
      <c r="D70">
        <v>258675</v>
      </c>
      <c r="E70">
        <v>1775.76</v>
      </c>
      <c r="F70">
        <v>4.4400000000000004</v>
      </c>
      <c r="G70">
        <v>83.45</v>
      </c>
      <c r="H70" t="str">
        <f t="shared" si="1"/>
        <v>Chittagong|Boalkhali</v>
      </c>
    </row>
    <row r="71" spans="1:8">
      <c r="A71" t="s">
        <v>742</v>
      </c>
      <c r="B71" t="s">
        <v>1416</v>
      </c>
      <c r="C71">
        <v>324.13</v>
      </c>
      <c r="D71">
        <v>252238</v>
      </c>
      <c r="E71">
        <v>778.2</v>
      </c>
      <c r="F71">
        <v>4.4400000000000004</v>
      </c>
      <c r="G71">
        <v>79.69</v>
      </c>
      <c r="H71" t="str">
        <f t="shared" si="1"/>
        <v>Chittagong|Chandanaish</v>
      </c>
    </row>
    <row r="72" spans="1:8">
      <c r="A72" t="s">
        <v>742</v>
      </c>
      <c r="B72" t="s">
        <v>1409</v>
      </c>
      <c r="C72">
        <v>773.55</v>
      </c>
      <c r="D72">
        <v>642076</v>
      </c>
      <c r="E72">
        <v>830.04</v>
      </c>
      <c r="F72">
        <v>4.3899999999999997</v>
      </c>
      <c r="G72">
        <v>76.11</v>
      </c>
      <c r="H72" t="str">
        <f t="shared" si="1"/>
        <v>Chittagong|Fatikchhari</v>
      </c>
    </row>
    <row r="73" spans="1:8">
      <c r="A73" t="s">
        <v>742</v>
      </c>
      <c r="B73" t="s">
        <v>1412</v>
      </c>
      <c r="C73">
        <v>293.5</v>
      </c>
      <c r="D73">
        <v>498179</v>
      </c>
      <c r="E73">
        <v>1697.37</v>
      </c>
      <c r="F73">
        <v>4.37</v>
      </c>
      <c r="G73">
        <v>86.28</v>
      </c>
      <c r="H73" t="str">
        <f t="shared" si="1"/>
        <v>Chittagong|Hathazari</v>
      </c>
    </row>
    <row r="74" spans="1:8">
      <c r="A74" t="s">
        <v>742</v>
      </c>
      <c r="B74" t="s">
        <v>1421</v>
      </c>
      <c r="C74">
        <v>99.87</v>
      </c>
      <c r="D74">
        <v>203697</v>
      </c>
      <c r="E74">
        <v>2039.62</v>
      </c>
      <c r="F74">
        <v>4.62</v>
      </c>
      <c r="G74">
        <v>77.150000000000006</v>
      </c>
      <c r="H74" t="str">
        <f t="shared" si="1"/>
        <v>Chittagong|Karnaphuli</v>
      </c>
    </row>
    <row r="75" spans="1:8">
      <c r="A75" t="s">
        <v>742</v>
      </c>
      <c r="B75" t="s">
        <v>1101</v>
      </c>
      <c r="C75">
        <v>258.87</v>
      </c>
      <c r="D75">
        <v>328206</v>
      </c>
      <c r="E75">
        <v>1267.8399999999999</v>
      </c>
      <c r="F75">
        <v>4.5</v>
      </c>
      <c r="G75">
        <v>82.41</v>
      </c>
      <c r="H75" t="str">
        <f t="shared" si="1"/>
        <v>Chittagong|Lohagara</v>
      </c>
    </row>
    <row r="76" spans="1:8">
      <c r="A76" t="s">
        <v>742</v>
      </c>
      <c r="B76" t="s">
        <v>1408</v>
      </c>
      <c r="C76">
        <v>324.13</v>
      </c>
      <c r="D76">
        <v>472777</v>
      </c>
      <c r="E76">
        <v>1458.6</v>
      </c>
      <c r="F76">
        <v>4.1900000000000004</v>
      </c>
      <c r="G76">
        <v>79.61</v>
      </c>
      <c r="H76" t="str">
        <f t="shared" si="1"/>
        <v>Chittagong|Mirsharai</v>
      </c>
    </row>
    <row r="77" spans="1:8">
      <c r="A77" t="s">
        <v>742</v>
      </c>
      <c r="B77" t="s">
        <v>1419</v>
      </c>
      <c r="C77">
        <v>203.92</v>
      </c>
      <c r="D77">
        <v>397672</v>
      </c>
      <c r="E77">
        <v>1950.14</v>
      </c>
      <c r="F77">
        <v>4.4800000000000004</v>
      </c>
      <c r="G77">
        <v>81.099999999999994</v>
      </c>
      <c r="H77" t="str">
        <f t="shared" si="1"/>
        <v>Chittagong|Patiya</v>
      </c>
    </row>
    <row r="78" spans="1:8">
      <c r="A78" t="s">
        <v>742</v>
      </c>
      <c r="B78" t="s">
        <v>1414</v>
      </c>
      <c r="C78">
        <v>351.32</v>
      </c>
      <c r="D78">
        <v>392898</v>
      </c>
      <c r="E78">
        <v>1118.3499999999999</v>
      </c>
      <c r="F78">
        <v>4.29</v>
      </c>
      <c r="G78">
        <v>77.599999999999994</v>
      </c>
      <c r="H78" t="str">
        <f t="shared" si="1"/>
        <v>Chittagong|Rangunia</v>
      </c>
    </row>
    <row r="79" spans="1:8">
      <c r="A79" t="s">
        <v>742</v>
      </c>
      <c r="B79" t="s">
        <v>1413</v>
      </c>
      <c r="C79">
        <v>198.53</v>
      </c>
      <c r="D79">
        <v>396350</v>
      </c>
      <c r="E79">
        <v>1996.42</v>
      </c>
      <c r="F79">
        <v>4.42</v>
      </c>
      <c r="G79">
        <v>84.87</v>
      </c>
      <c r="H79" t="str">
        <f t="shared" si="1"/>
        <v>Chittagong|Raozan</v>
      </c>
    </row>
    <row r="80" spans="1:8">
      <c r="A80" t="s">
        <v>742</v>
      </c>
      <c r="B80" t="s">
        <v>1410</v>
      </c>
      <c r="C80">
        <v>762.42</v>
      </c>
      <c r="D80">
        <v>327553</v>
      </c>
      <c r="E80">
        <v>429.62</v>
      </c>
      <c r="F80">
        <v>4.4000000000000004</v>
      </c>
      <c r="G80">
        <v>74.14</v>
      </c>
      <c r="H80" t="str">
        <f t="shared" si="1"/>
        <v>Chittagong|Sandwip</v>
      </c>
    </row>
    <row r="81" spans="1:8">
      <c r="A81" t="s">
        <v>742</v>
      </c>
      <c r="B81" t="s">
        <v>1422</v>
      </c>
      <c r="C81">
        <v>412.7</v>
      </c>
      <c r="D81">
        <v>454051</v>
      </c>
      <c r="E81">
        <v>1100.2</v>
      </c>
      <c r="F81">
        <v>4.43</v>
      </c>
      <c r="G81">
        <v>80.84</v>
      </c>
      <c r="H81" t="str">
        <f t="shared" si="1"/>
        <v>Chittagong|Satkania</v>
      </c>
    </row>
    <row r="82" spans="1:8">
      <c r="A82" t="s">
        <v>742</v>
      </c>
      <c r="B82" t="s">
        <v>1411</v>
      </c>
      <c r="C82">
        <v>336.59</v>
      </c>
      <c r="D82">
        <v>457368</v>
      </c>
      <c r="E82">
        <v>1358.83</v>
      </c>
      <c r="F82">
        <v>4.3</v>
      </c>
      <c r="G82">
        <v>78.33</v>
      </c>
      <c r="H82" t="str">
        <f t="shared" si="1"/>
        <v>Chittagong|Sitakunda</v>
      </c>
    </row>
    <row r="83" spans="1:8">
      <c r="A83" t="s">
        <v>1391</v>
      </c>
      <c r="B83" t="s">
        <v>1374</v>
      </c>
      <c r="C83">
        <v>248.58</v>
      </c>
      <c r="D83">
        <v>456328</v>
      </c>
      <c r="E83">
        <v>1835.74</v>
      </c>
      <c r="F83">
        <v>4.1900000000000004</v>
      </c>
      <c r="G83">
        <v>74.83</v>
      </c>
      <c r="H83" t="str">
        <f t="shared" si="1"/>
        <v>Comilla|Barura</v>
      </c>
    </row>
    <row r="84" spans="1:8">
      <c r="A84" t="s">
        <v>1391</v>
      </c>
      <c r="B84" t="s">
        <v>1371</v>
      </c>
      <c r="C84">
        <v>344.15</v>
      </c>
      <c r="D84">
        <v>232626</v>
      </c>
      <c r="E84">
        <v>675.94</v>
      </c>
      <c r="F84">
        <v>4.5599999999999996</v>
      </c>
      <c r="G84">
        <v>77.31</v>
      </c>
      <c r="H84" t="str">
        <f t="shared" si="1"/>
        <v>Comilla|Brahmanpara</v>
      </c>
    </row>
    <row r="85" spans="1:8">
      <c r="A85" t="s">
        <v>1391</v>
      </c>
      <c r="B85" t="s">
        <v>1372</v>
      </c>
      <c r="C85">
        <v>201.82</v>
      </c>
      <c r="D85">
        <v>349628</v>
      </c>
      <c r="E85">
        <v>1732.38</v>
      </c>
      <c r="F85">
        <v>4.41</v>
      </c>
      <c r="G85">
        <v>79.63</v>
      </c>
      <c r="H85" t="str">
        <f t="shared" si="1"/>
        <v>Comilla|Burichang</v>
      </c>
    </row>
    <row r="86" spans="1:8">
      <c r="A86" t="s">
        <v>1391</v>
      </c>
      <c r="B86" t="s">
        <v>1373</v>
      </c>
      <c r="C86">
        <v>413.94</v>
      </c>
      <c r="D86">
        <v>394860</v>
      </c>
      <c r="E86">
        <v>953.91</v>
      </c>
      <c r="F86">
        <v>4.17</v>
      </c>
      <c r="G86">
        <v>74.239999999999995</v>
      </c>
      <c r="H86" t="str">
        <f t="shared" si="1"/>
        <v>Comilla|Chandina</v>
      </c>
    </row>
    <row r="87" spans="1:8">
      <c r="A87" t="s">
        <v>1391</v>
      </c>
      <c r="B87" t="s">
        <v>1377</v>
      </c>
      <c r="C87">
        <v>271.91000000000003</v>
      </c>
      <c r="D87">
        <v>501803</v>
      </c>
      <c r="E87">
        <v>1845.47</v>
      </c>
      <c r="F87">
        <v>4.41</v>
      </c>
      <c r="G87">
        <v>79.290000000000006</v>
      </c>
      <c r="H87" t="str">
        <f t="shared" si="1"/>
        <v>Comilla|Chauddagram</v>
      </c>
    </row>
    <row r="88" spans="1:8">
      <c r="A88" t="s">
        <v>1391</v>
      </c>
      <c r="B88" t="s">
        <v>1476</v>
      </c>
      <c r="C88">
        <v>170.99</v>
      </c>
      <c r="D88">
        <v>184314</v>
      </c>
      <c r="E88">
        <v>1077.92</v>
      </c>
      <c r="F88">
        <v>4.4000000000000004</v>
      </c>
      <c r="G88">
        <v>76.69</v>
      </c>
      <c r="H88" t="str">
        <f t="shared" si="1"/>
        <v>Comilla|Sadar Dakkhin</v>
      </c>
    </row>
    <row r="89" spans="1:8">
      <c r="A89" t="s">
        <v>1391</v>
      </c>
      <c r="B89" t="s">
        <v>1365</v>
      </c>
      <c r="C89">
        <v>308.45999999999998</v>
      </c>
      <c r="D89">
        <v>406394</v>
      </c>
      <c r="E89">
        <v>1317.49</v>
      </c>
      <c r="F89">
        <v>4.24</v>
      </c>
      <c r="G89">
        <v>75.849999999999994</v>
      </c>
      <c r="H89" t="str">
        <f t="shared" si="1"/>
        <v>Comilla|Daudkandi</v>
      </c>
    </row>
    <row r="90" spans="1:8">
      <c r="A90" t="s">
        <v>1391</v>
      </c>
      <c r="B90" t="s">
        <v>1370</v>
      </c>
      <c r="C90">
        <v>148.41</v>
      </c>
      <c r="D90">
        <v>471917</v>
      </c>
      <c r="E90">
        <v>3179.82</v>
      </c>
      <c r="F90">
        <v>4.3499999999999996</v>
      </c>
      <c r="G90">
        <v>76.56</v>
      </c>
      <c r="H90" t="str">
        <f t="shared" si="1"/>
        <v>Comilla|Debidwar</v>
      </c>
    </row>
    <row r="91" spans="1:8">
      <c r="A91" t="s">
        <v>1391</v>
      </c>
      <c r="B91" t="s">
        <v>1367</v>
      </c>
      <c r="C91">
        <v>386.13</v>
      </c>
      <c r="D91">
        <v>227529</v>
      </c>
      <c r="E91">
        <v>589.25</v>
      </c>
      <c r="F91">
        <v>4.22</v>
      </c>
      <c r="G91">
        <v>68.819999999999993</v>
      </c>
      <c r="H91" t="str">
        <f t="shared" si="1"/>
        <v>Comilla|Homna</v>
      </c>
    </row>
    <row r="92" spans="1:8">
      <c r="A92" t="s">
        <v>1391</v>
      </c>
      <c r="B92" t="s">
        <v>1477</v>
      </c>
      <c r="C92">
        <v>362.44</v>
      </c>
      <c r="D92">
        <v>388414</v>
      </c>
      <c r="E92">
        <v>1071.6600000000001</v>
      </c>
      <c r="F92">
        <v>4.3499999999999996</v>
      </c>
      <c r="G92">
        <v>81.069999999999993</v>
      </c>
      <c r="H92" t="str">
        <f t="shared" si="1"/>
        <v>Comilla|Adarsha Sadar</v>
      </c>
    </row>
    <row r="93" spans="1:8">
      <c r="A93" t="s">
        <v>1391</v>
      </c>
      <c r="B93" t="s">
        <v>1375</v>
      </c>
      <c r="C93">
        <v>246.9</v>
      </c>
      <c r="D93">
        <v>333706</v>
      </c>
      <c r="E93">
        <v>1351.58</v>
      </c>
      <c r="F93">
        <v>4.3899999999999997</v>
      </c>
      <c r="G93">
        <v>77.34</v>
      </c>
      <c r="H93" t="str">
        <f t="shared" si="1"/>
        <v>Comilla|Laksam</v>
      </c>
    </row>
    <row r="94" spans="1:8">
      <c r="A94" t="s">
        <v>1391</v>
      </c>
      <c r="B94" t="s">
        <v>1478</v>
      </c>
      <c r="C94">
        <v>163.47</v>
      </c>
      <c r="D94">
        <v>214999</v>
      </c>
      <c r="E94">
        <v>1315.22</v>
      </c>
      <c r="F94">
        <v>4.2300000000000004</v>
      </c>
      <c r="G94">
        <v>76.08</v>
      </c>
      <c r="H94" t="str">
        <f t="shared" si="1"/>
        <v>Comilla|Lalmai</v>
      </c>
    </row>
    <row r="95" spans="1:8">
      <c r="A95" t="s">
        <v>1391</v>
      </c>
      <c r="B95" t="s">
        <v>1479</v>
      </c>
      <c r="C95">
        <v>274.73</v>
      </c>
      <c r="D95">
        <v>275688</v>
      </c>
      <c r="E95">
        <v>1003.49</v>
      </c>
      <c r="F95">
        <v>4.67</v>
      </c>
      <c r="G95">
        <v>79.06</v>
      </c>
      <c r="H95" t="str">
        <f t="shared" si="1"/>
        <v>Comilla|Manoharganj</v>
      </c>
    </row>
    <row r="96" spans="1:8">
      <c r="A96" t="s">
        <v>1391</v>
      </c>
      <c r="B96" t="s">
        <v>1366</v>
      </c>
      <c r="C96">
        <v>255.29</v>
      </c>
      <c r="D96">
        <v>118801</v>
      </c>
      <c r="E96">
        <v>465.36</v>
      </c>
      <c r="F96">
        <v>4.17</v>
      </c>
      <c r="G96">
        <v>69.16</v>
      </c>
      <c r="H96" t="str">
        <f t="shared" si="1"/>
        <v>Comilla|Meghna</v>
      </c>
    </row>
    <row r="97" spans="1:8">
      <c r="A97" t="s">
        <v>1391</v>
      </c>
      <c r="B97" t="s">
        <v>1369</v>
      </c>
      <c r="C97">
        <v>340.68</v>
      </c>
      <c r="D97">
        <v>582934</v>
      </c>
      <c r="E97">
        <v>1711.09</v>
      </c>
      <c r="F97">
        <v>4.33</v>
      </c>
      <c r="G97">
        <v>72.36</v>
      </c>
      <c r="H97" t="str">
        <f t="shared" si="1"/>
        <v>Comilla|Muradnagar</v>
      </c>
    </row>
    <row r="98" spans="1:8">
      <c r="A98" t="s">
        <v>1391</v>
      </c>
      <c r="B98" t="s">
        <v>1376</v>
      </c>
      <c r="C98">
        <v>276.33</v>
      </c>
      <c r="D98">
        <v>427876</v>
      </c>
      <c r="E98">
        <v>1548.42</v>
      </c>
      <c r="F98">
        <v>4.47</v>
      </c>
      <c r="G98">
        <v>76.47</v>
      </c>
      <c r="H98" t="str">
        <f t="shared" si="1"/>
        <v>Comilla|Nangalkot</v>
      </c>
    </row>
    <row r="99" spans="1:8">
      <c r="A99" t="s">
        <v>1391</v>
      </c>
      <c r="B99" t="s">
        <v>1368</v>
      </c>
      <c r="C99">
        <v>134.47</v>
      </c>
      <c r="D99">
        <v>203940</v>
      </c>
      <c r="E99">
        <v>1516.62</v>
      </c>
      <c r="F99">
        <v>4.2300000000000004</v>
      </c>
      <c r="G99">
        <v>65.17</v>
      </c>
      <c r="H99" t="str">
        <f t="shared" si="1"/>
        <v>Comilla|Titas</v>
      </c>
    </row>
    <row r="100" spans="1:8">
      <c r="A100" t="s">
        <v>1425</v>
      </c>
      <c r="B100" t="s">
        <v>1424</v>
      </c>
      <c r="C100">
        <v>243.23</v>
      </c>
      <c r="D100">
        <v>571274</v>
      </c>
      <c r="E100">
        <v>2348.6999999999998</v>
      </c>
      <c r="F100">
        <v>4.79</v>
      </c>
      <c r="G100">
        <v>76.38</v>
      </c>
      <c r="H100" t="str">
        <f t="shared" si="1"/>
        <v>Cox's Bazar|Chakaria</v>
      </c>
    </row>
    <row r="101" spans="1:8">
      <c r="A101" t="s">
        <v>1425</v>
      </c>
      <c r="B101" t="s">
        <v>1429</v>
      </c>
      <c r="C101">
        <v>229.15</v>
      </c>
      <c r="D101">
        <v>417354</v>
      </c>
      <c r="E101">
        <v>1821.31</v>
      </c>
      <c r="F101">
        <v>4.55</v>
      </c>
      <c r="G101">
        <v>77.59</v>
      </c>
      <c r="H101" t="str">
        <f t="shared" si="1"/>
        <v>Cox's Bazar|Cox's Bazar Sadar</v>
      </c>
    </row>
    <row r="102" spans="1:8">
      <c r="A102" t="s">
        <v>1425</v>
      </c>
      <c r="B102" t="s">
        <v>1480</v>
      </c>
      <c r="C102">
        <v>303.52999999999997</v>
      </c>
      <c r="D102">
        <v>149565</v>
      </c>
      <c r="E102">
        <v>492.75</v>
      </c>
      <c r="F102">
        <v>4.6900000000000004</v>
      </c>
      <c r="G102">
        <v>76.09</v>
      </c>
      <c r="H102" t="str">
        <f t="shared" si="1"/>
        <v>Cox's Bazar|Eidgaon</v>
      </c>
    </row>
    <row r="103" spans="1:8">
      <c r="A103" t="s">
        <v>1425</v>
      </c>
      <c r="B103" t="s">
        <v>1428</v>
      </c>
      <c r="C103">
        <v>215.8</v>
      </c>
      <c r="D103">
        <v>143619</v>
      </c>
      <c r="E103">
        <v>665.52</v>
      </c>
      <c r="F103">
        <v>5.03</v>
      </c>
      <c r="G103">
        <v>70.37</v>
      </c>
      <c r="H103" t="str">
        <f t="shared" si="1"/>
        <v>Cox's Bazar|Kutubdia</v>
      </c>
    </row>
    <row r="104" spans="1:8">
      <c r="A104" t="s">
        <v>1425</v>
      </c>
      <c r="B104" t="s">
        <v>1427</v>
      </c>
      <c r="C104">
        <v>362.18</v>
      </c>
      <c r="D104">
        <v>385500</v>
      </c>
      <c r="E104">
        <v>1064.3900000000001</v>
      </c>
      <c r="F104">
        <v>4.76</v>
      </c>
      <c r="G104">
        <v>63.85</v>
      </c>
      <c r="H104" t="str">
        <f t="shared" si="1"/>
        <v>Cox's Bazar|Maheshkhali</v>
      </c>
    </row>
    <row r="105" spans="1:8">
      <c r="A105" t="s">
        <v>1425</v>
      </c>
      <c r="B105" t="s">
        <v>1426</v>
      </c>
      <c r="C105">
        <v>179.14</v>
      </c>
      <c r="D105">
        <v>214349</v>
      </c>
      <c r="E105">
        <v>1196.54</v>
      </c>
      <c r="F105">
        <v>4.62</v>
      </c>
      <c r="G105">
        <v>70.62</v>
      </c>
      <c r="H105" t="str">
        <f t="shared" si="1"/>
        <v>Cox's Bazar|Pekua</v>
      </c>
    </row>
    <row r="106" spans="1:8">
      <c r="A106" t="s">
        <v>1425</v>
      </c>
      <c r="B106" t="s">
        <v>1430</v>
      </c>
      <c r="C106">
        <v>391.74</v>
      </c>
      <c r="D106">
        <v>344541</v>
      </c>
      <c r="E106">
        <v>879.51</v>
      </c>
      <c r="F106">
        <v>4.76</v>
      </c>
      <c r="G106">
        <v>72.06</v>
      </c>
      <c r="H106" t="str">
        <f t="shared" si="1"/>
        <v>Cox's Bazar|Ramu</v>
      </c>
    </row>
    <row r="107" spans="1:8">
      <c r="A107" t="s">
        <v>1425</v>
      </c>
      <c r="B107" t="s">
        <v>1431</v>
      </c>
      <c r="C107">
        <v>388.68</v>
      </c>
      <c r="D107">
        <v>333840</v>
      </c>
      <c r="E107">
        <v>858.91</v>
      </c>
      <c r="F107">
        <v>4.9800000000000004</v>
      </c>
      <c r="G107">
        <v>64.349999999999994</v>
      </c>
      <c r="H107" t="str">
        <f t="shared" si="1"/>
        <v>Cox's Bazar|Teknaf</v>
      </c>
    </row>
    <row r="108" spans="1:8">
      <c r="A108" t="s">
        <v>1425</v>
      </c>
      <c r="B108" t="s">
        <v>1432</v>
      </c>
      <c r="C108">
        <v>261.91000000000003</v>
      </c>
      <c r="D108">
        <v>263143</v>
      </c>
      <c r="E108">
        <v>1004.71</v>
      </c>
      <c r="F108">
        <v>4.6900000000000004</v>
      </c>
      <c r="G108">
        <v>69.95</v>
      </c>
      <c r="H108" t="str">
        <f t="shared" si="1"/>
        <v>Cox's Bazar|Ukhia</v>
      </c>
    </row>
    <row r="109" spans="1:8">
      <c r="A109" t="s">
        <v>1386</v>
      </c>
      <c r="B109" t="s">
        <v>1385</v>
      </c>
      <c r="C109">
        <v>133.49</v>
      </c>
      <c r="D109">
        <v>208223</v>
      </c>
      <c r="E109">
        <v>1559.84</v>
      </c>
      <c r="F109">
        <v>4.22</v>
      </c>
      <c r="G109">
        <v>81.680000000000007</v>
      </c>
      <c r="H109" t="str">
        <f t="shared" si="1"/>
        <v>Feni|Chhagalnaiya</v>
      </c>
    </row>
    <row r="110" spans="1:8">
      <c r="A110" t="s">
        <v>1386</v>
      </c>
      <c r="B110" t="s">
        <v>1390</v>
      </c>
      <c r="C110">
        <v>165.84</v>
      </c>
      <c r="D110">
        <v>276906</v>
      </c>
      <c r="E110">
        <v>1669.72</v>
      </c>
      <c r="F110">
        <v>4.41</v>
      </c>
      <c r="G110">
        <v>80.099999999999994</v>
      </c>
      <c r="H110" t="str">
        <f t="shared" si="1"/>
        <v>Feni|Daganbhuiyan</v>
      </c>
    </row>
    <row r="111" spans="1:8">
      <c r="A111" t="s">
        <v>1386</v>
      </c>
      <c r="B111" t="s">
        <v>1388</v>
      </c>
      <c r="C111">
        <v>421.92</v>
      </c>
      <c r="D111">
        <v>634303</v>
      </c>
      <c r="E111">
        <v>1503.37</v>
      </c>
      <c r="F111">
        <v>4.2699999999999996</v>
      </c>
      <c r="G111">
        <v>83.17</v>
      </c>
      <c r="H111" t="str">
        <f t="shared" si="1"/>
        <v>Feni|Feni Sadar</v>
      </c>
    </row>
    <row r="112" spans="1:8">
      <c r="A112" t="s">
        <v>1386</v>
      </c>
      <c r="B112" t="s">
        <v>1481</v>
      </c>
      <c r="C112">
        <v>112.7</v>
      </c>
      <c r="D112">
        <v>125444</v>
      </c>
      <c r="E112">
        <v>1113.08</v>
      </c>
      <c r="F112">
        <v>4.32</v>
      </c>
      <c r="G112">
        <v>81.47</v>
      </c>
      <c r="H112" t="str">
        <f t="shared" si="1"/>
        <v>Feni|Fulgazi</v>
      </c>
    </row>
    <row r="113" spans="1:8">
      <c r="A113" t="s">
        <v>1386</v>
      </c>
      <c r="B113" t="s">
        <v>1387</v>
      </c>
      <c r="C113">
        <v>154.33000000000001</v>
      </c>
      <c r="D113">
        <v>113312</v>
      </c>
      <c r="E113">
        <v>734.22</v>
      </c>
      <c r="F113">
        <v>4.3099999999999996</v>
      </c>
      <c r="G113">
        <v>79.209999999999994</v>
      </c>
      <c r="H113" t="str">
        <f t="shared" si="1"/>
        <v>Feni|Parshuram</v>
      </c>
    </row>
    <row r="114" spans="1:8">
      <c r="A114" t="s">
        <v>1386</v>
      </c>
      <c r="B114" t="s">
        <v>1389</v>
      </c>
      <c r="C114">
        <v>238.49</v>
      </c>
      <c r="D114">
        <v>290664</v>
      </c>
      <c r="E114">
        <v>1218.77</v>
      </c>
      <c r="F114">
        <v>4.28</v>
      </c>
      <c r="G114">
        <v>75.84</v>
      </c>
      <c r="H114" t="str">
        <f t="shared" si="1"/>
        <v>Feni|Sonagazi</v>
      </c>
    </row>
    <row r="115" spans="1:8">
      <c r="A115" t="s">
        <v>903</v>
      </c>
      <c r="B115" t="s">
        <v>1435</v>
      </c>
      <c r="C115">
        <v>694.53</v>
      </c>
      <c r="D115">
        <v>115436</v>
      </c>
      <c r="E115">
        <v>166.21</v>
      </c>
      <c r="F115">
        <v>4.01</v>
      </c>
      <c r="G115">
        <v>69.94</v>
      </c>
      <c r="H115" t="str">
        <f t="shared" si="1"/>
        <v>Khagrachhari|Dighinala</v>
      </c>
    </row>
    <row r="116" spans="1:8">
      <c r="A116" t="s">
        <v>903</v>
      </c>
      <c r="B116" t="s">
        <v>1482</v>
      </c>
      <c r="C116">
        <v>145.41</v>
      </c>
      <c r="D116">
        <v>53256</v>
      </c>
      <c r="E116">
        <v>366.25</v>
      </c>
      <c r="F116">
        <v>4.25</v>
      </c>
      <c r="G116">
        <v>66.41</v>
      </c>
      <c r="H116" t="str">
        <f t="shared" si="1"/>
        <v>Khagrachhari|Guimara</v>
      </c>
    </row>
    <row r="117" spans="1:8">
      <c r="A117" t="s">
        <v>903</v>
      </c>
      <c r="B117" t="s">
        <v>1434</v>
      </c>
      <c r="C117">
        <v>273.57</v>
      </c>
      <c r="D117">
        <v>136134</v>
      </c>
      <c r="E117">
        <v>497.62</v>
      </c>
      <c r="F117">
        <v>4.12</v>
      </c>
      <c r="G117">
        <v>77.36</v>
      </c>
      <c r="H117" t="str">
        <f t="shared" si="1"/>
        <v>Khagrachhari|Khagrachhari Sadar</v>
      </c>
    </row>
    <row r="118" spans="1:8">
      <c r="A118" t="s">
        <v>903</v>
      </c>
      <c r="B118" t="s">
        <v>1441</v>
      </c>
      <c r="C118">
        <v>296.36</v>
      </c>
      <c r="D118">
        <v>27148</v>
      </c>
      <c r="E118">
        <v>91.6</v>
      </c>
      <c r="F118">
        <v>4.0999999999999996</v>
      </c>
      <c r="G118">
        <v>62.59</v>
      </c>
      <c r="H118" t="str">
        <f t="shared" si="1"/>
        <v>Khagrachhari|Lakshmichhari</v>
      </c>
    </row>
    <row r="119" spans="1:8">
      <c r="A119" t="s">
        <v>903</v>
      </c>
      <c r="B119" t="s">
        <v>1437</v>
      </c>
      <c r="C119">
        <v>867.98</v>
      </c>
      <c r="D119">
        <v>49076</v>
      </c>
      <c r="E119">
        <v>56.54</v>
      </c>
      <c r="F119">
        <v>4.17</v>
      </c>
      <c r="G119">
        <v>71.2</v>
      </c>
      <c r="H119" t="str">
        <f t="shared" si="1"/>
        <v>Khagrachhari|Mahalchhari</v>
      </c>
    </row>
    <row r="120" spans="1:8">
      <c r="A120" t="s">
        <v>903</v>
      </c>
      <c r="B120" t="s">
        <v>1440</v>
      </c>
      <c r="C120">
        <v>214.39</v>
      </c>
      <c r="D120">
        <v>77024</v>
      </c>
      <c r="E120">
        <v>359.27</v>
      </c>
      <c r="F120">
        <v>4.29</v>
      </c>
      <c r="G120">
        <v>72.44</v>
      </c>
      <c r="H120" t="str">
        <f t="shared" si="1"/>
        <v>Khagrachhari|Manikchhari</v>
      </c>
    </row>
    <row r="121" spans="1:8">
      <c r="A121" t="s">
        <v>903</v>
      </c>
      <c r="B121" t="s">
        <v>1438</v>
      </c>
      <c r="C121">
        <v>705.18</v>
      </c>
      <c r="D121">
        <v>126604</v>
      </c>
      <c r="E121">
        <v>179.53</v>
      </c>
      <c r="F121">
        <v>4.16</v>
      </c>
      <c r="G121">
        <v>71.59</v>
      </c>
      <c r="H121" t="str">
        <f t="shared" si="1"/>
        <v>Khagrachhari|Matiranga</v>
      </c>
    </row>
    <row r="122" spans="1:8">
      <c r="A122" t="s">
        <v>903</v>
      </c>
      <c r="B122" t="s">
        <v>1436</v>
      </c>
      <c r="C122">
        <v>334.27</v>
      </c>
      <c r="D122">
        <v>68673</v>
      </c>
      <c r="E122">
        <v>205.44</v>
      </c>
      <c r="F122">
        <v>3.95</v>
      </c>
      <c r="G122">
        <v>68.010000000000005</v>
      </c>
      <c r="H122" t="str">
        <f t="shared" si="1"/>
        <v>Khagrachhari|Panchhari</v>
      </c>
    </row>
    <row r="123" spans="1:8">
      <c r="A123" t="s">
        <v>903</v>
      </c>
      <c r="B123" t="s">
        <v>1439</v>
      </c>
      <c r="C123">
        <v>287.89</v>
      </c>
      <c r="D123">
        <v>60734</v>
      </c>
      <c r="E123">
        <v>210.96</v>
      </c>
      <c r="F123">
        <v>4.3899999999999997</v>
      </c>
      <c r="G123">
        <v>76.08</v>
      </c>
      <c r="H123" t="str">
        <f t="shared" si="1"/>
        <v>Khagrachhari|Ramgarh</v>
      </c>
    </row>
    <row r="124" spans="1:8">
      <c r="A124" t="s">
        <v>1403</v>
      </c>
      <c r="B124" t="s">
        <v>1407</v>
      </c>
      <c r="C124">
        <v>191.7</v>
      </c>
      <c r="D124">
        <v>217275</v>
      </c>
      <c r="E124">
        <v>1133.4100000000001</v>
      </c>
      <c r="F124">
        <v>4.2</v>
      </c>
      <c r="G124">
        <v>62.65</v>
      </c>
      <c r="H124" t="str">
        <f t="shared" si="1"/>
        <v>Lakshmipur|Kamalnagar</v>
      </c>
    </row>
    <row r="125" spans="1:8">
      <c r="A125" t="s">
        <v>1403</v>
      </c>
      <c r="B125" t="s">
        <v>1405</v>
      </c>
      <c r="C125">
        <v>514.80999999999995</v>
      </c>
      <c r="D125">
        <v>814813</v>
      </c>
      <c r="E125">
        <v>1582.75</v>
      </c>
      <c r="F125">
        <v>4.16</v>
      </c>
      <c r="G125">
        <v>75.459999999999994</v>
      </c>
      <c r="H125" t="str">
        <f t="shared" si="1"/>
        <v>Lakshmipur|Lakshmipur Sadar</v>
      </c>
    </row>
    <row r="126" spans="1:8">
      <c r="A126" t="s">
        <v>1403</v>
      </c>
      <c r="B126" t="s">
        <v>1404</v>
      </c>
      <c r="C126">
        <v>169.31</v>
      </c>
      <c r="D126">
        <v>313648</v>
      </c>
      <c r="E126">
        <v>1852.51</v>
      </c>
      <c r="F126">
        <v>3.93</v>
      </c>
      <c r="G126">
        <v>76.319999999999993</v>
      </c>
      <c r="H126" t="str">
        <f t="shared" si="1"/>
        <v>Lakshmipur|Raipur</v>
      </c>
    </row>
    <row r="127" spans="1:8">
      <c r="A127" t="s">
        <v>1403</v>
      </c>
      <c r="B127" t="s">
        <v>1402</v>
      </c>
      <c r="C127">
        <v>570.54999999999995</v>
      </c>
      <c r="D127">
        <v>313209</v>
      </c>
      <c r="E127">
        <v>548.96</v>
      </c>
      <c r="F127">
        <v>4.1500000000000004</v>
      </c>
      <c r="G127">
        <v>82.9</v>
      </c>
      <c r="H127" t="str">
        <f t="shared" si="1"/>
        <v>Lakshmipur|Ramganj</v>
      </c>
    </row>
    <row r="128" spans="1:8">
      <c r="A128" t="s">
        <v>1403</v>
      </c>
      <c r="B128" t="s">
        <v>1406</v>
      </c>
      <c r="C128">
        <v>867.58</v>
      </c>
      <c r="D128">
        <v>278917</v>
      </c>
      <c r="E128">
        <v>321.49</v>
      </c>
      <c r="F128">
        <v>4.4800000000000004</v>
      </c>
      <c r="G128">
        <v>65.459999999999994</v>
      </c>
      <c r="H128" t="str">
        <f t="shared" si="1"/>
        <v>Lakshmipur|Ramgati</v>
      </c>
    </row>
    <row r="129" spans="1:8">
      <c r="A129" t="s">
        <v>1394</v>
      </c>
      <c r="B129" t="s">
        <v>1401</v>
      </c>
      <c r="C129">
        <v>134.46</v>
      </c>
      <c r="D129">
        <v>611081</v>
      </c>
      <c r="E129">
        <v>4544.7</v>
      </c>
      <c r="F129">
        <v>4.55</v>
      </c>
      <c r="G129">
        <v>81.459999999999994</v>
      </c>
      <c r="H129" t="str">
        <f t="shared" si="1"/>
        <v>Noakhali|Begumganj</v>
      </c>
    </row>
    <row r="130" spans="1:8">
      <c r="A130" t="s">
        <v>1394</v>
      </c>
      <c r="B130" t="s">
        <v>1393</v>
      </c>
      <c r="C130">
        <v>305.63</v>
      </c>
      <c r="D130">
        <v>258786</v>
      </c>
      <c r="E130">
        <v>846.73</v>
      </c>
      <c r="F130">
        <v>4.32</v>
      </c>
      <c r="G130">
        <v>85.27</v>
      </c>
      <c r="H130" t="str">
        <f t="shared" ref="H130:H193" si="2">TRIM(A130)&amp;"|"&amp;TRIM(B130)</f>
        <v>Noakhali|Chatkhil</v>
      </c>
    </row>
    <row r="131" spans="1:8">
      <c r="A131" t="s">
        <v>1394</v>
      </c>
      <c r="B131" t="s">
        <v>1331</v>
      </c>
      <c r="C131">
        <v>1510.95</v>
      </c>
      <c r="D131">
        <v>301295</v>
      </c>
      <c r="E131">
        <v>199.41</v>
      </c>
      <c r="F131">
        <v>4.58</v>
      </c>
      <c r="G131">
        <v>75.59</v>
      </c>
      <c r="H131" t="str">
        <f t="shared" si="2"/>
        <v>Noakhali|Companiganj</v>
      </c>
    </row>
    <row r="132" spans="1:8">
      <c r="A132" t="s">
        <v>1394</v>
      </c>
      <c r="B132" t="s">
        <v>1400</v>
      </c>
      <c r="C132">
        <v>325.92</v>
      </c>
      <c r="D132">
        <v>537355</v>
      </c>
      <c r="E132">
        <v>1648.73</v>
      </c>
      <c r="F132">
        <v>4.78</v>
      </c>
      <c r="G132">
        <v>64.400000000000006</v>
      </c>
      <c r="H132" t="str">
        <f t="shared" si="2"/>
        <v>Noakhali|Hatia</v>
      </c>
    </row>
    <row r="133" spans="1:8">
      <c r="A133" t="s">
        <v>1394</v>
      </c>
      <c r="B133" t="s">
        <v>1399</v>
      </c>
      <c r="C133">
        <v>155.66</v>
      </c>
      <c r="D133">
        <v>238733</v>
      </c>
      <c r="E133">
        <v>1533.68</v>
      </c>
      <c r="F133">
        <v>4.83</v>
      </c>
      <c r="G133">
        <v>75.760000000000005</v>
      </c>
      <c r="H133" t="str">
        <f t="shared" si="2"/>
        <v>Noakhali|Kabirhat</v>
      </c>
    </row>
    <row r="134" spans="1:8">
      <c r="A134" t="s">
        <v>1394</v>
      </c>
      <c r="B134" t="s">
        <v>1483</v>
      </c>
      <c r="C134">
        <v>344.98</v>
      </c>
      <c r="D134">
        <v>310871</v>
      </c>
      <c r="E134">
        <v>901.13</v>
      </c>
      <c r="F134">
        <v>4.55</v>
      </c>
      <c r="G134">
        <v>80.260000000000005</v>
      </c>
      <c r="H134" t="str">
        <f t="shared" si="2"/>
        <v>Noakhali|Senbag</v>
      </c>
    </row>
    <row r="135" spans="1:8">
      <c r="A135" t="s">
        <v>1394</v>
      </c>
      <c r="B135" t="s">
        <v>1396</v>
      </c>
      <c r="C135">
        <v>219.84</v>
      </c>
      <c r="D135">
        <v>368828</v>
      </c>
      <c r="E135">
        <v>1677.71</v>
      </c>
      <c r="F135">
        <v>4.57</v>
      </c>
      <c r="G135">
        <v>81.819999999999993</v>
      </c>
      <c r="H135" t="str">
        <f t="shared" si="2"/>
        <v>Noakhali|Sonaimuri</v>
      </c>
    </row>
    <row r="136" spans="1:8">
      <c r="A136" t="s">
        <v>1394</v>
      </c>
      <c r="B136" t="s">
        <v>1398</v>
      </c>
      <c r="C136">
        <v>576.14</v>
      </c>
      <c r="D136">
        <v>355902</v>
      </c>
      <c r="E136">
        <v>617.74</v>
      </c>
      <c r="F136">
        <v>4.82</v>
      </c>
      <c r="G136">
        <v>63.63</v>
      </c>
      <c r="H136" t="str">
        <f t="shared" si="2"/>
        <v>Noakhali|Subarnachar</v>
      </c>
    </row>
    <row r="137" spans="1:8">
      <c r="A137" t="s">
        <v>1394</v>
      </c>
      <c r="B137" t="s">
        <v>1397</v>
      </c>
      <c r="C137">
        <v>1072.8499999999999</v>
      </c>
      <c r="D137">
        <v>642471</v>
      </c>
      <c r="E137">
        <v>598.85</v>
      </c>
      <c r="F137">
        <v>4.57</v>
      </c>
      <c r="G137">
        <v>75.099999999999994</v>
      </c>
      <c r="H137" t="str">
        <f t="shared" si="2"/>
        <v>Noakhali|Noakhali Sadar</v>
      </c>
    </row>
    <row r="138" spans="1:8">
      <c r="A138" t="s">
        <v>906</v>
      </c>
      <c r="B138" t="s">
        <v>1484</v>
      </c>
      <c r="C138">
        <v>760.18</v>
      </c>
      <c r="D138">
        <v>106282</v>
      </c>
      <c r="E138">
        <v>139.81</v>
      </c>
      <c r="F138">
        <v>4.22</v>
      </c>
      <c r="G138">
        <v>67.72</v>
      </c>
      <c r="H138" t="str">
        <f t="shared" si="2"/>
        <v>Rangamati|Baghaichhari</v>
      </c>
    </row>
    <row r="139" spans="1:8">
      <c r="A139" t="s">
        <v>906</v>
      </c>
      <c r="B139" t="s">
        <v>1447</v>
      </c>
      <c r="C139">
        <v>622.44000000000005</v>
      </c>
      <c r="D139">
        <v>49707</v>
      </c>
      <c r="E139">
        <v>79.86</v>
      </c>
      <c r="F139">
        <v>4.3600000000000003</v>
      </c>
      <c r="G139">
        <v>70.150000000000006</v>
      </c>
      <c r="H139" t="str">
        <f t="shared" si="2"/>
        <v>Rangamati|Barkal</v>
      </c>
    </row>
    <row r="140" spans="1:8">
      <c r="A140" t="s">
        <v>906</v>
      </c>
      <c r="B140" t="s">
        <v>1176</v>
      </c>
      <c r="C140">
        <v>214</v>
      </c>
      <c r="D140">
        <v>66309</v>
      </c>
      <c r="E140">
        <v>309.86</v>
      </c>
      <c r="F140">
        <v>4.21</v>
      </c>
      <c r="G140">
        <v>71.180000000000007</v>
      </c>
      <c r="H140" t="str">
        <f t="shared" si="2"/>
        <v>Rangamati|Kawkhali</v>
      </c>
    </row>
    <row r="141" spans="1:8">
      <c r="A141" t="s">
        <v>906</v>
      </c>
      <c r="B141" t="s">
        <v>1445</v>
      </c>
      <c r="C141">
        <v>970.7</v>
      </c>
      <c r="D141">
        <v>29540</v>
      </c>
      <c r="E141">
        <v>30.43</v>
      </c>
      <c r="F141">
        <v>3.95</v>
      </c>
      <c r="G141">
        <v>55.88</v>
      </c>
      <c r="H141" t="str">
        <f t="shared" si="2"/>
        <v>Rangamati|Belaichhari</v>
      </c>
    </row>
    <row r="142" spans="1:8">
      <c r="A142" t="s">
        <v>906</v>
      </c>
      <c r="B142" t="s">
        <v>1444</v>
      </c>
      <c r="C142">
        <v>259</v>
      </c>
      <c r="D142">
        <v>55408</v>
      </c>
      <c r="E142">
        <v>213.93</v>
      </c>
      <c r="F142">
        <v>4.09</v>
      </c>
      <c r="G142">
        <v>73.239999999999995</v>
      </c>
      <c r="H142" t="str">
        <f t="shared" si="2"/>
        <v>Rangamati|Kaptai</v>
      </c>
    </row>
    <row r="143" spans="1:8">
      <c r="A143" t="s">
        <v>906</v>
      </c>
      <c r="B143" t="s">
        <v>1448</v>
      </c>
      <c r="C143">
        <v>692.56</v>
      </c>
      <c r="D143">
        <v>26932</v>
      </c>
      <c r="E143">
        <v>38.89</v>
      </c>
      <c r="F143">
        <v>4.05</v>
      </c>
      <c r="G143">
        <v>61.17</v>
      </c>
      <c r="H143" t="str">
        <f t="shared" si="2"/>
        <v>Rangamati|Jurachhari</v>
      </c>
    </row>
    <row r="144" spans="1:8">
      <c r="A144" t="s">
        <v>906</v>
      </c>
      <c r="B144" t="s">
        <v>1485</v>
      </c>
      <c r="C144">
        <v>570.57000000000005</v>
      </c>
      <c r="D144">
        <v>90406</v>
      </c>
      <c r="E144">
        <v>158.44999999999999</v>
      </c>
      <c r="F144">
        <v>4.29</v>
      </c>
      <c r="G144">
        <v>70.63</v>
      </c>
      <c r="H144" t="str">
        <f t="shared" si="2"/>
        <v>Rangamati|Langadu</v>
      </c>
    </row>
    <row r="145" spans="1:8">
      <c r="A145" t="s">
        <v>906</v>
      </c>
      <c r="B145" t="s">
        <v>1486</v>
      </c>
      <c r="C145">
        <v>839.76</v>
      </c>
      <c r="D145">
        <v>48521</v>
      </c>
      <c r="E145">
        <v>57.78</v>
      </c>
      <c r="F145">
        <v>4.17</v>
      </c>
      <c r="G145">
        <v>69.180000000000007</v>
      </c>
      <c r="H145" t="str">
        <f t="shared" si="2"/>
        <v>Rangamati|Naniarchar</v>
      </c>
    </row>
    <row r="146" spans="1:8">
      <c r="A146" t="s">
        <v>906</v>
      </c>
      <c r="B146" t="s">
        <v>1449</v>
      </c>
      <c r="C146">
        <v>220.15</v>
      </c>
      <c r="D146">
        <v>27864</v>
      </c>
      <c r="E146">
        <v>126.57</v>
      </c>
      <c r="F146">
        <v>3.83</v>
      </c>
      <c r="G146">
        <v>68.02</v>
      </c>
      <c r="H146" t="str">
        <f t="shared" si="2"/>
        <v>Rangamati|Rajasthali</v>
      </c>
    </row>
    <row r="147" spans="1:8">
      <c r="A147" t="s">
        <v>906</v>
      </c>
      <c r="B147" t="s">
        <v>1443</v>
      </c>
      <c r="C147">
        <v>546.49</v>
      </c>
      <c r="D147">
        <v>146591</v>
      </c>
      <c r="E147">
        <v>268.24</v>
      </c>
      <c r="F147">
        <v>4.0599999999999996</v>
      </c>
      <c r="G147">
        <v>80.510000000000005</v>
      </c>
      <c r="H147" t="str">
        <f t="shared" si="2"/>
        <v>Rangamati|Rangamati Sadar</v>
      </c>
    </row>
    <row r="148" spans="1:8">
      <c r="A148" t="s">
        <v>476</v>
      </c>
      <c r="B148" t="s">
        <v>1261</v>
      </c>
      <c r="C148">
        <v>307.83</v>
      </c>
      <c r="D148">
        <v>517117</v>
      </c>
      <c r="E148">
        <v>1679.88</v>
      </c>
      <c r="F148">
        <v>3.82</v>
      </c>
      <c r="G148">
        <v>73.72</v>
      </c>
      <c r="H148" t="str">
        <f t="shared" si="2"/>
        <v>Dhaka|Dhamrai</v>
      </c>
    </row>
    <row r="149" spans="1:8">
      <c r="A149" t="s">
        <v>476</v>
      </c>
      <c r="B149" t="s">
        <v>1244</v>
      </c>
      <c r="C149">
        <v>336.14</v>
      </c>
      <c r="D149">
        <v>250101</v>
      </c>
      <c r="E149">
        <v>744.04</v>
      </c>
      <c r="F149">
        <v>3.99</v>
      </c>
      <c r="G149">
        <v>79.239999999999995</v>
      </c>
      <c r="H149" t="str">
        <f t="shared" si="2"/>
        <v>Dhaka|Dohar</v>
      </c>
    </row>
    <row r="150" spans="1:8">
      <c r="A150" t="s">
        <v>476</v>
      </c>
      <c r="B150" t="s">
        <v>1245</v>
      </c>
      <c r="C150">
        <v>166.82</v>
      </c>
      <c r="D150">
        <v>1011001</v>
      </c>
      <c r="E150">
        <v>6060.43</v>
      </c>
      <c r="F150">
        <v>3.77</v>
      </c>
      <c r="G150">
        <v>81.180000000000007</v>
      </c>
      <c r="H150" t="str">
        <f t="shared" si="2"/>
        <v>Dhaka|Keraniganj</v>
      </c>
    </row>
    <row r="151" spans="1:8">
      <c r="A151" t="s">
        <v>476</v>
      </c>
      <c r="B151" t="s">
        <v>939</v>
      </c>
      <c r="C151">
        <v>280.13</v>
      </c>
      <c r="D151">
        <v>348786</v>
      </c>
      <c r="E151">
        <v>1245.0899999999999</v>
      </c>
      <c r="F151">
        <v>3.81</v>
      </c>
      <c r="G151">
        <v>79.27</v>
      </c>
      <c r="H151" t="str">
        <f t="shared" si="2"/>
        <v>Dhaka|Nawabganj</v>
      </c>
    </row>
    <row r="152" spans="1:8">
      <c r="A152" t="s">
        <v>476</v>
      </c>
      <c r="B152" t="s">
        <v>1260</v>
      </c>
      <c r="C152">
        <v>249.13</v>
      </c>
      <c r="D152">
        <v>2311612</v>
      </c>
      <c r="E152">
        <v>9278.74</v>
      </c>
      <c r="F152">
        <v>3.08</v>
      </c>
      <c r="G152">
        <v>84.38</v>
      </c>
      <c r="H152" t="str">
        <f t="shared" si="2"/>
        <v>Dhaka|Savar</v>
      </c>
    </row>
    <row r="153" spans="1:8">
      <c r="A153" t="s">
        <v>1058</v>
      </c>
      <c r="B153" t="s">
        <v>1286</v>
      </c>
      <c r="C153">
        <v>186.53</v>
      </c>
      <c r="D153">
        <v>119625</v>
      </c>
      <c r="E153">
        <v>641.32000000000005</v>
      </c>
      <c r="F153">
        <v>3.99</v>
      </c>
      <c r="G153">
        <v>74.489999999999995</v>
      </c>
      <c r="H153" t="str">
        <f t="shared" si="2"/>
        <v>Faridpur|Alfadanga</v>
      </c>
    </row>
    <row r="154" spans="1:8">
      <c r="A154" t="s">
        <v>1058</v>
      </c>
      <c r="B154" t="s">
        <v>1291</v>
      </c>
      <c r="C154">
        <v>230</v>
      </c>
      <c r="D154">
        <v>293835</v>
      </c>
      <c r="E154">
        <v>1277.54</v>
      </c>
      <c r="F154">
        <v>3.98</v>
      </c>
      <c r="G154">
        <v>73.41</v>
      </c>
      <c r="H154" t="str">
        <f t="shared" si="2"/>
        <v>Faridpur|Bhanga</v>
      </c>
    </row>
    <row r="155" spans="1:8">
      <c r="A155" t="s">
        <v>1058</v>
      </c>
      <c r="B155" t="s">
        <v>1285</v>
      </c>
      <c r="C155">
        <v>100.26</v>
      </c>
      <c r="D155">
        <v>268146</v>
      </c>
      <c r="E155">
        <v>2674.51</v>
      </c>
      <c r="F155">
        <v>4.0599999999999996</v>
      </c>
      <c r="G155">
        <v>71.19</v>
      </c>
      <c r="H155" t="str">
        <f t="shared" si="2"/>
        <v>Faridpur|Boalmari</v>
      </c>
    </row>
    <row r="156" spans="1:8">
      <c r="A156" t="s">
        <v>1058</v>
      </c>
      <c r="B156" t="s">
        <v>1487</v>
      </c>
      <c r="C156">
        <v>362.22</v>
      </c>
      <c r="D156">
        <v>70920</v>
      </c>
      <c r="E156">
        <v>195.79</v>
      </c>
      <c r="F156">
        <v>4.03</v>
      </c>
      <c r="G156">
        <v>66.819999999999993</v>
      </c>
      <c r="H156" t="str">
        <f t="shared" si="2"/>
        <v>Faridpur|Char Bhadrasan</v>
      </c>
    </row>
    <row r="157" spans="1:8">
      <c r="A157" t="s">
        <v>1058</v>
      </c>
      <c r="B157" t="s">
        <v>1290</v>
      </c>
      <c r="C157">
        <v>247.03</v>
      </c>
      <c r="D157">
        <v>567621</v>
      </c>
      <c r="E157">
        <v>2297.7800000000002</v>
      </c>
      <c r="F157">
        <v>4.01</v>
      </c>
      <c r="G157">
        <v>74.84</v>
      </c>
      <c r="H157" t="str">
        <f t="shared" si="2"/>
        <v>Faridpur|Faridpur Sadar</v>
      </c>
    </row>
    <row r="158" spans="1:8">
      <c r="A158" t="s">
        <v>1058</v>
      </c>
      <c r="B158" t="s">
        <v>1287</v>
      </c>
      <c r="C158">
        <v>230.49</v>
      </c>
      <c r="D158">
        <v>231974</v>
      </c>
      <c r="E158">
        <v>1006.44</v>
      </c>
      <c r="F158">
        <v>4.0999999999999996</v>
      </c>
      <c r="G158">
        <v>74.48</v>
      </c>
      <c r="H158" t="str">
        <f t="shared" si="2"/>
        <v>Faridpur|Madhukhali</v>
      </c>
    </row>
    <row r="159" spans="1:8">
      <c r="A159" t="s">
        <v>1058</v>
      </c>
      <c r="B159" t="s">
        <v>1288</v>
      </c>
      <c r="C159">
        <v>301.32</v>
      </c>
      <c r="D159">
        <v>222925</v>
      </c>
      <c r="E159">
        <v>739.83</v>
      </c>
      <c r="F159">
        <v>4.16</v>
      </c>
      <c r="G159">
        <v>71.09</v>
      </c>
      <c r="H159" t="str">
        <f t="shared" si="2"/>
        <v>Faridpur|Nagarkanda</v>
      </c>
    </row>
    <row r="160" spans="1:8">
      <c r="A160" t="s">
        <v>1058</v>
      </c>
      <c r="B160" t="s">
        <v>1293</v>
      </c>
      <c r="C160">
        <v>211.24</v>
      </c>
      <c r="D160">
        <v>201494</v>
      </c>
      <c r="E160">
        <v>953.86</v>
      </c>
      <c r="F160">
        <v>3.99</v>
      </c>
      <c r="G160">
        <v>68.95</v>
      </c>
      <c r="H160" t="str">
        <f t="shared" si="2"/>
        <v>Faridpur|Sadarpur</v>
      </c>
    </row>
    <row r="161" spans="1:8">
      <c r="A161" t="s">
        <v>1058</v>
      </c>
      <c r="B161" t="s">
        <v>1289</v>
      </c>
      <c r="C161">
        <v>224.15</v>
      </c>
      <c r="D161">
        <v>186214</v>
      </c>
      <c r="E161">
        <v>830.76</v>
      </c>
      <c r="F161">
        <v>4.0599999999999996</v>
      </c>
      <c r="G161">
        <v>65.260000000000005</v>
      </c>
      <c r="H161" t="str">
        <f t="shared" si="2"/>
        <v>Faridpur|Saltha</v>
      </c>
    </row>
    <row r="162" spans="1:8">
      <c r="A162" t="s">
        <v>1262</v>
      </c>
      <c r="B162" t="s">
        <v>1265</v>
      </c>
      <c r="C162">
        <v>174.09</v>
      </c>
      <c r="D162">
        <v>345760</v>
      </c>
      <c r="E162">
        <v>1986.1</v>
      </c>
      <c r="F162">
        <v>3.18</v>
      </c>
      <c r="G162">
        <v>80.680000000000007</v>
      </c>
      <c r="H162" t="str">
        <f t="shared" si="2"/>
        <v>Gazipur|Gazipur Sadar</v>
      </c>
    </row>
    <row r="163" spans="1:8">
      <c r="A163" t="s">
        <v>1262</v>
      </c>
      <c r="B163" t="s">
        <v>1263</v>
      </c>
      <c r="C163">
        <v>214.63</v>
      </c>
      <c r="D163">
        <v>694574</v>
      </c>
      <c r="E163">
        <v>3236.15</v>
      </c>
      <c r="F163">
        <v>3.26</v>
      </c>
      <c r="G163">
        <v>80.19</v>
      </c>
      <c r="H163" t="str">
        <f t="shared" si="2"/>
        <v>Gazipur|Kaliakair</v>
      </c>
    </row>
    <row r="164" spans="1:8">
      <c r="A164" t="s">
        <v>1262</v>
      </c>
      <c r="B164" t="s">
        <v>952</v>
      </c>
      <c r="C164">
        <v>236.67</v>
      </c>
      <c r="D164">
        <v>310943</v>
      </c>
      <c r="E164">
        <v>1313.83</v>
      </c>
      <c r="F164">
        <v>3.97</v>
      </c>
      <c r="G164">
        <v>79.58</v>
      </c>
      <c r="H164" t="str">
        <f t="shared" si="2"/>
        <v>Gazipur|Kaliganj</v>
      </c>
    </row>
    <row r="165" spans="1:8">
      <c r="A165" t="s">
        <v>1262</v>
      </c>
      <c r="B165" t="s">
        <v>1264</v>
      </c>
      <c r="C165">
        <v>356.33</v>
      </c>
      <c r="D165">
        <v>379093</v>
      </c>
      <c r="E165">
        <v>1063.8800000000001</v>
      </c>
      <c r="F165">
        <v>3.83</v>
      </c>
      <c r="G165">
        <v>77.849999999999994</v>
      </c>
      <c r="H165" t="str">
        <f t="shared" si="2"/>
        <v>Gazipur|Kapasia</v>
      </c>
    </row>
    <row r="166" spans="1:8">
      <c r="A166" t="s">
        <v>1262</v>
      </c>
      <c r="B166" t="s">
        <v>1095</v>
      </c>
      <c r="C166">
        <v>353.67</v>
      </c>
      <c r="D166">
        <v>855204</v>
      </c>
      <c r="E166">
        <v>2418.08</v>
      </c>
      <c r="F166">
        <v>3.34</v>
      </c>
      <c r="G166">
        <v>78.150000000000006</v>
      </c>
      <c r="H166" t="str">
        <f t="shared" si="2"/>
        <v>Gazipur|Sreepur</v>
      </c>
    </row>
    <row r="167" spans="1:8">
      <c r="A167" t="s">
        <v>1295</v>
      </c>
      <c r="B167" t="s">
        <v>1297</v>
      </c>
      <c r="C167">
        <v>258.11</v>
      </c>
      <c r="D167">
        <v>401138</v>
      </c>
      <c r="E167">
        <v>1554.14</v>
      </c>
      <c r="F167">
        <v>4.1500000000000004</v>
      </c>
      <c r="G167">
        <v>82.32</v>
      </c>
      <c r="H167" t="str">
        <f t="shared" si="2"/>
        <v>Gopalganj|Gopalganj Sadar</v>
      </c>
    </row>
    <row r="168" spans="1:8">
      <c r="A168" t="s">
        <v>1295</v>
      </c>
      <c r="B168" t="s">
        <v>1296</v>
      </c>
      <c r="C168">
        <v>227.27</v>
      </c>
      <c r="D168">
        <v>228155</v>
      </c>
      <c r="E168">
        <v>1003.89</v>
      </c>
      <c r="F168">
        <v>4.01</v>
      </c>
      <c r="G168">
        <v>77.790000000000006</v>
      </c>
      <c r="H168" t="str">
        <f t="shared" si="2"/>
        <v>Gopalganj|Kashiani</v>
      </c>
    </row>
    <row r="169" spans="1:8">
      <c r="A169" t="s">
        <v>1295</v>
      </c>
      <c r="B169" t="s">
        <v>1298</v>
      </c>
      <c r="C169">
        <v>371.22</v>
      </c>
      <c r="D169">
        <v>243719</v>
      </c>
      <c r="E169">
        <v>656.54</v>
      </c>
      <c r="F169">
        <v>4.2</v>
      </c>
      <c r="G169">
        <v>80.25</v>
      </c>
      <c r="H169" t="str">
        <f t="shared" si="2"/>
        <v>Gopalganj|Kotalipara</v>
      </c>
    </row>
    <row r="170" spans="1:8">
      <c r="A170" t="s">
        <v>1295</v>
      </c>
      <c r="B170" t="s">
        <v>1294</v>
      </c>
      <c r="C170">
        <v>308.5</v>
      </c>
      <c r="D170">
        <v>307513</v>
      </c>
      <c r="E170">
        <v>996.8</v>
      </c>
      <c r="F170">
        <v>4.04</v>
      </c>
      <c r="G170">
        <v>77.2</v>
      </c>
      <c r="H170" t="str">
        <f t="shared" si="2"/>
        <v>Gopalganj|Muksudpur</v>
      </c>
    </row>
    <row r="171" spans="1:8">
      <c r="A171" t="s">
        <v>1295</v>
      </c>
      <c r="B171" t="s">
        <v>1299</v>
      </c>
      <c r="C171">
        <v>127.49</v>
      </c>
      <c r="D171">
        <v>114480</v>
      </c>
      <c r="E171">
        <v>897.95</v>
      </c>
      <c r="F171">
        <v>4.2300000000000004</v>
      </c>
      <c r="G171">
        <v>81.41</v>
      </c>
      <c r="H171" t="str">
        <f t="shared" si="2"/>
        <v>Gopalganj|Tungipara</v>
      </c>
    </row>
    <row r="172" spans="1:8">
      <c r="A172" t="s">
        <v>945</v>
      </c>
      <c r="B172" t="s">
        <v>1221</v>
      </c>
      <c r="C172">
        <v>374.67</v>
      </c>
      <c r="D172">
        <v>151238</v>
      </c>
      <c r="E172">
        <v>403.66</v>
      </c>
      <c r="F172">
        <v>4.46</v>
      </c>
      <c r="G172">
        <v>60.86</v>
      </c>
      <c r="H172" t="str">
        <f t="shared" si="2"/>
        <v>Kishoreganj|Austagram</v>
      </c>
    </row>
    <row r="173" spans="1:8">
      <c r="A173" t="s">
        <v>945</v>
      </c>
      <c r="B173" t="s">
        <v>1227</v>
      </c>
      <c r="C173">
        <v>193.8</v>
      </c>
      <c r="D173">
        <v>269737</v>
      </c>
      <c r="E173">
        <v>1391.83</v>
      </c>
      <c r="F173">
        <v>4.28</v>
      </c>
      <c r="G173">
        <v>68.459999999999994</v>
      </c>
      <c r="H173" t="str">
        <f t="shared" si="2"/>
        <v>Kishoreganj|Bajitpur</v>
      </c>
    </row>
    <row r="174" spans="1:8">
      <c r="A174" t="s">
        <v>945</v>
      </c>
      <c r="B174" t="s">
        <v>1229</v>
      </c>
      <c r="C174">
        <v>229.47</v>
      </c>
      <c r="D174">
        <v>362665</v>
      </c>
      <c r="E174">
        <v>1580.45</v>
      </c>
      <c r="F174">
        <v>4.5</v>
      </c>
      <c r="G174">
        <v>71.819999999999993</v>
      </c>
      <c r="H174" t="str">
        <f t="shared" si="2"/>
        <v>Kishoreganj|Bhairab</v>
      </c>
    </row>
    <row r="175" spans="1:8">
      <c r="A175" t="s">
        <v>945</v>
      </c>
      <c r="B175" t="s">
        <v>1226</v>
      </c>
      <c r="C175">
        <v>286.22000000000003</v>
      </c>
      <c r="D175">
        <v>201885</v>
      </c>
      <c r="E175">
        <v>705.35</v>
      </c>
      <c r="F175">
        <v>4.08</v>
      </c>
      <c r="G175">
        <v>67.92</v>
      </c>
      <c r="H175" t="str">
        <f t="shared" si="2"/>
        <v>Kishoreganj|Hossainpur</v>
      </c>
    </row>
    <row r="176" spans="1:8">
      <c r="A176" t="s">
        <v>945</v>
      </c>
      <c r="B176" t="s">
        <v>1219</v>
      </c>
      <c r="C176">
        <v>166.58</v>
      </c>
      <c r="D176">
        <v>168829</v>
      </c>
      <c r="E176">
        <v>1013.5</v>
      </c>
      <c r="F176">
        <v>4.4800000000000004</v>
      </c>
      <c r="G176">
        <v>56.45</v>
      </c>
      <c r="H176" t="str">
        <f t="shared" si="2"/>
        <v>Kishoreganj|Itna</v>
      </c>
    </row>
    <row r="177" spans="1:8">
      <c r="A177" t="s">
        <v>945</v>
      </c>
      <c r="B177" t="s">
        <v>1223</v>
      </c>
      <c r="C177">
        <v>245.51</v>
      </c>
      <c r="D177">
        <v>328288</v>
      </c>
      <c r="E177">
        <v>1337.17</v>
      </c>
      <c r="F177">
        <v>4.26</v>
      </c>
      <c r="G177">
        <v>62.19</v>
      </c>
      <c r="H177" t="str">
        <f t="shared" si="2"/>
        <v>Kishoreganj|Karimganj</v>
      </c>
    </row>
    <row r="178" spans="1:8">
      <c r="A178" t="s">
        <v>945</v>
      </c>
      <c r="B178" t="s">
        <v>1222</v>
      </c>
      <c r="C178">
        <v>224.97</v>
      </c>
      <c r="D178">
        <v>351441</v>
      </c>
      <c r="E178">
        <v>1562.17</v>
      </c>
      <c r="F178">
        <v>4.12</v>
      </c>
      <c r="G178">
        <v>67.09</v>
      </c>
      <c r="H178" t="str">
        <f t="shared" si="2"/>
        <v>Kishoreganj|Katiadi</v>
      </c>
    </row>
    <row r="179" spans="1:8">
      <c r="A179" t="s">
        <v>945</v>
      </c>
      <c r="B179" t="s">
        <v>1225</v>
      </c>
      <c r="C179">
        <v>333.79</v>
      </c>
      <c r="D179">
        <v>506834</v>
      </c>
      <c r="E179">
        <v>1518.42</v>
      </c>
      <c r="F179">
        <v>4.1900000000000004</v>
      </c>
      <c r="G179">
        <v>73.58</v>
      </c>
      <c r="H179" t="str">
        <f t="shared" si="2"/>
        <v>Kishoreganj|Kishoreganj Sadar</v>
      </c>
    </row>
    <row r="180" spans="1:8">
      <c r="A180" t="s">
        <v>945</v>
      </c>
      <c r="B180" t="s">
        <v>1488</v>
      </c>
      <c r="C180">
        <v>247.66</v>
      </c>
      <c r="D180">
        <v>202464</v>
      </c>
      <c r="E180">
        <v>817.51</v>
      </c>
      <c r="F180">
        <v>4.2</v>
      </c>
      <c r="G180">
        <v>71.55</v>
      </c>
      <c r="H180" t="str">
        <f t="shared" si="2"/>
        <v>Kishoreganj|Kuliarchar</v>
      </c>
    </row>
    <row r="181" spans="1:8">
      <c r="A181" t="s">
        <v>945</v>
      </c>
      <c r="B181" t="s">
        <v>1220</v>
      </c>
      <c r="C181">
        <v>379.27</v>
      </c>
      <c r="D181">
        <v>125155</v>
      </c>
      <c r="E181">
        <v>329.99</v>
      </c>
      <c r="F181">
        <v>4.6500000000000004</v>
      </c>
      <c r="G181">
        <v>60.52</v>
      </c>
      <c r="H181" t="str">
        <f t="shared" si="2"/>
        <v>Kishoreganj|Mithamain</v>
      </c>
    </row>
    <row r="182" spans="1:8">
      <c r="A182" t="s">
        <v>945</v>
      </c>
      <c r="B182" t="s">
        <v>1228</v>
      </c>
      <c r="C182">
        <v>193.61</v>
      </c>
      <c r="D182">
        <v>145883</v>
      </c>
      <c r="E182">
        <v>753.49</v>
      </c>
      <c r="F182">
        <v>4.29</v>
      </c>
      <c r="G182">
        <v>59.28</v>
      </c>
      <c r="H182" t="str">
        <f t="shared" si="2"/>
        <v>Kishoreganj|Nikli</v>
      </c>
    </row>
    <row r="183" spans="1:8">
      <c r="A183" t="s">
        <v>945</v>
      </c>
      <c r="B183" t="s">
        <v>1489</v>
      </c>
      <c r="C183">
        <v>180.52</v>
      </c>
      <c r="D183">
        <v>282967</v>
      </c>
      <c r="E183">
        <v>1567.51</v>
      </c>
      <c r="F183">
        <v>3.95</v>
      </c>
      <c r="G183">
        <v>74.209999999999994</v>
      </c>
      <c r="H183" t="str">
        <f t="shared" si="2"/>
        <v>Kishoreganj|Pakundia</v>
      </c>
    </row>
    <row r="184" spans="1:8">
      <c r="A184" t="s">
        <v>945</v>
      </c>
      <c r="B184" t="s">
        <v>1224</v>
      </c>
      <c r="C184">
        <v>219.67</v>
      </c>
      <c r="D184">
        <v>170084</v>
      </c>
      <c r="E184">
        <v>774.27</v>
      </c>
      <c r="F184">
        <v>4.21</v>
      </c>
      <c r="G184">
        <v>63.18</v>
      </c>
      <c r="H184" t="str">
        <f t="shared" si="2"/>
        <v>Kishoreganj|Tarail</v>
      </c>
    </row>
    <row r="185" spans="1:8">
      <c r="A185" t="s">
        <v>1301</v>
      </c>
      <c r="B185" t="s">
        <v>1305</v>
      </c>
      <c r="C185">
        <v>154.9</v>
      </c>
      <c r="D185">
        <v>75171</v>
      </c>
      <c r="E185">
        <v>485.29</v>
      </c>
      <c r="F185">
        <v>4.05</v>
      </c>
      <c r="G185">
        <v>77.33</v>
      </c>
      <c r="H185" t="str">
        <f t="shared" si="2"/>
        <v>Madaripur|Dasar</v>
      </c>
    </row>
    <row r="186" spans="1:8">
      <c r="A186" t="s">
        <v>1301</v>
      </c>
      <c r="B186" t="s">
        <v>1304</v>
      </c>
      <c r="C186">
        <v>181.53</v>
      </c>
      <c r="D186">
        <v>218326</v>
      </c>
      <c r="E186">
        <v>1202.7</v>
      </c>
      <c r="F186">
        <v>4.04</v>
      </c>
      <c r="G186">
        <v>74.28</v>
      </c>
      <c r="H186" t="str">
        <f t="shared" si="2"/>
        <v>Madaripur|Kalkini</v>
      </c>
    </row>
    <row r="187" spans="1:8">
      <c r="A187" t="s">
        <v>1301</v>
      </c>
      <c r="B187" t="s">
        <v>1302</v>
      </c>
      <c r="C187">
        <v>229.73</v>
      </c>
      <c r="D187">
        <v>396749</v>
      </c>
      <c r="E187">
        <v>1727.02</v>
      </c>
      <c r="F187">
        <v>4.04</v>
      </c>
      <c r="G187">
        <v>75.73</v>
      </c>
      <c r="H187" t="str">
        <f t="shared" si="2"/>
        <v>Madaripur|Madaripur Sadar</v>
      </c>
    </row>
    <row r="188" spans="1:8">
      <c r="A188" t="s">
        <v>1301</v>
      </c>
      <c r="B188" t="s">
        <v>1303</v>
      </c>
      <c r="C188">
        <v>246.19</v>
      </c>
      <c r="D188">
        <v>245301</v>
      </c>
      <c r="E188">
        <v>996.39</v>
      </c>
      <c r="F188">
        <v>4.16</v>
      </c>
      <c r="G188">
        <v>75.819999999999993</v>
      </c>
      <c r="H188" t="str">
        <f t="shared" si="2"/>
        <v>Madaripur|Rajoir</v>
      </c>
    </row>
    <row r="189" spans="1:8">
      <c r="A189" t="s">
        <v>1301</v>
      </c>
      <c r="B189" t="s">
        <v>1300</v>
      </c>
      <c r="C189">
        <v>320.24</v>
      </c>
      <c r="D189">
        <v>357416</v>
      </c>
      <c r="E189">
        <v>1116.0899999999999</v>
      </c>
      <c r="F189">
        <v>4.0199999999999996</v>
      </c>
      <c r="G189">
        <v>73.31</v>
      </c>
      <c r="H189" t="str">
        <f t="shared" si="2"/>
        <v>Madaripur|Shibchar</v>
      </c>
    </row>
    <row r="190" spans="1:8">
      <c r="A190" t="s">
        <v>1231</v>
      </c>
      <c r="B190" t="s">
        <v>1066</v>
      </c>
      <c r="C190">
        <v>166.82</v>
      </c>
      <c r="D190">
        <v>167420</v>
      </c>
      <c r="E190">
        <v>1003.6</v>
      </c>
      <c r="F190">
        <v>3.94</v>
      </c>
      <c r="G190">
        <v>61.13</v>
      </c>
      <c r="H190" t="str">
        <f t="shared" si="2"/>
        <v>Manikganj|Daulatpur</v>
      </c>
    </row>
    <row r="191" spans="1:8">
      <c r="A191" t="s">
        <v>1231</v>
      </c>
      <c r="B191" t="s">
        <v>1230</v>
      </c>
      <c r="C191">
        <v>193.89</v>
      </c>
      <c r="D191">
        <v>162482</v>
      </c>
      <c r="E191">
        <v>838.01</v>
      </c>
      <c r="F191">
        <v>3.98</v>
      </c>
      <c r="G191">
        <v>73.41</v>
      </c>
      <c r="H191" t="str">
        <f t="shared" si="2"/>
        <v>Manikganj|Ghior</v>
      </c>
    </row>
    <row r="192" spans="1:8">
      <c r="A192" t="s">
        <v>1231</v>
      </c>
      <c r="B192" t="s">
        <v>1234</v>
      </c>
      <c r="C192">
        <v>214.29</v>
      </c>
      <c r="D192">
        <v>155467</v>
      </c>
      <c r="E192">
        <v>725.5</v>
      </c>
      <c r="F192">
        <v>3.9</v>
      </c>
      <c r="G192">
        <v>72.989999999999995</v>
      </c>
      <c r="H192" t="str">
        <f t="shared" si="2"/>
        <v>Manikganj|Harirampur</v>
      </c>
    </row>
    <row r="193" spans="1:8">
      <c r="A193" t="s">
        <v>1231</v>
      </c>
      <c r="B193" t="s">
        <v>1235</v>
      </c>
      <c r="C193">
        <v>292.42</v>
      </c>
      <c r="D193">
        <v>363806</v>
      </c>
      <c r="E193">
        <v>1244.1199999999999</v>
      </c>
      <c r="F193">
        <v>3.9</v>
      </c>
      <c r="G193">
        <v>77.11</v>
      </c>
      <c r="H193" t="str">
        <f t="shared" si="2"/>
        <v>Manikganj|Manikganj Sadar</v>
      </c>
    </row>
    <row r="194" spans="1:8">
      <c r="A194" t="s">
        <v>1231</v>
      </c>
      <c r="B194" t="s">
        <v>1236</v>
      </c>
      <c r="C194">
        <v>311.83999999999997</v>
      </c>
      <c r="D194">
        <v>193205</v>
      </c>
      <c r="E194">
        <v>619.55999999999995</v>
      </c>
      <c r="F194">
        <v>3.86</v>
      </c>
      <c r="G194">
        <v>68.92</v>
      </c>
      <c r="H194" t="str">
        <f t="shared" ref="H194:H257" si="3">TRIM(A194)&amp;"|"&amp;TRIM(B194)</f>
        <v>Manikganj|Saturia</v>
      </c>
    </row>
    <row r="195" spans="1:8">
      <c r="A195" t="s">
        <v>1231</v>
      </c>
      <c r="B195" t="s">
        <v>1490</v>
      </c>
      <c r="C195">
        <v>144.19999999999999</v>
      </c>
      <c r="D195">
        <v>187443</v>
      </c>
      <c r="E195">
        <v>1299.8800000000001</v>
      </c>
      <c r="F195">
        <v>4.0199999999999996</v>
      </c>
      <c r="G195">
        <v>69.23</v>
      </c>
      <c r="H195" t="str">
        <f t="shared" si="3"/>
        <v>Manikganj|Shibalay</v>
      </c>
    </row>
    <row r="196" spans="1:8">
      <c r="A196" t="s">
        <v>1231</v>
      </c>
      <c r="B196" t="s">
        <v>1233</v>
      </c>
      <c r="C196">
        <v>378.33</v>
      </c>
      <c r="D196">
        <v>328104</v>
      </c>
      <c r="E196">
        <v>867.24</v>
      </c>
      <c r="F196">
        <v>3.86</v>
      </c>
      <c r="G196">
        <v>70.03</v>
      </c>
      <c r="H196" t="str">
        <f t="shared" si="3"/>
        <v>Manikganj|Singair</v>
      </c>
    </row>
    <row r="197" spans="1:8">
      <c r="A197" t="s">
        <v>1238</v>
      </c>
      <c r="B197" t="s">
        <v>1243</v>
      </c>
      <c r="C197">
        <v>240.2</v>
      </c>
      <c r="D197">
        <v>185257</v>
      </c>
      <c r="E197">
        <v>771.26</v>
      </c>
      <c r="F197">
        <v>4.04</v>
      </c>
      <c r="G197">
        <v>76.75</v>
      </c>
      <c r="H197" t="str">
        <f t="shared" si="3"/>
        <v>Munshiganj|Gazaria</v>
      </c>
    </row>
    <row r="198" spans="1:8">
      <c r="A198" t="s">
        <v>1238</v>
      </c>
      <c r="B198" t="s">
        <v>1240</v>
      </c>
      <c r="C198">
        <v>302.36</v>
      </c>
      <c r="D198">
        <v>177800</v>
      </c>
      <c r="E198">
        <v>588.04</v>
      </c>
      <c r="F198">
        <v>3.99</v>
      </c>
      <c r="G198">
        <v>77.98</v>
      </c>
      <c r="H198" t="str">
        <f t="shared" si="3"/>
        <v>Munshiganj|Louhajang</v>
      </c>
    </row>
    <row r="199" spans="1:8">
      <c r="A199" t="s">
        <v>1238</v>
      </c>
      <c r="B199" t="s">
        <v>1242</v>
      </c>
      <c r="C199">
        <v>180.17</v>
      </c>
      <c r="D199">
        <v>436007</v>
      </c>
      <c r="E199">
        <v>2419.98</v>
      </c>
      <c r="F199">
        <v>3.98</v>
      </c>
      <c r="G199">
        <v>77.239999999999995</v>
      </c>
      <c r="H199" t="str">
        <f t="shared" si="3"/>
        <v>Munshiganj|Munshiganj Sadar</v>
      </c>
    </row>
    <row r="200" spans="1:8">
      <c r="A200" t="s">
        <v>1238</v>
      </c>
      <c r="B200" t="s">
        <v>1239</v>
      </c>
      <c r="C200">
        <v>315.33</v>
      </c>
      <c r="D200">
        <v>316435</v>
      </c>
      <c r="E200">
        <v>1003.5</v>
      </c>
      <c r="F200">
        <v>3.97</v>
      </c>
      <c r="G200">
        <v>77.38</v>
      </c>
      <c r="H200" t="str">
        <f t="shared" si="3"/>
        <v>Munshiganj|Sirajdikhan</v>
      </c>
    </row>
    <row r="201" spans="1:8">
      <c r="A201" t="s">
        <v>1238</v>
      </c>
      <c r="B201" t="s">
        <v>1237</v>
      </c>
      <c r="C201">
        <v>202.36</v>
      </c>
      <c r="D201">
        <v>293901</v>
      </c>
      <c r="E201">
        <v>1452.37</v>
      </c>
      <c r="F201">
        <v>3.96</v>
      </c>
      <c r="G201">
        <v>79.97</v>
      </c>
      <c r="H201" t="str">
        <f t="shared" si="3"/>
        <v>Munshiganj|Sreenagar</v>
      </c>
    </row>
    <row r="202" spans="1:8">
      <c r="A202" t="s">
        <v>1238</v>
      </c>
      <c r="B202" t="s">
        <v>1241</v>
      </c>
      <c r="C202">
        <v>128.19999999999999</v>
      </c>
      <c r="D202">
        <v>215954</v>
      </c>
      <c r="E202">
        <v>1684.51</v>
      </c>
      <c r="F202">
        <v>3.95</v>
      </c>
      <c r="G202">
        <v>78.08</v>
      </c>
      <c r="H202" t="str">
        <f t="shared" si="3"/>
        <v>Munshiganj|Tongibari</v>
      </c>
    </row>
    <row r="203" spans="1:8">
      <c r="A203" t="s">
        <v>1274</v>
      </c>
      <c r="B203" t="s">
        <v>1275</v>
      </c>
      <c r="C203">
        <v>183.14</v>
      </c>
      <c r="D203">
        <v>467514</v>
      </c>
      <c r="E203">
        <v>2552.77</v>
      </c>
      <c r="F203">
        <v>4.1500000000000004</v>
      </c>
      <c r="G203">
        <v>69.34</v>
      </c>
      <c r="H203" t="str">
        <f t="shared" si="3"/>
        <v>Narayanganj|Araihazar</v>
      </c>
    </row>
    <row r="204" spans="1:8">
      <c r="A204" t="s">
        <v>1274</v>
      </c>
      <c r="B204" t="s">
        <v>1276</v>
      </c>
      <c r="C204">
        <v>171.66</v>
      </c>
      <c r="D204">
        <v>551821</v>
      </c>
      <c r="E204">
        <v>3214.62</v>
      </c>
      <c r="F204">
        <v>3.82</v>
      </c>
      <c r="G204">
        <v>78.040000000000006</v>
      </c>
      <c r="H204" t="str">
        <f t="shared" si="3"/>
        <v>Narayanganj|Sonargaon</v>
      </c>
    </row>
    <row r="205" spans="1:8">
      <c r="A205" t="s">
        <v>1274</v>
      </c>
      <c r="B205" t="s">
        <v>1418</v>
      </c>
      <c r="C205">
        <v>55.84</v>
      </c>
      <c r="D205">
        <v>204768</v>
      </c>
      <c r="E205">
        <v>3667.05</v>
      </c>
      <c r="F205">
        <v>3.91</v>
      </c>
      <c r="G205">
        <v>78.5</v>
      </c>
      <c r="H205" t="str">
        <f t="shared" si="3"/>
        <v>Narayanganj|Bandar</v>
      </c>
    </row>
    <row r="206" spans="1:8">
      <c r="A206" t="s">
        <v>1274</v>
      </c>
      <c r="B206" t="s">
        <v>1278</v>
      </c>
      <c r="C206">
        <v>259.57</v>
      </c>
      <c r="D206">
        <v>1012080</v>
      </c>
      <c r="E206">
        <v>3899.06</v>
      </c>
      <c r="F206">
        <v>3.65</v>
      </c>
      <c r="G206">
        <v>80.59</v>
      </c>
      <c r="H206" t="str">
        <f t="shared" si="3"/>
        <v>Narayanganj|Narayanganj Sadar</v>
      </c>
    </row>
    <row r="207" spans="1:8">
      <c r="A207" t="s">
        <v>1274</v>
      </c>
      <c r="B207" t="s">
        <v>1273</v>
      </c>
      <c r="C207">
        <v>247.37</v>
      </c>
      <c r="D207">
        <v>704828</v>
      </c>
      <c r="E207">
        <v>2849.29</v>
      </c>
      <c r="F207">
        <v>3.71</v>
      </c>
      <c r="G207">
        <v>78.7</v>
      </c>
      <c r="H207" t="str">
        <f t="shared" si="3"/>
        <v>Narayanganj|Rupganj</v>
      </c>
    </row>
    <row r="208" spans="1:8">
      <c r="A208" t="s">
        <v>1267</v>
      </c>
      <c r="B208" t="s">
        <v>1270</v>
      </c>
      <c r="C208">
        <v>129.47999999999999</v>
      </c>
      <c r="D208">
        <v>213587</v>
      </c>
      <c r="E208">
        <v>1649.58</v>
      </c>
      <c r="F208">
        <v>4.12</v>
      </c>
      <c r="G208">
        <v>73.5</v>
      </c>
      <c r="H208" t="str">
        <f t="shared" si="3"/>
        <v>Narsingdi|Belabo</v>
      </c>
    </row>
    <row r="209" spans="1:8">
      <c r="A209" t="s">
        <v>1267</v>
      </c>
      <c r="B209" t="s">
        <v>1271</v>
      </c>
      <c r="C209">
        <v>154.65</v>
      </c>
      <c r="D209">
        <v>298603</v>
      </c>
      <c r="E209">
        <v>1930.83</v>
      </c>
      <c r="F209">
        <v>3.88</v>
      </c>
      <c r="G209">
        <v>75.3</v>
      </c>
      <c r="H209" t="str">
        <f t="shared" si="3"/>
        <v>Narsingdi|Monohardi</v>
      </c>
    </row>
    <row r="210" spans="1:8">
      <c r="A210" t="s">
        <v>1267</v>
      </c>
      <c r="B210" t="s">
        <v>1266</v>
      </c>
      <c r="C210">
        <v>213.78</v>
      </c>
      <c r="D210">
        <v>852310</v>
      </c>
      <c r="E210">
        <v>3986.86</v>
      </c>
      <c r="F210">
        <v>4.04</v>
      </c>
      <c r="G210">
        <v>75.61</v>
      </c>
      <c r="H210" t="str">
        <f t="shared" si="3"/>
        <v>Narsingdi|Narsingdi Sadar</v>
      </c>
    </row>
    <row r="211" spans="1:8">
      <c r="A211" t="s">
        <v>1267</v>
      </c>
      <c r="B211" t="s">
        <v>1268</v>
      </c>
      <c r="C211">
        <v>123.38</v>
      </c>
      <c r="D211">
        <v>249151</v>
      </c>
      <c r="E211">
        <v>2019.38</v>
      </c>
      <c r="F211">
        <v>3.96</v>
      </c>
      <c r="G211">
        <v>79.349999999999994</v>
      </c>
      <c r="H211" t="str">
        <f t="shared" si="3"/>
        <v>Narsingdi|Palash</v>
      </c>
    </row>
    <row r="212" spans="1:8">
      <c r="A212" t="s">
        <v>1267</v>
      </c>
      <c r="B212" t="s">
        <v>1272</v>
      </c>
      <c r="C212">
        <v>312.77</v>
      </c>
      <c r="D212">
        <v>610561</v>
      </c>
      <c r="E212">
        <v>1952.11</v>
      </c>
      <c r="F212">
        <v>4.33</v>
      </c>
      <c r="G212">
        <v>70.67</v>
      </c>
      <c r="H212" t="str">
        <f t="shared" si="3"/>
        <v>Narsingdi|Raipura</v>
      </c>
    </row>
    <row r="213" spans="1:8">
      <c r="A213" t="s">
        <v>1267</v>
      </c>
      <c r="B213" t="s">
        <v>1269</v>
      </c>
      <c r="C213">
        <v>247.26</v>
      </c>
      <c r="D213">
        <v>360123</v>
      </c>
      <c r="E213">
        <v>1456.45</v>
      </c>
      <c r="F213">
        <v>4.05</v>
      </c>
      <c r="G213">
        <v>76.959999999999994</v>
      </c>
      <c r="H213" t="str">
        <f t="shared" si="3"/>
        <v>Narsingdi|Shibpur</v>
      </c>
    </row>
    <row r="214" spans="1:8">
      <c r="A214" t="s">
        <v>1280</v>
      </c>
      <c r="B214" t="s">
        <v>1281</v>
      </c>
      <c r="C214">
        <v>239.29</v>
      </c>
      <c r="D214">
        <v>230011</v>
      </c>
      <c r="E214">
        <v>961.22</v>
      </c>
      <c r="F214">
        <v>4.1399999999999997</v>
      </c>
      <c r="G214">
        <v>70.56</v>
      </c>
      <c r="H214" t="str">
        <f t="shared" si="3"/>
        <v>Rajbari|Baliakandi</v>
      </c>
    </row>
    <row r="215" spans="1:8">
      <c r="A215" t="s">
        <v>1280</v>
      </c>
      <c r="B215" t="s">
        <v>1283</v>
      </c>
      <c r="C215">
        <v>34.549999999999997</v>
      </c>
      <c r="D215">
        <v>128777</v>
      </c>
      <c r="E215">
        <v>3727.26</v>
      </c>
      <c r="F215">
        <v>4.0999999999999996</v>
      </c>
      <c r="G215">
        <v>67.52</v>
      </c>
      <c r="H215" t="str">
        <f t="shared" si="3"/>
        <v>Rajbari|Goalanda</v>
      </c>
    </row>
    <row r="216" spans="1:8">
      <c r="A216" t="s">
        <v>1280</v>
      </c>
      <c r="B216" t="s">
        <v>1284</v>
      </c>
      <c r="C216">
        <v>153.72</v>
      </c>
      <c r="D216">
        <v>172337</v>
      </c>
      <c r="E216">
        <v>1121.1099999999999</v>
      </c>
      <c r="F216">
        <v>3.99</v>
      </c>
      <c r="G216">
        <v>67</v>
      </c>
      <c r="H216" t="str">
        <f t="shared" si="3"/>
        <v>Rajbari|Kalukhali</v>
      </c>
    </row>
    <row r="217" spans="1:8">
      <c r="A217" t="s">
        <v>1280</v>
      </c>
      <c r="B217" t="s">
        <v>1279</v>
      </c>
      <c r="C217">
        <v>192.42</v>
      </c>
      <c r="D217">
        <v>274097</v>
      </c>
      <c r="E217">
        <v>1424.47</v>
      </c>
      <c r="F217">
        <v>3.9</v>
      </c>
      <c r="G217">
        <v>65.91</v>
      </c>
      <c r="H217" t="str">
        <f t="shared" si="3"/>
        <v>Rajbari|Pangsha</v>
      </c>
    </row>
    <row r="218" spans="1:8">
      <c r="A218" t="s">
        <v>1280</v>
      </c>
      <c r="B218" t="s">
        <v>1282</v>
      </c>
      <c r="C218">
        <v>247.29</v>
      </c>
      <c r="D218">
        <v>384521</v>
      </c>
      <c r="E218">
        <v>1554.94</v>
      </c>
      <c r="F218">
        <v>3.94</v>
      </c>
      <c r="G218">
        <v>73.150000000000006</v>
      </c>
      <c r="H218" t="str">
        <f t="shared" si="3"/>
        <v>Rajbari|Rajbari Sadar</v>
      </c>
    </row>
    <row r="219" spans="1:8">
      <c r="A219" t="s">
        <v>1307</v>
      </c>
      <c r="B219" t="s">
        <v>1491</v>
      </c>
      <c r="C219">
        <v>386.55</v>
      </c>
      <c r="D219">
        <v>278293</v>
      </c>
      <c r="E219">
        <v>719.94</v>
      </c>
      <c r="F219">
        <v>4.1900000000000004</v>
      </c>
      <c r="G219">
        <v>71.17</v>
      </c>
      <c r="H219" t="str">
        <f t="shared" si="3"/>
        <v>Shariatpur|Bhedarganj</v>
      </c>
    </row>
    <row r="220" spans="1:8">
      <c r="A220" t="s">
        <v>1307</v>
      </c>
      <c r="B220" t="s">
        <v>1310</v>
      </c>
      <c r="C220">
        <v>70.569999999999993</v>
      </c>
      <c r="D220">
        <v>123636</v>
      </c>
      <c r="E220">
        <v>1751.96</v>
      </c>
      <c r="F220">
        <v>4.0599999999999996</v>
      </c>
      <c r="G220">
        <v>73.95</v>
      </c>
      <c r="H220" t="str">
        <f t="shared" si="3"/>
        <v>Shariatpur|Damudya</v>
      </c>
    </row>
    <row r="221" spans="1:8">
      <c r="A221" t="s">
        <v>1307</v>
      </c>
      <c r="B221" t="s">
        <v>1311</v>
      </c>
      <c r="C221">
        <v>149.84</v>
      </c>
      <c r="D221">
        <v>175016</v>
      </c>
      <c r="E221">
        <v>1168.02</v>
      </c>
      <c r="F221">
        <v>4.24</v>
      </c>
      <c r="G221">
        <v>70.930000000000007</v>
      </c>
      <c r="H221" t="str">
        <f t="shared" si="3"/>
        <v>Shariatpur|Gosairhat</v>
      </c>
    </row>
    <row r="222" spans="1:8">
      <c r="A222" t="s">
        <v>1307</v>
      </c>
      <c r="B222" t="s">
        <v>1309</v>
      </c>
      <c r="C222">
        <v>193.83</v>
      </c>
      <c r="D222">
        <v>260230</v>
      </c>
      <c r="E222">
        <v>1342.57</v>
      </c>
      <c r="F222">
        <v>4.09</v>
      </c>
      <c r="G222">
        <v>75.94</v>
      </c>
      <c r="H222" t="str">
        <f t="shared" si="3"/>
        <v>Shariatpur|Naria</v>
      </c>
    </row>
    <row r="223" spans="1:8">
      <c r="A223" t="s">
        <v>1307</v>
      </c>
      <c r="B223" t="s">
        <v>1306</v>
      </c>
      <c r="C223">
        <v>246.9</v>
      </c>
      <c r="D223">
        <v>239572</v>
      </c>
      <c r="E223">
        <v>970.32</v>
      </c>
      <c r="F223">
        <v>4.0599999999999996</v>
      </c>
      <c r="G223">
        <v>74.11</v>
      </c>
      <c r="H223" t="str">
        <f t="shared" si="3"/>
        <v>Shariatpur|Shariatpur Sadar</v>
      </c>
    </row>
    <row r="224" spans="1:8">
      <c r="A224" t="s">
        <v>1307</v>
      </c>
      <c r="B224" t="s">
        <v>1308</v>
      </c>
      <c r="C224">
        <v>181.84</v>
      </c>
      <c r="D224">
        <v>217764</v>
      </c>
      <c r="E224">
        <v>1197.56</v>
      </c>
      <c r="F224">
        <v>4.2699999999999996</v>
      </c>
      <c r="G224">
        <v>71.03</v>
      </c>
      <c r="H224" t="str">
        <f t="shared" si="3"/>
        <v>Shariatpur|Zajira</v>
      </c>
    </row>
    <row r="225" spans="1:8">
      <c r="A225" t="s">
        <v>1208</v>
      </c>
      <c r="B225" t="s">
        <v>1492</v>
      </c>
      <c r="C225">
        <v>483.55</v>
      </c>
      <c r="D225">
        <v>188916</v>
      </c>
      <c r="E225">
        <v>390.69</v>
      </c>
      <c r="F225">
        <v>3.84</v>
      </c>
      <c r="G225">
        <v>73.98</v>
      </c>
      <c r="H225" t="str">
        <f t="shared" si="3"/>
        <v>Tangail|Basail</v>
      </c>
    </row>
    <row r="226" spans="1:8">
      <c r="A226" t="s">
        <v>1208</v>
      </c>
      <c r="B226" t="s">
        <v>1211</v>
      </c>
      <c r="C226">
        <v>225.52</v>
      </c>
      <c r="D226">
        <v>217321</v>
      </c>
      <c r="E226">
        <v>963.64</v>
      </c>
      <c r="F226">
        <v>3.79</v>
      </c>
      <c r="G226">
        <v>70.05</v>
      </c>
      <c r="H226" t="str">
        <f t="shared" si="3"/>
        <v>Tangail|Bhuapur</v>
      </c>
    </row>
    <row r="227" spans="1:8">
      <c r="A227" t="s">
        <v>1208</v>
      </c>
      <c r="B227" t="s">
        <v>1215</v>
      </c>
      <c r="C227">
        <v>344.15</v>
      </c>
      <c r="D227">
        <v>218710</v>
      </c>
      <c r="E227">
        <v>635.51</v>
      </c>
      <c r="F227">
        <v>3.8</v>
      </c>
      <c r="G227">
        <v>71.75</v>
      </c>
      <c r="H227" t="str">
        <f t="shared" si="3"/>
        <v>Tangail|Delduar</v>
      </c>
    </row>
    <row r="228" spans="1:8">
      <c r="A228" t="s">
        <v>1208</v>
      </c>
      <c r="B228" t="s">
        <v>1209</v>
      </c>
      <c r="C228">
        <v>280.83</v>
      </c>
      <c r="D228">
        <v>189109</v>
      </c>
      <c r="E228">
        <v>673.39</v>
      </c>
      <c r="F228">
        <v>3.58</v>
      </c>
      <c r="G228">
        <v>67.819999999999993</v>
      </c>
      <c r="H228" t="str">
        <f t="shared" si="3"/>
        <v>Tangail|Dhanbari</v>
      </c>
    </row>
    <row r="229" spans="1:8">
      <c r="A229" t="s">
        <v>1208</v>
      </c>
      <c r="B229" t="s">
        <v>1212</v>
      </c>
      <c r="C229">
        <v>451.63</v>
      </c>
      <c r="D229">
        <v>448724</v>
      </c>
      <c r="E229">
        <v>993.57</v>
      </c>
      <c r="F229">
        <v>3.67</v>
      </c>
      <c r="G229">
        <v>66.89</v>
      </c>
      <c r="H229" t="str">
        <f t="shared" si="3"/>
        <v>Tangail|Ghatail</v>
      </c>
    </row>
    <row r="230" spans="1:8">
      <c r="A230" t="s">
        <v>1208</v>
      </c>
      <c r="B230" t="s">
        <v>1210</v>
      </c>
      <c r="C230">
        <v>327.9</v>
      </c>
      <c r="D230">
        <v>270321</v>
      </c>
      <c r="E230">
        <v>824.4</v>
      </c>
      <c r="F230">
        <v>3.62</v>
      </c>
      <c r="G230">
        <v>66.099999999999994</v>
      </c>
      <c r="H230" t="str">
        <f t="shared" si="3"/>
        <v>Tangail|Gopalpur</v>
      </c>
    </row>
    <row r="231" spans="1:8">
      <c r="A231" t="s">
        <v>1208</v>
      </c>
      <c r="B231" t="s">
        <v>1213</v>
      </c>
      <c r="C231">
        <v>301.22000000000003</v>
      </c>
      <c r="D231">
        <v>449451</v>
      </c>
      <c r="E231">
        <v>1492.1</v>
      </c>
      <c r="F231">
        <v>3.79</v>
      </c>
      <c r="G231">
        <v>67.930000000000007</v>
      </c>
      <c r="H231" t="str">
        <f t="shared" si="3"/>
        <v>Tangail|Kalihati</v>
      </c>
    </row>
    <row r="232" spans="1:8">
      <c r="A232" t="s">
        <v>1208</v>
      </c>
      <c r="B232" t="s">
        <v>1207</v>
      </c>
      <c r="C232">
        <v>370.75</v>
      </c>
      <c r="D232">
        <v>337368</v>
      </c>
      <c r="E232">
        <v>909.96</v>
      </c>
      <c r="F232">
        <v>3.77</v>
      </c>
      <c r="G232">
        <v>65.930000000000007</v>
      </c>
      <c r="H232" t="str">
        <f t="shared" si="3"/>
        <v>Tangail|Madhupur</v>
      </c>
    </row>
    <row r="233" spans="1:8">
      <c r="A233" t="s">
        <v>1208</v>
      </c>
      <c r="B233" t="s">
        <v>1217</v>
      </c>
      <c r="C233">
        <v>489.1</v>
      </c>
      <c r="D233">
        <v>474634</v>
      </c>
      <c r="E233">
        <v>970.42</v>
      </c>
      <c r="F233">
        <v>3.73</v>
      </c>
      <c r="G233">
        <v>74.98</v>
      </c>
      <c r="H233" t="str">
        <f t="shared" si="3"/>
        <v>Tangail|Mirzapur</v>
      </c>
    </row>
    <row r="234" spans="1:8">
      <c r="A234" t="s">
        <v>1208</v>
      </c>
      <c r="B234" t="s">
        <v>1216</v>
      </c>
      <c r="C234">
        <v>266.77</v>
      </c>
      <c r="D234">
        <v>319270</v>
      </c>
      <c r="E234">
        <v>1196.8</v>
      </c>
      <c r="F234">
        <v>3.79</v>
      </c>
      <c r="G234">
        <v>66.63</v>
      </c>
      <c r="H234" t="str">
        <f t="shared" si="3"/>
        <v>Tangail|Nagarpur</v>
      </c>
    </row>
    <row r="235" spans="1:8">
      <c r="A235" t="s">
        <v>1208</v>
      </c>
      <c r="B235" t="s">
        <v>1218</v>
      </c>
      <c r="C235">
        <v>266.83999999999997</v>
      </c>
      <c r="D235">
        <v>322307</v>
      </c>
      <c r="E235">
        <v>1207.8699999999999</v>
      </c>
      <c r="F235">
        <v>3.57</v>
      </c>
      <c r="G235">
        <v>66.87</v>
      </c>
      <c r="H235" t="str">
        <f t="shared" si="3"/>
        <v>Tangail|Sakhipur</v>
      </c>
    </row>
    <row r="236" spans="1:8">
      <c r="A236" t="s">
        <v>1208</v>
      </c>
      <c r="B236" t="s">
        <v>1214</v>
      </c>
      <c r="C236">
        <v>497.01</v>
      </c>
      <c r="D236">
        <v>601185</v>
      </c>
      <c r="E236">
        <v>1209.5999999999999</v>
      </c>
      <c r="F236">
        <v>3.98</v>
      </c>
      <c r="G236">
        <v>74.430000000000007</v>
      </c>
      <c r="H236" t="str">
        <f t="shared" si="3"/>
        <v>Tangail|Tangail Sadar</v>
      </c>
    </row>
    <row r="237" spans="1:8">
      <c r="A237" t="s">
        <v>1103</v>
      </c>
      <c r="B237" t="s">
        <v>1106</v>
      </c>
      <c r="C237">
        <v>395.18</v>
      </c>
      <c r="D237">
        <v>288649</v>
      </c>
      <c r="E237">
        <v>730.42</v>
      </c>
      <c r="F237">
        <v>3.89</v>
      </c>
      <c r="G237">
        <v>82.6</v>
      </c>
      <c r="H237" t="str">
        <f t="shared" si="3"/>
        <v>Bagerhat|Bagerhat Sadar</v>
      </c>
    </row>
    <row r="238" spans="1:8">
      <c r="A238" t="s">
        <v>1103</v>
      </c>
      <c r="B238" t="s">
        <v>1105</v>
      </c>
      <c r="C238">
        <v>193.39</v>
      </c>
      <c r="D238">
        <v>153033</v>
      </c>
      <c r="E238">
        <v>791.32</v>
      </c>
      <c r="F238">
        <v>4.26</v>
      </c>
      <c r="G238">
        <v>79.52</v>
      </c>
      <c r="H238" t="str">
        <f t="shared" si="3"/>
        <v>Bagerhat|Chitalmari</v>
      </c>
    </row>
    <row r="239" spans="1:8">
      <c r="A239" t="s">
        <v>1103</v>
      </c>
      <c r="B239" t="s">
        <v>1102</v>
      </c>
      <c r="C239">
        <v>318.52999999999997</v>
      </c>
      <c r="D239">
        <v>159013</v>
      </c>
      <c r="E239">
        <v>499.21</v>
      </c>
      <c r="F239">
        <v>3.84</v>
      </c>
      <c r="G239">
        <v>82.2</v>
      </c>
      <c r="H239" t="str">
        <f t="shared" si="3"/>
        <v>Bagerhat|Fakirhat</v>
      </c>
    </row>
    <row r="240" spans="1:8">
      <c r="A240" t="s">
        <v>1103</v>
      </c>
      <c r="B240" t="s">
        <v>1107</v>
      </c>
      <c r="C240">
        <v>429.52</v>
      </c>
      <c r="D240">
        <v>107420</v>
      </c>
      <c r="E240">
        <v>250.09</v>
      </c>
      <c r="F240">
        <v>3.9</v>
      </c>
      <c r="G240">
        <v>81.73</v>
      </c>
      <c r="H240" t="str">
        <f t="shared" si="3"/>
        <v>Bagerhat|Kachua</v>
      </c>
    </row>
    <row r="241" spans="1:8">
      <c r="A241" t="s">
        <v>1103</v>
      </c>
      <c r="B241" t="s">
        <v>1104</v>
      </c>
      <c r="C241">
        <v>301.61</v>
      </c>
      <c r="D241">
        <v>144613</v>
      </c>
      <c r="E241">
        <v>479.47</v>
      </c>
      <c r="F241">
        <v>4.13</v>
      </c>
      <c r="G241">
        <v>77.760000000000005</v>
      </c>
      <c r="H241" t="str">
        <f t="shared" si="3"/>
        <v>Bagerhat|Mollahat</v>
      </c>
    </row>
    <row r="242" spans="1:8">
      <c r="A242" t="s">
        <v>1103</v>
      </c>
      <c r="B242" t="s">
        <v>1109</v>
      </c>
      <c r="C242">
        <v>1461.22</v>
      </c>
      <c r="D242">
        <v>158460</v>
      </c>
      <c r="E242">
        <v>108.44</v>
      </c>
      <c r="F242">
        <v>3.75</v>
      </c>
      <c r="G242">
        <v>81.209999999999994</v>
      </c>
      <c r="H242" t="str">
        <f t="shared" si="3"/>
        <v>Bagerhat|Mongla</v>
      </c>
    </row>
    <row r="243" spans="1:8">
      <c r="A243" t="s">
        <v>1103</v>
      </c>
      <c r="B243" t="s">
        <v>1493</v>
      </c>
      <c r="C243">
        <v>419.62</v>
      </c>
      <c r="D243">
        <v>304852</v>
      </c>
      <c r="E243">
        <v>726.5</v>
      </c>
      <c r="F243">
        <v>3.77</v>
      </c>
      <c r="G243">
        <v>81.73</v>
      </c>
      <c r="H243" t="str">
        <f t="shared" si="3"/>
        <v>Bagerhat|Morelganj</v>
      </c>
    </row>
    <row r="244" spans="1:8">
      <c r="A244" t="s">
        <v>1103</v>
      </c>
      <c r="B244" t="s">
        <v>1108</v>
      </c>
      <c r="C244">
        <v>292.12</v>
      </c>
      <c r="D244">
        <v>176048</v>
      </c>
      <c r="E244">
        <v>602.66</v>
      </c>
      <c r="F244">
        <v>3.83</v>
      </c>
      <c r="G244">
        <v>80.95</v>
      </c>
      <c r="H244" t="str">
        <f t="shared" si="3"/>
        <v>Bagerhat|Rampal</v>
      </c>
    </row>
    <row r="245" spans="1:8">
      <c r="A245" t="s">
        <v>1103</v>
      </c>
      <c r="B245" t="s">
        <v>1111</v>
      </c>
      <c r="C245">
        <v>205.18</v>
      </c>
      <c r="D245">
        <v>120917</v>
      </c>
      <c r="E245">
        <v>589.32000000000005</v>
      </c>
      <c r="F245">
        <v>3.88</v>
      </c>
      <c r="G245">
        <v>84.16</v>
      </c>
      <c r="H245" t="str">
        <f t="shared" si="3"/>
        <v>Bagerhat|Sharankhola</v>
      </c>
    </row>
    <row r="246" spans="1:8">
      <c r="A246" t="s">
        <v>1074</v>
      </c>
      <c r="B246" t="s">
        <v>1075</v>
      </c>
      <c r="C246">
        <v>386.53</v>
      </c>
      <c r="D246">
        <v>368160</v>
      </c>
      <c r="E246">
        <v>952.47</v>
      </c>
      <c r="F246">
        <v>3.67</v>
      </c>
      <c r="G246">
        <v>68.7</v>
      </c>
      <c r="H246" t="str">
        <f t="shared" si="3"/>
        <v>Chuadanga|Alamdanga</v>
      </c>
    </row>
    <row r="247" spans="1:8">
      <c r="A247" t="s">
        <v>1074</v>
      </c>
      <c r="B247" t="s">
        <v>1073</v>
      </c>
      <c r="C247">
        <v>300.10000000000002</v>
      </c>
      <c r="D247">
        <v>350504</v>
      </c>
      <c r="E247">
        <v>1167.96</v>
      </c>
      <c r="F247">
        <v>3.75</v>
      </c>
      <c r="G247">
        <v>72.48</v>
      </c>
      <c r="H247" t="str">
        <f t="shared" si="3"/>
        <v>Chuadanga|Chuadanga Sadar</v>
      </c>
    </row>
    <row r="248" spans="1:8">
      <c r="A248" t="s">
        <v>1074</v>
      </c>
      <c r="B248" t="s">
        <v>1076</v>
      </c>
      <c r="C248">
        <v>174.7</v>
      </c>
      <c r="D248">
        <v>317552</v>
      </c>
      <c r="E248">
        <v>1817.7</v>
      </c>
      <c r="F248">
        <v>3.84</v>
      </c>
      <c r="G248">
        <v>71.34</v>
      </c>
      <c r="H248" t="str">
        <f t="shared" si="3"/>
        <v>Chuadanga|Damurhuda</v>
      </c>
    </row>
    <row r="249" spans="1:8">
      <c r="A249" t="s">
        <v>1074</v>
      </c>
      <c r="B249" t="s">
        <v>1077</v>
      </c>
      <c r="C249">
        <v>309</v>
      </c>
      <c r="D249">
        <v>197775</v>
      </c>
      <c r="E249">
        <v>640.04999999999995</v>
      </c>
      <c r="F249">
        <v>3.73</v>
      </c>
      <c r="G249">
        <v>73.400000000000006</v>
      </c>
      <c r="H249" t="str">
        <f t="shared" si="3"/>
        <v>Chuadanga|Jibannagar</v>
      </c>
    </row>
    <row r="250" spans="1:8">
      <c r="A250" t="s">
        <v>1085</v>
      </c>
      <c r="B250" t="s">
        <v>1090</v>
      </c>
      <c r="C250">
        <v>216</v>
      </c>
      <c r="D250">
        <v>290136</v>
      </c>
      <c r="E250">
        <v>1343.22</v>
      </c>
      <c r="F250">
        <v>3.86</v>
      </c>
      <c r="G250">
        <v>77.760000000000005</v>
      </c>
      <c r="H250" t="str">
        <f t="shared" si="3"/>
        <v>Jessore|Abhaynagar</v>
      </c>
    </row>
    <row r="251" spans="1:8">
      <c r="A251" t="s">
        <v>1085</v>
      </c>
      <c r="B251" t="s">
        <v>1086</v>
      </c>
      <c r="C251">
        <v>308.29000000000002</v>
      </c>
      <c r="D251">
        <v>238092</v>
      </c>
      <c r="E251">
        <v>772.3</v>
      </c>
      <c r="F251">
        <v>3.93</v>
      </c>
      <c r="G251">
        <v>74.180000000000007</v>
      </c>
      <c r="H251" t="str">
        <f t="shared" si="3"/>
        <v>Jessore|Bagherpara</v>
      </c>
    </row>
    <row r="252" spans="1:8">
      <c r="A252" t="s">
        <v>1085</v>
      </c>
      <c r="B252" t="s">
        <v>1087</v>
      </c>
      <c r="C252">
        <v>165.56</v>
      </c>
      <c r="D252">
        <v>249271</v>
      </c>
      <c r="E252">
        <v>1505.62</v>
      </c>
      <c r="F252">
        <v>3.67</v>
      </c>
      <c r="G252">
        <v>73.44</v>
      </c>
      <c r="H252" t="str">
        <f t="shared" si="3"/>
        <v>Jessore|Chaugachha</v>
      </c>
    </row>
    <row r="253" spans="1:8">
      <c r="A253" t="s">
        <v>1085</v>
      </c>
      <c r="B253" t="s">
        <v>1088</v>
      </c>
      <c r="C253">
        <v>307.95999999999998</v>
      </c>
      <c r="D253">
        <v>331123</v>
      </c>
      <c r="E253">
        <v>1075.21</v>
      </c>
      <c r="F253">
        <v>3.73</v>
      </c>
      <c r="G253">
        <v>76.349999999999994</v>
      </c>
      <c r="H253" t="str">
        <f t="shared" si="3"/>
        <v>Jessore|Jhikargacha</v>
      </c>
    </row>
    <row r="254" spans="1:8">
      <c r="A254" t="s">
        <v>1085</v>
      </c>
      <c r="B254" t="s">
        <v>1092</v>
      </c>
      <c r="C254">
        <v>258.69</v>
      </c>
      <c r="D254">
        <v>280924</v>
      </c>
      <c r="E254">
        <v>1085.95</v>
      </c>
      <c r="F254">
        <v>3.75</v>
      </c>
      <c r="G254">
        <v>74.05</v>
      </c>
      <c r="H254" t="str">
        <f t="shared" si="3"/>
        <v>Jessore|Keshabpur</v>
      </c>
    </row>
    <row r="255" spans="1:8">
      <c r="A255" t="s">
        <v>1085</v>
      </c>
      <c r="B255" t="s">
        <v>1089</v>
      </c>
      <c r="C255">
        <v>444.72</v>
      </c>
      <c r="D255">
        <v>844323</v>
      </c>
      <c r="E255">
        <v>1898.55</v>
      </c>
      <c r="F255">
        <v>3.83</v>
      </c>
      <c r="G255">
        <v>81.739999999999995</v>
      </c>
      <c r="H255" t="str">
        <f t="shared" si="3"/>
        <v>Jessore|Jessore Sadar</v>
      </c>
    </row>
    <row r="256" spans="1:8">
      <c r="A256" t="s">
        <v>1085</v>
      </c>
      <c r="B256" t="s">
        <v>1091</v>
      </c>
      <c r="C256">
        <v>240.17</v>
      </c>
      <c r="D256">
        <v>454516</v>
      </c>
      <c r="E256">
        <v>1892.48</v>
      </c>
      <c r="F256">
        <v>3.78</v>
      </c>
      <c r="G256">
        <v>74.19</v>
      </c>
      <c r="H256" t="str">
        <f t="shared" si="3"/>
        <v>Jessore|Monirampur</v>
      </c>
    </row>
    <row r="257" spans="1:8">
      <c r="A257" t="s">
        <v>1085</v>
      </c>
      <c r="B257" t="s">
        <v>1084</v>
      </c>
      <c r="C257">
        <v>336.28</v>
      </c>
      <c r="D257">
        <v>387631</v>
      </c>
      <c r="E257">
        <v>1152.7</v>
      </c>
      <c r="F257">
        <v>3.75</v>
      </c>
      <c r="G257">
        <v>76.709999999999994</v>
      </c>
      <c r="H257" t="str">
        <f t="shared" si="3"/>
        <v>Jessore|Sharsha</v>
      </c>
    </row>
    <row r="258" spans="1:8">
      <c r="A258" t="s">
        <v>1079</v>
      </c>
      <c r="B258" t="s">
        <v>1080</v>
      </c>
      <c r="C258">
        <v>170.67</v>
      </c>
      <c r="D258">
        <v>218844</v>
      </c>
      <c r="E258">
        <v>1282.26</v>
      </c>
      <c r="F258">
        <v>3.82</v>
      </c>
      <c r="G258">
        <v>68.33</v>
      </c>
      <c r="H258" t="str">
        <f t="shared" ref="H258:H321" si="4">TRIM(A258)&amp;"|"&amp;TRIM(B258)</f>
        <v>Jhenaidah|Harinakunda</v>
      </c>
    </row>
    <row r="259" spans="1:8">
      <c r="A259" t="s">
        <v>1079</v>
      </c>
      <c r="B259" t="s">
        <v>1081</v>
      </c>
      <c r="C259">
        <v>464.12</v>
      </c>
      <c r="D259">
        <v>543872</v>
      </c>
      <c r="E259">
        <v>1171.83</v>
      </c>
      <c r="F259">
        <v>3.78</v>
      </c>
      <c r="G259">
        <v>75.180000000000007</v>
      </c>
      <c r="H259" t="str">
        <f t="shared" si="4"/>
        <v>Jhenaidah|Jhenaidah Sadar</v>
      </c>
    </row>
    <row r="260" spans="1:8">
      <c r="A260" t="s">
        <v>1079</v>
      </c>
      <c r="B260" t="s">
        <v>952</v>
      </c>
      <c r="C260">
        <v>301.32</v>
      </c>
      <c r="D260">
        <v>308474</v>
      </c>
      <c r="E260">
        <v>1023.74</v>
      </c>
      <c r="F260">
        <v>3.8</v>
      </c>
      <c r="G260">
        <v>74.819999999999993</v>
      </c>
      <c r="H260" t="str">
        <f t="shared" si="4"/>
        <v>Jhenaidah|Kaliganj</v>
      </c>
    </row>
    <row r="261" spans="1:8">
      <c r="A261" t="s">
        <v>1079</v>
      </c>
      <c r="B261" t="s">
        <v>1082</v>
      </c>
      <c r="C261">
        <v>396.11</v>
      </c>
      <c r="D261">
        <v>156540</v>
      </c>
      <c r="E261">
        <v>395.19</v>
      </c>
      <c r="F261">
        <v>3.82</v>
      </c>
      <c r="G261">
        <v>74.81</v>
      </c>
      <c r="H261" t="str">
        <f t="shared" si="4"/>
        <v>Jhenaidah|Kotchandpur</v>
      </c>
    </row>
    <row r="262" spans="1:8">
      <c r="A262" t="s">
        <v>1079</v>
      </c>
      <c r="B262" t="s">
        <v>1083</v>
      </c>
      <c r="C262">
        <v>362.45</v>
      </c>
      <c r="D262">
        <v>371269</v>
      </c>
      <c r="E262">
        <v>1024.33</v>
      </c>
      <c r="F262">
        <v>3.75</v>
      </c>
      <c r="G262">
        <v>70.760000000000005</v>
      </c>
      <c r="H262" t="str">
        <f t="shared" si="4"/>
        <v>Jhenaidah|Maheshpur</v>
      </c>
    </row>
    <row r="263" spans="1:8">
      <c r="A263" t="s">
        <v>1079</v>
      </c>
      <c r="B263" t="s">
        <v>1078</v>
      </c>
      <c r="C263">
        <v>248.36</v>
      </c>
      <c r="D263">
        <v>406735</v>
      </c>
      <c r="E263">
        <v>1637.68</v>
      </c>
      <c r="F263">
        <v>3.95</v>
      </c>
      <c r="G263">
        <v>71.63</v>
      </c>
      <c r="H263" t="str">
        <f t="shared" si="4"/>
        <v>Jhenaidah|Shailkupa</v>
      </c>
    </row>
    <row r="264" spans="1:8">
      <c r="A264" t="s">
        <v>224</v>
      </c>
      <c r="B264" t="s">
        <v>1115</v>
      </c>
      <c r="C264">
        <v>991.58</v>
      </c>
      <c r="D264">
        <v>233021</v>
      </c>
      <c r="E264">
        <v>235</v>
      </c>
      <c r="F264">
        <v>3.86</v>
      </c>
      <c r="G264">
        <v>80.45</v>
      </c>
      <c r="H264" t="str">
        <f t="shared" si="4"/>
        <v>Khulna|Batiaghata</v>
      </c>
    </row>
    <row r="265" spans="1:8">
      <c r="A265" t="s">
        <v>224</v>
      </c>
      <c r="B265" t="s">
        <v>1112</v>
      </c>
      <c r="C265">
        <v>454.23</v>
      </c>
      <c r="D265">
        <v>159362</v>
      </c>
      <c r="E265">
        <v>350.84</v>
      </c>
      <c r="F265">
        <v>3.76</v>
      </c>
      <c r="G265">
        <v>78.040000000000006</v>
      </c>
      <c r="H265" t="str">
        <f t="shared" si="4"/>
        <v>Khulna|Dacope</v>
      </c>
    </row>
    <row r="266" spans="1:8">
      <c r="A266" t="s">
        <v>224</v>
      </c>
      <c r="B266" t="s">
        <v>1121</v>
      </c>
      <c r="C266">
        <v>108.64</v>
      </c>
      <c r="D266">
        <v>343885</v>
      </c>
      <c r="E266">
        <v>3165.36</v>
      </c>
      <c r="F266">
        <v>3.87</v>
      </c>
      <c r="G266">
        <v>75.97</v>
      </c>
      <c r="H266" t="str">
        <f t="shared" si="4"/>
        <v>Khulna|Dumuria</v>
      </c>
    </row>
    <row r="267" spans="1:8">
      <c r="A267" t="s">
        <v>224</v>
      </c>
      <c r="B267" t="s">
        <v>1119</v>
      </c>
      <c r="C267">
        <v>177.76</v>
      </c>
      <c r="D267">
        <v>167013</v>
      </c>
      <c r="E267">
        <v>939.54</v>
      </c>
      <c r="F267">
        <v>4</v>
      </c>
      <c r="G267">
        <v>81.680000000000007</v>
      </c>
      <c r="H267" t="str">
        <f t="shared" si="4"/>
        <v>Khulna|Dighalia</v>
      </c>
    </row>
    <row r="268" spans="1:8">
      <c r="A268" t="s">
        <v>224</v>
      </c>
      <c r="B268" t="s">
        <v>1114</v>
      </c>
      <c r="C268">
        <v>1775.41</v>
      </c>
      <c r="D268">
        <v>220092</v>
      </c>
      <c r="E268">
        <v>123.97</v>
      </c>
      <c r="F268">
        <v>3.96</v>
      </c>
      <c r="G268">
        <v>76.09</v>
      </c>
      <c r="H268" t="str">
        <f t="shared" si="4"/>
        <v>Khulna|Koyra</v>
      </c>
    </row>
    <row r="269" spans="1:8">
      <c r="A269" t="s">
        <v>224</v>
      </c>
      <c r="B269" t="s">
        <v>1113</v>
      </c>
      <c r="C269">
        <v>411.79</v>
      </c>
      <c r="D269">
        <v>286192</v>
      </c>
      <c r="E269">
        <v>695</v>
      </c>
      <c r="F269">
        <v>3.85</v>
      </c>
      <c r="G269">
        <v>75.17</v>
      </c>
      <c r="H269" t="str">
        <f t="shared" si="4"/>
        <v>Khulna|Paikgachha</v>
      </c>
    </row>
    <row r="270" spans="1:8">
      <c r="A270" t="s">
        <v>224</v>
      </c>
      <c r="B270" t="s">
        <v>1120</v>
      </c>
      <c r="C270">
        <v>130.76</v>
      </c>
      <c r="D270">
        <v>148502</v>
      </c>
      <c r="E270">
        <v>1135.68</v>
      </c>
      <c r="F270">
        <v>3.86</v>
      </c>
      <c r="G270">
        <v>81.900000000000006</v>
      </c>
      <c r="H270" t="str">
        <f t="shared" si="4"/>
        <v>Khulna|Phultala</v>
      </c>
    </row>
    <row r="271" spans="1:8">
      <c r="A271" t="s">
        <v>224</v>
      </c>
      <c r="B271" t="s">
        <v>1118</v>
      </c>
      <c r="C271">
        <v>120.15</v>
      </c>
      <c r="D271">
        <v>206744</v>
      </c>
      <c r="E271">
        <v>1720.72</v>
      </c>
      <c r="F271">
        <v>3.91</v>
      </c>
      <c r="G271">
        <v>80.040000000000006</v>
      </c>
      <c r="H271" t="str">
        <f t="shared" si="4"/>
        <v>Khulna|Rupsa</v>
      </c>
    </row>
    <row r="272" spans="1:8">
      <c r="A272" t="s">
        <v>224</v>
      </c>
      <c r="B272" t="s">
        <v>1116</v>
      </c>
      <c r="C272">
        <v>189.48</v>
      </c>
      <c r="D272">
        <v>128922</v>
      </c>
      <c r="E272">
        <v>680.4</v>
      </c>
      <c r="F272">
        <v>3.97</v>
      </c>
      <c r="G272">
        <v>73.19</v>
      </c>
      <c r="H272" t="str">
        <f t="shared" si="4"/>
        <v>Khulna|Terokhada</v>
      </c>
    </row>
    <row r="273" spans="1:8">
      <c r="A273" t="s">
        <v>1067</v>
      </c>
      <c r="B273" t="s">
        <v>1069</v>
      </c>
      <c r="C273">
        <v>153.72</v>
      </c>
      <c r="D273">
        <v>225041</v>
      </c>
      <c r="E273">
        <v>1463.97</v>
      </c>
      <c r="F273">
        <v>3.88</v>
      </c>
      <c r="G273">
        <v>71.239999999999995</v>
      </c>
      <c r="H273" t="str">
        <f t="shared" si="4"/>
        <v>Kushtia|Bheramara</v>
      </c>
    </row>
    <row r="274" spans="1:8">
      <c r="A274" t="s">
        <v>1067</v>
      </c>
      <c r="B274" t="s">
        <v>1066</v>
      </c>
      <c r="C274">
        <v>468.76</v>
      </c>
      <c r="D274">
        <v>482965</v>
      </c>
      <c r="E274">
        <v>1030.3</v>
      </c>
      <c r="F274">
        <v>3.62</v>
      </c>
      <c r="G274">
        <v>64.88</v>
      </c>
      <c r="H274" t="str">
        <f t="shared" si="4"/>
        <v>Kushtia|Daulatpur</v>
      </c>
    </row>
    <row r="275" spans="1:8">
      <c r="A275" t="s">
        <v>1067</v>
      </c>
      <c r="B275" t="s">
        <v>1072</v>
      </c>
      <c r="C275">
        <v>100.66</v>
      </c>
      <c r="D275">
        <v>143827</v>
      </c>
      <c r="E275">
        <v>1428.84</v>
      </c>
      <c r="F275">
        <v>3.83</v>
      </c>
      <c r="G275">
        <v>68.180000000000007</v>
      </c>
      <c r="H275" t="str">
        <f t="shared" si="4"/>
        <v>Kushtia|Khoksa</v>
      </c>
    </row>
    <row r="276" spans="1:8">
      <c r="A276" t="s">
        <v>1067</v>
      </c>
      <c r="B276" t="s">
        <v>1070</v>
      </c>
      <c r="C276">
        <v>238.79</v>
      </c>
      <c r="D276">
        <v>373734</v>
      </c>
      <c r="E276">
        <v>1565.12</v>
      </c>
      <c r="F276">
        <v>3.92</v>
      </c>
      <c r="G276">
        <v>68.180000000000007</v>
      </c>
      <c r="H276" t="str">
        <f t="shared" si="4"/>
        <v>Kushtia|Kumarkhali</v>
      </c>
    </row>
    <row r="277" spans="1:8">
      <c r="A277" t="s">
        <v>1067</v>
      </c>
      <c r="B277" t="s">
        <v>1071</v>
      </c>
      <c r="C277">
        <v>336.11</v>
      </c>
      <c r="D277">
        <v>560952</v>
      </c>
      <c r="E277">
        <v>1668.95</v>
      </c>
      <c r="F277">
        <v>3.78</v>
      </c>
      <c r="G277">
        <v>74.48</v>
      </c>
      <c r="H277" t="str">
        <f t="shared" si="4"/>
        <v>Kushtia|Kushtia Sadar</v>
      </c>
    </row>
    <row r="278" spans="1:8">
      <c r="A278" t="s">
        <v>1067</v>
      </c>
      <c r="B278" t="s">
        <v>1068</v>
      </c>
      <c r="C278">
        <v>334.48</v>
      </c>
      <c r="D278">
        <v>363080</v>
      </c>
      <c r="E278">
        <v>1085.51</v>
      </c>
      <c r="F278">
        <v>3.7</v>
      </c>
      <c r="G278">
        <v>65.77</v>
      </c>
      <c r="H278" t="str">
        <f t="shared" si="4"/>
        <v>Kushtia|Mirpur</v>
      </c>
    </row>
    <row r="279" spans="1:8">
      <c r="A279" t="s">
        <v>1094</v>
      </c>
      <c r="B279" t="s">
        <v>1093</v>
      </c>
      <c r="C279">
        <v>406.37</v>
      </c>
      <c r="D279">
        <v>426377</v>
      </c>
      <c r="E279">
        <v>1049.23</v>
      </c>
      <c r="F279">
        <v>3.98</v>
      </c>
      <c r="G279">
        <v>73.680000000000007</v>
      </c>
      <c r="H279" t="str">
        <f t="shared" si="4"/>
        <v>Magura|Magura Sadar</v>
      </c>
    </row>
    <row r="280" spans="1:8">
      <c r="A280" t="s">
        <v>1094</v>
      </c>
      <c r="B280" t="s">
        <v>1096</v>
      </c>
      <c r="C280">
        <v>234.29</v>
      </c>
      <c r="D280">
        <v>242802</v>
      </c>
      <c r="E280">
        <v>1036.33</v>
      </c>
      <c r="F280">
        <v>4.18</v>
      </c>
      <c r="G280">
        <v>72.28</v>
      </c>
      <c r="H280" t="str">
        <f t="shared" si="4"/>
        <v>Magura|Mohammadpur</v>
      </c>
    </row>
    <row r="281" spans="1:8">
      <c r="A281" t="s">
        <v>1094</v>
      </c>
      <c r="B281" t="s">
        <v>1097</v>
      </c>
      <c r="C281">
        <v>180.18</v>
      </c>
      <c r="D281">
        <v>179654</v>
      </c>
      <c r="E281">
        <v>997.08</v>
      </c>
      <c r="F281">
        <v>3.9</v>
      </c>
      <c r="G281">
        <v>72.56</v>
      </c>
      <c r="H281" t="str">
        <f t="shared" si="4"/>
        <v>Magura|Shalikha</v>
      </c>
    </row>
    <row r="282" spans="1:8">
      <c r="A282" t="s">
        <v>1094</v>
      </c>
      <c r="B282" t="s">
        <v>1095</v>
      </c>
      <c r="C282">
        <v>192.87</v>
      </c>
      <c r="D282">
        <v>184242</v>
      </c>
      <c r="E282">
        <v>955.27</v>
      </c>
      <c r="F282">
        <v>4.03</v>
      </c>
      <c r="G282">
        <v>68.41</v>
      </c>
      <c r="H282" t="str">
        <f t="shared" si="4"/>
        <v>Magura|Sreepur</v>
      </c>
    </row>
    <row r="283" spans="1:8">
      <c r="A283" t="s">
        <v>1063</v>
      </c>
      <c r="B283" t="s">
        <v>1064</v>
      </c>
      <c r="C283">
        <v>219.85</v>
      </c>
      <c r="D283">
        <v>322690</v>
      </c>
      <c r="E283">
        <v>1467.77</v>
      </c>
      <c r="F283">
        <v>3.46</v>
      </c>
      <c r="G283">
        <v>65.459999999999994</v>
      </c>
      <c r="H283" t="str">
        <f t="shared" si="4"/>
        <v>Meherpur|Gangni</v>
      </c>
    </row>
    <row r="284" spans="1:8">
      <c r="A284" t="s">
        <v>1063</v>
      </c>
      <c r="B284" t="s">
        <v>1065</v>
      </c>
      <c r="C284">
        <v>347.67</v>
      </c>
      <c r="D284">
        <v>105746</v>
      </c>
      <c r="E284">
        <v>304.16000000000003</v>
      </c>
      <c r="F284">
        <v>3.78</v>
      </c>
      <c r="G284">
        <v>69.75</v>
      </c>
      <c r="H284" t="str">
        <f t="shared" si="4"/>
        <v>Meherpur|Mujibnagar</v>
      </c>
    </row>
    <row r="285" spans="1:8">
      <c r="A285" t="s">
        <v>1063</v>
      </c>
      <c r="B285" t="s">
        <v>1062</v>
      </c>
      <c r="C285">
        <v>278.33999999999997</v>
      </c>
      <c r="D285">
        <v>276894</v>
      </c>
      <c r="E285">
        <v>994.8</v>
      </c>
      <c r="F285">
        <v>3.68</v>
      </c>
      <c r="G285">
        <v>70.63</v>
      </c>
      <c r="H285" t="str">
        <f t="shared" si="4"/>
        <v>Meherpur|Meherpur Sadar</v>
      </c>
    </row>
    <row r="286" spans="1:8">
      <c r="A286" t="s">
        <v>1099</v>
      </c>
      <c r="B286" t="s">
        <v>1100</v>
      </c>
      <c r="C286">
        <v>186.2</v>
      </c>
      <c r="D286">
        <v>243151</v>
      </c>
      <c r="E286">
        <v>1305.8599999999999</v>
      </c>
      <c r="F286">
        <v>4.05</v>
      </c>
      <c r="G286">
        <v>73.17</v>
      </c>
      <c r="H286" t="str">
        <f t="shared" si="4"/>
        <v>Narail|Kalia</v>
      </c>
    </row>
    <row r="287" spans="1:8">
      <c r="A287" t="s">
        <v>1099</v>
      </c>
      <c r="B287" t="s">
        <v>1101</v>
      </c>
      <c r="C287">
        <v>301.32</v>
      </c>
      <c r="D287">
        <v>248431</v>
      </c>
      <c r="E287">
        <v>824.48</v>
      </c>
      <c r="F287">
        <v>3.98</v>
      </c>
      <c r="G287">
        <v>74.52</v>
      </c>
      <c r="H287" t="str">
        <f t="shared" si="4"/>
        <v>Narail|Lohagara</v>
      </c>
    </row>
    <row r="288" spans="1:8">
      <c r="A288" t="s">
        <v>1099</v>
      </c>
      <c r="B288" t="s">
        <v>1098</v>
      </c>
      <c r="C288">
        <v>311.66000000000003</v>
      </c>
      <c r="D288">
        <v>297063</v>
      </c>
      <c r="E288">
        <v>953.16</v>
      </c>
      <c r="F288">
        <v>3.93</v>
      </c>
      <c r="G288">
        <v>75.95</v>
      </c>
      <c r="H288" t="str">
        <f t="shared" si="4"/>
        <v>Narail|Narail Sadar</v>
      </c>
    </row>
    <row r="289" spans="1:8">
      <c r="A289" t="s">
        <v>1124</v>
      </c>
      <c r="B289" t="s">
        <v>1494</v>
      </c>
      <c r="C289">
        <v>357.28</v>
      </c>
      <c r="D289">
        <v>281749</v>
      </c>
      <c r="E289">
        <v>788.59</v>
      </c>
      <c r="F289">
        <v>3.91</v>
      </c>
      <c r="G289">
        <v>72.459999999999994</v>
      </c>
      <c r="H289" t="str">
        <f t="shared" si="4"/>
        <v>Satkhira|Ashashuni</v>
      </c>
    </row>
    <row r="290" spans="1:8">
      <c r="A290" t="s">
        <v>1124</v>
      </c>
      <c r="B290" t="s">
        <v>1128</v>
      </c>
      <c r="C290">
        <v>168.24</v>
      </c>
      <c r="D290">
        <v>133013</v>
      </c>
      <c r="E290">
        <v>790.61</v>
      </c>
      <c r="F290">
        <v>3.87</v>
      </c>
      <c r="G290">
        <v>78.709999999999994</v>
      </c>
      <c r="H290" t="str">
        <f t="shared" si="4"/>
        <v>Satkhira|Debhata</v>
      </c>
    </row>
    <row r="291" spans="1:8">
      <c r="A291" t="s">
        <v>1124</v>
      </c>
      <c r="B291" t="s">
        <v>1125</v>
      </c>
      <c r="C291">
        <v>343.46</v>
      </c>
      <c r="D291">
        <v>261260</v>
      </c>
      <c r="E291">
        <v>760.67</v>
      </c>
      <c r="F291">
        <v>3.67</v>
      </c>
      <c r="G291">
        <v>72.790000000000006</v>
      </c>
      <c r="H291" t="str">
        <f t="shared" si="4"/>
        <v>Satkhira|Kalaroa</v>
      </c>
    </row>
    <row r="292" spans="1:8">
      <c r="A292" t="s">
        <v>1124</v>
      </c>
      <c r="B292" t="s">
        <v>952</v>
      </c>
      <c r="C292">
        <v>300.12</v>
      </c>
      <c r="D292">
        <v>305480</v>
      </c>
      <c r="E292">
        <v>1017.86</v>
      </c>
      <c r="F292">
        <v>3.85</v>
      </c>
      <c r="G292">
        <v>75.72</v>
      </c>
      <c r="H292" t="str">
        <f t="shared" si="4"/>
        <v>Satkhira|Kaliganj</v>
      </c>
    </row>
    <row r="293" spans="1:8">
      <c r="A293" t="s">
        <v>1124</v>
      </c>
      <c r="B293" t="s">
        <v>1126</v>
      </c>
      <c r="C293">
        <v>401.87</v>
      </c>
      <c r="D293">
        <v>522934</v>
      </c>
      <c r="E293">
        <v>1301.25</v>
      </c>
      <c r="F293">
        <v>3.81</v>
      </c>
      <c r="G293">
        <v>78.06</v>
      </c>
      <c r="H293" t="str">
        <f t="shared" si="4"/>
        <v>Satkhira|Satkhira Sadar</v>
      </c>
    </row>
    <row r="294" spans="1:8">
      <c r="A294" t="s">
        <v>1124</v>
      </c>
      <c r="B294" t="s">
        <v>1129</v>
      </c>
      <c r="C294">
        <v>196.5</v>
      </c>
      <c r="D294">
        <v>365953</v>
      </c>
      <c r="E294">
        <v>1862.36</v>
      </c>
      <c r="F294">
        <v>4.03</v>
      </c>
      <c r="G294">
        <v>74.819999999999993</v>
      </c>
      <c r="H294" t="str">
        <f t="shared" si="4"/>
        <v>Satkhira|Shyamnagar</v>
      </c>
    </row>
    <row r="295" spans="1:8">
      <c r="A295" t="s">
        <v>1124</v>
      </c>
      <c r="B295" t="s">
        <v>1123</v>
      </c>
      <c r="C295">
        <v>196.42</v>
      </c>
      <c r="D295">
        <v>326101</v>
      </c>
      <c r="E295">
        <v>1660.22</v>
      </c>
      <c r="F295">
        <v>3.79</v>
      </c>
      <c r="G295">
        <v>74.28</v>
      </c>
      <c r="H295" t="str">
        <f t="shared" si="4"/>
        <v>Satkhira|Tala</v>
      </c>
    </row>
    <row r="296" spans="1:8">
      <c r="A296" t="s">
        <v>1179</v>
      </c>
      <c r="B296" t="s">
        <v>1180</v>
      </c>
      <c r="C296">
        <v>274.73</v>
      </c>
      <c r="D296">
        <v>239853</v>
      </c>
      <c r="E296">
        <v>873.05</v>
      </c>
      <c r="F296">
        <v>3.81</v>
      </c>
      <c r="G296">
        <v>61.26</v>
      </c>
      <c r="H296" t="str">
        <f t="shared" si="4"/>
        <v>Jamalpur|Bakshiganj</v>
      </c>
    </row>
    <row r="297" spans="1:8">
      <c r="A297" t="s">
        <v>1179</v>
      </c>
      <c r="B297" t="s">
        <v>1178</v>
      </c>
      <c r="C297">
        <v>286.19</v>
      </c>
      <c r="D297">
        <v>288160</v>
      </c>
      <c r="E297">
        <v>1006.88</v>
      </c>
      <c r="F297">
        <v>3.93</v>
      </c>
      <c r="G297">
        <v>59.39</v>
      </c>
      <c r="H297" t="str">
        <f t="shared" si="4"/>
        <v>Jamalpur|Dewanganj</v>
      </c>
    </row>
    <row r="298" spans="1:8">
      <c r="A298" t="s">
        <v>1179</v>
      </c>
      <c r="B298" t="s">
        <v>1181</v>
      </c>
      <c r="C298">
        <v>245.12</v>
      </c>
      <c r="D298">
        <v>319746</v>
      </c>
      <c r="E298">
        <v>1304.45</v>
      </c>
      <c r="F298">
        <v>3.81</v>
      </c>
      <c r="G298">
        <v>54.66</v>
      </c>
      <c r="H298" t="str">
        <f t="shared" si="4"/>
        <v>Jamalpur|Islampur</v>
      </c>
    </row>
    <row r="299" spans="1:8">
      <c r="A299" t="s">
        <v>1179</v>
      </c>
      <c r="B299" t="s">
        <v>1182</v>
      </c>
      <c r="C299">
        <v>489.56</v>
      </c>
      <c r="D299">
        <v>668212</v>
      </c>
      <c r="E299">
        <v>1364.92</v>
      </c>
      <c r="F299">
        <v>3.75</v>
      </c>
      <c r="G299">
        <v>67.41</v>
      </c>
      <c r="H299" t="str">
        <f t="shared" si="4"/>
        <v>Jamalpur|Jamalpur Sadar</v>
      </c>
    </row>
    <row r="300" spans="1:8">
      <c r="A300" t="s">
        <v>1179</v>
      </c>
      <c r="B300" t="s">
        <v>1185</v>
      </c>
      <c r="C300">
        <v>205.96</v>
      </c>
      <c r="D300">
        <v>285987</v>
      </c>
      <c r="E300">
        <v>1388.56</v>
      </c>
      <c r="F300">
        <v>3.78</v>
      </c>
      <c r="G300">
        <v>58.38</v>
      </c>
      <c r="H300" t="str">
        <f t="shared" si="4"/>
        <v>Jamalpur|Madarganj</v>
      </c>
    </row>
    <row r="301" spans="1:8">
      <c r="A301" t="s">
        <v>1179</v>
      </c>
      <c r="B301" t="s">
        <v>1184</v>
      </c>
      <c r="C301">
        <v>464.53</v>
      </c>
      <c r="D301">
        <v>354508</v>
      </c>
      <c r="E301">
        <v>763.15</v>
      </c>
      <c r="F301">
        <v>3.83</v>
      </c>
      <c r="G301">
        <v>59.25</v>
      </c>
      <c r="H301" t="str">
        <f t="shared" si="4"/>
        <v>Jamalpur|Melandaha</v>
      </c>
    </row>
    <row r="302" spans="1:8">
      <c r="A302" t="s">
        <v>1179</v>
      </c>
      <c r="B302" t="s">
        <v>1183</v>
      </c>
      <c r="C302">
        <v>263.5</v>
      </c>
      <c r="D302">
        <v>343161</v>
      </c>
      <c r="E302">
        <v>1302.32</v>
      </c>
      <c r="F302">
        <v>3.84</v>
      </c>
      <c r="G302">
        <v>64.42</v>
      </c>
      <c r="H302" t="str">
        <f t="shared" si="4"/>
        <v>Jamalpur|Sarishabari</v>
      </c>
    </row>
    <row r="303" spans="1:8">
      <c r="A303" t="s">
        <v>403</v>
      </c>
      <c r="B303" t="s">
        <v>1197</v>
      </c>
      <c r="C303">
        <v>444.05</v>
      </c>
      <c r="D303">
        <v>583953</v>
      </c>
      <c r="E303">
        <v>1315.06</v>
      </c>
      <c r="F303">
        <v>3.42</v>
      </c>
      <c r="G303">
        <v>74.98</v>
      </c>
      <c r="H303" t="str">
        <f t="shared" si="4"/>
        <v>Mymensingh|Bhaluka</v>
      </c>
    </row>
    <row r="304" spans="1:8">
      <c r="A304" t="s">
        <v>403</v>
      </c>
      <c r="B304" t="s">
        <v>1187</v>
      </c>
      <c r="C304">
        <v>251.03</v>
      </c>
      <c r="D304">
        <v>217466</v>
      </c>
      <c r="E304">
        <v>866.29</v>
      </c>
      <c r="F304">
        <v>4.09</v>
      </c>
      <c r="G304">
        <v>66.930000000000007</v>
      </c>
      <c r="H304" t="str">
        <f t="shared" si="4"/>
        <v>Mymensingh|Dhobaura</v>
      </c>
    </row>
    <row r="305" spans="1:8">
      <c r="A305" t="s">
        <v>403</v>
      </c>
      <c r="B305" t="s">
        <v>1192</v>
      </c>
      <c r="C305">
        <v>402.41</v>
      </c>
      <c r="D305">
        <v>495894</v>
      </c>
      <c r="E305">
        <v>1232.31</v>
      </c>
      <c r="F305">
        <v>4.01</v>
      </c>
      <c r="G305">
        <v>68.05</v>
      </c>
      <c r="H305" t="str">
        <f t="shared" si="4"/>
        <v>Mymensingh|Fulbaria</v>
      </c>
    </row>
    <row r="306" spans="1:8">
      <c r="A306" t="s">
        <v>403</v>
      </c>
      <c r="B306" t="s">
        <v>1495</v>
      </c>
      <c r="C306">
        <v>374.07</v>
      </c>
      <c r="D306">
        <v>463248</v>
      </c>
      <c r="E306">
        <v>1238.4000000000001</v>
      </c>
      <c r="F306">
        <v>3.87</v>
      </c>
      <c r="G306">
        <v>72.98</v>
      </c>
      <c r="H306" t="str">
        <f t="shared" si="4"/>
        <v>Mymensingh|Gafargaon</v>
      </c>
    </row>
    <row r="307" spans="1:8">
      <c r="A307" t="s">
        <v>403</v>
      </c>
      <c r="B307" t="s">
        <v>1496</v>
      </c>
      <c r="C307">
        <v>331.84</v>
      </c>
      <c r="D307">
        <v>357331</v>
      </c>
      <c r="E307">
        <v>1076.82</v>
      </c>
      <c r="F307">
        <v>4.1399999999999997</v>
      </c>
      <c r="G307">
        <v>68.209999999999994</v>
      </c>
      <c r="H307" t="str">
        <f t="shared" si="4"/>
        <v>Mymensingh|Gouripur</v>
      </c>
    </row>
    <row r="308" spans="1:8">
      <c r="A308" t="s">
        <v>403</v>
      </c>
      <c r="B308" t="s">
        <v>1186</v>
      </c>
      <c r="C308">
        <v>227.58</v>
      </c>
      <c r="D308">
        <v>316528</v>
      </c>
      <c r="E308">
        <v>1390.84</v>
      </c>
      <c r="F308">
        <v>3.88</v>
      </c>
      <c r="G308">
        <v>67</v>
      </c>
      <c r="H308" t="str">
        <f t="shared" si="4"/>
        <v>Mymensingh|Haluaghat</v>
      </c>
    </row>
    <row r="309" spans="1:8">
      <c r="A309" t="s">
        <v>403</v>
      </c>
      <c r="B309" t="s">
        <v>1194</v>
      </c>
      <c r="C309">
        <v>286.19</v>
      </c>
      <c r="D309">
        <v>404598</v>
      </c>
      <c r="E309">
        <v>1413.74</v>
      </c>
      <c r="F309">
        <v>4.1100000000000003</v>
      </c>
      <c r="G309">
        <v>66.819999999999993</v>
      </c>
      <c r="H309" t="str">
        <f t="shared" si="4"/>
        <v>Mymensingh|Ishwarganj</v>
      </c>
    </row>
    <row r="310" spans="1:8">
      <c r="A310" t="s">
        <v>403</v>
      </c>
      <c r="B310" t="s">
        <v>1190</v>
      </c>
      <c r="C310">
        <v>388.45</v>
      </c>
      <c r="D310">
        <v>421413</v>
      </c>
      <c r="E310">
        <v>1084.8599999999999</v>
      </c>
      <c r="F310">
        <v>4.1900000000000004</v>
      </c>
      <c r="G310">
        <v>67.540000000000006</v>
      </c>
      <c r="H310" t="str">
        <f t="shared" si="4"/>
        <v>Mymensingh|Mymensingh Sadar</v>
      </c>
    </row>
    <row r="311" spans="1:8">
      <c r="A311" t="s">
        <v>403</v>
      </c>
      <c r="B311" t="s">
        <v>1191</v>
      </c>
      <c r="C311">
        <v>229.55</v>
      </c>
      <c r="D311">
        <v>460381</v>
      </c>
      <c r="E311">
        <v>2005.58</v>
      </c>
      <c r="F311">
        <v>3.93</v>
      </c>
      <c r="G311">
        <v>71.91</v>
      </c>
      <c r="H311" t="str">
        <f t="shared" si="4"/>
        <v>Mymensingh|Muktagachha</v>
      </c>
    </row>
    <row r="312" spans="1:8">
      <c r="A312" t="s">
        <v>403</v>
      </c>
      <c r="B312" t="s">
        <v>1195</v>
      </c>
      <c r="C312">
        <v>347.31</v>
      </c>
      <c r="D312">
        <v>421277</v>
      </c>
      <c r="E312">
        <v>1212.97</v>
      </c>
      <c r="F312">
        <v>4.1100000000000003</v>
      </c>
      <c r="G312">
        <v>66.03</v>
      </c>
      <c r="H312" t="str">
        <f t="shared" si="4"/>
        <v>Mymensingh|Nandail</v>
      </c>
    </row>
    <row r="313" spans="1:8">
      <c r="A313" t="s">
        <v>403</v>
      </c>
      <c r="B313" t="s">
        <v>1497</v>
      </c>
      <c r="C313">
        <v>277.63</v>
      </c>
      <c r="D313">
        <v>350967</v>
      </c>
      <c r="E313">
        <v>1264.1500000000001</v>
      </c>
      <c r="F313">
        <v>4</v>
      </c>
      <c r="G313">
        <v>66.66</v>
      </c>
      <c r="H313" t="str">
        <f t="shared" si="4"/>
        <v>Mymensingh|Fulpur</v>
      </c>
    </row>
    <row r="314" spans="1:8">
      <c r="A314" t="s">
        <v>403</v>
      </c>
      <c r="B314" t="s">
        <v>1498</v>
      </c>
      <c r="C314">
        <v>353.7</v>
      </c>
      <c r="D314">
        <v>337297</v>
      </c>
      <c r="E314">
        <v>953.62</v>
      </c>
      <c r="F314">
        <v>4.2300000000000004</v>
      </c>
      <c r="G314">
        <v>67.150000000000006</v>
      </c>
      <c r="H314" t="str">
        <f t="shared" si="4"/>
        <v>Mymensingh|Tarakanda</v>
      </c>
    </row>
    <row r="315" spans="1:8">
      <c r="A315" t="s">
        <v>403</v>
      </c>
      <c r="B315" t="s">
        <v>1193</v>
      </c>
      <c r="C315">
        <v>338.98</v>
      </c>
      <c r="D315">
        <v>491467</v>
      </c>
      <c r="E315">
        <v>1449.84</v>
      </c>
      <c r="F315">
        <v>4.07</v>
      </c>
      <c r="G315">
        <v>71.44</v>
      </c>
      <c r="H315" t="str">
        <f t="shared" si="4"/>
        <v>Mymensingh|Trishal</v>
      </c>
    </row>
    <row r="316" spans="1:8">
      <c r="A316" t="s">
        <v>1198</v>
      </c>
      <c r="B316" t="s">
        <v>1202</v>
      </c>
      <c r="C316">
        <v>331.89</v>
      </c>
      <c r="D316">
        <v>144831</v>
      </c>
      <c r="E316">
        <v>436.38</v>
      </c>
      <c r="F316">
        <v>4.2</v>
      </c>
      <c r="G316">
        <v>64.87</v>
      </c>
      <c r="H316" t="str">
        <f t="shared" si="4"/>
        <v>Netrokona|Atpara</v>
      </c>
    </row>
    <row r="317" spans="1:8">
      <c r="A317" t="s">
        <v>1198</v>
      </c>
      <c r="B317" t="s">
        <v>1200</v>
      </c>
      <c r="C317">
        <v>438.76</v>
      </c>
      <c r="D317">
        <v>182190</v>
      </c>
      <c r="E317">
        <v>415.24</v>
      </c>
      <c r="F317">
        <v>4.32</v>
      </c>
      <c r="G317">
        <v>64.42</v>
      </c>
      <c r="H317" t="str">
        <f t="shared" si="4"/>
        <v>Netrokona|Barhatta</v>
      </c>
    </row>
    <row r="318" spans="1:8">
      <c r="A318" t="s">
        <v>1198</v>
      </c>
      <c r="B318" t="s">
        <v>1030</v>
      </c>
      <c r="C318">
        <v>335.46</v>
      </c>
      <c r="D318">
        <v>242445</v>
      </c>
      <c r="E318">
        <v>722.72</v>
      </c>
      <c r="F318">
        <v>4.08</v>
      </c>
      <c r="G318">
        <v>66.760000000000005</v>
      </c>
      <c r="H318" t="str">
        <f t="shared" si="4"/>
        <v>Netrokona|Durgapur</v>
      </c>
    </row>
    <row r="319" spans="1:8">
      <c r="A319" t="s">
        <v>1198</v>
      </c>
      <c r="B319" t="s">
        <v>1199</v>
      </c>
      <c r="C319">
        <v>297.64</v>
      </c>
      <c r="D319">
        <v>96339</v>
      </c>
      <c r="E319">
        <v>323.68</v>
      </c>
      <c r="F319">
        <v>4.43</v>
      </c>
      <c r="G319">
        <v>59.32</v>
      </c>
      <c r="H319" t="str">
        <f t="shared" si="4"/>
        <v>Netrokona|Khaliajuri</v>
      </c>
    </row>
    <row r="320" spans="1:8">
      <c r="A320" t="s">
        <v>1198</v>
      </c>
      <c r="B320" t="s">
        <v>1499</v>
      </c>
      <c r="C320">
        <v>377.52</v>
      </c>
      <c r="D320">
        <v>271328</v>
      </c>
      <c r="E320">
        <v>718.71</v>
      </c>
      <c r="F320">
        <v>4.26</v>
      </c>
      <c r="G320">
        <v>63.8</v>
      </c>
      <c r="H320" t="str">
        <f t="shared" si="4"/>
        <v>Netrokona|Kalmakanda</v>
      </c>
    </row>
    <row r="321" spans="1:8">
      <c r="A321" t="s">
        <v>1198</v>
      </c>
      <c r="B321" t="s">
        <v>1203</v>
      </c>
      <c r="C321">
        <v>483.22</v>
      </c>
      <c r="D321">
        <v>316938</v>
      </c>
      <c r="E321">
        <v>655.89</v>
      </c>
      <c r="F321">
        <v>4.13</v>
      </c>
      <c r="G321">
        <v>64.900000000000006</v>
      </c>
      <c r="H321" t="str">
        <f t="shared" si="4"/>
        <v>Netrokona|Kendua</v>
      </c>
    </row>
    <row r="322" spans="1:8">
      <c r="A322" t="s">
        <v>1198</v>
      </c>
      <c r="B322" t="s">
        <v>1204</v>
      </c>
      <c r="C322">
        <v>245.91</v>
      </c>
      <c r="D322">
        <v>149858</v>
      </c>
      <c r="E322">
        <v>609.4</v>
      </c>
      <c r="F322">
        <v>4.26</v>
      </c>
      <c r="G322">
        <v>59.28</v>
      </c>
      <c r="H322" t="str">
        <f t="shared" ref="H322:H385" si="5">TRIM(A322)&amp;"|"&amp;TRIM(B322)</f>
        <v>Netrokona|Madan</v>
      </c>
    </row>
    <row r="323" spans="1:8">
      <c r="A323" t="s">
        <v>1198</v>
      </c>
      <c r="B323" t="s">
        <v>1205</v>
      </c>
      <c r="C323">
        <v>387.13</v>
      </c>
      <c r="D323">
        <v>166415</v>
      </c>
      <c r="E323">
        <v>429.87</v>
      </c>
      <c r="F323">
        <v>4.24</v>
      </c>
      <c r="G323">
        <v>66.599999999999994</v>
      </c>
      <c r="H323" t="str">
        <f t="shared" si="5"/>
        <v>Netrokona|Mohanganj</v>
      </c>
    </row>
    <row r="324" spans="1:8">
      <c r="A324" t="s">
        <v>1198</v>
      </c>
      <c r="B324" t="s">
        <v>1201</v>
      </c>
      <c r="C324">
        <v>341.68</v>
      </c>
      <c r="D324">
        <v>421933</v>
      </c>
      <c r="E324">
        <v>1234.8800000000001</v>
      </c>
      <c r="F324">
        <v>4.17</v>
      </c>
      <c r="G324">
        <v>70.959999999999994</v>
      </c>
      <c r="H324" t="str">
        <f t="shared" si="5"/>
        <v>Netrokona|Netrokona Sadar</v>
      </c>
    </row>
    <row r="325" spans="1:8">
      <c r="A325" t="s">
        <v>1198</v>
      </c>
      <c r="B325" t="s">
        <v>1206</v>
      </c>
      <c r="C325">
        <v>308.12</v>
      </c>
      <c r="D325">
        <v>332388</v>
      </c>
      <c r="E325">
        <v>1078.76</v>
      </c>
      <c r="F325">
        <v>4.0999999999999996</v>
      </c>
      <c r="G325">
        <v>69.64</v>
      </c>
      <c r="H325" t="str">
        <f t="shared" si="5"/>
        <v>Netrokona|Purbadhala</v>
      </c>
    </row>
    <row r="326" spans="1:8">
      <c r="A326" t="s">
        <v>999</v>
      </c>
      <c r="B326" t="s">
        <v>1500</v>
      </c>
      <c r="C326">
        <v>327.61</v>
      </c>
      <c r="D326">
        <v>178137</v>
      </c>
      <c r="E326">
        <v>543.75</v>
      </c>
      <c r="F326">
        <v>3.64</v>
      </c>
      <c r="G326">
        <v>64.83</v>
      </c>
      <c r="H326" t="str">
        <f t="shared" si="5"/>
        <v>Sherpur|Jhenaigati</v>
      </c>
    </row>
    <row r="327" spans="1:8">
      <c r="A327" t="s">
        <v>999</v>
      </c>
      <c r="B327" t="s">
        <v>1501</v>
      </c>
      <c r="C327">
        <v>284.89</v>
      </c>
      <c r="D327">
        <v>208753</v>
      </c>
      <c r="E327">
        <v>732.75</v>
      </c>
      <c r="F327">
        <v>3.84</v>
      </c>
      <c r="G327">
        <v>63.11</v>
      </c>
      <c r="H327" t="str">
        <f t="shared" si="5"/>
        <v>Sherpur|Nakla</v>
      </c>
    </row>
    <row r="328" spans="1:8">
      <c r="A328" t="s">
        <v>999</v>
      </c>
      <c r="B328" t="s">
        <v>1502</v>
      </c>
      <c r="C328">
        <v>266.42</v>
      </c>
      <c r="D328">
        <v>271905</v>
      </c>
      <c r="E328">
        <v>1020.59</v>
      </c>
      <c r="F328">
        <v>3.67</v>
      </c>
      <c r="G328">
        <v>65.75</v>
      </c>
      <c r="H328" t="str">
        <f t="shared" si="5"/>
        <v>Sherpur|Nalitabari</v>
      </c>
    </row>
    <row r="329" spans="1:8">
      <c r="A329" t="s">
        <v>999</v>
      </c>
      <c r="B329" t="s">
        <v>1503</v>
      </c>
      <c r="C329">
        <v>366.52</v>
      </c>
      <c r="D329">
        <v>563817</v>
      </c>
      <c r="E329">
        <v>1538.3</v>
      </c>
      <c r="F329">
        <v>3.83</v>
      </c>
      <c r="G329">
        <v>63.89</v>
      </c>
      <c r="H329" t="str">
        <f t="shared" si="5"/>
        <v>Sherpur|Sherpur Sadar</v>
      </c>
    </row>
    <row r="330" spans="1:8">
      <c r="A330" t="s">
        <v>999</v>
      </c>
      <c r="B330" t="s">
        <v>1504</v>
      </c>
      <c r="C330">
        <v>353.67</v>
      </c>
      <c r="D330">
        <v>279139</v>
      </c>
      <c r="E330">
        <v>789.26</v>
      </c>
      <c r="F330">
        <v>3.74</v>
      </c>
      <c r="G330">
        <v>61.03</v>
      </c>
      <c r="H330" t="str">
        <f t="shared" si="5"/>
        <v>Sherpur|Sreebardi</v>
      </c>
    </row>
    <row r="331" spans="1:8">
      <c r="A331" t="s">
        <v>988</v>
      </c>
      <c r="B331" t="s">
        <v>1505</v>
      </c>
      <c r="C331">
        <v>280.83999999999997</v>
      </c>
      <c r="D331">
        <v>206777</v>
      </c>
      <c r="E331">
        <v>736.28</v>
      </c>
      <c r="F331">
        <v>3.58</v>
      </c>
      <c r="G331">
        <v>76.73</v>
      </c>
      <c r="H331" t="str">
        <f t="shared" si="5"/>
        <v>Bogura|Adamdighi</v>
      </c>
    </row>
    <row r="332" spans="1:8">
      <c r="A332" t="s">
        <v>988</v>
      </c>
      <c r="B332" t="s">
        <v>993</v>
      </c>
      <c r="C332">
        <v>286.22000000000003</v>
      </c>
      <c r="D332">
        <v>657688</v>
      </c>
      <c r="E332">
        <v>2297.84</v>
      </c>
      <c r="F332">
        <v>3.67</v>
      </c>
      <c r="G332">
        <v>83.63</v>
      </c>
      <c r="H332" t="str">
        <f t="shared" si="5"/>
        <v>Bogura|Bogura Sadar</v>
      </c>
    </row>
    <row r="333" spans="1:8">
      <c r="A333" t="s">
        <v>988</v>
      </c>
      <c r="B333" t="s">
        <v>998</v>
      </c>
      <c r="C333">
        <v>247.29</v>
      </c>
      <c r="D333">
        <v>307512</v>
      </c>
      <c r="E333">
        <v>1243.53</v>
      </c>
      <c r="F333">
        <v>3.62</v>
      </c>
      <c r="G333">
        <v>62.48</v>
      </c>
      <c r="H333" t="str">
        <f t="shared" si="5"/>
        <v>Bogura|Dhunat</v>
      </c>
    </row>
    <row r="334" spans="1:8">
      <c r="A334" t="s">
        <v>988</v>
      </c>
      <c r="B334" t="s">
        <v>1506</v>
      </c>
      <c r="C334">
        <v>180.15</v>
      </c>
      <c r="D334">
        <v>195051</v>
      </c>
      <c r="E334">
        <v>1082.71</v>
      </c>
      <c r="F334">
        <v>3.49</v>
      </c>
      <c r="G334">
        <v>73.53</v>
      </c>
      <c r="H334" t="str">
        <f t="shared" si="5"/>
        <v>Bogura|Dupchachia</v>
      </c>
    </row>
    <row r="335" spans="1:8">
      <c r="A335" t="s">
        <v>988</v>
      </c>
      <c r="B335" t="s">
        <v>1003</v>
      </c>
      <c r="C335">
        <v>325.55</v>
      </c>
      <c r="D335">
        <v>344883</v>
      </c>
      <c r="E335">
        <v>1059.3900000000001</v>
      </c>
      <c r="F335">
        <v>3.66</v>
      </c>
      <c r="G335">
        <v>69.48</v>
      </c>
      <c r="H335" t="str">
        <f t="shared" si="5"/>
        <v>Bogura|Gabtali</v>
      </c>
    </row>
    <row r="336" spans="1:8">
      <c r="A336" t="s">
        <v>988</v>
      </c>
      <c r="B336" t="s">
        <v>995</v>
      </c>
      <c r="C336">
        <v>257.42</v>
      </c>
      <c r="D336">
        <v>234555</v>
      </c>
      <c r="E336">
        <v>911.18</v>
      </c>
      <c r="F336">
        <v>3.57</v>
      </c>
      <c r="G336">
        <v>74.959999999999994</v>
      </c>
      <c r="H336" t="str">
        <f t="shared" si="5"/>
        <v>Bogura|Kahalu</v>
      </c>
    </row>
    <row r="337" spans="1:8">
      <c r="A337" t="s">
        <v>988</v>
      </c>
      <c r="B337" t="s">
        <v>996</v>
      </c>
      <c r="C337">
        <v>265.22000000000003</v>
      </c>
      <c r="D337">
        <v>200280</v>
      </c>
      <c r="E337">
        <v>755.15</v>
      </c>
      <c r="F337">
        <v>3.68</v>
      </c>
      <c r="G337">
        <v>72.02</v>
      </c>
      <c r="H337" t="str">
        <f t="shared" si="5"/>
        <v>Bogura|Nandigram</v>
      </c>
    </row>
    <row r="338" spans="1:8">
      <c r="A338" t="s">
        <v>988</v>
      </c>
      <c r="B338" t="s">
        <v>987</v>
      </c>
      <c r="C338">
        <v>263.5</v>
      </c>
      <c r="D338">
        <v>276195</v>
      </c>
      <c r="E338">
        <v>1048.18</v>
      </c>
      <c r="F338">
        <v>3.32</v>
      </c>
      <c r="G338">
        <v>63.48</v>
      </c>
      <c r="H338" t="str">
        <f t="shared" si="5"/>
        <v>Bogura|Sariakandi</v>
      </c>
    </row>
    <row r="339" spans="1:8">
      <c r="A339" t="s">
        <v>988</v>
      </c>
      <c r="B339" t="s">
        <v>1001</v>
      </c>
      <c r="C339">
        <v>310.75</v>
      </c>
      <c r="D339">
        <v>333653</v>
      </c>
      <c r="E339">
        <v>1073.7</v>
      </c>
      <c r="F339">
        <v>3.65</v>
      </c>
      <c r="G339">
        <v>78.849999999999994</v>
      </c>
      <c r="H339" t="str">
        <f t="shared" si="5"/>
        <v>Bogura|Shajahanpur</v>
      </c>
    </row>
    <row r="340" spans="1:8">
      <c r="A340" t="s">
        <v>988</v>
      </c>
      <c r="B340" t="s">
        <v>999</v>
      </c>
      <c r="C340">
        <v>334.14</v>
      </c>
      <c r="D340">
        <v>383507</v>
      </c>
      <c r="E340">
        <v>1147.74</v>
      </c>
      <c r="F340">
        <v>3.65</v>
      </c>
      <c r="G340">
        <v>68.040000000000006</v>
      </c>
      <c r="H340" t="str">
        <f t="shared" si="5"/>
        <v>Bogura|Sherpur</v>
      </c>
    </row>
    <row r="341" spans="1:8">
      <c r="A341" t="s">
        <v>988</v>
      </c>
      <c r="B341" t="s">
        <v>991</v>
      </c>
      <c r="C341">
        <v>516.70000000000005</v>
      </c>
      <c r="D341">
        <v>400407</v>
      </c>
      <c r="E341">
        <v>774.93</v>
      </c>
      <c r="F341">
        <v>3.46</v>
      </c>
      <c r="G341">
        <v>67.760000000000005</v>
      </c>
      <c r="H341" t="str">
        <f t="shared" si="5"/>
        <v>Bogura|Shibganj</v>
      </c>
    </row>
    <row r="342" spans="1:8">
      <c r="A342" t="s">
        <v>988</v>
      </c>
      <c r="B342" t="s">
        <v>989</v>
      </c>
      <c r="C342">
        <v>291.55</v>
      </c>
      <c r="D342">
        <v>193455</v>
      </c>
      <c r="E342">
        <v>663.54</v>
      </c>
      <c r="F342">
        <v>3.59</v>
      </c>
      <c r="G342">
        <v>68.73</v>
      </c>
      <c r="H342" t="str">
        <f t="shared" si="5"/>
        <v>Bogura|Sonatala</v>
      </c>
    </row>
    <row r="343" spans="1:8">
      <c r="A343" t="s">
        <v>981</v>
      </c>
      <c r="B343" t="s">
        <v>983</v>
      </c>
      <c r="C343">
        <v>139.77000000000001</v>
      </c>
      <c r="D343">
        <v>144676</v>
      </c>
      <c r="E343">
        <v>1035.0999999999999</v>
      </c>
      <c r="F343">
        <v>3.48</v>
      </c>
      <c r="G343">
        <v>74.62</v>
      </c>
      <c r="H343" t="str">
        <f t="shared" si="5"/>
        <v>Joypurhat|Akkelpur</v>
      </c>
    </row>
    <row r="344" spans="1:8">
      <c r="A344" t="s">
        <v>981</v>
      </c>
      <c r="B344" t="s">
        <v>980</v>
      </c>
      <c r="C344">
        <v>248.83</v>
      </c>
      <c r="D344">
        <v>315191</v>
      </c>
      <c r="E344">
        <v>1266.69</v>
      </c>
      <c r="F344">
        <v>3.56</v>
      </c>
      <c r="G344">
        <v>76.8</v>
      </c>
      <c r="H344" t="str">
        <f t="shared" si="5"/>
        <v>Joypurhat|Joypurhat Sadar</v>
      </c>
    </row>
    <row r="345" spans="1:8">
      <c r="A345" t="s">
        <v>981</v>
      </c>
      <c r="B345" t="s">
        <v>984</v>
      </c>
      <c r="C345">
        <v>166.73</v>
      </c>
      <c r="D345">
        <v>146041</v>
      </c>
      <c r="E345">
        <v>875.91</v>
      </c>
      <c r="F345">
        <v>3.41</v>
      </c>
      <c r="G345">
        <v>69.819999999999993</v>
      </c>
      <c r="H345" t="str">
        <f t="shared" si="5"/>
        <v>Joypurhat|Kalai</v>
      </c>
    </row>
    <row r="346" spans="1:8">
      <c r="A346" t="s">
        <v>981</v>
      </c>
      <c r="B346" t="s">
        <v>985</v>
      </c>
      <c r="C346">
        <v>142.33000000000001</v>
      </c>
      <c r="D346">
        <v>110843</v>
      </c>
      <c r="E346">
        <v>778.77</v>
      </c>
      <c r="F346">
        <v>3.36</v>
      </c>
      <c r="G346">
        <v>70</v>
      </c>
      <c r="H346" t="str">
        <f t="shared" si="5"/>
        <v>Joypurhat|Khetlal</v>
      </c>
    </row>
    <row r="347" spans="1:8">
      <c r="A347" t="s">
        <v>981</v>
      </c>
      <c r="B347" t="s">
        <v>982</v>
      </c>
      <c r="C347">
        <v>276.02</v>
      </c>
      <c r="D347">
        <v>239591</v>
      </c>
      <c r="E347">
        <v>868.02</v>
      </c>
      <c r="F347">
        <v>3.55</v>
      </c>
      <c r="G347">
        <v>73.27</v>
      </c>
      <c r="H347" t="str">
        <f t="shared" si="5"/>
        <v>Joypurhat|Panchbibi</v>
      </c>
    </row>
    <row r="348" spans="1:8">
      <c r="A348" t="s">
        <v>1013</v>
      </c>
      <c r="B348" t="s">
        <v>1023</v>
      </c>
      <c r="C348">
        <v>284.64</v>
      </c>
      <c r="D348">
        <v>201452</v>
      </c>
      <c r="E348">
        <v>707.74</v>
      </c>
      <c r="F348">
        <v>3.57</v>
      </c>
      <c r="G348">
        <v>67.47</v>
      </c>
      <c r="H348" t="str">
        <f t="shared" si="5"/>
        <v>Naogaon|Atrai</v>
      </c>
    </row>
    <row r="349" spans="1:8">
      <c r="A349" t="s">
        <v>1013</v>
      </c>
      <c r="B349" t="s">
        <v>1019</v>
      </c>
      <c r="C349">
        <v>295.98</v>
      </c>
      <c r="D349">
        <v>206547</v>
      </c>
      <c r="E349">
        <v>697.84</v>
      </c>
      <c r="F349">
        <v>3.47</v>
      </c>
      <c r="G349">
        <v>69.819999999999993</v>
      </c>
      <c r="H349" t="str">
        <f t="shared" si="5"/>
        <v>Naogaon|Badalgachhi</v>
      </c>
    </row>
    <row r="350" spans="1:8">
      <c r="A350" t="s">
        <v>1013</v>
      </c>
      <c r="B350" t="s">
        <v>1017</v>
      </c>
      <c r="C350">
        <v>299.13</v>
      </c>
      <c r="D350">
        <v>194175</v>
      </c>
      <c r="E350">
        <v>649.13</v>
      </c>
      <c r="F350">
        <v>3.52</v>
      </c>
      <c r="G350">
        <v>72.95</v>
      </c>
      <c r="H350" t="str">
        <f t="shared" si="5"/>
        <v>Naogaon|Dhamoirhat</v>
      </c>
    </row>
    <row r="351" spans="1:8">
      <c r="A351" t="s">
        <v>1013</v>
      </c>
      <c r="B351" t="s">
        <v>1020</v>
      </c>
      <c r="C351">
        <v>483.29</v>
      </c>
      <c r="D351">
        <v>380571</v>
      </c>
      <c r="E351">
        <v>787.46</v>
      </c>
      <c r="F351">
        <v>3.44</v>
      </c>
      <c r="G351">
        <v>68.3</v>
      </c>
      <c r="H351" t="str">
        <f t="shared" si="5"/>
        <v>Naogaon|Manda</v>
      </c>
    </row>
    <row r="352" spans="1:8">
      <c r="A352" t="s">
        <v>1013</v>
      </c>
      <c r="B352" t="s">
        <v>1018</v>
      </c>
      <c r="C352">
        <v>397.67</v>
      </c>
      <c r="D352">
        <v>308655</v>
      </c>
      <c r="E352">
        <v>776.16</v>
      </c>
      <c r="F352">
        <v>3.52</v>
      </c>
      <c r="G352">
        <v>73.12</v>
      </c>
      <c r="H352" t="str">
        <f t="shared" si="5"/>
        <v>Naogaon|Mahadebpur</v>
      </c>
    </row>
    <row r="353" spans="1:8">
      <c r="A353" t="s">
        <v>1013</v>
      </c>
      <c r="B353" t="s">
        <v>1021</v>
      </c>
      <c r="C353">
        <v>275.73</v>
      </c>
      <c r="D353">
        <v>447877</v>
      </c>
      <c r="E353">
        <v>1624.33</v>
      </c>
      <c r="F353">
        <v>3.67</v>
      </c>
      <c r="G353">
        <v>75.36</v>
      </c>
      <c r="H353" t="str">
        <f t="shared" si="5"/>
        <v>Naogaon|Naogaon Sadar</v>
      </c>
    </row>
    <row r="354" spans="1:8">
      <c r="A354" t="s">
        <v>1013</v>
      </c>
      <c r="B354" t="s">
        <v>1015</v>
      </c>
      <c r="C354">
        <v>449.09</v>
      </c>
      <c r="D354">
        <v>270432</v>
      </c>
      <c r="E354">
        <v>602.17999999999995</v>
      </c>
      <c r="F354">
        <v>3.65</v>
      </c>
      <c r="G354">
        <v>72.63</v>
      </c>
      <c r="H354" t="str">
        <f t="shared" si="5"/>
        <v>Naogaon|Niamatpur</v>
      </c>
    </row>
    <row r="355" spans="1:8">
      <c r="A355" t="s">
        <v>1013</v>
      </c>
      <c r="B355" t="s">
        <v>1016</v>
      </c>
      <c r="C355">
        <v>382.65</v>
      </c>
      <c r="D355">
        <v>250717</v>
      </c>
      <c r="E355">
        <v>655.21</v>
      </c>
      <c r="F355">
        <v>3.58</v>
      </c>
      <c r="G355">
        <v>76.180000000000007</v>
      </c>
      <c r="H355" t="str">
        <f t="shared" si="5"/>
        <v>Naogaon|Patnitala</v>
      </c>
    </row>
    <row r="356" spans="1:8">
      <c r="A356" t="s">
        <v>1013</v>
      </c>
      <c r="B356" t="s">
        <v>1014</v>
      </c>
      <c r="C356">
        <v>252.33</v>
      </c>
      <c r="D356">
        <v>147016</v>
      </c>
      <c r="E356">
        <v>582.63</v>
      </c>
      <c r="F356">
        <v>3.83</v>
      </c>
      <c r="G356">
        <v>74</v>
      </c>
      <c r="H356" t="str">
        <f t="shared" si="5"/>
        <v>Naogaon|Porsha</v>
      </c>
    </row>
    <row r="357" spans="1:8">
      <c r="A357" t="s">
        <v>1013</v>
      </c>
      <c r="B357" t="s">
        <v>1022</v>
      </c>
      <c r="C357">
        <v>258.31</v>
      </c>
      <c r="D357">
        <v>192214</v>
      </c>
      <c r="E357">
        <v>744.12</v>
      </c>
      <c r="F357">
        <v>3.63</v>
      </c>
      <c r="G357">
        <v>70.44</v>
      </c>
      <c r="H357" t="str">
        <f t="shared" si="5"/>
        <v>Naogaon|Raninagar</v>
      </c>
    </row>
    <row r="358" spans="1:8">
      <c r="A358" t="s">
        <v>1013</v>
      </c>
      <c r="B358" t="s">
        <v>1012</v>
      </c>
      <c r="C358">
        <v>289.08</v>
      </c>
      <c r="D358">
        <v>184805</v>
      </c>
      <c r="E358">
        <v>639.29</v>
      </c>
      <c r="F358">
        <v>3.78</v>
      </c>
      <c r="G358">
        <v>73.11</v>
      </c>
      <c r="H358" t="str">
        <f t="shared" si="5"/>
        <v>Naogaon|Sapahar</v>
      </c>
    </row>
    <row r="359" spans="1:8">
      <c r="A359" t="s">
        <v>1035</v>
      </c>
      <c r="B359" t="s">
        <v>1036</v>
      </c>
      <c r="C359">
        <v>205.7</v>
      </c>
      <c r="D359">
        <v>140691</v>
      </c>
      <c r="E359">
        <v>683.96</v>
      </c>
      <c r="F359">
        <v>3.58</v>
      </c>
      <c r="G359">
        <v>75.25</v>
      </c>
      <c r="H359" t="str">
        <f t="shared" si="5"/>
        <v>Natore|Bagatipara</v>
      </c>
    </row>
    <row r="360" spans="1:8">
      <c r="A360" t="s">
        <v>1035</v>
      </c>
      <c r="B360" t="s">
        <v>1040</v>
      </c>
      <c r="C360">
        <v>299.63</v>
      </c>
      <c r="D360">
        <v>308917</v>
      </c>
      <c r="E360">
        <v>1030.99</v>
      </c>
      <c r="F360">
        <v>3.64</v>
      </c>
      <c r="G360">
        <v>72.38</v>
      </c>
      <c r="H360" t="str">
        <f t="shared" si="5"/>
        <v>Natore|Baraigram</v>
      </c>
    </row>
    <row r="361" spans="1:8">
      <c r="A361" t="s">
        <v>1035</v>
      </c>
      <c r="B361" t="s">
        <v>1039</v>
      </c>
      <c r="C361">
        <v>327.92</v>
      </c>
      <c r="D361">
        <v>234328</v>
      </c>
      <c r="E361">
        <v>714.59</v>
      </c>
      <c r="F361">
        <v>3.6</v>
      </c>
      <c r="G361">
        <v>68.97</v>
      </c>
      <c r="H361" t="str">
        <f t="shared" si="5"/>
        <v>Natore|Gurudaspur</v>
      </c>
    </row>
    <row r="362" spans="1:8">
      <c r="A362" t="s">
        <v>1035</v>
      </c>
      <c r="B362" t="s">
        <v>1034</v>
      </c>
      <c r="C362">
        <v>468.39</v>
      </c>
      <c r="D362">
        <v>306333</v>
      </c>
      <c r="E362">
        <v>654.01</v>
      </c>
      <c r="F362">
        <v>3.71</v>
      </c>
      <c r="G362">
        <v>72.599999999999994</v>
      </c>
      <c r="H362" t="str">
        <f t="shared" si="5"/>
        <v>Natore|Lalpur</v>
      </c>
    </row>
    <row r="363" spans="1:8">
      <c r="A363" t="s">
        <v>1035</v>
      </c>
      <c r="B363" t="s">
        <v>1507</v>
      </c>
      <c r="C363">
        <v>338.11</v>
      </c>
      <c r="D363">
        <v>135318</v>
      </c>
      <c r="E363">
        <v>400.22</v>
      </c>
      <c r="F363">
        <v>3.59</v>
      </c>
      <c r="G363">
        <v>70.73</v>
      </c>
      <c r="H363" t="str">
        <f t="shared" si="5"/>
        <v>Natore|Naldanga</v>
      </c>
    </row>
    <row r="364" spans="1:8">
      <c r="A364" t="s">
        <v>1035</v>
      </c>
      <c r="B364" t="s">
        <v>1037</v>
      </c>
      <c r="C364">
        <v>278.33</v>
      </c>
      <c r="D364">
        <v>352967</v>
      </c>
      <c r="E364">
        <v>1268.1600000000001</v>
      </c>
      <c r="F364">
        <v>3.67</v>
      </c>
      <c r="G364">
        <v>75.2</v>
      </c>
      <c r="H364" t="str">
        <f t="shared" si="5"/>
        <v>Natore|Natore Sadar</v>
      </c>
    </row>
    <row r="365" spans="1:8">
      <c r="A365" t="s">
        <v>1035</v>
      </c>
      <c r="B365" t="s">
        <v>1038</v>
      </c>
      <c r="C365">
        <v>279.14</v>
      </c>
      <c r="D365">
        <v>381301</v>
      </c>
      <c r="E365">
        <v>1365.98</v>
      </c>
      <c r="F365">
        <v>3.72</v>
      </c>
      <c r="G365">
        <v>66.95</v>
      </c>
      <c r="H365" t="str">
        <f t="shared" si="5"/>
        <v>Natore|Singra</v>
      </c>
    </row>
    <row r="366" spans="1:8">
      <c r="A366" t="s">
        <v>1005</v>
      </c>
      <c r="B366" t="s">
        <v>1009</v>
      </c>
      <c r="C366">
        <v>193.28</v>
      </c>
      <c r="D366">
        <v>113314</v>
      </c>
      <c r="E366">
        <v>586.27</v>
      </c>
      <c r="F366">
        <v>3.9</v>
      </c>
      <c r="G366">
        <v>74.17</v>
      </c>
      <c r="H366" t="str">
        <f t="shared" si="5"/>
        <v>Chapainawabganj|Bholahat</v>
      </c>
    </row>
    <row r="367" spans="1:8">
      <c r="A367" t="s">
        <v>1005</v>
      </c>
      <c r="B367" t="s">
        <v>1008</v>
      </c>
      <c r="C367">
        <v>373.15</v>
      </c>
      <c r="D367">
        <v>304174</v>
      </c>
      <c r="E367">
        <v>815.15</v>
      </c>
      <c r="F367">
        <v>3.95</v>
      </c>
      <c r="G367">
        <v>70.47</v>
      </c>
      <c r="H367" t="str">
        <f t="shared" si="5"/>
        <v>Chapainawabganj|Gomastapur</v>
      </c>
    </row>
    <row r="368" spans="1:8">
      <c r="A368" t="s">
        <v>1005</v>
      </c>
      <c r="B368" t="s">
        <v>1007</v>
      </c>
      <c r="C368">
        <v>414.01</v>
      </c>
      <c r="D368">
        <v>167672</v>
      </c>
      <c r="E368">
        <v>405</v>
      </c>
      <c r="F368">
        <v>3.9</v>
      </c>
      <c r="G368">
        <v>73.58</v>
      </c>
      <c r="H368" t="str">
        <f t="shared" si="5"/>
        <v>Chapainawabganj|Nachole</v>
      </c>
    </row>
    <row r="369" spans="1:8">
      <c r="A369" t="s">
        <v>1005</v>
      </c>
      <c r="B369" t="s">
        <v>1011</v>
      </c>
      <c r="C369">
        <v>472.13</v>
      </c>
      <c r="D369">
        <v>583423</v>
      </c>
      <c r="E369">
        <v>1235.73</v>
      </c>
      <c r="F369">
        <v>4.09</v>
      </c>
      <c r="G369">
        <v>74.23</v>
      </c>
      <c r="H369" t="str">
        <f t="shared" si="5"/>
        <v>Chapainawabganj|Chapainawabganj Sadar</v>
      </c>
    </row>
    <row r="370" spans="1:8">
      <c r="A370" t="s">
        <v>1005</v>
      </c>
      <c r="B370" t="s">
        <v>991</v>
      </c>
      <c r="C370">
        <v>308</v>
      </c>
      <c r="D370">
        <v>666869</v>
      </c>
      <c r="E370">
        <v>2165.16</v>
      </c>
      <c r="F370">
        <v>4.1900000000000004</v>
      </c>
      <c r="G370">
        <v>69.989999999999995</v>
      </c>
      <c r="H370" t="str">
        <f t="shared" si="5"/>
        <v>Chapainawabganj|Shibganj</v>
      </c>
    </row>
    <row r="371" spans="1:8">
      <c r="A371" t="s">
        <v>1053</v>
      </c>
      <c r="B371" t="s">
        <v>1061</v>
      </c>
      <c r="C371">
        <v>253.92</v>
      </c>
      <c r="D371">
        <v>178577</v>
      </c>
      <c r="E371">
        <v>703.28</v>
      </c>
      <c r="F371">
        <v>3.82</v>
      </c>
      <c r="G371">
        <v>68.790000000000006</v>
      </c>
      <c r="H371" t="str">
        <f t="shared" si="5"/>
        <v>Pabna|Atgharia</v>
      </c>
    </row>
    <row r="372" spans="1:8">
      <c r="A372" t="s">
        <v>1053</v>
      </c>
      <c r="B372" t="s">
        <v>1054</v>
      </c>
      <c r="C372">
        <v>193.72</v>
      </c>
      <c r="D372">
        <v>301476</v>
      </c>
      <c r="E372">
        <v>1556.25</v>
      </c>
      <c r="F372">
        <v>4.0999999999999996</v>
      </c>
      <c r="G372">
        <v>66.86</v>
      </c>
      <c r="H372" t="str">
        <f t="shared" si="5"/>
        <v>Pabna|Bera</v>
      </c>
    </row>
    <row r="373" spans="1:8">
      <c r="A373" t="s">
        <v>1053</v>
      </c>
      <c r="B373" t="s">
        <v>1059</v>
      </c>
      <c r="C373">
        <v>336.3</v>
      </c>
      <c r="D373">
        <v>136570</v>
      </c>
      <c r="E373">
        <v>406.1</v>
      </c>
      <c r="F373">
        <v>3.99</v>
      </c>
      <c r="G373">
        <v>67.88</v>
      </c>
      <c r="H373" t="str">
        <f t="shared" si="5"/>
        <v>Pabna|Bhangura</v>
      </c>
    </row>
    <row r="374" spans="1:8">
      <c r="A374" t="s">
        <v>1053</v>
      </c>
      <c r="B374" t="s">
        <v>1057</v>
      </c>
      <c r="C374">
        <v>248.5</v>
      </c>
      <c r="D374">
        <v>334223</v>
      </c>
      <c r="E374">
        <v>1344.96</v>
      </c>
      <c r="F374">
        <v>3.64</v>
      </c>
      <c r="G374">
        <v>70.12</v>
      </c>
      <c r="H374" t="str">
        <f t="shared" si="5"/>
        <v>Pabna|Chatmohar</v>
      </c>
    </row>
    <row r="375" spans="1:8">
      <c r="A375" t="s">
        <v>1053</v>
      </c>
      <c r="B375" t="s">
        <v>1058</v>
      </c>
      <c r="C375">
        <v>378.12</v>
      </c>
      <c r="D375">
        <v>140398</v>
      </c>
      <c r="E375">
        <v>371.31</v>
      </c>
      <c r="F375">
        <v>3.94</v>
      </c>
      <c r="G375">
        <v>67.59</v>
      </c>
      <c r="H375" t="str">
        <f t="shared" si="5"/>
        <v>Pabna|Faridpur</v>
      </c>
    </row>
    <row r="376" spans="1:8">
      <c r="A376" t="s">
        <v>1053</v>
      </c>
      <c r="B376" t="s">
        <v>1060</v>
      </c>
      <c r="C376">
        <v>443.92</v>
      </c>
      <c r="D376">
        <v>390393</v>
      </c>
      <c r="E376">
        <v>879.42</v>
      </c>
      <c r="F376">
        <v>3.85</v>
      </c>
      <c r="G376">
        <v>78.14</v>
      </c>
      <c r="H376" t="str">
        <f t="shared" si="5"/>
        <v>Pabna|Ishwardi</v>
      </c>
    </row>
    <row r="377" spans="1:8">
      <c r="A377" t="s">
        <v>1053</v>
      </c>
      <c r="B377" t="s">
        <v>1056</v>
      </c>
      <c r="C377">
        <v>325.77</v>
      </c>
      <c r="D377">
        <v>711549</v>
      </c>
      <c r="E377">
        <v>2184.21</v>
      </c>
      <c r="F377">
        <v>3.84</v>
      </c>
      <c r="G377">
        <v>72.739999999999995</v>
      </c>
      <c r="H377" t="str">
        <f t="shared" si="5"/>
        <v>Pabna|Pabna Sadar</v>
      </c>
    </row>
    <row r="378" spans="1:8">
      <c r="A378" t="s">
        <v>1053</v>
      </c>
      <c r="B378" t="s">
        <v>1052</v>
      </c>
      <c r="C378">
        <v>152.43</v>
      </c>
      <c r="D378">
        <v>410760</v>
      </c>
      <c r="E378">
        <v>2694.75</v>
      </c>
      <c r="F378">
        <v>3.86</v>
      </c>
      <c r="G378">
        <v>67.37</v>
      </c>
      <c r="H378" t="str">
        <f t="shared" si="5"/>
        <v>Pabna|Santhia</v>
      </c>
    </row>
    <row r="379" spans="1:8">
      <c r="A379" t="s">
        <v>1053</v>
      </c>
      <c r="B379" t="s">
        <v>1055</v>
      </c>
      <c r="C379">
        <v>334.28</v>
      </c>
      <c r="D379">
        <v>305563</v>
      </c>
      <c r="E379">
        <v>914.09</v>
      </c>
      <c r="F379">
        <v>3.91</v>
      </c>
      <c r="G379">
        <v>66.98</v>
      </c>
      <c r="H379" t="str">
        <f t="shared" si="5"/>
        <v>Pabna|Sujanagar</v>
      </c>
    </row>
    <row r="380" spans="1:8">
      <c r="A380" t="s">
        <v>113</v>
      </c>
      <c r="B380" t="s">
        <v>1032</v>
      </c>
      <c r="C380">
        <v>272.67</v>
      </c>
      <c r="D380">
        <v>195886</v>
      </c>
      <c r="E380">
        <v>718.4</v>
      </c>
      <c r="F380">
        <v>3.63</v>
      </c>
      <c r="G380">
        <v>70.06</v>
      </c>
      <c r="H380" t="str">
        <f t="shared" si="5"/>
        <v>Rajshahi|Bagha</v>
      </c>
    </row>
    <row r="381" spans="1:8">
      <c r="A381" t="s">
        <v>113</v>
      </c>
      <c r="B381" t="s">
        <v>1029</v>
      </c>
      <c r="C381">
        <v>363.56</v>
      </c>
      <c r="D381">
        <v>373945</v>
      </c>
      <c r="E381">
        <v>1028.56</v>
      </c>
      <c r="F381">
        <v>3.5</v>
      </c>
      <c r="G381">
        <v>69.209999999999994</v>
      </c>
      <c r="H381" t="str">
        <f t="shared" si="5"/>
        <v>Rajshahi|Bagmara</v>
      </c>
    </row>
    <row r="382" spans="1:8">
      <c r="A382" t="s">
        <v>113</v>
      </c>
      <c r="B382" t="s">
        <v>1033</v>
      </c>
      <c r="C382">
        <v>133.32</v>
      </c>
      <c r="D382">
        <v>224833</v>
      </c>
      <c r="E382">
        <v>1686.42</v>
      </c>
      <c r="F382">
        <v>3.65</v>
      </c>
      <c r="G382">
        <v>70.989999999999995</v>
      </c>
      <c r="H382" t="str">
        <f t="shared" si="5"/>
        <v>Rajshahi|Charghat</v>
      </c>
    </row>
    <row r="383" spans="1:8">
      <c r="A383" t="s">
        <v>113</v>
      </c>
      <c r="B383" t="s">
        <v>1030</v>
      </c>
      <c r="C383">
        <v>342.26</v>
      </c>
      <c r="D383">
        <v>197693</v>
      </c>
      <c r="E383">
        <v>577.61</v>
      </c>
      <c r="F383">
        <v>3.5</v>
      </c>
      <c r="G383">
        <v>69.569999999999993</v>
      </c>
      <c r="H383" t="str">
        <f t="shared" si="5"/>
        <v>Rajshahi|Durgapur</v>
      </c>
    </row>
    <row r="384" spans="1:8">
      <c r="A384" t="s">
        <v>113</v>
      </c>
      <c r="B384" t="s">
        <v>1024</v>
      </c>
      <c r="C384">
        <v>472.13</v>
      </c>
      <c r="D384">
        <v>376376</v>
      </c>
      <c r="E384">
        <v>797.19</v>
      </c>
      <c r="F384">
        <v>4.04</v>
      </c>
      <c r="G384">
        <v>73.5</v>
      </c>
      <c r="H384" t="str">
        <f t="shared" si="5"/>
        <v>Rajshahi|Godagari</v>
      </c>
    </row>
    <row r="385" spans="1:8">
      <c r="A385" t="s">
        <v>113</v>
      </c>
      <c r="B385" t="s">
        <v>1028</v>
      </c>
      <c r="C385">
        <v>163.49</v>
      </c>
      <c r="D385">
        <v>186883</v>
      </c>
      <c r="E385">
        <v>1143.0899999999999</v>
      </c>
      <c r="F385">
        <v>3.52</v>
      </c>
      <c r="G385">
        <v>73.88</v>
      </c>
      <c r="H385" t="str">
        <f t="shared" si="5"/>
        <v>Rajshahi|Mohanpur</v>
      </c>
    </row>
    <row r="386" spans="1:8">
      <c r="A386" t="s">
        <v>113</v>
      </c>
      <c r="B386" t="s">
        <v>1027</v>
      </c>
      <c r="C386">
        <v>189.9</v>
      </c>
      <c r="D386">
        <v>368857</v>
      </c>
      <c r="E386">
        <v>1942.37</v>
      </c>
      <c r="F386">
        <v>3.74</v>
      </c>
      <c r="G386">
        <v>74.72</v>
      </c>
      <c r="H386" t="str">
        <f t="shared" ref="H386:H449" si="6">TRIM(A386)&amp;"|"&amp;TRIM(B386)</f>
        <v>Rajshahi|Paba</v>
      </c>
    </row>
    <row r="387" spans="1:8">
      <c r="A387" t="s">
        <v>113</v>
      </c>
      <c r="B387" t="s">
        <v>1031</v>
      </c>
      <c r="C387">
        <v>192.3</v>
      </c>
      <c r="D387">
        <v>224131</v>
      </c>
      <c r="E387">
        <v>1165.53</v>
      </c>
      <c r="F387">
        <v>3.57</v>
      </c>
      <c r="G387">
        <v>71.53</v>
      </c>
      <c r="H387" t="str">
        <f t="shared" si="6"/>
        <v>Rajshahi|Puthia</v>
      </c>
    </row>
    <row r="388" spans="1:8">
      <c r="A388" t="s">
        <v>113</v>
      </c>
      <c r="B388" t="s">
        <v>1025</v>
      </c>
      <c r="C388">
        <v>280.42</v>
      </c>
      <c r="D388">
        <v>212968</v>
      </c>
      <c r="E388">
        <v>759.46</v>
      </c>
      <c r="F388">
        <v>3.61</v>
      </c>
      <c r="G388">
        <v>72.31</v>
      </c>
      <c r="H388" t="str">
        <f t="shared" si="6"/>
        <v>Rajshahi|Tanor</v>
      </c>
    </row>
    <row r="389" spans="1:8">
      <c r="A389" t="s">
        <v>1042</v>
      </c>
      <c r="B389" t="s">
        <v>1048</v>
      </c>
      <c r="C389">
        <v>117</v>
      </c>
      <c r="D389">
        <v>401152</v>
      </c>
      <c r="E389">
        <v>3428.65</v>
      </c>
      <c r="F389">
        <v>4.0999999999999996</v>
      </c>
      <c r="G389">
        <v>72.680000000000007</v>
      </c>
      <c r="H389" t="str">
        <f t="shared" si="6"/>
        <v>Sirajganj|Belkuchi</v>
      </c>
    </row>
    <row r="390" spans="1:8">
      <c r="A390" t="s">
        <v>1042</v>
      </c>
      <c r="B390" t="s">
        <v>1508</v>
      </c>
      <c r="C390">
        <v>160.79</v>
      </c>
      <c r="D390">
        <v>138054</v>
      </c>
      <c r="E390">
        <v>858.6</v>
      </c>
      <c r="F390">
        <v>3.98</v>
      </c>
      <c r="G390">
        <v>62.72</v>
      </c>
      <c r="H390" t="str">
        <f t="shared" si="6"/>
        <v>Sirajganj|Chouhali</v>
      </c>
    </row>
    <row r="391" spans="1:8">
      <c r="A391" t="s">
        <v>1042</v>
      </c>
      <c r="B391" t="s">
        <v>1044</v>
      </c>
      <c r="C391">
        <v>245.92</v>
      </c>
      <c r="D391">
        <v>154385</v>
      </c>
      <c r="E391">
        <v>627.79</v>
      </c>
      <c r="F391">
        <v>3.95</v>
      </c>
      <c r="G391">
        <v>73.17</v>
      </c>
      <c r="H391" t="str">
        <f t="shared" si="6"/>
        <v>Sirajganj|Kamarkhanda</v>
      </c>
    </row>
    <row r="392" spans="1:8">
      <c r="A392" t="s">
        <v>1042</v>
      </c>
      <c r="B392" t="s">
        <v>1041</v>
      </c>
      <c r="C392">
        <v>368.63</v>
      </c>
      <c r="D392">
        <v>281429</v>
      </c>
      <c r="E392">
        <v>763.45</v>
      </c>
      <c r="F392">
        <v>3.73</v>
      </c>
      <c r="G392">
        <v>63.95</v>
      </c>
      <c r="H392" t="str">
        <f t="shared" si="6"/>
        <v>Sirajganj|Kazipur</v>
      </c>
    </row>
    <row r="393" spans="1:8">
      <c r="A393" t="s">
        <v>1042</v>
      </c>
      <c r="B393" t="s">
        <v>1509</v>
      </c>
      <c r="C393">
        <v>325.92</v>
      </c>
      <c r="D393">
        <v>348142</v>
      </c>
      <c r="E393">
        <v>1068.18</v>
      </c>
      <c r="F393">
        <v>3.8</v>
      </c>
      <c r="G393">
        <v>68.569999999999993</v>
      </c>
      <c r="H393" t="str">
        <f t="shared" si="6"/>
        <v>Sirajganj|Rayganj</v>
      </c>
    </row>
    <row r="394" spans="1:8">
      <c r="A394" t="s">
        <v>1042</v>
      </c>
      <c r="B394" t="s">
        <v>1051</v>
      </c>
      <c r="C394">
        <v>356.67</v>
      </c>
      <c r="D394">
        <v>601613</v>
      </c>
      <c r="E394">
        <v>1686.75</v>
      </c>
      <c r="F394">
        <v>4.04</v>
      </c>
      <c r="G394">
        <v>65.3</v>
      </c>
      <c r="H394" t="str">
        <f t="shared" si="6"/>
        <v>Sirajganj|Shahjadpur</v>
      </c>
    </row>
    <row r="395" spans="1:8">
      <c r="A395" t="s">
        <v>1042</v>
      </c>
      <c r="B395" t="s">
        <v>1043</v>
      </c>
      <c r="C395">
        <v>318.61</v>
      </c>
      <c r="D395">
        <v>631877</v>
      </c>
      <c r="E395">
        <v>1983.23</v>
      </c>
      <c r="F395">
        <v>3.96</v>
      </c>
      <c r="G395">
        <v>73.63</v>
      </c>
      <c r="H395" t="str">
        <f t="shared" si="6"/>
        <v>Sirajganj|Sirajganj Sadar</v>
      </c>
    </row>
    <row r="396" spans="1:8">
      <c r="A396" t="s">
        <v>1042</v>
      </c>
      <c r="B396" t="s">
        <v>1046</v>
      </c>
      <c r="C396">
        <v>414.78</v>
      </c>
      <c r="D396">
        <v>211840</v>
      </c>
      <c r="E396">
        <v>510.73</v>
      </c>
      <c r="F396">
        <v>3.71</v>
      </c>
      <c r="G396">
        <v>71.87</v>
      </c>
      <c r="H396" t="str">
        <f t="shared" si="6"/>
        <v>Sirajganj|Tarash</v>
      </c>
    </row>
    <row r="397" spans="1:8">
      <c r="A397" t="s">
        <v>1042</v>
      </c>
      <c r="B397" t="s">
        <v>1510</v>
      </c>
      <c r="C397">
        <v>127.74</v>
      </c>
      <c r="D397">
        <v>588977</v>
      </c>
      <c r="E397">
        <v>4610.75</v>
      </c>
      <c r="F397">
        <v>3.93</v>
      </c>
      <c r="G397">
        <v>70.010000000000005</v>
      </c>
      <c r="H397" t="str">
        <f t="shared" si="6"/>
        <v>Sirajganj|Ullapara</v>
      </c>
    </row>
    <row r="398" spans="1:8">
      <c r="A398" t="s">
        <v>929</v>
      </c>
      <c r="B398" t="s">
        <v>1511</v>
      </c>
      <c r="C398">
        <v>236.89</v>
      </c>
      <c r="D398">
        <v>184141</v>
      </c>
      <c r="E398">
        <v>777.33</v>
      </c>
      <c r="F398">
        <v>3.65</v>
      </c>
      <c r="G398">
        <v>76.14</v>
      </c>
      <c r="H398" t="str">
        <f t="shared" si="6"/>
        <v>Dinajpur|Birampur</v>
      </c>
    </row>
    <row r="399" spans="1:8">
      <c r="A399" t="s">
        <v>929</v>
      </c>
      <c r="B399" t="s">
        <v>928</v>
      </c>
      <c r="C399">
        <v>193.61</v>
      </c>
      <c r="D399">
        <v>356140</v>
      </c>
      <c r="E399">
        <v>1839.47</v>
      </c>
      <c r="F399">
        <v>4</v>
      </c>
      <c r="G399">
        <v>73.209999999999994</v>
      </c>
      <c r="H399" t="str">
        <f t="shared" si="6"/>
        <v>Dinajpur|Birganj</v>
      </c>
    </row>
    <row r="400" spans="1:8">
      <c r="A400" t="s">
        <v>929</v>
      </c>
      <c r="B400" t="s">
        <v>1512</v>
      </c>
      <c r="C400">
        <v>343.9</v>
      </c>
      <c r="D400">
        <v>281549</v>
      </c>
      <c r="E400">
        <v>818.69</v>
      </c>
      <c r="F400">
        <v>4.05</v>
      </c>
      <c r="G400">
        <v>75.650000000000006</v>
      </c>
      <c r="H400" t="str">
        <f t="shared" si="6"/>
        <v>Dinajpur|Birol</v>
      </c>
    </row>
    <row r="401" spans="1:8">
      <c r="A401" t="s">
        <v>929</v>
      </c>
      <c r="B401" t="s">
        <v>932</v>
      </c>
      <c r="C401">
        <v>336.11</v>
      </c>
      <c r="D401">
        <v>171715</v>
      </c>
      <c r="E401">
        <v>510.89</v>
      </c>
      <c r="F401">
        <v>3.91</v>
      </c>
      <c r="G401">
        <v>76.19</v>
      </c>
      <c r="H401" t="str">
        <f t="shared" si="6"/>
        <v>Dinajpur|Bochaganj</v>
      </c>
    </row>
    <row r="402" spans="1:8">
      <c r="A402" t="s">
        <v>929</v>
      </c>
      <c r="B402" t="s">
        <v>935</v>
      </c>
      <c r="C402">
        <v>506.78</v>
      </c>
      <c r="D402">
        <v>323880</v>
      </c>
      <c r="E402">
        <v>639.09</v>
      </c>
      <c r="F402">
        <v>4.09</v>
      </c>
      <c r="G402">
        <v>75.94</v>
      </c>
      <c r="H402" t="str">
        <f t="shared" si="6"/>
        <v>Dinajpur|Chirirbandar</v>
      </c>
    </row>
    <row r="403" spans="1:8">
      <c r="A403" t="s">
        <v>929</v>
      </c>
      <c r="B403" t="s">
        <v>965</v>
      </c>
      <c r="C403">
        <v>227.17</v>
      </c>
      <c r="D403">
        <v>194561</v>
      </c>
      <c r="E403">
        <v>856.46</v>
      </c>
      <c r="F403">
        <v>3.8</v>
      </c>
      <c r="G403">
        <v>77.61</v>
      </c>
      <c r="H403" t="str">
        <f t="shared" si="6"/>
        <v>Dinajpur|Fulbari</v>
      </c>
    </row>
    <row r="404" spans="1:8">
      <c r="A404" t="s">
        <v>929</v>
      </c>
      <c r="B404" t="s">
        <v>940</v>
      </c>
      <c r="C404">
        <v>247.84</v>
      </c>
      <c r="D404">
        <v>131408</v>
      </c>
      <c r="E404">
        <v>530.21</v>
      </c>
      <c r="F404">
        <v>3.66</v>
      </c>
      <c r="G404">
        <v>70.53</v>
      </c>
      <c r="H404" t="str">
        <f t="shared" si="6"/>
        <v>Dinajpur|Ghoraghat</v>
      </c>
    </row>
    <row r="405" spans="1:8">
      <c r="A405" t="s">
        <v>929</v>
      </c>
      <c r="B405" t="s">
        <v>938</v>
      </c>
      <c r="C405">
        <v>181.29</v>
      </c>
      <c r="D405">
        <v>95959</v>
      </c>
      <c r="E405">
        <v>529.30999999999995</v>
      </c>
      <c r="F405">
        <v>3.72</v>
      </c>
      <c r="G405">
        <v>77.25</v>
      </c>
      <c r="H405" t="str">
        <f t="shared" si="6"/>
        <v>Dinajpur|Hakimpur</v>
      </c>
    </row>
    <row r="406" spans="1:8">
      <c r="A406" t="s">
        <v>929</v>
      </c>
      <c r="B406" t="s">
        <v>930</v>
      </c>
      <c r="C406">
        <v>205.41</v>
      </c>
      <c r="D406">
        <v>174557</v>
      </c>
      <c r="E406">
        <v>849.8</v>
      </c>
      <c r="F406">
        <v>4.03</v>
      </c>
      <c r="G406">
        <v>74.47</v>
      </c>
      <c r="H406" t="str">
        <f t="shared" si="6"/>
        <v>Dinajpur|Kaharole</v>
      </c>
    </row>
    <row r="407" spans="1:8">
      <c r="A407" t="s">
        <v>929</v>
      </c>
      <c r="B407" t="s">
        <v>934</v>
      </c>
      <c r="C407">
        <v>185.22</v>
      </c>
      <c r="D407">
        <v>197401</v>
      </c>
      <c r="E407">
        <v>1065.77</v>
      </c>
      <c r="F407">
        <v>4.13</v>
      </c>
      <c r="G407">
        <v>71.02</v>
      </c>
      <c r="H407" t="str">
        <f t="shared" si="6"/>
        <v>Dinajpur|Khansama</v>
      </c>
    </row>
    <row r="408" spans="1:8">
      <c r="A408" t="s">
        <v>929</v>
      </c>
      <c r="B408" t="s">
        <v>933</v>
      </c>
      <c r="C408">
        <v>344.3</v>
      </c>
      <c r="D408">
        <v>549160</v>
      </c>
      <c r="E408">
        <v>1595</v>
      </c>
      <c r="F408">
        <v>3.87</v>
      </c>
      <c r="G408">
        <v>82.78</v>
      </c>
      <c r="H408" t="str">
        <f t="shared" si="6"/>
        <v>Dinajpur|Dinajpur Sadar</v>
      </c>
    </row>
    <row r="409" spans="1:8">
      <c r="A409" t="s">
        <v>929</v>
      </c>
      <c r="B409" t="s">
        <v>1513</v>
      </c>
      <c r="C409">
        <v>215.8</v>
      </c>
      <c r="D409">
        <v>254029</v>
      </c>
      <c r="E409">
        <v>1177.1500000000001</v>
      </c>
      <c r="F409">
        <v>3.71</v>
      </c>
      <c r="G409">
        <v>71.569999999999993</v>
      </c>
      <c r="H409" t="str">
        <f t="shared" si="6"/>
        <v>Dinajpur|Nababganj</v>
      </c>
    </row>
    <row r="410" spans="1:8">
      <c r="A410" t="s">
        <v>929</v>
      </c>
      <c r="B410" t="s">
        <v>936</v>
      </c>
      <c r="C410">
        <v>354.34</v>
      </c>
      <c r="D410">
        <v>400630</v>
      </c>
      <c r="E410">
        <v>1130.6400000000001</v>
      </c>
      <c r="F410">
        <v>3.79</v>
      </c>
      <c r="G410">
        <v>77.03</v>
      </c>
      <c r="H410" t="str">
        <f t="shared" si="6"/>
        <v>Dinajpur|Parbatipur</v>
      </c>
    </row>
    <row r="411" spans="1:8">
      <c r="A411" t="s">
        <v>973</v>
      </c>
      <c r="B411" t="s">
        <v>1514</v>
      </c>
      <c r="C411">
        <v>165.83</v>
      </c>
      <c r="D411">
        <v>166662</v>
      </c>
      <c r="E411">
        <v>1005.02</v>
      </c>
      <c r="F411">
        <v>3.7</v>
      </c>
      <c r="G411">
        <v>59.99</v>
      </c>
      <c r="H411" t="str">
        <f t="shared" si="6"/>
        <v>Gaibandha|Fulchhari</v>
      </c>
    </row>
    <row r="412" spans="1:8">
      <c r="A412" t="s">
        <v>973</v>
      </c>
      <c r="B412" t="s">
        <v>976</v>
      </c>
      <c r="C412">
        <v>354.67</v>
      </c>
      <c r="D412">
        <v>499155</v>
      </c>
      <c r="E412">
        <v>1407.38</v>
      </c>
      <c r="F412">
        <v>3.72</v>
      </c>
      <c r="G412">
        <v>70.3</v>
      </c>
      <c r="H412" t="str">
        <f t="shared" si="6"/>
        <v>Gaibandha|Gaibandha Sadar</v>
      </c>
    </row>
    <row r="413" spans="1:8">
      <c r="A413" t="s">
        <v>973</v>
      </c>
      <c r="B413" t="s">
        <v>977</v>
      </c>
      <c r="C413">
        <v>481.98</v>
      </c>
      <c r="D413">
        <v>543101</v>
      </c>
      <c r="E413">
        <v>1126.81</v>
      </c>
      <c r="F413">
        <v>3.6</v>
      </c>
      <c r="G413">
        <v>67.239999999999995</v>
      </c>
      <c r="H413" t="str">
        <f t="shared" si="6"/>
        <v>Gaibandha|Gobindaganj</v>
      </c>
    </row>
    <row r="414" spans="1:8">
      <c r="A414" t="s">
        <v>973</v>
      </c>
      <c r="B414" t="s">
        <v>975</v>
      </c>
      <c r="C414">
        <v>230.5</v>
      </c>
      <c r="D414">
        <v>267434</v>
      </c>
      <c r="E414">
        <v>1160.23</v>
      </c>
      <c r="F414">
        <v>3.63</v>
      </c>
      <c r="G414">
        <v>69.77</v>
      </c>
      <c r="H414" t="str">
        <f t="shared" si="6"/>
        <v>Gaibandha|Palashbari</v>
      </c>
    </row>
    <row r="415" spans="1:8">
      <c r="A415" t="s">
        <v>973</v>
      </c>
      <c r="B415" t="s">
        <v>974</v>
      </c>
      <c r="C415">
        <v>440.33</v>
      </c>
      <c r="D415">
        <v>313616</v>
      </c>
      <c r="E415">
        <v>712.23</v>
      </c>
      <c r="F415">
        <v>3.54</v>
      </c>
      <c r="G415">
        <v>66.87</v>
      </c>
      <c r="H415" t="str">
        <f t="shared" si="6"/>
        <v>Gaibandha|Sadullapur</v>
      </c>
    </row>
    <row r="416" spans="1:8">
      <c r="A416" t="s">
        <v>973</v>
      </c>
      <c r="B416" t="s">
        <v>978</v>
      </c>
      <c r="C416">
        <v>213.44</v>
      </c>
      <c r="D416">
        <v>289597</v>
      </c>
      <c r="E416">
        <v>1356.81</v>
      </c>
      <c r="F416">
        <v>3.6</v>
      </c>
      <c r="G416">
        <v>66.08</v>
      </c>
      <c r="H416" t="str">
        <f t="shared" si="6"/>
        <v>Gaibandha|Saghata</v>
      </c>
    </row>
    <row r="417" spans="1:8">
      <c r="A417" t="s">
        <v>973</v>
      </c>
      <c r="B417" t="s">
        <v>972</v>
      </c>
      <c r="C417">
        <v>426.52</v>
      </c>
      <c r="D417">
        <v>482515</v>
      </c>
      <c r="E417">
        <v>1131.28</v>
      </c>
      <c r="F417">
        <v>3.61</v>
      </c>
      <c r="G417">
        <v>64.81</v>
      </c>
      <c r="H417" t="str">
        <f t="shared" si="6"/>
        <v>Gaibandha|Sundarganj</v>
      </c>
    </row>
    <row r="418" spans="1:8">
      <c r="A418" t="s">
        <v>963</v>
      </c>
      <c r="B418" t="s">
        <v>962</v>
      </c>
      <c r="C418">
        <v>412.7</v>
      </c>
      <c r="D418">
        <v>255542</v>
      </c>
      <c r="E418">
        <v>619.20000000000005</v>
      </c>
      <c r="F418">
        <v>3.69</v>
      </c>
      <c r="G418">
        <v>63.06</v>
      </c>
      <c r="H418" t="str">
        <f t="shared" si="6"/>
        <v>Kurigram|Bhurungamari</v>
      </c>
    </row>
    <row r="419" spans="1:8">
      <c r="A419" t="s">
        <v>963</v>
      </c>
      <c r="B419" t="s">
        <v>971</v>
      </c>
      <c r="C419">
        <v>410.63</v>
      </c>
      <c r="D419">
        <v>78382</v>
      </c>
      <c r="E419">
        <v>190.88</v>
      </c>
      <c r="F419">
        <v>4.04</v>
      </c>
      <c r="G419">
        <v>61.39</v>
      </c>
      <c r="H419" t="str">
        <f t="shared" si="6"/>
        <v>Kurigram|Rajibpur</v>
      </c>
    </row>
    <row r="420" spans="1:8">
      <c r="A420" t="s">
        <v>963</v>
      </c>
      <c r="B420" t="s">
        <v>969</v>
      </c>
      <c r="C420">
        <v>225.39</v>
      </c>
      <c r="D420">
        <v>131711</v>
      </c>
      <c r="E420">
        <v>584.37</v>
      </c>
      <c r="F420">
        <v>3.8</v>
      </c>
      <c r="G420">
        <v>66.38</v>
      </c>
      <c r="H420" t="str">
        <f t="shared" si="6"/>
        <v>Kurigram|Chilmari</v>
      </c>
    </row>
    <row r="421" spans="1:8">
      <c r="A421" t="s">
        <v>963</v>
      </c>
      <c r="B421" t="s">
        <v>937</v>
      </c>
      <c r="C421">
        <v>276.45</v>
      </c>
      <c r="D421">
        <v>186676</v>
      </c>
      <c r="E421">
        <v>675.26</v>
      </c>
      <c r="F421">
        <v>3.85</v>
      </c>
      <c r="G421">
        <v>66.010000000000005</v>
      </c>
      <c r="H421" t="str">
        <f t="shared" si="6"/>
        <v>Kurigram|Phulbari</v>
      </c>
    </row>
    <row r="422" spans="1:8">
      <c r="A422" t="s">
        <v>963</v>
      </c>
      <c r="B422" t="s">
        <v>967</v>
      </c>
      <c r="C422">
        <v>415.43</v>
      </c>
      <c r="D422">
        <v>361396</v>
      </c>
      <c r="E422">
        <v>869.93</v>
      </c>
      <c r="F422">
        <v>3.92</v>
      </c>
      <c r="G422">
        <v>69.87</v>
      </c>
      <c r="H422" t="str">
        <f t="shared" si="6"/>
        <v>Kurigram|Kurigram Sadar</v>
      </c>
    </row>
    <row r="423" spans="1:8">
      <c r="A423" t="s">
        <v>963</v>
      </c>
      <c r="B423" t="s">
        <v>964</v>
      </c>
      <c r="C423">
        <v>294.64</v>
      </c>
      <c r="D423">
        <v>444693</v>
      </c>
      <c r="E423">
        <v>1509.28</v>
      </c>
      <c r="F423">
        <v>3.94</v>
      </c>
      <c r="G423">
        <v>62.75</v>
      </c>
      <c r="H423" t="str">
        <f t="shared" si="6"/>
        <v>Kurigram|Nageshwari</v>
      </c>
    </row>
    <row r="424" spans="1:8">
      <c r="A424" t="s">
        <v>963</v>
      </c>
      <c r="B424" t="s">
        <v>966</v>
      </c>
      <c r="C424">
        <v>571.54999999999995</v>
      </c>
      <c r="D424">
        <v>203048</v>
      </c>
      <c r="E424">
        <v>355.26</v>
      </c>
      <c r="F424">
        <v>3.77</v>
      </c>
      <c r="G424">
        <v>70.27</v>
      </c>
      <c r="H424" t="str">
        <f t="shared" si="6"/>
        <v>Kurigram|Rajarhat</v>
      </c>
    </row>
    <row r="425" spans="1:8">
      <c r="A425" t="s">
        <v>963</v>
      </c>
      <c r="B425" t="s">
        <v>970</v>
      </c>
      <c r="C425">
        <v>404.53</v>
      </c>
      <c r="D425">
        <v>227509</v>
      </c>
      <c r="E425">
        <v>562.4</v>
      </c>
      <c r="F425">
        <v>3.94</v>
      </c>
      <c r="G425">
        <v>60.52</v>
      </c>
      <c r="H425" t="str">
        <f t="shared" si="6"/>
        <v>Kurigram|Roumari</v>
      </c>
    </row>
    <row r="426" spans="1:8">
      <c r="A426" t="s">
        <v>963</v>
      </c>
      <c r="B426" t="s">
        <v>968</v>
      </c>
      <c r="C426">
        <v>411.34</v>
      </c>
      <c r="D426">
        <v>440143</v>
      </c>
      <c r="E426">
        <v>1070.02</v>
      </c>
      <c r="F426">
        <v>3.63</v>
      </c>
      <c r="G426">
        <v>64.7</v>
      </c>
      <c r="H426" t="str">
        <f t="shared" si="6"/>
        <v>Kurigram|Ulipur</v>
      </c>
    </row>
    <row r="427" spans="1:8">
      <c r="A427" t="s">
        <v>949</v>
      </c>
      <c r="B427" t="s">
        <v>953</v>
      </c>
      <c r="C427">
        <v>189.42</v>
      </c>
      <c r="D427">
        <v>251223</v>
      </c>
      <c r="E427">
        <v>1326.27</v>
      </c>
      <c r="F427">
        <v>4.0999999999999996</v>
      </c>
      <c r="G427">
        <v>70.34</v>
      </c>
      <c r="H427" t="str">
        <f t="shared" si="6"/>
        <v>Lalmonirhat|Aditmari</v>
      </c>
    </row>
    <row r="428" spans="1:8">
      <c r="A428" t="s">
        <v>949</v>
      </c>
      <c r="B428" t="s">
        <v>950</v>
      </c>
      <c r="C428">
        <v>288.42</v>
      </c>
      <c r="D428">
        <v>264098</v>
      </c>
      <c r="E428">
        <v>915.67</v>
      </c>
      <c r="F428">
        <v>4.1500000000000004</v>
      </c>
      <c r="G428">
        <v>71.92</v>
      </c>
      <c r="H428" t="str">
        <f t="shared" si="6"/>
        <v>Lalmonirhat|Hatibandha</v>
      </c>
    </row>
    <row r="429" spans="1:8">
      <c r="A429" t="s">
        <v>949</v>
      </c>
      <c r="B429" t="s">
        <v>952</v>
      </c>
      <c r="C429">
        <v>203.5</v>
      </c>
      <c r="D429">
        <v>277007</v>
      </c>
      <c r="E429">
        <v>1361.21</v>
      </c>
      <c r="F429">
        <v>4.05</v>
      </c>
      <c r="G429">
        <v>72.55</v>
      </c>
      <c r="H429" t="str">
        <f t="shared" si="6"/>
        <v>Lalmonirhat|Kaliganj</v>
      </c>
    </row>
    <row r="430" spans="1:8">
      <c r="A430" t="s">
        <v>949</v>
      </c>
      <c r="B430" t="s">
        <v>951</v>
      </c>
      <c r="C430">
        <v>225.38</v>
      </c>
      <c r="D430">
        <v>373463</v>
      </c>
      <c r="E430">
        <v>1657.04</v>
      </c>
      <c r="F430">
        <v>4.0199999999999996</v>
      </c>
      <c r="G430">
        <v>69.11</v>
      </c>
      <c r="H430" t="str">
        <f t="shared" si="6"/>
        <v>Lalmonirhat|Lalmonirhat Sadar</v>
      </c>
    </row>
    <row r="431" spans="1:8">
      <c r="A431" t="s">
        <v>949</v>
      </c>
      <c r="B431" t="s">
        <v>948</v>
      </c>
      <c r="C431">
        <v>147.63</v>
      </c>
      <c r="D431">
        <v>262573</v>
      </c>
      <c r="E431">
        <v>1778.59</v>
      </c>
      <c r="F431">
        <v>4.5199999999999996</v>
      </c>
      <c r="G431">
        <v>73.45</v>
      </c>
      <c r="H431" t="str">
        <f t="shared" si="6"/>
        <v>Lalmonirhat|Patgram</v>
      </c>
    </row>
    <row r="432" spans="1:8">
      <c r="A432" t="s">
        <v>942</v>
      </c>
      <c r="B432" t="s">
        <v>941</v>
      </c>
      <c r="C432">
        <v>330.79</v>
      </c>
      <c r="D432">
        <v>316838</v>
      </c>
      <c r="E432">
        <v>957.82</v>
      </c>
      <c r="F432">
        <v>4.1399999999999997</v>
      </c>
      <c r="G432">
        <v>67.64</v>
      </c>
      <c r="H432" t="str">
        <f t="shared" si="6"/>
        <v>Nilphamari|Dimla</v>
      </c>
    </row>
    <row r="433" spans="1:8">
      <c r="A433" t="s">
        <v>942</v>
      </c>
      <c r="B433" t="s">
        <v>1515</v>
      </c>
      <c r="C433">
        <v>252.72</v>
      </c>
      <c r="D433">
        <v>282626</v>
      </c>
      <c r="E433">
        <v>1118.3399999999999</v>
      </c>
      <c r="F433">
        <v>4.05</v>
      </c>
      <c r="G433">
        <v>73.47</v>
      </c>
      <c r="H433" t="str">
        <f t="shared" si="6"/>
        <v>Nilphamari|Domar</v>
      </c>
    </row>
    <row r="434" spans="1:8">
      <c r="A434" t="s">
        <v>942</v>
      </c>
      <c r="B434" t="s">
        <v>943</v>
      </c>
      <c r="C434">
        <v>191.72</v>
      </c>
      <c r="D434">
        <v>386790</v>
      </c>
      <c r="E434">
        <v>2017.47</v>
      </c>
      <c r="F434">
        <v>4.0999999999999996</v>
      </c>
      <c r="G434">
        <v>66.47</v>
      </c>
      <c r="H434" t="str">
        <f t="shared" si="6"/>
        <v>Nilphamari|Jaldhaka</v>
      </c>
    </row>
    <row r="435" spans="1:8">
      <c r="A435" t="s">
        <v>942</v>
      </c>
      <c r="B435" t="s">
        <v>945</v>
      </c>
      <c r="C435">
        <v>307.70999999999998</v>
      </c>
      <c r="D435">
        <v>269322</v>
      </c>
      <c r="E435">
        <v>875.25</v>
      </c>
      <c r="F435">
        <v>3.89</v>
      </c>
      <c r="G435">
        <v>63.82</v>
      </c>
      <c r="H435" t="str">
        <f t="shared" si="6"/>
        <v>Nilphamari|Kishoreganj</v>
      </c>
    </row>
    <row r="436" spans="1:8">
      <c r="A436" t="s">
        <v>942</v>
      </c>
      <c r="B436" t="s">
        <v>944</v>
      </c>
      <c r="C436">
        <v>314.52999999999997</v>
      </c>
      <c r="D436">
        <v>523950</v>
      </c>
      <c r="E436">
        <v>1665.82</v>
      </c>
      <c r="F436">
        <v>4.17</v>
      </c>
      <c r="G436">
        <v>69.790000000000006</v>
      </c>
      <c r="H436" t="str">
        <f t="shared" si="6"/>
        <v>Nilphamari|Nilphamari Sadar</v>
      </c>
    </row>
    <row r="437" spans="1:8">
      <c r="A437" t="s">
        <v>942</v>
      </c>
      <c r="B437" t="s">
        <v>947</v>
      </c>
      <c r="C437">
        <v>209.61</v>
      </c>
      <c r="D437">
        <v>312988</v>
      </c>
      <c r="E437">
        <v>1493.19</v>
      </c>
      <c r="F437">
        <v>4.1900000000000004</v>
      </c>
      <c r="G437">
        <v>74.069999999999993</v>
      </c>
      <c r="H437" t="str">
        <f t="shared" si="6"/>
        <v>Nilphamari|Syedpur</v>
      </c>
    </row>
    <row r="438" spans="1:8">
      <c r="A438" t="s">
        <v>916</v>
      </c>
      <c r="B438" t="s">
        <v>918</v>
      </c>
      <c r="C438">
        <v>286.81</v>
      </c>
      <c r="D438">
        <v>141545</v>
      </c>
      <c r="E438">
        <v>493.51</v>
      </c>
      <c r="F438">
        <v>3.97</v>
      </c>
      <c r="G438">
        <v>76.19</v>
      </c>
      <c r="H438" t="str">
        <f t="shared" si="6"/>
        <v>Panchagarh|Atwari</v>
      </c>
    </row>
    <row r="439" spans="1:8">
      <c r="A439" t="s">
        <v>916</v>
      </c>
      <c r="B439" t="s">
        <v>919</v>
      </c>
      <c r="C439">
        <v>189.29</v>
      </c>
      <c r="D439">
        <v>275279</v>
      </c>
      <c r="E439">
        <v>1454.27</v>
      </c>
      <c r="F439">
        <v>4.05</v>
      </c>
      <c r="G439">
        <v>73.67</v>
      </c>
      <c r="H439" t="str">
        <f t="shared" si="6"/>
        <v>Panchagarh|Boda</v>
      </c>
    </row>
    <row r="440" spans="1:8">
      <c r="A440" t="s">
        <v>916</v>
      </c>
      <c r="B440" t="s">
        <v>920</v>
      </c>
      <c r="C440">
        <v>359.52</v>
      </c>
      <c r="D440">
        <v>267452</v>
      </c>
      <c r="E440">
        <v>743.91</v>
      </c>
      <c r="F440">
        <v>4.0999999999999996</v>
      </c>
      <c r="G440">
        <v>71.040000000000006</v>
      </c>
      <c r="H440" t="str">
        <f t="shared" si="6"/>
        <v>Panchagarh|Debiganj</v>
      </c>
    </row>
    <row r="441" spans="1:8">
      <c r="A441" t="s">
        <v>916</v>
      </c>
      <c r="B441" t="s">
        <v>915</v>
      </c>
      <c r="C441">
        <v>189.12</v>
      </c>
      <c r="D441">
        <v>335353</v>
      </c>
      <c r="E441">
        <v>1773.23</v>
      </c>
      <c r="F441">
        <v>4.25</v>
      </c>
      <c r="G441">
        <v>75.59</v>
      </c>
      <c r="H441" t="str">
        <f t="shared" si="6"/>
        <v>Panchagarh|Panchagarh Sadar</v>
      </c>
    </row>
    <row r="442" spans="1:8">
      <c r="A442" t="s">
        <v>916</v>
      </c>
      <c r="B442" t="s">
        <v>917</v>
      </c>
      <c r="C442">
        <v>303.5</v>
      </c>
      <c r="D442">
        <v>160178</v>
      </c>
      <c r="E442">
        <v>527.77</v>
      </c>
      <c r="F442">
        <v>4.33</v>
      </c>
      <c r="G442">
        <v>71.78</v>
      </c>
      <c r="H442" t="str">
        <f t="shared" si="6"/>
        <v>Panchagarh|Tetulia</v>
      </c>
    </row>
    <row r="443" spans="1:8">
      <c r="A443" t="s">
        <v>11</v>
      </c>
      <c r="B443" t="s">
        <v>956</v>
      </c>
      <c r="C443">
        <v>197.48</v>
      </c>
      <c r="D443">
        <v>314844</v>
      </c>
      <c r="E443">
        <v>1594.31</v>
      </c>
      <c r="F443">
        <v>3.79</v>
      </c>
      <c r="G443">
        <v>68.319999999999993</v>
      </c>
      <c r="H443" t="str">
        <f t="shared" si="6"/>
        <v>Rangpur|Badarganj</v>
      </c>
    </row>
    <row r="444" spans="1:8">
      <c r="A444" t="s">
        <v>11</v>
      </c>
      <c r="B444" t="s">
        <v>954</v>
      </c>
      <c r="C444">
        <v>330.33</v>
      </c>
      <c r="D444">
        <v>286730</v>
      </c>
      <c r="E444">
        <v>868.01</v>
      </c>
      <c r="F444">
        <v>3.84</v>
      </c>
      <c r="G444">
        <v>66.66</v>
      </c>
      <c r="H444" t="str">
        <f t="shared" si="6"/>
        <v>Rangpur|Gangachara</v>
      </c>
    </row>
    <row r="445" spans="1:8">
      <c r="A445" t="s">
        <v>11</v>
      </c>
      <c r="B445" t="s">
        <v>960</v>
      </c>
      <c r="C445">
        <v>225.17</v>
      </c>
      <c r="D445">
        <v>239682</v>
      </c>
      <c r="E445">
        <v>1064.45</v>
      </c>
      <c r="F445">
        <v>3.76</v>
      </c>
      <c r="G445">
        <v>68.069999999999993</v>
      </c>
      <c r="H445" t="str">
        <f t="shared" si="6"/>
        <v>Rangpur|Kaunia</v>
      </c>
    </row>
    <row r="446" spans="1:8">
      <c r="A446" t="s">
        <v>11</v>
      </c>
      <c r="B446" t="s">
        <v>955</v>
      </c>
      <c r="C446">
        <v>236.44</v>
      </c>
      <c r="D446">
        <v>178664</v>
      </c>
      <c r="E446">
        <v>755.64</v>
      </c>
      <c r="F446">
        <v>3.85</v>
      </c>
      <c r="G446">
        <v>68.239999999999995</v>
      </c>
      <c r="H446" t="str">
        <f t="shared" si="6"/>
        <v>Rangpur|Rangpur Sadar</v>
      </c>
    </row>
    <row r="447" spans="1:8">
      <c r="A447" t="s">
        <v>11</v>
      </c>
      <c r="B447" t="s">
        <v>961</v>
      </c>
      <c r="C447">
        <v>409.37</v>
      </c>
      <c r="D447">
        <v>538686</v>
      </c>
      <c r="E447">
        <v>1315.89</v>
      </c>
      <c r="F447">
        <v>3.51</v>
      </c>
      <c r="G447">
        <v>69.33</v>
      </c>
      <c r="H447" t="str">
        <f t="shared" si="6"/>
        <v>Rangpur|Mithapukur</v>
      </c>
    </row>
    <row r="448" spans="1:8">
      <c r="A448" t="s">
        <v>11</v>
      </c>
      <c r="B448" t="s">
        <v>959</v>
      </c>
      <c r="C448">
        <v>359.03</v>
      </c>
      <c r="D448">
        <v>326606</v>
      </c>
      <c r="E448">
        <v>909.69</v>
      </c>
      <c r="F448">
        <v>3.55</v>
      </c>
      <c r="G448">
        <v>65.599999999999994</v>
      </c>
      <c r="H448" t="str">
        <f t="shared" si="6"/>
        <v>Rangpur|Pirgachha</v>
      </c>
    </row>
    <row r="449" spans="1:8">
      <c r="A449" t="s">
        <v>11</v>
      </c>
      <c r="B449" t="s">
        <v>925</v>
      </c>
      <c r="C449">
        <v>280.43</v>
      </c>
      <c r="D449">
        <v>414833</v>
      </c>
      <c r="E449">
        <v>1479.27</v>
      </c>
      <c r="F449">
        <v>3.58</v>
      </c>
      <c r="G449">
        <v>67.11</v>
      </c>
      <c r="H449" t="str">
        <f t="shared" si="6"/>
        <v>Rangpur|Pirganj</v>
      </c>
    </row>
    <row r="450" spans="1:8">
      <c r="A450" t="s">
        <v>11</v>
      </c>
      <c r="B450" t="s">
        <v>957</v>
      </c>
      <c r="C450">
        <v>201.34</v>
      </c>
      <c r="D450">
        <v>160885</v>
      </c>
      <c r="E450">
        <v>799.07</v>
      </c>
      <c r="F450">
        <v>3.94</v>
      </c>
      <c r="G450">
        <v>68.069999999999993</v>
      </c>
      <c r="H450" t="str">
        <f t="shared" ref="H450:H496" si="7">TRIM(A450)&amp;"|"&amp;TRIM(B450)</f>
        <v>Rangpur|Taraganj</v>
      </c>
    </row>
    <row r="451" spans="1:8">
      <c r="A451" t="s">
        <v>922</v>
      </c>
      <c r="B451" t="s">
        <v>923</v>
      </c>
      <c r="C451">
        <v>258.61</v>
      </c>
      <c r="D451">
        <v>208346</v>
      </c>
      <c r="E451">
        <v>805.64</v>
      </c>
      <c r="F451">
        <v>3.94</v>
      </c>
      <c r="G451">
        <v>70.95</v>
      </c>
      <c r="H451" t="str">
        <f t="shared" si="7"/>
        <v>Thakurgaon|Baliadangi</v>
      </c>
    </row>
    <row r="452" spans="1:8">
      <c r="A452" t="s">
        <v>922</v>
      </c>
      <c r="B452" t="s">
        <v>924</v>
      </c>
      <c r="C452">
        <v>258.02999999999997</v>
      </c>
      <c r="D452">
        <v>159510</v>
      </c>
      <c r="E452">
        <v>618.17999999999995</v>
      </c>
      <c r="F452">
        <v>4.05</v>
      </c>
      <c r="G452">
        <v>68.98</v>
      </c>
      <c r="H452" t="str">
        <f t="shared" si="7"/>
        <v>Thakurgaon|Haripur</v>
      </c>
    </row>
    <row r="453" spans="1:8">
      <c r="A453" t="s">
        <v>922</v>
      </c>
      <c r="B453" t="s">
        <v>925</v>
      </c>
      <c r="C453">
        <v>217.8</v>
      </c>
      <c r="D453">
        <v>265151</v>
      </c>
      <c r="E453">
        <v>1217.4100000000001</v>
      </c>
      <c r="F453">
        <v>3.9</v>
      </c>
      <c r="G453">
        <v>74.77</v>
      </c>
      <c r="H453" t="str">
        <f t="shared" si="7"/>
        <v>Thakurgaon|Pirganj</v>
      </c>
    </row>
    <row r="454" spans="1:8">
      <c r="A454" t="s">
        <v>922</v>
      </c>
      <c r="B454" t="s">
        <v>1516</v>
      </c>
      <c r="C454">
        <v>334.67</v>
      </c>
      <c r="D454">
        <v>244074</v>
      </c>
      <c r="E454">
        <v>729.3</v>
      </c>
      <c r="F454">
        <v>3.92</v>
      </c>
      <c r="G454">
        <v>73.7</v>
      </c>
      <c r="H454" t="str">
        <f t="shared" si="7"/>
        <v>Thakurgaon|Ranishankail</v>
      </c>
    </row>
    <row r="455" spans="1:8">
      <c r="A455" s="4" t="s">
        <v>922</v>
      </c>
      <c r="B455" s="4" t="s">
        <v>921</v>
      </c>
      <c r="C455">
        <v>172.65</v>
      </c>
      <c r="D455">
        <v>656770</v>
      </c>
      <c r="E455">
        <v>3804.05</v>
      </c>
      <c r="F455">
        <v>3.99</v>
      </c>
      <c r="G455">
        <v>76.849999999999994</v>
      </c>
      <c r="H455" t="str">
        <f t="shared" si="7"/>
        <v>Thakurgaon|Thakurgaon Sadar</v>
      </c>
    </row>
    <row r="456" spans="1:8">
      <c r="A456" t="s">
        <v>1344</v>
      </c>
      <c r="B456" t="s">
        <v>1346</v>
      </c>
      <c r="C456">
        <v>412.43</v>
      </c>
      <c r="D456">
        <v>126324</v>
      </c>
      <c r="E456">
        <v>306.29000000000002</v>
      </c>
      <c r="F456">
        <v>5.01</v>
      </c>
      <c r="G456">
        <v>63.71</v>
      </c>
      <c r="H456" t="str">
        <f t="shared" si="7"/>
        <v>Habiganj|Ajmiriganj</v>
      </c>
    </row>
    <row r="457" spans="1:8">
      <c r="A457" t="s">
        <v>1344</v>
      </c>
      <c r="B457" t="s">
        <v>1345</v>
      </c>
      <c r="C457">
        <v>327.77</v>
      </c>
      <c r="D457">
        <v>219371</v>
      </c>
      <c r="E457">
        <v>669.28</v>
      </c>
      <c r="F457">
        <v>4.9000000000000004</v>
      </c>
      <c r="G457">
        <v>68.03</v>
      </c>
      <c r="H457" t="str">
        <f t="shared" si="7"/>
        <v>Habiganj|Bahubal</v>
      </c>
    </row>
    <row r="458" spans="1:8">
      <c r="A458" t="s">
        <v>1344</v>
      </c>
      <c r="B458" t="s">
        <v>1347</v>
      </c>
      <c r="C458">
        <v>263.74</v>
      </c>
      <c r="D458">
        <v>356398</v>
      </c>
      <c r="E458">
        <v>1351.32</v>
      </c>
      <c r="F458">
        <v>5.0599999999999996</v>
      </c>
      <c r="G458">
        <v>65.78</v>
      </c>
      <c r="H458" t="str">
        <f t="shared" si="7"/>
        <v>Habiganj|Baniachong</v>
      </c>
    </row>
    <row r="459" spans="1:8">
      <c r="A459" t="s">
        <v>1344</v>
      </c>
      <c r="B459" t="s">
        <v>1352</v>
      </c>
      <c r="C459">
        <v>495.53</v>
      </c>
      <c r="D459">
        <v>342274</v>
      </c>
      <c r="E459">
        <v>690.72</v>
      </c>
      <c r="F459">
        <v>4.47</v>
      </c>
      <c r="G459">
        <v>70.209999999999994</v>
      </c>
      <c r="H459" t="str">
        <f t="shared" si="7"/>
        <v>Habiganj|Chunarughat</v>
      </c>
    </row>
    <row r="460" spans="1:8">
      <c r="A460" t="s">
        <v>1344</v>
      </c>
      <c r="B460" t="s">
        <v>1348</v>
      </c>
      <c r="C460">
        <v>318.33999999999997</v>
      </c>
      <c r="D460">
        <v>306687</v>
      </c>
      <c r="E460">
        <v>963.39</v>
      </c>
      <c r="F460">
        <v>4.74</v>
      </c>
      <c r="G460">
        <v>75.27</v>
      </c>
      <c r="H460" t="str">
        <f t="shared" si="7"/>
        <v>Habiganj|Habiganj Sadar</v>
      </c>
    </row>
    <row r="461" spans="1:8">
      <c r="A461" t="s">
        <v>1344</v>
      </c>
      <c r="B461" t="s">
        <v>1349</v>
      </c>
      <c r="C461">
        <v>284.19</v>
      </c>
      <c r="D461">
        <v>158712</v>
      </c>
      <c r="E461">
        <v>558.47</v>
      </c>
      <c r="F461">
        <v>4.8</v>
      </c>
      <c r="G461">
        <v>63.95</v>
      </c>
      <c r="H461" t="str">
        <f t="shared" si="7"/>
        <v>Habiganj|Lakhai</v>
      </c>
    </row>
    <row r="462" spans="1:8">
      <c r="A462" t="s">
        <v>1344</v>
      </c>
      <c r="B462" t="s">
        <v>1350</v>
      </c>
      <c r="C462">
        <v>370.54</v>
      </c>
      <c r="D462">
        <v>384212</v>
      </c>
      <c r="E462">
        <v>1036.9000000000001</v>
      </c>
      <c r="F462">
        <v>4.51</v>
      </c>
      <c r="G462">
        <v>68.930000000000007</v>
      </c>
      <c r="H462" t="str">
        <f t="shared" si="7"/>
        <v>Habiganj|Madhabpur</v>
      </c>
    </row>
    <row r="463" spans="1:8">
      <c r="A463" t="s">
        <v>1344</v>
      </c>
      <c r="B463" t="s">
        <v>1343</v>
      </c>
      <c r="C463">
        <v>349.37</v>
      </c>
      <c r="D463">
        <v>367365</v>
      </c>
      <c r="E463">
        <v>1051.51</v>
      </c>
      <c r="F463">
        <v>5.03</v>
      </c>
      <c r="G463">
        <v>70.55</v>
      </c>
      <c r="H463" t="str">
        <f t="shared" si="7"/>
        <v>Habiganj|Nabiganj</v>
      </c>
    </row>
    <row r="464" spans="1:8">
      <c r="A464" t="s">
        <v>1344</v>
      </c>
      <c r="B464" t="s">
        <v>1354</v>
      </c>
      <c r="C464">
        <v>247.22</v>
      </c>
      <c r="D464">
        <v>97404</v>
      </c>
      <c r="E464">
        <v>394</v>
      </c>
      <c r="F464">
        <v>4.3499999999999996</v>
      </c>
      <c r="G464">
        <v>78.12</v>
      </c>
      <c r="H464" t="str">
        <f t="shared" si="7"/>
        <v>Habiganj|Shayestaganj</v>
      </c>
    </row>
    <row r="465" spans="1:8">
      <c r="A465" t="s">
        <v>1336</v>
      </c>
      <c r="B465" t="s">
        <v>1517</v>
      </c>
      <c r="C465">
        <v>315.58</v>
      </c>
      <c r="D465">
        <v>282449</v>
      </c>
      <c r="E465">
        <v>895.02</v>
      </c>
      <c r="F465">
        <v>5.0999999999999996</v>
      </c>
      <c r="G465">
        <v>78.87</v>
      </c>
      <c r="H465" t="str">
        <f t="shared" si="7"/>
        <v>Moulvibazar|Baralekha</v>
      </c>
    </row>
    <row r="466" spans="1:8">
      <c r="A466" t="s">
        <v>1336</v>
      </c>
      <c r="B466" t="s">
        <v>1337</v>
      </c>
      <c r="C466">
        <v>151.22</v>
      </c>
      <c r="D466">
        <v>162560</v>
      </c>
      <c r="E466">
        <v>1074.99</v>
      </c>
      <c r="F466">
        <v>4.8899999999999997</v>
      </c>
      <c r="G466">
        <v>75.56</v>
      </c>
      <c r="H466" t="str">
        <f t="shared" si="7"/>
        <v>Moulvibazar|Juri</v>
      </c>
    </row>
    <row r="467" spans="1:8">
      <c r="A467" t="s">
        <v>1336</v>
      </c>
      <c r="B467" t="s">
        <v>1342</v>
      </c>
      <c r="C467">
        <v>485.27</v>
      </c>
      <c r="D467">
        <v>290093</v>
      </c>
      <c r="E467">
        <v>597.79999999999995</v>
      </c>
      <c r="F467">
        <v>4.51</v>
      </c>
      <c r="G467">
        <v>74.88</v>
      </c>
      <c r="H467" t="str">
        <f t="shared" si="7"/>
        <v>Moulvibazar|Kamalganj</v>
      </c>
    </row>
    <row r="468" spans="1:8">
      <c r="A468" t="s">
        <v>1336</v>
      </c>
      <c r="B468" t="s">
        <v>1338</v>
      </c>
      <c r="C468">
        <v>679.54</v>
      </c>
      <c r="D468">
        <v>397736</v>
      </c>
      <c r="E468">
        <v>585.29999999999995</v>
      </c>
      <c r="F468">
        <v>4.7699999999999996</v>
      </c>
      <c r="G468">
        <v>75.53</v>
      </c>
      <c r="H468" t="str">
        <f t="shared" si="7"/>
        <v>Moulvibazar|Kulaura</v>
      </c>
    </row>
    <row r="469" spans="1:8">
      <c r="A469" t="s">
        <v>1336</v>
      </c>
      <c r="B469" t="s">
        <v>1339</v>
      </c>
      <c r="C469">
        <v>344.15</v>
      </c>
      <c r="D469">
        <v>377932</v>
      </c>
      <c r="E469">
        <v>1098.1600000000001</v>
      </c>
      <c r="F469">
        <v>4.78</v>
      </c>
      <c r="G469">
        <v>77.540000000000006</v>
      </c>
      <c r="H469" t="str">
        <f t="shared" si="7"/>
        <v>Moulvibazar|Moulvibazar Sadar</v>
      </c>
    </row>
    <row r="470" spans="1:8">
      <c r="A470" t="s">
        <v>1336</v>
      </c>
      <c r="B470" t="s">
        <v>1340</v>
      </c>
      <c r="C470">
        <v>259.57</v>
      </c>
      <c r="D470">
        <v>250795</v>
      </c>
      <c r="E470">
        <v>966.19</v>
      </c>
      <c r="F470">
        <v>4.78</v>
      </c>
      <c r="G470">
        <v>75.3</v>
      </c>
      <c r="H470" t="str">
        <f t="shared" si="7"/>
        <v>Moulvibazar|Rajnagar</v>
      </c>
    </row>
    <row r="471" spans="1:8">
      <c r="A471" t="s">
        <v>1336</v>
      </c>
      <c r="B471" t="s">
        <v>1341</v>
      </c>
      <c r="C471">
        <v>425.15</v>
      </c>
      <c r="D471">
        <v>361784</v>
      </c>
      <c r="E471">
        <v>850.96</v>
      </c>
      <c r="F471">
        <v>4.4400000000000004</v>
      </c>
      <c r="G471">
        <v>73.37</v>
      </c>
      <c r="H471" t="str">
        <f t="shared" si="7"/>
        <v>Moulvibazar|Sreemangal</v>
      </c>
    </row>
    <row r="472" spans="1:8">
      <c r="A472" t="s">
        <v>1313</v>
      </c>
      <c r="B472" t="s">
        <v>1518</v>
      </c>
      <c r="C472">
        <v>375.52</v>
      </c>
      <c r="D472">
        <v>190332</v>
      </c>
      <c r="E472">
        <v>506.85</v>
      </c>
      <c r="F472">
        <v>5.03</v>
      </c>
      <c r="G472">
        <v>64.17</v>
      </c>
      <c r="H472" t="str">
        <f t="shared" si="7"/>
        <v>Sunamganj|Bishwambharpur</v>
      </c>
    </row>
    <row r="473" spans="1:8">
      <c r="A473" t="s">
        <v>1313</v>
      </c>
      <c r="B473" t="s">
        <v>1320</v>
      </c>
      <c r="C473">
        <v>336.11</v>
      </c>
      <c r="D473">
        <v>445769</v>
      </c>
      <c r="E473">
        <v>1326.26</v>
      </c>
      <c r="F473">
        <v>5.21</v>
      </c>
      <c r="G473">
        <v>68.09</v>
      </c>
      <c r="H473" t="str">
        <f t="shared" si="7"/>
        <v>Sunamganj|Chhatak</v>
      </c>
    </row>
    <row r="474" spans="1:8">
      <c r="A474" t="s">
        <v>1313</v>
      </c>
      <c r="B474" t="s">
        <v>1316</v>
      </c>
      <c r="C474">
        <v>284.89</v>
      </c>
      <c r="D474">
        <v>253692</v>
      </c>
      <c r="E474">
        <v>890.49</v>
      </c>
      <c r="F474">
        <v>5.09</v>
      </c>
      <c r="G474">
        <v>67.69</v>
      </c>
      <c r="H474" t="str">
        <f t="shared" si="7"/>
        <v>Sunamganj|Dirai</v>
      </c>
    </row>
    <row r="475" spans="1:8">
      <c r="A475" t="s">
        <v>1313</v>
      </c>
      <c r="B475" t="s">
        <v>1315</v>
      </c>
      <c r="C475">
        <v>368.27</v>
      </c>
      <c r="D475">
        <v>133231</v>
      </c>
      <c r="E475">
        <v>361.78</v>
      </c>
      <c r="F475">
        <v>4.71</v>
      </c>
      <c r="G475">
        <v>56.66</v>
      </c>
      <c r="H475" t="str">
        <f t="shared" si="7"/>
        <v>Sunamganj|Dharmapasha</v>
      </c>
    </row>
    <row r="476" spans="1:8">
      <c r="A476" t="s">
        <v>1313</v>
      </c>
      <c r="B476" t="s">
        <v>1321</v>
      </c>
      <c r="C476">
        <v>225.74</v>
      </c>
      <c r="D476">
        <v>260496</v>
      </c>
      <c r="E476">
        <v>1153.96</v>
      </c>
      <c r="F476">
        <v>5.0199999999999996</v>
      </c>
      <c r="G476">
        <v>64.78</v>
      </c>
      <c r="H476" t="str">
        <f t="shared" si="7"/>
        <v>Sunamganj|Dowarabazar</v>
      </c>
    </row>
    <row r="477" spans="1:8">
      <c r="A477" t="s">
        <v>1313</v>
      </c>
      <c r="B477" t="s">
        <v>1322</v>
      </c>
      <c r="C477">
        <v>305.32</v>
      </c>
      <c r="D477">
        <v>264172</v>
      </c>
      <c r="E477">
        <v>865.23</v>
      </c>
      <c r="F477">
        <v>5.34</v>
      </c>
      <c r="G477">
        <v>68.66</v>
      </c>
      <c r="H477" t="str">
        <f t="shared" si="7"/>
        <v>Sunamganj|Jagannathpur</v>
      </c>
    </row>
    <row r="478" spans="1:8">
      <c r="A478" t="s">
        <v>1313</v>
      </c>
      <c r="B478" t="s">
        <v>1314</v>
      </c>
      <c r="C478">
        <v>242.79</v>
      </c>
      <c r="D478">
        <v>185851</v>
      </c>
      <c r="E478">
        <v>765.48</v>
      </c>
      <c r="F478">
        <v>5.17</v>
      </c>
      <c r="G478">
        <v>58.56</v>
      </c>
      <c r="H478" t="str">
        <f t="shared" si="7"/>
        <v>Sunamganj|Jamalganj</v>
      </c>
    </row>
    <row r="479" spans="1:8">
      <c r="A479" t="s">
        <v>1313</v>
      </c>
      <c r="B479" t="s">
        <v>1519</v>
      </c>
      <c r="C479">
        <v>373.18</v>
      </c>
      <c r="D479">
        <v>96237</v>
      </c>
      <c r="E479">
        <v>257.88</v>
      </c>
      <c r="F479">
        <v>4.53</v>
      </c>
      <c r="G479">
        <v>57.7</v>
      </c>
      <c r="H479" t="str">
        <f t="shared" si="7"/>
        <v>Sunamganj|Madhyanagar</v>
      </c>
    </row>
    <row r="480" spans="1:8">
      <c r="A480" t="s">
        <v>1313</v>
      </c>
      <c r="B480" t="s">
        <v>1317</v>
      </c>
      <c r="C480">
        <v>373.28</v>
      </c>
      <c r="D480">
        <v>117626</v>
      </c>
      <c r="E480">
        <v>315.11</v>
      </c>
      <c r="F480">
        <v>5.12</v>
      </c>
      <c r="G480">
        <v>63.82</v>
      </c>
      <c r="H480" t="str">
        <f t="shared" si="7"/>
        <v>Sunamganj|Shalla</v>
      </c>
    </row>
    <row r="481" spans="1:8">
      <c r="A481" t="s">
        <v>1313</v>
      </c>
      <c r="B481" t="s">
        <v>1520</v>
      </c>
      <c r="C481">
        <v>289.54000000000002</v>
      </c>
      <c r="D481">
        <v>204983</v>
      </c>
      <c r="E481">
        <v>707.96</v>
      </c>
      <c r="F481">
        <v>5.23</v>
      </c>
      <c r="G481">
        <v>65.17</v>
      </c>
      <c r="H481" t="str">
        <f t="shared" si="7"/>
        <v>Sunamganj|Shantiganj</v>
      </c>
    </row>
    <row r="482" spans="1:8">
      <c r="A482" t="s">
        <v>1313</v>
      </c>
      <c r="B482" t="s">
        <v>1318</v>
      </c>
      <c r="C482">
        <v>398.6</v>
      </c>
      <c r="D482">
        <v>318064</v>
      </c>
      <c r="E482">
        <v>797.95</v>
      </c>
      <c r="F482">
        <v>5</v>
      </c>
      <c r="G482">
        <v>67.989999999999995</v>
      </c>
      <c r="H482" t="str">
        <f t="shared" si="7"/>
        <v>Sunamganj|Sunamganj Sadar</v>
      </c>
    </row>
    <row r="483" spans="1:8">
      <c r="A483" t="s">
        <v>1313</v>
      </c>
      <c r="B483" t="s">
        <v>1312</v>
      </c>
      <c r="C483">
        <v>246.58</v>
      </c>
      <c r="D483">
        <v>224841</v>
      </c>
      <c r="E483">
        <v>911.84</v>
      </c>
      <c r="F483">
        <v>5.15</v>
      </c>
      <c r="G483">
        <v>60.71</v>
      </c>
      <c r="H483" t="str">
        <f t="shared" si="7"/>
        <v>Sunamganj|Tahirpur</v>
      </c>
    </row>
    <row r="484" spans="1:8">
      <c r="A484" t="s">
        <v>684</v>
      </c>
      <c r="B484" t="s">
        <v>1325</v>
      </c>
      <c r="C484">
        <v>280.76</v>
      </c>
      <c r="D484">
        <v>123352</v>
      </c>
      <c r="E484">
        <v>439.35</v>
      </c>
      <c r="F484">
        <v>5.32</v>
      </c>
      <c r="G484">
        <v>76.63</v>
      </c>
      <c r="H484" t="str">
        <f t="shared" si="7"/>
        <v>Sylhet|Balaganj</v>
      </c>
    </row>
    <row r="485" spans="1:8">
      <c r="A485" t="s">
        <v>684</v>
      </c>
      <c r="B485" t="s">
        <v>1334</v>
      </c>
      <c r="C485">
        <v>253.22</v>
      </c>
      <c r="D485">
        <v>260597</v>
      </c>
      <c r="E485">
        <v>1029.1300000000001</v>
      </c>
      <c r="F485">
        <v>5.17</v>
      </c>
      <c r="G485">
        <v>80.58</v>
      </c>
      <c r="H485" t="str">
        <f t="shared" si="7"/>
        <v>Sylhet|Beanibazar</v>
      </c>
    </row>
    <row r="486" spans="1:8">
      <c r="A486" t="s">
        <v>684</v>
      </c>
      <c r="B486" t="s">
        <v>1521</v>
      </c>
      <c r="C486">
        <v>174.68</v>
      </c>
      <c r="D486">
        <v>237208</v>
      </c>
      <c r="E486">
        <v>1357.96</v>
      </c>
      <c r="F486">
        <v>5.31</v>
      </c>
      <c r="G486">
        <v>74.19</v>
      </c>
      <c r="H486" t="str">
        <f t="shared" si="7"/>
        <v>Sylhet|Bishwanath</v>
      </c>
    </row>
    <row r="487" spans="1:8">
      <c r="A487" t="s">
        <v>684</v>
      </c>
      <c r="B487" t="s">
        <v>1331</v>
      </c>
      <c r="C487">
        <v>305.17</v>
      </c>
      <c r="D487">
        <v>192344</v>
      </c>
      <c r="E487">
        <v>630.28</v>
      </c>
      <c r="F487">
        <v>5.52</v>
      </c>
      <c r="G487">
        <v>61.33</v>
      </c>
      <c r="H487" t="str">
        <f t="shared" si="7"/>
        <v>Sylhet|Companiganj</v>
      </c>
    </row>
    <row r="488" spans="1:8">
      <c r="A488" t="s">
        <v>684</v>
      </c>
      <c r="B488" t="s">
        <v>1522</v>
      </c>
      <c r="C488">
        <v>488.89</v>
      </c>
      <c r="D488">
        <v>262783</v>
      </c>
      <c r="E488">
        <v>537.51</v>
      </c>
      <c r="F488">
        <v>5.13</v>
      </c>
      <c r="G488">
        <v>79.89</v>
      </c>
      <c r="H488" t="str">
        <f t="shared" si="7"/>
        <v>Sylhet|Dakkhin Surma</v>
      </c>
    </row>
    <row r="489" spans="1:8">
      <c r="A489" t="s">
        <v>684</v>
      </c>
      <c r="B489" t="s">
        <v>1328</v>
      </c>
      <c r="C489">
        <v>154.13</v>
      </c>
      <c r="D489">
        <v>114286</v>
      </c>
      <c r="E489">
        <v>741.49</v>
      </c>
      <c r="F489">
        <v>5.09</v>
      </c>
      <c r="G489">
        <v>80.180000000000007</v>
      </c>
      <c r="H489" t="str">
        <f t="shared" si="7"/>
        <v>Sylhet|Fenchuganj</v>
      </c>
    </row>
    <row r="490" spans="1:8">
      <c r="A490" t="s">
        <v>684</v>
      </c>
      <c r="B490" t="s">
        <v>1523</v>
      </c>
      <c r="C490">
        <v>277.41000000000003</v>
      </c>
      <c r="D490">
        <v>331358</v>
      </c>
      <c r="E490">
        <v>1194.47</v>
      </c>
      <c r="F490">
        <v>5.27</v>
      </c>
      <c r="G490">
        <v>81.400000000000006</v>
      </c>
      <c r="H490" t="str">
        <f t="shared" si="7"/>
        <v>Sylhet|Golapganj</v>
      </c>
    </row>
    <row r="491" spans="1:8">
      <c r="A491" t="s">
        <v>684</v>
      </c>
      <c r="B491" t="s">
        <v>1329</v>
      </c>
      <c r="C491">
        <v>297.54000000000002</v>
      </c>
      <c r="D491">
        <v>355969</v>
      </c>
      <c r="E491">
        <v>1196.3699999999999</v>
      </c>
      <c r="F491">
        <v>5.38</v>
      </c>
      <c r="G491">
        <v>65.900000000000006</v>
      </c>
      <c r="H491" t="str">
        <f t="shared" si="7"/>
        <v>Sylhet|Gowainghat</v>
      </c>
    </row>
    <row r="492" spans="1:8">
      <c r="A492" t="s">
        <v>684</v>
      </c>
      <c r="B492" t="s">
        <v>1524</v>
      </c>
      <c r="C492">
        <v>368.27</v>
      </c>
      <c r="D492">
        <v>200128</v>
      </c>
      <c r="E492">
        <v>543.42999999999995</v>
      </c>
      <c r="F492">
        <v>5.35</v>
      </c>
      <c r="G492">
        <v>71.61</v>
      </c>
      <c r="H492" t="str">
        <f t="shared" si="7"/>
        <v>Sylhet|Jaintapur</v>
      </c>
    </row>
    <row r="493" spans="1:8">
      <c r="A493" t="s">
        <v>684</v>
      </c>
      <c r="B493" t="s">
        <v>1332</v>
      </c>
      <c r="C493">
        <v>203.07</v>
      </c>
      <c r="D493">
        <v>317574</v>
      </c>
      <c r="E493">
        <v>1563.86</v>
      </c>
      <c r="F493">
        <v>5.15</v>
      </c>
      <c r="G493">
        <v>71.56</v>
      </c>
      <c r="H493" t="str">
        <f t="shared" si="7"/>
        <v>Sylhet|Kanaighat</v>
      </c>
    </row>
    <row r="494" spans="1:8">
      <c r="A494" t="s">
        <v>684</v>
      </c>
      <c r="B494" t="s">
        <v>1326</v>
      </c>
      <c r="C494">
        <v>286.44</v>
      </c>
      <c r="D494">
        <v>216406</v>
      </c>
      <c r="E494">
        <v>755.5</v>
      </c>
      <c r="F494">
        <v>5.28</v>
      </c>
      <c r="G494">
        <v>76.739999999999995</v>
      </c>
      <c r="H494" t="str">
        <f t="shared" si="7"/>
        <v>Sylhet|Osmaninagar</v>
      </c>
    </row>
    <row r="495" spans="1:8">
      <c r="A495" t="s">
        <v>684</v>
      </c>
      <c r="B495" t="s">
        <v>1525</v>
      </c>
      <c r="C495">
        <v>323.17</v>
      </c>
      <c r="D495">
        <v>444912</v>
      </c>
      <c r="E495">
        <v>1376.71</v>
      </c>
      <c r="F495">
        <v>5.05</v>
      </c>
      <c r="G495">
        <v>77.63</v>
      </c>
      <c r="H495" t="str">
        <f t="shared" si="7"/>
        <v>Sylhet|Sylhet Sadar</v>
      </c>
    </row>
    <row r="496" spans="1:8">
      <c r="A496" t="s">
        <v>684</v>
      </c>
      <c r="B496" t="s">
        <v>1333</v>
      </c>
      <c r="C496">
        <v>517.80999999999995</v>
      </c>
      <c r="D496">
        <v>267309</v>
      </c>
      <c r="E496">
        <v>516.23</v>
      </c>
      <c r="F496">
        <v>5.28</v>
      </c>
      <c r="G496">
        <v>76.25</v>
      </c>
      <c r="H496" t="str">
        <f t="shared" si="7"/>
        <v>Sylhet|Zakiganj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DB63-4DA1-40B0-AC26-49BC3E9A6C19}">
  <dimension ref="A1:W19"/>
  <sheetViews>
    <sheetView topLeftCell="H1" workbookViewId="0">
      <selection activeCell="U21" sqref="U21"/>
    </sheetView>
  </sheetViews>
  <sheetFormatPr defaultRowHeight="15"/>
  <cols>
    <col min="1" max="1" width="13.28515625" customWidth="1"/>
    <col min="2" max="2" width="9.7109375" customWidth="1"/>
    <col min="3" max="3" width="10.5703125" customWidth="1"/>
    <col min="4" max="4" width="9.85546875" customWidth="1"/>
    <col min="5" max="5" width="14.5703125" customWidth="1"/>
    <col min="7" max="7" width="13.85546875" customWidth="1"/>
    <col min="8" max="8" width="13.140625" customWidth="1"/>
    <col min="9" max="9" width="16" customWidth="1"/>
    <col min="10" max="10" width="10.42578125" customWidth="1"/>
    <col min="12" max="12" width="14.28515625" customWidth="1"/>
    <col min="13" max="13" width="11.5703125" customWidth="1"/>
    <col min="14" max="14" width="15.42578125" customWidth="1"/>
    <col min="15" max="15" width="11.28515625" customWidth="1"/>
    <col min="16" max="16" width="12.28515625" customWidth="1"/>
    <col min="17" max="17" width="16.7109375" customWidth="1"/>
    <col min="18" max="18" width="13.5703125" customWidth="1"/>
  </cols>
  <sheetData>
    <row r="1" spans="1:23">
      <c r="A1" t="s">
        <v>1526</v>
      </c>
      <c r="B1" t="s">
        <v>1527</v>
      </c>
      <c r="C1" t="s">
        <v>1528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1534</v>
      </c>
      <c r="J1" t="s">
        <v>1535</v>
      </c>
      <c r="K1" t="s">
        <v>1536</v>
      </c>
      <c r="L1" t="s">
        <v>1537</v>
      </c>
      <c r="M1" t="s">
        <v>1538</v>
      </c>
      <c r="N1" t="s">
        <v>1539</v>
      </c>
      <c r="O1" t="s">
        <v>1540</v>
      </c>
      <c r="P1" t="s">
        <v>1541</v>
      </c>
      <c r="Q1" t="s">
        <v>1542</v>
      </c>
      <c r="R1" t="s">
        <v>1543</v>
      </c>
      <c r="S1" t="s">
        <v>1562</v>
      </c>
      <c r="T1" t="s">
        <v>1563</v>
      </c>
      <c r="U1" t="s">
        <v>1564</v>
      </c>
      <c r="V1" t="s">
        <v>1565</v>
      </c>
      <c r="W1" t="s">
        <v>1566</v>
      </c>
    </row>
    <row r="2" spans="1:23">
      <c r="A2" t="s">
        <v>1544</v>
      </c>
      <c r="B2">
        <v>41</v>
      </c>
      <c r="C2">
        <v>248</v>
      </c>
      <c r="D2">
        <v>339</v>
      </c>
      <c r="E2">
        <v>231</v>
      </c>
      <c r="F2">
        <v>83</v>
      </c>
      <c r="G2">
        <v>1460</v>
      </c>
      <c r="H2">
        <v>132</v>
      </c>
      <c r="I2">
        <v>95</v>
      </c>
      <c r="J2">
        <v>607</v>
      </c>
      <c r="K2">
        <v>1568</v>
      </c>
      <c r="L2">
        <v>6483</v>
      </c>
      <c r="M2">
        <v>78</v>
      </c>
      <c r="N2">
        <v>51</v>
      </c>
      <c r="O2">
        <v>6407</v>
      </c>
      <c r="P2">
        <v>141</v>
      </c>
      <c r="Q2">
        <v>6677</v>
      </c>
      <c r="R2">
        <v>17964</v>
      </c>
      <c r="S2">
        <f t="shared" ref="S2:S19" si="0">B2+C2+D2+F2+G2+H2+I2</f>
        <v>2398</v>
      </c>
      <c r="T2">
        <f t="shared" ref="T2:T19" si="1">B2+C2+J2+K2</f>
        <v>2464</v>
      </c>
      <c r="U2">
        <v>10295786</v>
      </c>
      <c r="V2">
        <f t="shared" ref="V2:V19" si="2">IF(U2="","",R2/U2*100000)</f>
        <v>174.4791509846844</v>
      </c>
      <c r="W2">
        <f t="shared" ref="W2:W19" si="3">IF(U2="","",S2/U2*100000)</f>
        <v>23.291082390407105</v>
      </c>
    </row>
    <row r="3" spans="1:23">
      <c r="A3" t="s">
        <v>1545</v>
      </c>
      <c r="B3">
        <v>11</v>
      </c>
      <c r="C3">
        <v>98</v>
      </c>
      <c r="D3">
        <v>90</v>
      </c>
      <c r="E3">
        <v>76</v>
      </c>
      <c r="F3">
        <v>12</v>
      </c>
      <c r="G3">
        <v>399</v>
      </c>
      <c r="H3">
        <v>40</v>
      </c>
      <c r="I3">
        <v>40</v>
      </c>
      <c r="J3">
        <v>149</v>
      </c>
      <c r="K3">
        <v>349</v>
      </c>
      <c r="L3">
        <v>1766</v>
      </c>
      <c r="M3">
        <v>31</v>
      </c>
      <c r="N3">
        <v>5</v>
      </c>
      <c r="O3">
        <v>1555</v>
      </c>
      <c r="P3">
        <v>38</v>
      </c>
      <c r="Q3">
        <v>1629</v>
      </c>
      <c r="R3">
        <v>4659</v>
      </c>
      <c r="S3">
        <f t="shared" si="0"/>
        <v>690</v>
      </c>
      <c r="T3">
        <f t="shared" si="1"/>
        <v>607</v>
      </c>
      <c r="U3">
        <v>3230507</v>
      </c>
      <c r="V3">
        <f t="shared" si="2"/>
        <v>144.21884862035589</v>
      </c>
      <c r="W3">
        <f t="shared" si="3"/>
        <v>21.358876485950969</v>
      </c>
    </row>
    <row r="4" spans="1:23">
      <c r="A4" t="s">
        <v>1546</v>
      </c>
      <c r="B4">
        <v>4</v>
      </c>
      <c r="C4">
        <v>17</v>
      </c>
      <c r="D4">
        <v>24</v>
      </c>
      <c r="E4">
        <v>7</v>
      </c>
      <c r="F4">
        <v>0</v>
      </c>
      <c r="G4">
        <v>179</v>
      </c>
      <c r="H4">
        <v>11</v>
      </c>
      <c r="I4">
        <v>9</v>
      </c>
      <c r="J4">
        <v>47</v>
      </c>
      <c r="K4">
        <v>127</v>
      </c>
      <c r="L4">
        <v>477</v>
      </c>
      <c r="M4">
        <v>24</v>
      </c>
      <c r="N4">
        <v>3</v>
      </c>
      <c r="O4">
        <v>1108</v>
      </c>
      <c r="P4">
        <v>8</v>
      </c>
      <c r="Q4">
        <v>1143</v>
      </c>
      <c r="R4">
        <v>2045</v>
      </c>
      <c r="S4">
        <f t="shared" si="0"/>
        <v>244</v>
      </c>
      <c r="T4">
        <f t="shared" si="1"/>
        <v>195</v>
      </c>
      <c r="U4">
        <v>719557</v>
      </c>
      <c r="V4">
        <f t="shared" si="2"/>
        <v>284.20264134738454</v>
      </c>
      <c r="W4">
        <f t="shared" si="3"/>
        <v>33.909752806240505</v>
      </c>
    </row>
    <row r="5" spans="1:23">
      <c r="A5" t="s">
        <v>1547</v>
      </c>
      <c r="B5">
        <v>2</v>
      </c>
      <c r="C5">
        <v>32</v>
      </c>
      <c r="D5">
        <v>16</v>
      </c>
      <c r="E5">
        <v>9</v>
      </c>
      <c r="F5">
        <v>1</v>
      </c>
      <c r="G5">
        <v>190</v>
      </c>
      <c r="H5">
        <v>14</v>
      </c>
      <c r="I5">
        <v>16</v>
      </c>
      <c r="J5">
        <v>44</v>
      </c>
      <c r="K5">
        <v>120</v>
      </c>
      <c r="L5">
        <v>666</v>
      </c>
      <c r="M5">
        <v>6</v>
      </c>
      <c r="N5">
        <v>45</v>
      </c>
      <c r="O5">
        <v>1215</v>
      </c>
      <c r="P5">
        <v>6</v>
      </c>
      <c r="Q5">
        <v>1272</v>
      </c>
      <c r="R5">
        <v>2382</v>
      </c>
      <c r="S5">
        <f t="shared" si="0"/>
        <v>271</v>
      </c>
      <c r="T5">
        <f t="shared" si="1"/>
        <v>198</v>
      </c>
      <c r="U5">
        <v>553288</v>
      </c>
      <c r="V5">
        <f t="shared" si="2"/>
        <v>430.51719899943606</v>
      </c>
      <c r="W5">
        <f t="shared" si="3"/>
        <v>48.979916426887982</v>
      </c>
    </row>
    <row r="6" spans="1:23">
      <c r="A6" t="s">
        <v>1548</v>
      </c>
      <c r="B6">
        <v>2</v>
      </c>
      <c r="C6">
        <v>7</v>
      </c>
      <c r="D6">
        <v>15</v>
      </c>
      <c r="E6">
        <v>17</v>
      </c>
      <c r="F6">
        <v>2</v>
      </c>
      <c r="G6">
        <v>174</v>
      </c>
      <c r="H6">
        <v>8</v>
      </c>
      <c r="I6">
        <v>10</v>
      </c>
      <c r="J6">
        <v>65</v>
      </c>
      <c r="K6">
        <v>81</v>
      </c>
      <c r="L6">
        <v>687</v>
      </c>
      <c r="M6">
        <v>3</v>
      </c>
      <c r="N6">
        <v>4</v>
      </c>
      <c r="O6">
        <v>467</v>
      </c>
      <c r="P6">
        <v>3</v>
      </c>
      <c r="Q6">
        <v>477</v>
      </c>
      <c r="R6">
        <v>1545</v>
      </c>
      <c r="S6">
        <f t="shared" si="0"/>
        <v>218</v>
      </c>
      <c r="T6">
        <f t="shared" si="1"/>
        <v>155</v>
      </c>
      <c r="U6">
        <v>419484</v>
      </c>
      <c r="V6">
        <f t="shared" si="2"/>
        <v>368.30963755471004</v>
      </c>
      <c r="W6">
        <f t="shared" si="3"/>
        <v>51.968609053027059</v>
      </c>
    </row>
    <row r="7" spans="1:23">
      <c r="A7" t="s">
        <v>1549</v>
      </c>
      <c r="B7">
        <v>7</v>
      </c>
      <c r="C7">
        <v>10</v>
      </c>
      <c r="D7">
        <v>24</v>
      </c>
      <c r="E7">
        <v>75</v>
      </c>
      <c r="F7">
        <v>0</v>
      </c>
      <c r="G7">
        <v>161</v>
      </c>
      <c r="H7">
        <v>11</v>
      </c>
      <c r="I7">
        <v>23</v>
      </c>
      <c r="J7">
        <v>59</v>
      </c>
      <c r="K7">
        <v>95</v>
      </c>
      <c r="L7">
        <v>723</v>
      </c>
      <c r="M7">
        <v>5</v>
      </c>
      <c r="N7">
        <v>37</v>
      </c>
      <c r="O7">
        <v>356</v>
      </c>
      <c r="P7">
        <v>168</v>
      </c>
      <c r="Q7">
        <v>566</v>
      </c>
      <c r="R7">
        <v>1754</v>
      </c>
      <c r="S7">
        <f t="shared" si="0"/>
        <v>236</v>
      </c>
      <c r="T7">
        <f t="shared" si="1"/>
        <v>171</v>
      </c>
      <c r="U7">
        <v>532839</v>
      </c>
      <c r="V7">
        <f t="shared" si="2"/>
        <v>329.18010881335636</v>
      </c>
      <c r="W7">
        <f t="shared" si="3"/>
        <v>44.291052269071898</v>
      </c>
    </row>
    <row r="8" spans="1:23">
      <c r="A8" t="s">
        <v>1550</v>
      </c>
      <c r="B8">
        <v>1</v>
      </c>
      <c r="C8">
        <v>14</v>
      </c>
      <c r="D8">
        <v>10</v>
      </c>
      <c r="E8">
        <v>5</v>
      </c>
      <c r="F8">
        <v>0</v>
      </c>
      <c r="G8">
        <v>79</v>
      </c>
      <c r="H8">
        <v>36</v>
      </c>
      <c r="I8">
        <v>2</v>
      </c>
      <c r="J8">
        <v>0</v>
      </c>
      <c r="K8">
        <v>91</v>
      </c>
      <c r="L8">
        <v>525</v>
      </c>
      <c r="M8">
        <v>5</v>
      </c>
      <c r="N8">
        <v>0</v>
      </c>
      <c r="O8">
        <v>444</v>
      </c>
      <c r="P8">
        <v>3</v>
      </c>
      <c r="Q8">
        <v>452</v>
      </c>
      <c r="R8">
        <v>1215</v>
      </c>
      <c r="S8">
        <f t="shared" si="0"/>
        <v>142</v>
      </c>
      <c r="T8">
        <f t="shared" si="1"/>
        <v>106</v>
      </c>
      <c r="U8">
        <v>708570</v>
      </c>
      <c r="V8">
        <f t="shared" si="2"/>
        <v>171.47211990346756</v>
      </c>
      <c r="W8">
        <f t="shared" si="3"/>
        <v>20.04036298460279</v>
      </c>
    </row>
    <row r="9" spans="1:23">
      <c r="A9" t="s">
        <v>1551</v>
      </c>
      <c r="B9">
        <v>23</v>
      </c>
      <c r="C9">
        <v>46</v>
      </c>
      <c r="D9">
        <v>89</v>
      </c>
      <c r="E9">
        <v>13</v>
      </c>
      <c r="F9">
        <v>0</v>
      </c>
      <c r="G9">
        <v>319</v>
      </c>
      <c r="H9">
        <v>31</v>
      </c>
      <c r="I9">
        <v>22</v>
      </c>
      <c r="J9">
        <v>61</v>
      </c>
      <c r="K9">
        <v>125</v>
      </c>
      <c r="L9">
        <v>971</v>
      </c>
      <c r="M9">
        <v>10</v>
      </c>
      <c r="N9">
        <v>9</v>
      </c>
      <c r="O9">
        <v>906</v>
      </c>
      <c r="P9">
        <v>7</v>
      </c>
      <c r="Q9">
        <v>932</v>
      </c>
      <c r="R9">
        <v>2632</v>
      </c>
      <c r="S9">
        <f t="shared" si="0"/>
        <v>530</v>
      </c>
      <c r="T9">
        <f t="shared" si="1"/>
        <v>255</v>
      </c>
      <c r="U9">
        <v>2677715</v>
      </c>
      <c r="V9">
        <f t="shared" si="2"/>
        <v>98.29276080538817</v>
      </c>
      <c r="W9">
        <f t="shared" si="3"/>
        <v>19.792995146981664</v>
      </c>
    </row>
    <row r="10" spans="1:23">
      <c r="A10" t="s">
        <v>1552</v>
      </c>
      <c r="B10">
        <v>178</v>
      </c>
      <c r="C10">
        <v>273</v>
      </c>
      <c r="D10">
        <v>803</v>
      </c>
      <c r="E10">
        <v>177</v>
      </c>
      <c r="F10">
        <v>2</v>
      </c>
      <c r="G10">
        <v>2928</v>
      </c>
      <c r="H10">
        <v>86</v>
      </c>
      <c r="I10">
        <v>130</v>
      </c>
      <c r="J10">
        <v>464</v>
      </c>
      <c r="K10">
        <v>1084</v>
      </c>
      <c r="L10">
        <v>12672</v>
      </c>
      <c r="M10">
        <v>136</v>
      </c>
      <c r="N10">
        <v>77</v>
      </c>
      <c r="O10">
        <v>8157</v>
      </c>
      <c r="P10">
        <v>31</v>
      </c>
      <c r="Q10">
        <v>8401</v>
      </c>
      <c r="R10">
        <v>27198</v>
      </c>
      <c r="S10">
        <f t="shared" si="0"/>
        <v>4400</v>
      </c>
      <c r="T10">
        <f t="shared" si="1"/>
        <v>1999</v>
      </c>
      <c r="U10">
        <v>31242258</v>
      </c>
      <c r="V10">
        <f t="shared" si="2"/>
        <v>87.055167395391194</v>
      </c>
      <c r="W10">
        <f t="shared" si="3"/>
        <v>14.083489099923572</v>
      </c>
    </row>
    <row r="11" spans="1:23">
      <c r="A11" t="s">
        <v>1553</v>
      </c>
      <c r="B11">
        <v>6</v>
      </c>
      <c r="C11">
        <v>42</v>
      </c>
      <c r="D11">
        <v>228</v>
      </c>
      <c r="E11">
        <v>72</v>
      </c>
      <c r="F11">
        <v>0</v>
      </c>
      <c r="G11">
        <v>1332</v>
      </c>
      <c r="H11">
        <v>32</v>
      </c>
      <c r="I11">
        <v>27</v>
      </c>
      <c r="J11">
        <v>68</v>
      </c>
      <c r="K11">
        <v>485</v>
      </c>
      <c r="L11">
        <v>5216</v>
      </c>
      <c r="M11">
        <v>28</v>
      </c>
      <c r="N11">
        <v>10</v>
      </c>
      <c r="O11">
        <v>2398</v>
      </c>
      <c r="P11">
        <v>416</v>
      </c>
      <c r="Q11">
        <v>2852</v>
      </c>
      <c r="R11">
        <v>10360</v>
      </c>
      <c r="S11">
        <f t="shared" si="0"/>
        <v>1667</v>
      </c>
      <c r="T11">
        <f t="shared" si="1"/>
        <v>601</v>
      </c>
      <c r="U11">
        <v>12225449</v>
      </c>
      <c r="V11">
        <f t="shared" si="2"/>
        <v>84.741263899591743</v>
      </c>
      <c r="W11">
        <f t="shared" si="3"/>
        <v>13.635491015503808</v>
      </c>
    </row>
    <row r="12" spans="1:23">
      <c r="A12" t="s">
        <v>1554</v>
      </c>
      <c r="B12">
        <v>89</v>
      </c>
      <c r="C12">
        <v>263</v>
      </c>
      <c r="D12">
        <v>570</v>
      </c>
      <c r="E12">
        <v>112</v>
      </c>
      <c r="F12">
        <v>19</v>
      </c>
      <c r="G12">
        <v>1957</v>
      </c>
      <c r="H12">
        <v>88</v>
      </c>
      <c r="I12">
        <v>104</v>
      </c>
      <c r="J12">
        <v>419</v>
      </c>
      <c r="K12">
        <v>1169</v>
      </c>
      <c r="L12">
        <v>12186</v>
      </c>
      <c r="M12">
        <v>517</v>
      </c>
      <c r="N12">
        <v>85</v>
      </c>
      <c r="O12">
        <v>7580</v>
      </c>
      <c r="P12">
        <v>282</v>
      </c>
      <c r="Q12">
        <v>8464</v>
      </c>
      <c r="R12">
        <v>25440</v>
      </c>
      <c r="S12">
        <f t="shared" si="0"/>
        <v>3090</v>
      </c>
      <c r="T12">
        <f t="shared" si="1"/>
        <v>1940</v>
      </c>
      <c r="U12">
        <v>29971850</v>
      </c>
      <c r="V12">
        <f t="shared" si="2"/>
        <v>84.879645400600893</v>
      </c>
      <c r="W12">
        <f t="shared" si="3"/>
        <v>10.309673910686193</v>
      </c>
    </row>
    <row r="13" spans="1:23">
      <c r="A13" t="s">
        <v>1555</v>
      </c>
      <c r="B13">
        <v>30</v>
      </c>
      <c r="C13">
        <v>49</v>
      </c>
      <c r="D13">
        <v>210</v>
      </c>
      <c r="E13">
        <v>59</v>
      </c>
      <c r="F13">
        <v>0</v>
      </c>
      <c r="G13">
        <v>666</v>
      </c>
      <c r="H13">
        <v>15</v>
      </c>
      <c r="I13">
        <v>40</v>
      </c>
      <c r="J13">
        <v>83</v>
      </c>
      <c r="K13">
        <v>537</v>
      </c>
      <c r="L13">
        <v>4414</v>
      </c>
      <c r="M13">
        <v>16</v>
      </c>
      <c r="N13">
        <v>5</v>
      </c>
      <c r="O13">
        <v>1185</v>
      </c>
      <c r="P13">
        <v>489</v>
      </c>
      <c r="Q13">
        <v>1695</v>
      </c>
      <c r="R13">
        <v>7798</v>
      </c>
      <c r="S13">
        <f t="shared" si="0"/>
        <v>1010</v>
      </c>
      <c r="T13">
        <f t="shared" si="1"/>
        <v>699</v>
      </c>
      <c r="U13">
        <v>10502113</v>
      </c>
      <c r="V13">
        <f t="shared" si="2"/>
        <v>74.251724391082064</v>
      </c>
      <c r="W13">
        <f t="shared" si="3"/>
        <v>9.6171122896887518</v>
      </c>
    </row>
    <row r="14" spans="1:23">
      <c r="A14" t="s">
        <v>1556</v>
      </c>
      <c r="B14">
        <v>21</v>
      </c>
      <c r="C14">
        <v>90</v>
      </c>
      <c r="D14">
        <v>296</v>
      </c>
      <c r="E14">
        <v>101</v>
      </c>
      <c r="F14">
        <v>4</v>
      </c>
      <c r="G14">
        <v>1555</v>
      </c>
      <c r="H14">
        <v>33</v>
      </c>
      <c r="I14">
        <v>40</v>
      </c>
      <c r="J14">
        <v>179</v>
      </c>
      <c r="K14">
        <v>767</v>
      </c>
      <c r="L14">
        <v>7987</v>
      </c>
      <c r="M14">
        <v>159</v>
      </c>
      <c r="N14">
        <v>56</v>
      </c>
      <c r="O14">
        <v>5670</v>
      </c>
      <c r="P14">
        <v>126</v>
      </c>
      <c r="Q14">
        <v>6011</v>
      </c>
      <c r="R14">
        <v>17084</v>
      </c>
      <c r="S14">
        <f t="shared" si="0"/>
        <v>2039</v>
      </c>
      <c r="T14">
        <f t="shared" si="1"/>
        <v>1057</v>
      </c>
      <c r="U14">
        <v>16696367</v>
      </c>
      <c r="V14">
        <f t="shared" si="2"/>
        <v>102.32166075410298</v>
      </c>
      <c r="W14">
        <f t="shared" si="3"/>
        <v>12.212237548443923</v>
      </c>
    </row>
    <row r="15" spans="1:23">
      <c r="A15" t="s">
        <v>1557</v>
      </c>
      <c r="B15">
        <v>32</v>
      </c>
      <c r="C15">
        <v>30</v>
      </c>
      <c r="D15">
        <v>133</v>
      </c>
      <c r="E15">
        <v>164</v>
      </c>
      <c r="F15">
        <v>2</v>
      </c>
      <c r="G15">
        <v>1711</v>
      </c>
      <c r="H15">
        <v>17</v>
      </c>
      <c r="I15">
        <v>17</v>
      </c>
      <c r="J15">
        <v>180</v>
      </c>
      <c r="K15">
        <v>329</v>
      </c>
      <c r="L15">
        <v>5329</v>
      </c>
      <c r="M15">
        <v>40</v>
      </c>
      <c r="N15">
        <v>30</v>
      </c>
      <c r="O15">
        <v>1707</v>
      </c>
      <c r="P15">
        <v>3</v>
      </c>
      <c r="Q15">
        <v>1780</v>
      </c>
      <c r="R15">
        <v>9724</v>
      </c>
      <c r="S15">
        <f t="shared" si="0"/>
        <v>1942</v>
      </c>
      <c r="T15">
        <f t="shared" si="1"/>
        <v>571</v>
      </c>
      <c r="U15">
        <v>8680620</v>
      </c>
      <c r="V15">
        <f t="shared" si="2"/>
        <v>112.01964836613054</v>
      </c>
      <c r="W15">
        <f t="shared" si="3"/>
        <v>22.37167391269287</v>
      </c>
    </row>
    <row r="16" spans="1:23">
      <c r="A16" t="s">
        <v>1558</v>
      </c>
      <c r="B16">
        <v>24</v>
      </c>
      <c r="C16">
        <v>119</v>
      </c>
      <c r="D16">
        <v>343</v>
      </c>
      <c r="E16">
        <v>70</v>
      </c>
      <c r="F16">
        <v>0</v>
      </c>
      <c r="G16">
        <v>2254</v>
      </c>
      <c r="H16">
        <v>41</v>
      </c>
      <c r="I16">
        <v>45</v>
      </c>
      <c r="J16">
        <v>80</v>
      </c>
      <c r="K16">
        <v>861</v>
      </c>
      <c r="L16">
        <v>9103</v>
      </c>
      <c r="M16">
        <v>306</v>
      </c>
      <c r="N16">
        <v>190</v>
      </c>
      <c r="O16">
        <v>8619</v>
      </c>
      <c r="P16">
        <v>282</v>
      </c>
      <c r="Q16">
        <v>9397</v>
      </c>
      <c r="R16">
        <v>22337</v>
      </c>
      <c r="S16">
        <f t="shared" si="0"/>
        <v>2826</v>
      </c>
      <c r="T16">
        <f t="shared" si="1"/>
        <v>1084</v>
      </c>
      <c r="U16">
        <v>19799828</v>
      </c>
      <c r="V16">
        <f t="shared" si="2"/>
        <v>112.81411131450233</v>
      </c>
      <c r="W16">
        <f t="shared" si="3"/>
        <v>14.272851259111949</v>
      </c>
    </row>
    <row r="17" spans="1:23">
      <c r="A17" t="s">
        <v>1559</v>
      </c>
      <c r="B17">
        <v>17</v>
      </c>
      <c r="C17">
        <v>48</v>
      </c>
      <c r="D17">
        <v>230</v>
      </c>
      <c r="E17">
        <v>36</v>
      </c>
      <c r="F17">
        <v>0</v>
      </c>
      <c r="G17">
        <v>2200</v>
      </c>
      <c r="H17">
        <v>47</v>
      </c>
      <c r="I17">
        <v>23</v>
      </c>
      <c r="J17">
        <v>150</v>
      </c>
      <c r="K17">
        <v>719</v>
      </c>
      <c r="L17">
        <v>8928</v>
      </c>
      <c r="M17">
        <v>18</v>
      </c>
      <c r="N17">
        <v>4</v>
      </c>
      <c r="O17">
        <v>4731</v>
      </c>
      <c r="P17">
        <v>74</v>
      </c>
      <c r="Q17">
        <v>4827</v>
      </c>
      <c r="R17">
        <v>17225</v>
      </c>
      <c r="S17">
        <f t="shared" si="0"/>
        <v>2565</v>
      </c>
      <c r="T17">
        <f t="shared" si="1"/>
        <v>934</v>
      </c>
      <c r="U17">
        <v>16902385</v>
      </c>
      <c r="V17">
        <f t="shared" si="2"/>
        <v>101.90869513385242</v>
      </c>
      <c r="W17">
        <f t="shared" si="3"/>
        <v>15.175373179583827</v>
      </c>
    </row>
    <row r="18" spans="1:23">
      <c r="A18" t="s">
        <v>1560</v>
      </c>
      <c r="B18">
        <v>2</v>
      </c>
      <c r="C18">
        <v>26</v>
      </c>
      <c r="D18">
        <v>12</v>
      </c>
      <c r="E18">
        <v>2</v>
      </c>
      <c r="F18">
        <v>0</v>
      </c>
      <c r="G18">
        <v>7</v>
      </c>
      <c r="H18">
        <v>0</v>
      </c>
      <c r="I18">
        <v>0</v>
      </c>
      <c r="J18">
        <v>0</v>
      </c>
      <c r="K18">
        <v>148</v>
      </c>
      <c r="L18">
        <v>221</v>
      </c>
      <c r="M18">
        <v>6</v>
      </c>
      <c r="N18">
        <v>0</v>
      </c>
      <c r="O18">
        <v>212</v>
      </c>
      <c r="P18">
        <v>7</v>
      </c>
      <c r="Q18">
        <v>225</v>
      </c>
      <c r="R18">
        <v>643</v>
      </c>
      <c r="S18">
        <f t="shared" si="0"/>
        <v>47</v>
      </c>
      <c r="T18">
        <f t="shared" si="1"/>
        <v>176</v>
      </c>
      <c r="V18" t="str">
        <f t="shared" si="2"/>
        <v/>
      </c>
      <c r="W18" t="str">
        <f t="shared" si="3"/>
        <v/>
      </c>
    </row>
    <row r="19" spans="1:23">
      <c r="A19" t="s">
        <v>1561</v>
      </c>
      <c r="B19">
        <v>490</v>
      </c>
      <c r="C19">
        <v>1412</v>
      </c>
      <c r="D19">
        <v>3432</v>
      </c>
      <c r="E19">
        <v>1226</v>
      </c>
      <c r="F19">
        <v>125</v>
      </c>
      <c r="G19">
        <v>17571</v>
      </c>
      <c r="H19">
        <v>642</v>
      </c>
      <c r="I19">
        <v>643</v>
      </c>
      <c r="J19">
        <v>2655</v>
      </c>
      <c r="K19">
        <v>8655</v>
      </c>
      <c r="L19">
        <v>78354</v>
      </c>
      <c r="M19">
        <v>1388</v>
      </c>
      <c r="N19">
        <v>611</v>
      </c>
      <c r="O19">
        <v>52717</v>
      </c>
      <c r="P19">
        <v>2084</v>
      </c>
      <c r="Q19">
        <v>56800</v>
      </c>
      <c r="R19">
        <v>172005</v>
      </c>
      <c r="S19">
        <f t="shared" si="0"/>
        <v>24315</v>
      </c>
      <c r="T19">
        <f t="shared" si="1"/>
        <v>13212</v>
      </c>
      <c r="U19">
        <v>165158616</v>
      </c>
      <c r="V19">
        <f t="shared" si="2"/>
        <v>104.14533868460124</v>
      </c>
      <c r="W19">
        <f t="shared" si="3"/>
        <v>14.72221104105159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5782-16AF-493A-BA99-ED2C590BA868}">
  <dimension ref="A1:B83"/>
  <sheetViews>
    <sheetView workbookViewId="0">
      <selection activeCell="I69" sqref="I69"/>
    </sheetView>
  </sheetViews>
  <sheetFormatPr defaultRowHeight="15"/>
  <cols>
    <col min="1" max="1" width="15.28515625" customWidth="1"/>
    <col min="2" max="2" width="13.28515625" customWidth="1"/>
  </cols>
  <sheetData>
    <row r="1" spans="1:2">
      <c r="A1" t="s">
        <v>914</v>
      </c>
      <c r="B1" t="s">
        <v>1526</v>
      </c>
    </row>
    <row r="2" spans="1:2">
      <c r="A2" t="s">
        <v>1103</v>
      </c>
      <c r="B2" t="s">
        <v>1556</v>
      </c>
    </row>
    <row r="3" spans="1:2">
      <c r="A3" t="s">
        <v>909</v>
      </c>
      <c r="B3" t="s">
        <v>1554</v>
      </c>
    </row>
    <row r="4" spans="1:2">
      <c r="A4" t="s">
        <v>1131</v>
      </c>
      <c r="B4" t="s">
        <v>1557</v>
      </c>
    </row>
    <row r="5" spans="1:2">
      <c r="A5" t="s">
        <v>334</v>
      </c>
      <c r="B5" t="s">
        <v>1557</v>
      </c>
    </row>
    <row r="6" spans="1:2">
      <c r="A6" t="s">
        <v>1145</v>
      </c>
      <c r="B6" t="s">
        <v>1557</v>
      </c>
    </row>
    <row r="7" spans="1:2">
      <c r="A7" t="s">
        <v>988</v>
      </c>
      <c r="B7" t="s">
        <v>1558</v>
      </c>
    </row>
    <row r="8" spans="1:2">
      <c r="A8" t="s">
        <v>1356</v>
      </c>
      <c r="B8" t="s">
        <v>1554</v>
      </c>
    </row>
    <row r="9" spans="1:2">
      <c r="A9" t="s">
        <v>1378</v>
      </c>
      <c r="B9" t="s">
        <v>1554</v>
      </c>
    </row>
    <row r="10" spans="1:2">
      <c r="A10" t="s">
        <v>1005</v>
      </c>
      <c r="B10" t="s">
        <v>1558</v>
      </c>
    </row>
    <row r="11" spans="1:2">
      <c r="A11" t="s">
        <v>1567</v>
      </c>
      <c r="B11" t="s">
        <v>1554</v>
      </c>
    </row>
    <row r="12" spans="1:2">
      <c r="A12" t="s">
        <v>1074</v>
      </c>
      <c r="B12" t="s">
        <v>1556</v>
      </c>
    </row>
    <row r="13" spans="1:2">
      <c r="A13" t="s">
        <v>1391</v>
      </c>
      <c r="B13" t="s">
        <v>1554</v>
      </c>
    </row>
    <row r="14" spans="1:2">
      <c r="A14" t="s">
        <v>1425</v>
      </c>
      <c r="B14" t="s">
        <v>1554</v>
      </c>
    </row>
    <row r="15" spans="1:2">
      <c r="A15" t="s">
        <v>476</v>
      </c>
      <c r="B15" t="s">
        <v>1552</v>
      </c>
    </row>
    <row r="16" spans="1:2">
      <c r="A16" t="s">
        <v>929</v>
      </c>
      <c r="B16" t="s">
        <v>1559</v>
      </c>
    </row>
    <row r="17" spans="1:2">
      <c r="A17" t="s">
        <v>1058</v>
      </c>
      <c r="B17" t="s">
        <v>1552</v>
      </c>
    </row>
    <row r="18" spans="1:2">
      <c r="A18" t="s">
        <v>1386</v>
      </c>
      <c r="B18" t="s">
        <v>1554</v>
      </c>
    </row>
    <row r="19" spans="1:2">
      <c r="A19" t="s">
        <v>973</v>
      </c>
      <c r="B19" t="s">
        <v>1559</v>
      </c>
    </row>
    <row r="20" spans="1:2">
      <c r="A20" t="s">
        <v>1262</v>
      </c>
      <c r="B20" t="s">
        <v>1552</v>
      </c>
    </row>
    <row r="21" spans="1:2">
      <c r="A21" t="s">
        <v>1295</v>
      </c>
      <c r="B21" t="s">
        <v>1552</v>
      </c>
    </row>
    <row r="22" spans="1:2">
      <c r="A22" t="s">
        <v>1344</v>
      </c>
      <c r="B22" t="s">
        <v>1555</v>
      </c>
    </row>
    <row r="23" spans="1:2">
      <c r="A23" t="s">
        <v>1179</v>
      </c>
      <c r="B23" t="s">
        <v>1553</v>
      </c>
    </row>
    <row r="24" spans="1:2">
      <c r="A24" t="s">
        <v>1085</v>
      </c>
      <c r="B24" t="s">
        <v>1556</v>
      </c>
    </row>
    <row r="25" spans="1:2">
      <c r="A25" t="s">
        <v>1167</v>
      </c>
      <c r="B25" t="s">
        <v>1557</v>
      </c>
    </row>
    <row r="26" spans="1:2">
      <c r="A26" t="s">
        <v>1079</v>
      </c>
      <c r="B26" t="s">
        <v>1556</v>
      </c>
    </row>
    <row r="27" spans="1:2">
      <c r="A27" t="s">
        <v>981</v>
      </c>
      <c r="B27" t="s">
        <v>1558</v>
      </c>
    </row>
    <row r="28" spans="1:2">
      <c r="A28" t="s">
        <v>903</v>
      </c>
      <c r="B28" t="s">
        <v>1554</v>
      </c>
    </row>
    <row r="29" spans="1:2">
      <c r="A29" t="s">
        <v>224</v>
      </c>
      <c r="B29" t="s">
        <v>1556</v>
      </c>
    </row>
    <row r="30" spans="1:2">
      <c r="A30" t="s">
        <v>945</v>
      </c>
      <c r="B30" t="s">
        <v>1552</v>
      </c>
    </row>
    <row r="31" spans="1:2">
      <c r="A31" t="s">
        <v>963</v>
      </c>
      <c r="B31" t="s">
        <v>1559</v>
      </c>
    </row>
    <row r="32" spans="1:2">
      <c r="A32" t="s">
        <v>1067</v>
      </c>
      <c r="B32" t="s">
        <v>1556</v>
      </c>
    </row>
    <row r="33" spans="1:2">
      <c r="A33" t="s">
        <v>1403</v>
      </c>
      <c r="B33" t="s">
        <v>1554</v>
      </c>
    </row>
    <row r="34" spans="1:2">
      <c r="A34" t="s">
        <v>949</v>
      </c>
      <c r="B34" t="s">
        <v>1559</v>
      </c>
    </row>
    <row r="35" spans="1:2">
      <c r="A35" t="s">
        <v>1301</v>
      </c>
      <c r="B35" t="s">
        <v>1552</v>
      </c>
    </row>
    <row r="36" spans="1:2">
      <c r="A36" t="s">
        <v>1094</v>
      </c>
      <c r="B36" t="s">
        <v>1556</v>
      </c>
    </row>
    <row r="37" spans="1:2">
      <c r="A37" t="s">
        <v>1231</v>
      </c>
      <c r="B37" t="s">
        <v>1552</v>
      </c>
    </row>
    <row r="38" spans="1:2">
      <c r="A38" t="s">
        <v>1063</v>
      </c>
      <c r="B38" t="s">
        <v>1556</v>
      </c>
    </row>
    <row r="39" spans="1:2">
      <c r="A39" t="s">
        <v>1336</v>
      </c>
      <c r="B39" t="s">
        <v>1555</v>
      </c>
    </row>
    <row r="40" spans="1:2">
      <c r="A40" t="s">
        <v>1238</v>
      </c>
      <c r="B40" t="s">
        <v>1552</v>
      </c>
    </row>
    <row r="41" spans="1:2">
      <c r="A41" t="s">
        <v>403</v>
      </c>
      <c r="B41" t="s">
        <v>1553</v>
      </c>
    </row>
    <row r="42" spans="1:2">
      <c r="A42" t="s">
        <v>1013</v>
      </c>
      <c r="B42" t="s">
        <v>1558</v>
      </c>
    </row>
    <row r="43" spans="1:2">
      <c r="A43" t="s">
        <v>1099</v>
      </c>
      <c r="B43" t="s">
        <v>1556</v>
      </c>
    </row>
    <row r="44" spans="1:2">
      <c r="A44" t="s">
        <v>1274</v>
      </c>
      <c r="B44" t="s">
        <v>1552</v>
      </c>
    </row>
    <row r="45" spans="1:2">
      <c r="A45" t="s">
        <v>1267</v>
      </c>
      <c r="B45" t="s">
        <v>1552</v>
      </c>
    </row>
    <row r="46" spans="1:2">
      <c r="A46" t="s">
        <v>1035</v>
      </c>
      <c r="B46" t="s">
        <v>1558</v>
      </c>
    </row>
    <row r="47" spans="1:2">
      <c r="A47" t="s">
        <v>1198</v>
      </c>
      <c r="B47" t="s">
        <v>1553</v>
      </c>
    </row>
    <row r="48" spans="1:2">
      <c r="A48" t="s">
        <v>942</v>
      </c>
      <c r="B48" t="s">
        <v>1559</v>
      </c>
    </row>
    <row r="49" spans="1:2">
      <c r="A49" t="s">
        <v>1394</v>
      </c>
      <c r="B49" t="s">
        <v>1554</v>
      </c>
    </row>
    <row r="50" spans="1:2">
      <c r="A50" t="s">
        <v>1053</v>
      </c>
      <c r="B50" t="s">
        <v>1558</v>
      </c>
    </row>
    <row r="51" spans="1:2">
      <c r="A51" t="s">
        <v>916</v>
      </c>
      <c r="B51" t="s">
        <v>1559</v>
      </c>
    </row>
    <row r="52" spans="1:2">
      <c r="A52" t="s">
        <v>1137</v>
      </c>
      <c r="B52" t="s">
        <v>1557</v>
      </c>
    </row>
    <row r="53" spans="1:2">
      <c r="A53" t="s">
        <v>1172</v>
      </c>
      <c r="B53" t="s">
        <v>1557</v>
      </c>
    </row>
    <row r="54" spans="1:2">
      <c r="A54" t="s">
        <v>1280</v>
      </c>
      <c r="B54" t="s">
        <v>1552</v>
      </c>
    </row>
    <row r="55" spans="1:2">
      <c r="A55" t="s">
        <v>113</v>
      </c>
      <c r="B55" t="s">
        <v>1558</v>
      </c>
    </row>
    <row r="56" spans="1:2">
      <c r="A56" t="s">
        <v>906</v>
      </c>
      <c r="B56" t="s">
        <v>1554</v>
      </c>
    </row>
    <row r="57" spans="1:2">
      <c r="A57" t="s">
        <v>11</v>
      </c>
      <c r="B57" t="s">
        <v>1559</v>
      </c>
    </row>
    <row r="58" spans="1:2">
      <c r="A58" t="s">
        <v>1124</v>
      </c>
      <c r="B58" t="s">
        <v>1556</v>
      </c>
    </row>
    <row r="59" spans="1:2">
      <c r="A59" t="s">
        <v>1307</v>
      </c>
      <c r="B59" t="s">
        <v>1552</v>
      </c>
    </row>
    <row r="60" spans="1:2">
      <c r="A60" t="s">
        <v>999</v>
      </c>
      <c r="B60" t="s">
        <v>1553</v>
      </c>
    </row>
    <row r="61" spans="1:2">
      <c r="A61" t="s">
        <v>1042</v>
      </c>
      <c r="B61" t="s">
        <v>1558</v>
      </c>
    </row>
    <row r="62" spans="1:2">
      <c r="A62" t="s">
        <v>1313</v>
      </c>
      <c r="B62" t="s">
        <v>1555</v>
      </c>
    </row>
    <row r="63" spans="1:2">
      <c r="A63" t="s">
        <v>684</v>
      </c>
      <c r="B63" t="s">
        <v>1555</v>
      </c>
    </row>
    <row r="64" spans="1:2">
      <c r="A64" t="s">
        <v>1208</v>
      </c>
      <c r="B64" t="s">
        <v>1552</v>
      </c>
    </row>
    <row r="65" spans="1:2">
      <c r="A65" t="s">
        <v>922</v>
      </c>
      <c r="B65" t="s">
        <v>1559</v>
      </c>
    </row>
    <row r="68" spans="1:2">
      <c r="A68" t="s">
        <v>742</v>
      </c>
      <c r="B68" t="s">
        <v>1554</v>
      </c>
    </row>
    <row r="69" spans="1:2">
      <c r="A69" t="s">
        <v>1567</v>
      </c>
      <c r="B69" t="s">
        <v>1554</v>
      </c>
    </row>
    <row r="70" spans="1:2">
      <c r="A70" t="s">
        <v>1570</v>
      </c>
      <c r="B70" t="s">
        <v>1557</v>
      </c>
    </row>
    <row r="71" spans="1:2">
      <c r="A71" t="s">
        <v>334</v>
      </c>
      <c r="B71" t="s">
        <v>1557</v>
      </c>
    </row>
    <row r="72" spans="1:2">
      <c r="A72" t="s">
        <v>1391</v>
      </c>
      <c r="B72" t="s">
        <v>1554</v>
      </c>
    </row>
    <row r="73" spans="1:2">
      <c r="A73" t="s">
        <v>1571</v>
      </c>
      <c r="B73" t="s">
        <v>1554</v>
      </c>
    </row>
    <row r="74" spans="1:2">
      <c r="A74" t="s">
        <v>1085</v>
      </c>
      <c r="B74" t="s">
        <v>1556</v>
      </c>
    </row>
    <row r="75" spans="1:2">
      <c r="A75" t="s">
        <v>1572</v>
      </c>
      <c r="B75" t="s">
        <v>1556</v>
      </c>
    </row>
    <row r="76" spans="1:2">
      <c r="A76" t="s">
        <v>1573</v>
      </c>
      <c r="B76" t="s">
        <v>1558</v>
      </c>
    </row>
    <row r="77" spans="1:2">
      <c r="A77" t="s">
        <v>988</v>
      </c>
      <c r="B77" t="s">
        <v>1558</v>
      </c>
    </row>
    <row r="78" spans="1:2">
      <c r="A78" t="s">
        <v>1574</v>
      </c>
      <c r="B78" t="s">
        <v>1558</v>
      </c>
    </row>
    <row r="79" spans="1:2">
      <c r="A79" t="s">
        <v>1005</v>
      </c>
      <c r="B79" t="s">
        <v>1558</v>
      </c>
    </row>
    <row r="80" spans="1:2">
      <c r="A80" t="s">
        <v>1336</v>
      </c>
      <c r="B80" t="s">
        <v>1555</v>
      </c>
    </row>
    <row r="81" spans="1:2">
      <c r="A81" t="s">
        <v>1575</v>
      </c>
      <c r="B81" t="s">
        <v>1555</v>
      </c>
    </row>
    <row r="82" spans="1:2">
      <c r="A82" t="s">
        <v>1576</v>
      </c>
      <c r="B82" t="s">
        <v>1554</v>
      </c>
    </row>
    <row r="83" spans="1:2">
      <c r="A83" t="s">
        <v>1425</v>
      </c>
      <c r="B83" t="s">
        <v>1554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B18F-3B8E-4564-B2EE-E56048AEDC7A}">
  <dimension ref="A1:L301"/>
  <sheetViews>
    <sheetView topLeftCell="A236" workbookViewId="0">
      <selection activeCell="O240" sqref="O240"/>
    </sheetView>
  </sheetViews>
  <sheetFormatPr defaultRowHeight="15"/>
  <cols>
    <col min="1" max="1" width="11.28515625" customWidth="1"/>
    <col min="2" max="2" width="8.42578125" customWidth="1"/>
    <col min="3" max="3" width="13.7109375" customWidth="1"/>
    <col min="4" max="4" width="19.85546875" customWidth="1"/>
    <col min="5" max="5" width="9.5703125" customWidth="1"/>
    <col min="6" max="6" width="7.28515625" customWidth="1"/>
    <col min="7" max="7" width="8.140625" customWidth="1"/>
    <col min="8" max="8" width="11.28515625" customWidth="1"/>
    <col min="9" max="9" width="8.85546875" customWidth="1"/>
    <col min="10" max="10" width="11.140625" customWidth="1"/>
    <col min="11" max="11" width="17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f t="shared" ref="F2:F65" si="0">IF(E2="Jamaat",1,0)</f>
        <v>0</v>
      </c>
      <c r="G2">
        <v>176169</v>
      </c>
      <c r="H2" t="s">
        <v>15</v>
      </c>
      <c r="I2" t="s">
        <v>16</v>
      </c>
      <c r="J2">
        <v>168049</v>
      </c>
      <c r="K2">
        <v>8120</v>
      </c>
    </row>
    <row r="3" spans="1:12">
      <c r="A3">
        <v>2</v>
      </c>
      <c r="C3" t="s">
        <v>17</v>
      </c>
      <c r="D3" t="s">
        <v>18</v>
      </c>
      <c r="E3" t="s">
        <v>14</v>
      </c>
      <c r="F3">
        <f t="shared" si="0"/>
        <v>0</v>
      </c>
      <c r="G3">
        <v>174650</v>
      </c>
      <c r="H3" t="s">
        <v>19</v>
      </c>
      <c r="I3" t="s">
        <v>20</v>
      </c>
      <c r="J3">
        <v>128862</v>
      </c>
      <c r="K3">
        <v>45788</v>
      </c>
    </row>
    <row r="4" spans="1:12">
      <c r="A4">
        <v>3</v>
      </c>
      <c r="C4" t="s">
        <v>21</v>
      </c>
      <c r="D4" t="s">
        <v>22</v>
      </c>
      <c r="E4" t="s">
        <v>14</v>
      </c>
      <c r="F4">
        <f t="shared" si="0"/>
        <v>0</v>
      </c>
      <c r="G4">
        <v>238836</v>
      </c>
      <c r="H4" t="s">
        <v>23</v>
      </c>
      <c r="I4" t="s">
        <v>20</v>
      </c>
      <c r="J4">
        <v>141017</v>
      </c>
      <c r="K4">
        <v>97819</v>
      </c>
    </row>
    <row r="5" spans="1:12">
      <c r="A5">
        <v>4</v>
      </c>
      <c r="C5" t="s">
        <v>24</v>
      </c>
      <c r="D5" t="s">
        <v>25</v>
      </c>
      <c r="E5" t="s">
        <v>14</v>
      </c>
      <c r="F5">
        <f t="shared" si="0"/>
        <v>0</v>
      </c>
      <c r="G5">
        <v>121017</v>
      </c>
      <c r="H5" t="s">
        <v>26</v>
      </c>
      <c r="I5" t="s">
        <v>20</v>
      </c>
      <c r="J5">
        <v>115707</v>
      </c>
      <c r="K5">
        <v>5310</v>
      </c>
    </row>
    <row r="6" spans="1:12">
      <c r="A6">
        <v>5</v>
      </c>
      <c r="C6" t="s">
        <v>27</v>
      </c>
      <c r="D6" t="s">
        <v>28</v>
      </c>
      <c r="E6" t="s">
        <v>14</v>
      </c>
      <c r="F6">
        <f t="shared" si="0"/>
        <v>0</v>
      </c>
      <c r="G6">
        <v>132797</v>
      </c>
      <c r="H6" t="s">
        <v>29</v>
      </c>
      <c r="I6" t="s">
        <v>20</v>
      </c>
      <c r="J6">
        <v>91934</v>
      </c>
      <c r="K6">
        <v>40863</v>
      </c>
    </row>
    <row r="7" spans="1:12">
      <c r="A7">
        <v>6</v>
      </c>
      <c r="C7" t="s">
        <v>30</v>
      </c>
      <c r="D7" t="s">
        <v>31</v>
      </c>
      <c r="E7" t="s">
        <v>14</v>
      </c>
      <c r="F7">
        <f t="shared" si="0"/>
        <v>0</v>
      </c>
      <c r="G7">
        <v>179314</v>
      </c>
      <c r="H7" t="s">
        <v>32</v>
      </c>
      <c r="I7" t="s">
        <v>20</v>
      </c>
      <c r="J7">
        <v>117481</v>
      </c>
      <c r="K7">
        <v>61833</v>
      </c>
    </row>
    <row r="8" spans="1:12">
      <c r="A8">
        <v>7</v>
      </c>
      <c r="C8" t="s">
        <v>33</v>
      </c>
      <c r="D8" t="s">
        <v>34</v>
      </c>
      <c r="E8" t="s">
        <v>14</v>
      </c>
      <c r="F8">
        <f t="shared" si="0"/>
        <v>0</v>
      </c>
      <c r="G8">
        <v>144317</v>
      </c>
      <c r="H8" t="s">
        <v>35</v>
      </c>
      <c r="I8" t="s">
        <v>20</v>
      </c>
      <c r="J8">
        <v>101831</v>
      </c>
      <c r="K8">
        <v>42486</v>
      </c>
    </row>
    <row r="9" spans="1:12">
      <c r="A9">
        <v>8</v>
      </c>
      <c r="C9" t="s">
        <v>36</v>
      </c>
      <c r="D9" t="s">
        <v>37</v>
      </c>
      <c r="E9" t="s">
        <v>14</v>
      </c>
      <c r="F9">
        <f t="shared" si="0"/>
        <v>0</v>
      </c>
      <c r="G9">
        <v>139207</v>
      </c>
      <c r="H9" t="s">
        <v>38</v>
      </c>
      <c r="I9" t="s">
        <v>20</v>
      </c>
      <c r="J9">
        <v>134618</v>
      </c>
      <c r="K9">
        <v>4589</v>
      </c>
    </row>
    <row r="10" spans="1:12">
      <c r="A10">
        <v>9</v>
      </c>
      <c r="C10" t="s">
        <v>39</v>
      </c>
      <c r="D10" t="s">
        <v>40</v>
      </c>
      <c r="E10" t="s">
        <v>14</v>
      </c>
      <c r="F10">
        <f t="shared" si="0"/>
        <v>0</v>
      </c>
      <c r="G10">
        <v>165577</v>
      </c>
      <c r="H10" t="s">
        <v>41</v>
      </c>
      <c r="I10" t="s">
        <v>20</v>
      </c>
      <c r="J10">
        <v>127666</v>
      </c>
      <c r="K10">
        <v>37911</v>
      </c>
    </row>
    <row r="11" spans="1:12">
      <c r="A11">
        <v>10</v>
      </c>
      <c r="C11" t="s">
        <v>42</v>
      </c>
      <c r="D11" t="s">
        <v>43</v>
      </c>
      <c r="E11" t="s">
        <v>44</v>
      </c>
      <c r="F11">
        <f t="shared" si="0"/>
        <v>0</v>
      </c>
      <c r="G11">
        <v>113650</v>
      </c>
      <c r="H11" t="s">
        <v>45</v>
      </c>
      <c r="I11" t="s">
        <v>16</v>
      </c>
      <c r="J11">
        <v>108948</v>
      </c>
      <c r="K11">
        <v>4702</v>
      </c>
    </row>
    <row r="12" spans="1:12">
      <c r="A12">
        <v>11</v>
      </c>
      <c r="C12" t="s">
        <v>46</v>
      </c>
      <c r="D12" t="s">
        <v>47</v>
      </c>
      <c r="E12" t="s">
        <v>14</v>
      </c>
      <c r="F12">
        <f t="shared" si="0"/>
        <v>0</v>
      </c>
      <c r="G12">
        <v>203887</v>
      </c>
      <c r="H12" t="s">
        <v>48</v>
      </c>
      <c r="I12" t="s">
        <v>20</v>
      </c>
      <c r="J12">
        <v>188719</v>
      </c>
      <c r="K12">
        <v>15168</v>
      </c>
    </row>
    <row r="13" spans="1:12">
      <c r="A13">
        <v>12</v>
      </c>
      <c r="C13" t="s">
        <v>49</v>
      </c>
      <c r="D13" t="s">
        <v>50</v>
      </c>
      <c r="E13" t="s">
        <v>20</v>
      </c>
      <c r="F13">
        <f t="shared" si="0"/>
        <v>1</v>
      </c>
      <c r="G13">
        <v>149224</v>
      </c>
      <c r="H13" t="s">
        <v>31</v>
      </c>
      <c r="I13" t="s">
        <v>51</v>
      </c>
      <c r="J13">
        <v>118160</v>
      </c>
      <c r="K13">
        <v>31064</v>
      </c>
    </row>
    <row r="14" spans="1:12">
      <c r="A14">
        <v>13</v>
      </c>
      <c r="C14" t="s">
        <v>52</v>
      </c>
      <c r="D14" t="s">
        <v>53</v>
      </c>
      <c r="E14" t="s">
        <v>20</v>
      </c>
      <c r="F14">
        <f t="shared" si="0"/>
        <v>1</v>
      </c>
      <c r="G14">
        <v>145202</v>
      </c>
      <c r="H14" t="s">
        <v>54</v>
      </c>
      <c r="I14" t="s">
        <v>14</v>
      </c>
      <c r="J14">
        <v>134579</v>
      </c>
      <c r="K14">
        <v>10623</v>
      </c>
    </row>
    <row r="15" spans="1:12">
      <c r="A15">
        <v>14</v>
      </c>
      <c r="C15" t="s">
        <v>55</v>
      </c>
      <c r="D15" t="s">
        <v>56</v>
      </c>
      <c r="E15" t="s">
        <v>20</v>
      </c>
      <c r="F15">
        <f t="shared" si="0"/>
        <v>1</v>
      </c>
      <c r="G15">
        <v>108560</v>
      </c>
      <c r="H15" t="s">
        <v>57</v>
      </c>
      <c r="I15" t="s">
        <v>14</v>
      </c>
      <c r="J15">
        <v>89102</v>
      </c>
      <c r="K15">
        <v>19458</v>
      </c>
    </row>
    <row r="16" spans="1:12">
      <c r="A16">
        <v>15</v>
      </c>
      <c r="C16" t="s">
        <v>58</v>
      </c>
      <c r="D16" t="s">
        <v>59</v>
      </c>
      <c r="E16" t="s">
        <v>20</v>
      </c>
      <c r="F16">
        <f t="shared" si="0"/>
        <v>1</v>
      </c>
      <c r="G16">
        <v>124865</v>
      </c>
      <c r="H16" t="s">
        <v>60</v>
      </c>
      <c r="I16" t="s">
        <v>14</v>
      </c>
      <c r="J16">
        <v>81526</v>
      </c>
      <c r="K16">
        <v>43339</v>
      </c>
    </row>
    <row r="17" spans="1:11">
      <c r="A17">
        <v>16</v>
      </c>
      <c r="C17" t="s">
        <v>61</v>
      </c>
      <c r="D17" t="s">
        <v>62</v>
      </c>
      <c r="E17" t="s">
        <v>14</v>
      </c>
      <c r="F17">
        <f t="shared" si="0"/>
        <v>0</v>
      </c>
      <c r="G17">
        <v>138686</v>
      </c>
      <c r="H17" t="s">
        <v>63</v>
      </c>
      <c r="I17" t="s">
        <v>20</v>
      </c>
      <c r="J17">
        <v>129572</v>
      </c>
      <c r="K17">
        <v>9114</v>
      </c>
    </row>
    <row r="18" spans="1:11">
      <c r="A18">
        <v>17</v>
      </c>
      <c r="C18" t="s">
        <v>64</v>
      </c>
      <c r="D18" t="s">
        <v>65</v>
      </c>
      <c r="E18" t="s">
        <v>14</v>
      </c>
      <c r="F18">
        <f t="shared" si="0"/>
        <v>0</v>
      </c>
      <c r="G18">
        <v>123946</v>
      </c>
      <c r="H18" t="s">
        <v>66</v>
      </c>
      <c r="I18" t="s">
        <v>20</v>
      </c>
      <c r="J18">
        <v>66904</v>
      </c>
      <c r="K18">
        <v>57042</v>
      </c>
    </row>
    <row r="19" spans="1:11">
      <c r="A19">
        <v>18</v>
      </c>
      <c r="C19" t="s">
        <v>67</v>
      </c>
      <c r="D19" t="s">
        <v>68</v>
      </c>
      <c r="E19" t="s">
        <v>14</v>
      </c>
      <c r="F19">
        <f t="shared" si="0"/>
        <v>0</v>
      </c>
      <c r="G19">
        <v>139657</v>
      </c>
      <c r="H19" t="s">
        <v>69</v>
      </c>
      <c r="I19" t="s">
        <v>20</v>
      </c>
      <c r="J19">
        <v>56244</v>
      </c>
      <c r="K19">
        <v>83413</v>
      </c>
    </row>
    <row r="20" spans="1:11">
      <c r="A20">
        <v>19</v>
      </c>
      <c r="C20" t="s">
        <v>70</v>
      </c>
      <c r="D20" t="s">
        <v>71</v>
      </c>
      <c r="E20" t="s">
        <v>20</v>
      </c>
      <c r="F20">
        <f t="shared" si="0"/>
        <v>1</v>
      </c>
      <c r="G20">
        <v>145088</v>
      </c>
      <c r="H20" t="s">
        <v>72</v>
      </c>
      <c r="I20" t="s">
        <v>14</v>
      </c>
      <c r="J20">
        <v>69407</v>
      </c>
      <c r="K20">
        <v>75681</v>
      </c>
    </row>
    <row r="21" spans="1:11">
      <c r="A21">
        <v>20</v>
      </c>
      <c r="C21" t="s">
        <v>73</v>
      </c>
      <c r="D21" t="s">
        <v>74</v>
      </c>
      <c r="E21" t="s">
        <v>20</v>
      </c>
      <c r="F21">
        <f t="shared" si="0"/>
        <v>1</v>
      </c>
      <c r="G21">
        <v>43076</v>
      </c>
      <c r="H21" t="s">
        <v>75</v>
      </c>
      <c r="I21" t="s">
        <v>14</v>
      </c>
      <c r="J21">
        <v>22100</v>
      </c>
      <c r="K21">
        <v>20976</v>
      </c>
    </row>
    <row r="22" spans="1:11">
      <c r="A22">
        <v>21</v>
      </c>
      <c r="C22" t="s">
        <v>76</v>
      </c>
      <c r="D22" t="s">
        <v>77</v>
      </c>
      <c r="E22" t="s">
        <v>20</v>
      </c>
      <c r="F22">
        <f t="shared" si="0"/>
        <v>1</v>
      </c>
      <c r="G22">
        <v>175827</v>
      </c>
      <c r="H22" t="s">
        <v>78</v>
      </c>
      <c r="I22" t="s">
        <v>14</v>
      </c>
      <c r="J22">
        <v>84578</v>
      </c>
      <c r="K22">
        <v>91249</v>
      </c>
    </row>
    <row r="23" spans="1:11">
      <c r="A23">
        <v>22</v>
      </c>
      <c r="C23" t="s">
        <v>79</v>
      </c>
      <c r="D23" t="s">
        <v>80</v>
      </c>
      <c r="E23" t="s">
        <v>16</v>
      </c>
      <c r="F23">
        <f t="shared" si="0"/>
        <v>0</v>
      </c>
      <c r="G23">
        <v>147947</v>
      </c>
      <c r="H23" t="s">
        <v>81</v>
      </c>
      <c r="I23" t="s">
        <v>14</v>
      </c>
      <c r="J23">
        <v>139616</v>
      </c>
      <c r="K23">
        <v>8331</v>
      </c>
    </row>
    <row r="24" spans="1:11">
      <c r="A24">
        <v>23</v>
      </c>
      <c r="C24" t="s">
        <v>82</v>
      </c>
      <c r="D24" t="s">
        <v>83</v>
      </c>
      <c r="E24" t="s">
        <v>20</v>
      </c>
      <c r="F24">
        <f t="shared" si="0"/>
        <v>1</v>
      </c>
      <c r="G24">
        <v>175208</v>
      </c>
      <c r="H24" t="s">
        <v>83</v>
      </c>
      <c r="I24" t="s">
        <v>14</v>
      </c>
      <c r="J24">
        <v>114141</v>
      </c>
      <c r="K24">
        <v>61067</v>
      </c>
    </row>
    <row r="25" spans="1:11">
      <c r="A25">
        <v>24</v>
      </c>
      <c r="C25" t="s">
        <v>84</v>
      </c>
      <c r="D25" t="s">
        <v>85</v>
      </c>
      <c r="E25" t="s">
        <v>20</v>
      </c>
      <c r="F25">
        <f t="shared" si="0"/>
        <v>1</v>
      </c>
      <c r="G25">
        <v>118890</v>
      </c>
      <c r="H25" t="s">
        <v>86</v>
      </c>
      <c r="I25" t="s">
        <v>14</v>
      </c>
      <c r="J25">
        <v>116919</v>
      </c>
      <c r="K25">
        <v>1971</v>
      </c>
    </row>
    <row r="26" spans="1:11">
      <c r="A26">
        <v>25</v>
      </c>
      <c r="C26" t="s">
        <v>87</v>
      </c>
      <c r="D26" t="s">
        <v>48</v>
      </c>
      <c r="E26" t="s">
        <v>20</v>
      </c>
      <c r="F26">
        <f t="shared" si="0"/>
        <v>1</v>
      </c>
      <c r="G26">
        <v>141090</v>
      </c>
      <c r="H26" t="s">
        <v>88</v>
      </c>
      <c r="I26" t="s">
        <v>14</v>
      </c>
      <c r="J26">
        <v>123025</v>
      </c>
      <c r="K26">
        <v>18065</v>
      </c>
    </row>
    <row r="27" spans="1:11">
      <c r="A27">
        <v>26</v>
      </c>
      <c r="C27" t="s">
        <v>89</v>
      </c>
      <c r="D27" t="s">
        <v>90</v>
      </c>
      <c r="E27" t="s">
        <v>16</v>
      </c>
      <c r="F27">
        <f t="shared" si="0"/>
        <v>0</v>
      </c>
      <c r="G27">
        <v>178869</v>
      </c>
      <c r="H27" t="s">
        <v>91</v>
      </c>
      <c r="I27" t="s">
        <v>14</v>
      </c>
      <c r="J27">
        <v>170335</v>
      </c>
      <c r="K27">
        <v>8534</v>
      </c>
    </row>
    <row r="28" spans="1:11">
      <c r="A28">
        <v>27</v>
      </c>
      <c r="C28" t="s">
        <v>92</v>
      </c>
      <c r="D28" t="s">
        <v>93</v>
      </c>
      <c r="E28" t="s">
        <v>20</v>
      </c>
      <c r="F28">
        <f t="shared" si="0"/>
        <v>1</v>
      </c>
      <c r="G28">
        <v>107930</v>
      </c>
      <c r="H28" t="s">
        <v>94</v>
      </c>
      <c r="I28" t="s">
        <v>14</v>
      </c>
      <c r="J28">
        <v>79352</v>
      </c>
      <c r="K28">
        <v>28578</v>
      </c>
    </row>
    <row r="29" spans="1:11">
      <c r="A29">
        <v>28</v>
      </c>
      <c r="C29" t="s">
        <v>95</v>
      </c>
      <c r="D29" t="s">
        <v>96</v>
      </c>
      <c r="E29" t="s">
        <v>20</v>
      </c>
      <c r="F29">
        <f t="shared" si="0"/>
        <v>1</v>
      </c>
      <c r="G29">
        <v>108210</v>
      </c>
      <c r="H29" t="s">
        <v>97</v>
      </c>
      <c r="I29" t="s">
        <v>14</v>
      </c>
      <c r="J29">
        <v>84423</v>
      </c>
      <c r="K29">
        <v>23787</v>
      </c>
    </row>
    <row r="30" spans="1:11">
      <c r="A30">
        <v>29</v>
      </c>
      <c r="C30" t="s">
        <v>98</v>
      </c>
      <c r="D30" t="s">
        <v>99</v>
      </c>
      <c r="E30" t="s">
        <v>20</v>
      </c>
      <c r="F30">
        <f t="shared" si="0"/>
        <v>1</v>
      </c>
      <c r="G30">
        <v>140726</v>
      </c>
      <c r="H30" t="s">
        <v>100</v>
      </c>
      <c r="I30" t="s">
        <v>14</v>
      </c>
      <c r="J30">
        <v>37997</v>
      </c>
      <c r="K30">
        <v>102729</v>
      </c>
    </row>
    <row r="31" spans="1:11">
      <c r="A31">
        <v>30</v>
      </c>
      <c r="C31" t="s">
        <v>101</v>
      </c>
      <c r="D31" t="s">
        <v>102</v>
      </c>
      <c r="E31" t="s">
        <v>20</v>
      </c>
      <c r="F31">
        <f t="shared" si="0"/>
        <v>1</v>
      </c>
      <c r="G31">
        <v>122630</v>
      </c>
      <c r="H31" t="s">
        <v>103</v>
      </c>
      <c r="I31" t="s">
        <v>14</v>
      </c>
      <c r="J31">
        <v>92890</v>
      </c>
      <c r="K31">
        <v>29740</v>
      </c>
    </row>
    <row r="32" spans="1:11">
      <c r="A32">
        <v>31</v>
      </c>
      <c r="C32" t="s">
        <v>104</v>
      </c>
      <c r="D32" t="s">
        <v>105</v>
      </c>
      <c r="E32" t="s">
        <v>20</v>
      </c>
      <c r="F32">
        <f t="shared" si="0"/>
        <v>1</v>
      </c>
      <c r="G32">
        <v>162457</v>
      </c>
      <c r="H32" t="s">
        <v>106</v>
      </c>
      <c r="I32" t="s">
        <v>14</v>
      </c>
      <c r="J32">
        <v>139864</v>
      </c>
      <c r="K32">
        <v>22593</v>
      </c>
    </row>
    <row r="33" spans="1:11">
      <c r="A33">
        <v>32</v>
      </c>
      <c r="C33" t="s">
        <v>107</v>
      </c>
      <c r="D33" t="s">
        <v>108</v>
      </c>
      <c r="E33" t="s">
        <v>14</v>
      </c>
      <c r="F33">
        <f t="shared" si="0"/>
        <v>0</v>
      </c>
      <c r="G33">
        <v>142772</v>
      </c>
      <c r="H33" t="s">
        <v>109</v>
      </c>
      <c r="I33" t="s">
        <v>20</v>
      </c>
      <c r="J33">
        <v>139738</v>
      </c>
      <c r="K33">
        <v>3034</v>
      </c>
    </row>
    <row r="34" spans="1:11">
      <c r="A34">
        <v>33</v>
      </c>
      <c r="C34" t="s">
        <v>110</v>
      </c>
      <c r="D34" t="s">
        <v>111</v>
      </c>
      <c r="E34" t="s">
        <v>20</v>
      </c>
      <c r="F34">
        <f t="shared" si="0"/>
        <v>1</v>
      </c>
      <c r="G34">
        <v>89274</v>
      </c>
      <c r="H34" t="s">
        <v>112</v>
      </c>
      <c r="I34" t="s">
        <v>14</v>
      </c>
      <c r="J34">
        <v>73483</v>
      </c>
      <c r="K34">
        <v>15791</v>
      </c>
    </row>
    <row r="35" spans="1:11">
      <c r="A35">
        <v>34</v>
      </c>
      <c r="B35" t="s">
        <v>113</v>
      </c>
      <c r="C35" t="s">
        <v>114</v>
      </c>
      <c r="D35" t="s">
        <v>115</v>
      </c>
      <c r="E35" t="s">
        <v>20</v>
      </c>
      <c r="F35">
        <f t="shared" si="0"/>
        <v>1</v>
      </c>
      <c r="G35">
        <v>165192</v>
      </c>
      <c r="H35" t="s">
        <v>116</v>
      </c>
      <c r="I35" t="s">
        <v>14</v>
      </c>
      <c r="J35">
        <v>155309</v>
      </c>
      <c r="K35">
        <v>9883</v>
      </c>
    </row>
    <row r="36" spans="1:11">
      <c r="A36">
        <v>35</v>
      </c>
      <c r="C36" t="s">
        <v>117</v>
      </c>
      <c r="D36" t="s">
        <v>118</v>
      </c>
      <c r="E36" t="s">
        <v>14</v>
      </c>
      <c r="F36">
        <f t="shared" si="0"/>
        <v>0</v>
      </c>
      <c r="G36">
        <v>158065</v>
      </c>
      <c r="H36" t="s">
        <v>119</v>
      </c>
      <c r="I36" t="s">
        <v>20</v>
      </c>
      <c r="J36">
        <v>92517</v>
      </c>
      <c r="K36">
        <v>65548</v>
      </c>
    </row>
    <row r="37" spans="1:11">
      <c r="A37">
        <v>36</v>
      </c>
      <c r="C37" t="s">
        <v>120</v>
      </c>
      <c r="D37" t="s">
        <v>121</v>
      </c>
      <c r="E37" t="s">
        <v>14</v>
      </c>
      <c r="F37">
        <f t="shared" si="0"/>
        <v>0</v>
      </c>
      <c r="G37">
        <v>171440</v>
      </c>
      <c r="H37" t="s">
        <v>122</v>
      </c>
      <c r="I37" t="s">
        <v>20</v>
      </c>
      <c r="J37">
        <v>57959</v>
      </c>
      <c r="K37">
        <v>113481</v>
      </c>
    </row>
    <row r="38" spans="1:11">
      <c r="A38">
        <v>37</v>
      </c>
      <c r="C38" t="s">
        <v>123</v>
      </c>
      <c r="D38" t="s">
        <v>124</v>
      </c>
      <c r="E38" t="s">
        <v>14</v>
      </c>
      <c r="F38">
        <f t="shared" si="0"/>
        <v>0</v>
      </c>
      <c r="G38">
        <v>145024</v>
      </c>
      <c r="H38" t="s">
        <v>125</v>
      </c>
      <c r="I38" t="s">
        <v>20</v>
      </c>
      <c r="J38">
        <v>93548</v>
      </c>
      <c r="K38">
        <v>51476</v>
      </c>
    </row>
    <row r="39" spans="1:11">
      <c r="A39">
        <v>38</v>
      </c>
      <c r="C39" t="s">
        <v>126</v>
      </c>
      <c r="D39" t="s">
        <v>127</v>
      </c>
      <c r="E39" t="s">
        <v>14</v>
      </c>
      <c r="F39">
        <f t="shared" si="0"/>
        <v>0</v>
      </c>
      <c r="G39">
        <v>127406</v>
      </c>
      <c r="H39" t="s">
        <v>128</v>
      </c>
      <c r="I39" t="s">
        <v>20</v>
      </c>
      <c r="J39">
        <v>111026</v>
      </c>
      <c r="K39">
        <v>16380</v>
      </c>
    </row>
    <row r="40" spans="1:11">
      <c r="A40">
        <v>39</v>
      </c>
      <c r="C40" t="s">
        <v>129</v>
      </c>
      <c r="D40" t="s">
        <v>130</v>
      </c>
      <c r="E40" t="s">
        <v>14</v>
      </c>
      <c r="F40">
        <f t="shared" si="0"/>
        <v>0</v>
      </c>
      <c r="G40">
        <v>155339</v>
      </c>
      <c r="H40" t="s">
        <v>131</v>
      </c>
      <c r="I40" t="s">
        <v>20</v>
      </c>
      <c r="J40">
        <v>108978</v>
      </c>
      <c r="K40">
        <v>46361</v>
      </c>
    </row>
    <row r="41" spans="1:11">
      <c r="A41">
        <v>40</v>
      </c>
      <c r="C41" t="s">
        <v>132</v>
      </c>
      <c r="D41" t="s">
        <v>133</v>
      </c>
      <c r="E41" t="s">
        <v>14</v>
      </c>
      <c r="F41">
        <f t="shared" si="0"/>
        <v>0</v>
      </c>
      <c r="G41">
        <v>248841</v>
      </c>
      <c r="H41" t="s">
        <v>134</v>
      </c>
      <c r="I41" t="s">
        <v>20</v>
      </c>
      <c r="J41">
        <v>143329</v>
      </c>
      <c r="K41">
        <v>105512</v>
      </c>
    </row>
    <row r="42" spans="1:11">
      <c r="A42">
        <v>41</v>
      </c>
      <c r="C42" t="s">
        <v>135</v>
      </c>
      <c r="D42" t="s">
        <v>136</v>
      </c>
      <c r="E42" t="s">
        <v>14</v>
      </c>
      <c r="F42">
        <f t="shared" si="0"/>
        <v>0</v>
      </c>
      <c r="G42">
        <v>216284</v>
      </c>
      <c r="H42" t="s">
        <v>137</v>
      </c>
      <c r="I42" t="s">
        <v>20</v>
      </c>
      <c r="J42">
        <v>97626</v>
      </c>
      <c r="K42">
        <v>118658</v>
      </c>
    </row>
    <row r="43" spans="1:11">
      <c r="A43">
        <v>42</v>
      </c>
      <c r="C43" t="s">
        <v>138</v>
      </c>
      <c r="D43" t="s">
        <v>139</v>
      </c>
      <c r="E43" t="s">
        <v>14</v>
      </c>
      <c r="F43">
        <f t="shared" si="0"/>
        <v>0</v>
      </c>
      <c r="G43">
        <v>264212</v>
      </c>
      <c r="H43" t="s">
        <v>83</v>
      </c>
      <c r="I43" t="s">
        <v>20</v>
      </c>
      <c r="J43">
        <v>116665</v>
      </c>
      <c r="K43">
        <v>147547</v>
      </c>
    </row>
    <row r="44" spans="1:11">
      <c r="A44">
        <v>43</v>
      </c>
      <c r="C44" t="s">
        <v>140</v>
      </c>
      <c r="D44" t="s">
        <v>141</v>
      </c>
      <c r="E44" t="s">
        <v>20</v>
      </c>
      <c r="F44">
        <f t="shared" si="0"/>
        <v>1</v>
      </c>
      <c r="G44">
        <v>206893</v>
      </c>
      <c r="H44" t="s">
        <v>142</v>
      </c>
      <c r="I44" t="s">
        <v>14</v>
      </c>
      <c r="J44">
        <v>162515</v>
      </c>
      <c r="K44">
        <v>44378</v>
      </c>
    </row>
    <row r="45" spans="1:11">
      <c r="A45">
        <v>44</v>
      </c>
      <c r="C45" t="s">
        <v>143</v>
      </c>
      <c r="D45" t="s">
        <v>29</v>
      </c>
      <c r="E45" t="s">
        <v>20</v>
      </c>
      <c r="F45">
        <f t="shared" si="0"/>
        <v>1</v>
      </c>
      <c r="G45">
        <v>171227</v>
      </c>
      <c r="H45" t="s">
        <v>144</v>
      </c>
      <c r="I45" t="s">
        <v>14</v>
      </c>
      <c r="J45">
        <v>155119</v>
      </c>
      <c r="K45">
        <v>16108</v>
      </c>
    </row>
    <row r="46" spans="1:11">
      <c r="A46">
        <v>45</v>
      </c>
      <c r="C46" t="s">
        <v>145</v>
      </c>
      <c r="D46" t="s">
        <v>146</v>
      </c>
      <c r="E46" t="s">
        <v>20</v>
      </c>
      <c r="F46">
        <f t="shared" si="0"/>
        <v>1</v>
      </c>
      <c r="G46">
        <v>189640</v>
      </c>
      <c r="H46" t="s">
        <v>147</v>
      </c>
      <c r="I46" t="s">
        <v>14</v>
      </c>
      <c r="J46">
        <v>127037</v>
      </c>
      <c r="K46">
        <v>62603</v>
      </c>
    </row>
    <row r="47" spans="1:11">
      <c r="A47">
        <v>46</v>
      </c>
      <c r="C47" t="s">
        <v>148</v>
      </c>
      <c r="D47" t="s">
        <v>96</v>
      </c>
      <c r="E47" t="s">
        <v>14</v>
      </c>
      <c r="F47">
        <f t="shared" si="0"/>
        <v>0</v>
      </c>
      <c r="G47">
        <v>173864</v>
      </c>
      <c r="H47" t="s">
        <v>93</v>
      </c>
      <c r="I47" t="s">
        <v>20</v>
      </c>
      <c r="J47">
        <v>153816</v>
      </c>
      <c r="K47">
        <v>20048</v>
      </c>
    </row>
    <row r="48" spans="1:11">
      <c r="A48">
        <v>47</v>
      </c>
      <c r="C48" t="s">
        <v>149</v>
      </c>
      <c r="D48" t="s">
        <v>150</v>
      </c>
      <c r="E48" t="s">
        <v>20</v>
      </c>
      <c r="F48">
        <f t="shared" si="0"/>
        <v>1</v>
      </c>
      <c r="G48">
        <v>141526</v>
      </c>
      <c r="H48" t="s">
        <v>151</v>
      </c>
      <c r="I48" t="s">
        <v>14</v>
      </c>
      <c r="J48">
        <v>134533</v>
      </c>
      <c r="K48">
        <v>6993</v>
      </c>
    </row>
    <row r="49" spans="1:11">
      <c r="A49">
        <v>48</v>
      </c>
      <c r="C49" t="s">
        <v>152</v>
      </c>
      <c r="D49" t="s">
        <v>153</v>
      </c>
      <c r="E49" t="s">
        <v>14</v>
      </c>
      <c r="F49">
        <f t="shared" si="0"/>
        <v>0</v>
      </c>
      <c r="G49">
        <v>166889</v>
      </c>
      <c r="H49" t="s">
        <v>154</v>
      </c>
      <c r="I49" t="s">
        <v>20</v>
      </c>
      <c r="J49">
        <v>119421</v>
      </c>
      <c r="K49">
        <v>47468</v>
      </c>
    </row>
    <row r="50" spans="1:11">
      <c r="A50">
        <v>49</v>
      </c>
      <c r="C50" t="s">
        <v>155</v>
      </c>
      <c r="D50" t="s">
        <v>156</v>
      </c>
      <c r="E50" t="s">
        <v>14</v>
      </c>
      <c r="F50">
        <f t="shared" si="0"/>
        <v>0</v>
      </c>
      <c r="G50">
        <v>133924</v>
      </c>
      <c r="H50" t="s">
        <v>157</v>
      </c>
      <c r="I50" t="s">
        <v>20</v>
      </c>
      <c r="J50">
        <v>97585</v>
      </c>
      <c r="K50">
        <v>36339</v>
      </c>
    </row>
    <row r="51" spans="1:11">
      <c r="A51">
        <v>50</v>
      </c>
      <c r="C51" t="s">
        <v>158</v>
      </c>
      <c r="D51" t="s">
        <v>159</v>
      </c>
      <c r="E51" t="s">
        <v>14</v>
      </c>
      <c r="F51">
        <f t="shared" si="0"/>
        <v>0</v>
      </c>
      <c r="G51">
        <v>129385</v>
      </c>
      <c r="H51" t="s">
        <v>160</v>
      </c>
      <c r="I51" t="s">
        <v>20</v>
      </c>
      <c r="J51">
        <v>104747</v>
      </c>
      <c r="K51">
        <v>24638</v>
      </c>
    </row>
    <row r="52" spans="1:11">
      <c r="A52">
        <v>51</v>
      </c>
      <c r="C52" t="s">
        <v>161</v>
      </c>
      <c r="D52" t="s">
        <v>162</v>
      </c>
      <c r="E52" t="s">
        <v>14</v>
      </c>
      <c r="F52">
        <f t="shared" si="0"/>
        <v>0</v>
      </c>
      <c r="G52">
        <v>108866</v>
      </c>
      <c r="H52" t="s">
        <v>163</v>
      </c>
      <c r="I52" t="s">
        <v>20</v>
      </c>
      <c r="J52">
        <v>97629</v>
      </c>
      <c r="K52">
        <v>11237</v>
      </c>
    </row>
    <row r="53" spans="1:11">
      <c r="A53">
        <v>52</v>
      </c>
      <c r="C53" t="s">
        <v>164</v>
      </c>
      <c r="D53" t="s">
        <v>165</v>
      </c>
      <c r="E53" t="s">
        <v>20</v>
      </c>
      <c r="F53">
        <f t="shared" si="0"/>
        <v>1</v>
      </c>
      <c r="G53">
        <v>171786</v>
      </c>
      <c r="H53" t="s">
        <v>166</v>
      </c>
      <c r="I53" t="s">
        <v>14</v>
      </c>
      <c r="J53">
        <v>169902</v>
      </c>
      <c r="K53">
        <v>1884</v>
      </c>
    </row>
    <row r="54" spans="1:11">
      <c r="A54">
        <v>53</v>
      </c>
      <c r="C54" t="s">
        <v>167</v>
      </c>
      <c r="D54" t="s">
        <v>168</v>
      </c>
      <c r="E54" t="s">
        <v>14</v>
      </c>
      <c r="F54">
        <f t="shared" si="0"/>
        <v>0</v>
      </c>
      <c r="G54">
        <v>128546</v>
      </c>
      <c r="H54" t="s">
        <v>169</v>
      </c>
      <c r="I54" t="s">
        <v>20</v>
      </c>
      <c r="J54">
        <v>100370</v>
      </c>
      <c r="K54">
        <v>28176</v>
      </c>
    </row>
    <row r="55" spans="1:11">
      <c r="A55">
        <v>54</v>
      </c>
      <c r="C55" t="s">
        <v>170</v>
      </c>
      <c r="D55" t="s">
        <v>171</v>
      </c>
      <c r="E55" t="s">
        <v>14</v>
      </c>
      <c r="F55">
        <f t="shared" si="0"/>
        <v>0</v>
      </c>
      <c r="G55">
        <v>176318</v>
      </c>
      <c r="H55" t="s">
        <v>172</v>
      </c>
      <c r="I55" t="s">
        <v>20</v>
      </c>
      <c r="J55">
        <v>137927</v>
      </c>
      <c r="K55">
        <v>38391</v>
      </c>
    </row>
    <row r="56" spans="1:11">
      <c r="A56">
        <v>55</v>
      </c>
      <c r="C56" t="s">
        <v>173</v>
      </c>
      <c r="D56" t="s">
        <v>118</v>
      </c>
      <c r="E56" t="s">
        <v>20</v>
      </c>
      <c r="F56">
        <f t="shared" si="0"/>
        <v>1</v>
      </c>
      <c r="G56">
        <v>115226</v>
      </c>
      <c r="H56" t="s">
        <v>174</v>
      </c>
      <c r="I56" t="s">
        <v>14</v>
      </c>
      <c r="J56">
        <v>109461</v>
      </c>
      <c r="K56">
        <v>5765</v>
      </c>
    </row>
    <row r="57" spans="1:11">
      <c r="A57">
        <v>56</v>
      </c>
      <c r="C57" t="s">
        <v>175</v>
      </c>
      <c r="D57" t="s">
        <v>176</v>
      </c>
      <c r="E57" t="s">
        <v>14</v>
      </c>
      <c r="F57">
        <f t="shared" si="0"/>
        <v>0</v>
      </c>
      <c r="G57">
        <v>153425</v>
      </c>
      <c r="H57" t="s">
        <v>177</v>
      </c>
      <c r="I57" t="s">
        <v>20</v>
      </c>
      <c r="J57">
        <v>73445</v>
      </c>
      <c r="K57">
        <v>79980</v>
      </c>
    </row>
    <row r="58" spans="1:11">
      <c r="A58">
        <v>57</v>
      </c>
      <c r="C58" t="s">
        <v>178</v>
      </c>
      <c r="D58" t="s">
        <v>179</v>
      </c>
      <c r="E58" t="s">
        <v>14</v>
      </c>
      <c r="F58">
        <f t="shared" si="0"/>
        <v>0</v>
      </c>
      <c r="G58">
        <v>148672</v>
      </c>
      <c r="H58" t="s">
        <v>180</v>
      </c>
      <c r="I58" t="s">
        <v>20</v>
      </c>
      <c r="J58">
        <v>92965</v>
      </c>
      <c r="K58">
        <v>55707</v>
      </c>
    </row>
    <row r="59" spans="1:11">
      <c r="A59">
        <v>58</v>
      </c>
      <c r="C59" t="s">
        <v>181</v>
      </c>
      <c r="D59" t="s">
        <v>182</v>
      </c>
      <c r="E59" t="s">
        <v>14</v>
      </c>
      <c r="F59">
        <f t="shared" si="0"/>
        <v>0</v>
      </c>
      <c r="G59">
        <v>102726</v>
      </c>
      <c r="H59" t="s">
        <v>172</v>
      </c>
      <c r="I59" t="s">
        <v>20</v>
      </c>
      <c r="J59">
        <v>90568</v>
      </c>
      <c r="K59">
        <v>12158</v>
      </c>
    </row>
    <row r="60" spans="1:11">
      <c r="A60">
        <v>59</v>
      </c>
      <c r="C60" t="s">
        <v>183</v>
      </c>
      <c r="D60" t="s">
        <v>184</v>
      </c>
      <c r="E60" t="s">
        <v>14</v>
      </c>
      <c r="F60">
        <f t="shared" si="0"/>
        <v>0</v>
      </c>
      <c r="G60">
        <v>162841</v>
      </c>
      <c r="H60" t="s">
        <v>185</v>
      </c>
      <c r="I60" t="s">
        <v>20</v>
      </c>
      <c r="J60">
        <v>130066</v>
      </c>
      <c r="K60">
        <v>32775</v>
      </c>
    </row>
    <row r="61" spans="1:11">
      <c r="A61">
        <v>60</v>
      </c>
      <c r="C61" t="s">
        <v>186</v>
      </c>
      <c r="D61" t="s">
        <v>48</v>
      </c>
      <c r="E61" t="s">
        <v>14</v>
      </c>
      <c r="F61">
        <f t="shared" si="0"/>
        <v>0</v>
      </c>
      <c r="G61">
        <v>119768</v>
      </c>
      <c r="H61" t="s">
        <v>187</v>
      </c>
      <c r="I61" t="s">
        <v>44</v>
      </c>
      <c r="J61">
        <v>66492</v>
      </c>
      <c r="K61">
        <v>53276</v>
      </c>
    </row>
    <row r="62" spans="1:11">
      <c r="A62">
        <v>61</v>
      </c>
      <c r="C62" t="s">
        <v>188</v>
      </c>
      <c r="D62" t="s">
        <v>189</v>
      </c>
      <c r="E62" t="s">
        <v>14</v>
      </c>
      <c r="F62">
        <f t="shared" si="0"/>
        <v>0</v>
      </c>
      <c r="G62">
        <v>170551</v>
      </c>
      <c r="H62" t="s">
        <v>26</v>
      </c>
      <c r="I62" t="s">
        <v>20</v>
      </c>
      <c r="J62">
        <v>135386</v>
      </c>
      <c r="K62">
        <v>35165</v>
      </c>
    </row>
    <row r="63" spans="1:11">
      <c r="A63">
        <v>62</v>
      </c>
      <c r="C63" t="s">
        <v>190</v>
      </c>
      <c r="D63" t="s">
        <v>191</v>
      </c>
      <c r="E63" t="s">
        <v>14</v>
      </c>
      <c r="F63">
        <f t="shared" si="0"/>
        <v>0</v>
      </c>
      <c r="G63">
        <v>116613</v>
      </c>
      <c r="H63" t="s">
        <v>192</v>
      </c>
      <c r="I63" t="s">
        <v>20</v>
      </c>
      <c r="J63">
        <v>108815</v>
      </c>
      <c r="K63">
        <v>7798</v>
      </c>
    </row>
    <row r="64" spans="1:11">
      <c r="A64">
        <v>63</v>
      </c>
      <c r="C64" t="s">
        <v>193</v>
      </c>
      <c r="D64" t="s">
        <v>194</v>
      </c>
      <c r="E64" t="s">
        <v>14</v>
      </c>
      <c r="F64">
        <f t="shared" si="0"/>
        <v>0</v>
      </c>
      <c r="G64">
        <v>176638</v>
      </c>
      <c r="H64" t="s">
        <v>195</v>
      </c>
      <c r="I64" t="s">
        <v>20</v>
      </c>
      <c r="J64">
        <v>136595</v>
      </c>
      <c r="K64">
        <v>40043</v>
      </c>
    </row>
    <row r="65" spans="1:11">
      <c r="A65">
        <v>64</v>
      </c>
      <c r="C65" t="s">
        <v>196</v>
      </c>
      <c r="D65" t="s">
        <v>197</v>
      </c>
      <c r="E65" t="s">
        <v>14</v>
      </c>
      <c r="F65">
        <f t="shared" si="0"/>
        <v>0</v>
      </c>
      <c r="G65">
        <v>174430</v>
      </c>
      <c r="H65" t="s">
        <v>198</v>
      </c>
      <c r="I65" t="s">
        <v>199</v>
      </c>
      <c r="J65">
        <v>116802</v>
      </c>
      <c r="K65">
        <v>57628</v>
      </c>
    </row>
    <row r="66" spans="1:11">
      <c r="A66">
        <v>65</v>
      </c>
      <c r="C66" t="s">
        <v>200</v>
      </c>
      <c r="D66" t="s">
        <v>201</v>
      </c>
      <c r="E66" t="s">
        <v>20</v>
      </c>
      <c r="F66">
        <f t="shared" ref="F66:F129" si="1">IF(E66="Jamaat",1,0)</f>
        <v>1</v>
      </c>
      <c r="G66">
        <v>161872</v>
      </c>
      <c r="H66" t="s">
        <v>202</v>
      </c>
      <c r="I66" t="s">
        <v>14</v>
      </c>
      <c r="J66">
        <v>161278</v>
      </c>
      <c r="K66">
        <v>594</v>
      </c>
    </row>
    <row r="67" spans="1:11">
      <c r="A67">
        <v>66</v>
      </c>
      <c r="C67" t="s">
        <v>203</v>
      </c>
      <c r="D67" t="s">
        <v>204</v>
      </c>
      <c r="E67" t="s">
        <v>14</v>
      </c>
      <c r="F67">
        <f t="shared" si="1"/>
        <v>0</v>
      </c>
      <c r="G67">
        <v>134197</v>
      </c>
      <c r="H67" t="s">
        <v>205</v>
      </c>
      <c r="I67" t="s">
        <v>20</v>
      </c>
      <c r="J67">
        <v>105188</v>
      </c>
      <c r="K67">
        <v>29009</v>
      </c>
    </row>
    <row r="68" spans="1:11">
      <c r="A68">
        <v>67</v>
      </c>
      <c r="C68" t="s">
        <v>206</v>
      </c>
      <c r="D68" t="s">
        <v>207</v>
      </c>
      <c r="E68" t="s">
        <v>14</v>
      </c>
      <c r="F68">
        <f t="shared" si="1"/>
        <v>0</v>
      </c>
      <c r="G68">
        <v>171508</v>
      </c>
      <c r="H68" t="s">
        <v>208</v>
      </c>
      <c r="I68" t="s">
        <v>16</v>
      </c>
      <c r="J68">
        <v>103884</v>
      </c>
      <c r="K68">
        <v>67624</v>
      </c>
    </row>
    <row r="69" spans="1:11">
      <c r="A69">
        <v>68</v>
      </c>
      <c r="C69" t="s">
        <v>209</v>
      </c>
      <c r="D69" t="s">
        <v>210</v>
      </c>
      <c r="E69" t="s">
        <v>20</v>
      </c>
      <c r="F69">
        <f t="shared" si="1"/>
        <v>1</v>
      </c>
      <c r="G69">
        <v>129974</v>
      </c>
      <c r="H69" t="s">
        <v>211</v>
      </c>
      <c r="I69" t="s">
        <v>14</v>
      </c>
      <c r="J69">
        <v>104245</v>
      </c>
      <c r="K69">
        <v>25729</v>
      </c>
    </row>
    <row r="70" spans="1:11">
      <c r="A70">
        <v>69</v>
      </c>
      <c r="C70" t="s">
        <v>212</v>
      </c>
      <c r="D70" t="s">
        <v>213</v>
      </c>
      <c r="E70" t="s">
        <v>14</v>
      </c>
      <c r="F70">
        <f t="shared" si="1"/>
        <v>0</v>
      </c>
      <c r="G70">
        <v>213950</v>
      </c>
      <c r="H70" t="s">
        <v>214</v>
      </c>
      <c r="I70" t="s">
        <v>20</v>
      </c>
      <c r="J70">
        <v>75387</v>
      </c>
      <c r="K70">
        <v>138563</v>
      </c>
    </row>
    <row r="71" spans="1:11">
      <c r="A71">
        <v>70</v>
      </c>
      <c r="C71" t="s">
        <v>215</v>
      </c>
      <c r="D71" t="s">
        <v>216</v>
      </c>
      <c r="E71" t="s">
        <v>20</v>
      </c>
      <c r="F71">
        <f t="shared" si="1"/>
        <v>1</v>
      </c>
      <c r="G71">
        <v>147475</v>
      </c>
      <c r="H71" t="s">
        <v>217</v>
      </c>
      <c r="I71" t="s">
        <v>14</v>
      </c>
      <c r="J71">
        <v>144206</v>
      </c>
      <c r="K71">
        <v>3269</v>
      </c>
    </row>
    <row r="72" spans="1:11">
      <c r="A72">
        <v>71</v>
      </c>
      <c r="C72" t="s">
        <v>218</v>
      </c>
      <c r="D72" t="s">
        <v>219</v>
      </c>
      <c r="E72" t="s">
        <v>20</v>
      </c>
      <c r="F72">
        <f t="shared" si="1"/>
        <v>1</v>
      </c>
      <c r="G72">
        <v>137675</v>
      </c>
      <c r="H72" t="s">
        <v>220</v>
      </c>
      <c r="I72" t="s">
        <v>14</v>
      </c>
      <c r="J72">
        <v>133874</v>
      </c>
      <c r="K72">
        <v>3801</v>
      </c>
    </row>
    <row r="73" spans="1:11">
      <c r="A73">
        <v>72</v>
      </c>
      <c r="C73" t="s">
        <v>221</v>
      </c>
      <c r="D73" t="s">
        <v>222</v>
      </c>
      <c r="E73" t="s">
        <v>14</v>
      </c>
      <c r="F73">
        <f t="shared" si="1"/>
        <v>0</v>
      </c>
      <c r="G73">
        <v>181925</v>
      </c>
      <c r="H73" t="s">
        <v>223</v>
      </c>
      <c r="I73" t="s">
        <v>20</v>
      </c>
      <c r="J73">
        <v>164994</v>
      </c>
      <c r="K73">
        <v>16931</v>
      </c>
    </row>
    <row r="74" spans="1:11">
      <c r="A74">
        <v>73</v>
      </c>
      <c r="B74" t="s">
        <v>224</v>
      </c>
      <c r="C74" t="s">
        <v>225</v>
      </c>
      <c r="D74" t="s">
        <v>226</v>
      </c>
      <c r="E74" t="s">
        <v>20</v>
      </c>
      <c r="F74">
        <f t="shared" si="1"/>
        <v>1</v>
      </c>
      <c r="G74">
        <v>123271</v>
      </c>
      <c r="H74" t="s">
        <v>227</v>
      </c>
      <c r="I74" t="s">
        <v>14</v>
      </c>
      <c r="J74">
        <v>105441</v>
      </c>
      <c r="K74">
        <v>17830</v>
      </c>
    </row>
    <row r="75" spans="1:11">
      <c r="A75">
        <v>74</v>
      </c>
      <c r="C75" t="s">
        <v>228</v>
      </c>
      <c r="D75" t="s">
        <v>229</v>
      </c>
      <c r="E75" t="s">
        <v>20</v>
      </c>
      <c r="F75">
        <f t="shared" si="1"/>
        <v>1</v>
      </c>
      <c r="G75">
        <v>96306</v>
      </c>
      <c r="H75" t="s">
        <v>230</v>
      </c>
      <c r="I75" t="s">
        <v>14</v>
      </c>
      <c r="J75">
        <v>85988</v>
      </c>
      <c r="K75">
        <v>10318</v>
      </c>
    </row>
    <row r="76" spans="1:11">
      <c r="A76">
        <v>75</v>
      </c>
      <c r="C76" t="s">
        <v>231</v>
      </c>
      <c r="D76" t="s">
        <v>232</v>
      </c>
      <c r="E76" t="s">
        <v>14</v>
      </c>
      <c r="F76">
        <f t="shared" si="1"/>
        <v>0</v>
      </c>
      <c r="G76">
        <v>165909</v>
      </c>
      <c r="H76" t="s">
        <v>233</v>
      </c>
      <c r="I76" t="s">
        <v>20</v>
      </c>
      <c r="J76">
        <v>86682</v>
      </c>
      <c r="K76">
        <v>79227</v>
      </c>
    </row>
    <row r="77" spans="1:11">
      <c r="A77">
        <v>76</v>
      </c>
      <c r="C77" t="s">
        <v>234</v>
      </c>
      <c r="D77" t="s">
        <v>235</v>
      </c>
      <c r="E77" t="s">
        <v>20</v>
      </c>
      <c r="F77">
        <f t="shared" si="1"/>
        <v>1</v>
      </c>
      <c r="G77">
        <v>192083</v>
      </c>
      <c r="H77" t="s">
        <v>236</v>
      </c>
      <c r="I77" t="s">
        <v>14</v>
      </c>
      <c r="J77">
        <v>143821</v>
      </c>
      <c r="K77">
        <v>48262</v>
      </c>
    </row>
    <row r="78" spans="1:11">
      <c r="A78">
        <v>77</v>
      </c>
      <c r="C78" t="s">
        <v>237</v>
      </c>
      <c r="D78" t="s">
        <v>238</v>
      </c>
      <c r="E78" t="s">
        <v>20</v>
      </c>
      <c r="F78">
        <f t="shared" si="1"/>
        <v>1</v>
      </c>
      <c r="G78">
        <v>180690</v>
      </c>
      <c r="H78" t="s">
        <v>239</v>
      </c>
      <c r="I78" t="s">
        <v>14</v>
      </c>
      <c r="J78">
        <v>126909</v>
      </c>
      <c r="K78">
        <v>53781</v>
      </c>
    </row>
    <row r="79" spans="1:11">
      <c r="A79">
        <v>78</v>
      </c>
      <c r="C79" t="s">
        <v>240</v>
      </c>
      <c r="D79" t="s">
        <v>241</v>
      </c>
      <c r="E79" t="s">
        <v>20</v>
      </c>
      <c r="F79">
        <f t="shared" si="1"/>
        <v>1</v>
      </c>
      <c r="G79">
        <v>148201</v>
      </c>
      <c r="H79" t="s">
        <v>242</v>
      </c>
      <c r="I79" t="s">
        <v>14</v>
      </c>
      <c r="J79">
        <v>139603</v>
      </c>
      <c r="K79">
        <v>8598</v>
      </c>
    </row>
    <row r="80" spans="1:11">
      <c r="A80">
        <v>79</v>
      </c>
      <c r="C80" t="s">
        <v>243</v>
      </c>
      <c r="D80" t="s">
        <v>244</v>
      </c>
      <c r="E80" t="s">
        <v>20</v>
      </c>
      <c r="F80">
        <f t="shared" si="1"/>
        <v>1</v>
      </c>
      <c r="G80">
        <v>211041</v>
      </c>
      <c r="H80" t="s">
        <v>245</v>
      </c>
      <c r="I80" t="s">
        <v>14</v>
      </c>
      <c r="J80">
        <v>153193</v>
      </c>
      <c r="K80">
        <v>57848</v>
      </c>
    </row>
    <row r="81" spans="1:11">
      <c r="A81">
        <v>80</v>
      </c>
      <c r="C81" t="s">
        <v>246</v>
      </c>
      <c r="D81" t="s">
        <v>247</v>
      </c>
      <c r="E81" t="s">
        <v>20</v>
      </c>
      <c r="F81">
        <f t="shared" si="1"/>
        <v>1</v>
      </c>
      <c r="G81">
        <v>208011</v>
      </c>
      <c r="H81" t="s">
        <v>248</v>
      </c>
      <c r="I81" t="s">
        <v>14</v>
      </c>
      <c r="J81">
        <v>163877</v>
      </c>
      <c r="K81">
        <v>44134</v>
      </c>
    </row>
    <row r="82" spans="1:11">
      <c r="A82">
        <v>81</v>
      </c>
      <c r="C82" t="s">
        <v>249</v>
      </c>
      <c r="D82" t="s">
        <v>250</v>
      </c>
      <c r="E82" t="s">
        <v>14</v>
      </c>
      <c r="F82">
        <f t="shared" si="1"/>
        <v>0</v>
      </c>
      <c r="G82">
        <v>173381</v>
      </c>
      <c r="H82" t="s">
        <v>251</v>
      </c>
      <c r="I82" t="s">
        <v>20</v>
      </c>
      <c r="J82">
        <v>57055</v>
      </c>
      <c r="K82">
        <v>116326</v>
      </c>
    </row>
    <row r="83" spans="1:11">
      <c r="A83">
        <v>82</v>
      </c>
      <c r="C83" t="s">
        <v>252</v>
      </c>
      <c r="D83" t="s">
        <v>253</v>
      </c>
      <c r="E83" t="s">
        <v>20</v>
      </c>
      <c r="F83">
        <f t="shared" si="1"/>
        <v>1</v>
      </c>
      <c r="G83">
        <v>195702</v>
      </c>
      <c r="H83" t="s">
        <v>254</v>
      </c>
      <c r="I83" t="s">
        <v>14</v>
      </c>
      <c r="J83">
        <v>175984</v>
      </c>
      <c r="K83">
        <v>19718</v>
      </c>
    </row>
    <row r="84" spans="1:11">
      <c r="A84">
        <v>83</v>
      </c>
      <c r="C84" t="s">
        <v>255</v>
      </c>
      <c r="D84" t="s">
        <v>256</v>
      </c>
      <c r="E84" t="s">
        <v>20</v>
      </c>
      <c r="F84">
        <f t="shared" si="1"/>
        <v>1</v>
      </c>
      <c r="G84">
        <v>175857</v>
      </c>
      <c r="H84" t="s">
        <v>257</v>
      </c>
      <c r="I84" t="s">
        <v>14</v>
      </c>
      <c r="J84">
        <v>149821</v>
      </c>
      <c r="K84">
        <v>26036</v>
      </c>
    </row>
    <row r="85" spans="1:11">
      <c r="A85">
        <v>84</v>
      </c>
      <c r="C85" t="s">
        <v>258</v>
      </c>
      <c r="D85" t="s">
        <v>259</v>
      </c>
      <c r="E85" t="s">
        <v>20</v>
      </c>
      <c r="F85">
        <f t="shared" si="1"/>
        <v>1</v>
      </c>
      <c r="G85">
        <v>105999</v>
      </c>
      <c r="H85" t="s">
        <v>260</v>
      </c>
      <c r="I85" t="s">
        <v>44</v>
      </c>
      <c r="J85">
        <v>77104</v>
      </c>
      <c r="K85">
        <v>28895</v>
      </c>
    </row>
    <row r="86" spans="1:11">
      <c r="A86">
        <v>85</v>
      </c>
      <c r="C86" t="s">
        <v>261</v>
      </c>
      <c r="D86" t="s">
        <v>262</v>
      </c>
      <c r="E86" t="s">
        <v>20</v>
      </c>
      <c r="F86">
        <f t="shared" si="1"/>
        <v>1</v>
      </c>
      <c r="G86">
        <v>119093</v>
      </c>
      <c r="H86" t="s">
        <v>263</v>
      </c>
      <c r="I86" t="s">
        <v>14</v>
      </c>
      <c r="J86">
        <v>93542</v>
      </c>
      <c r="K86">
        <v>25551</v>
      </c>
    </row>
    <row r="87" spans="1:11">
      <c r="A87">
        <v>86</v>
      </c>
      <c r="C87" t="s">
        <v>264</v>
      </c>
      <c r="D87" t="s">
        <v>265</v>
      </c>
      <c r="E87" t="s">
        <v>20</v>
      </c>
      <c r="F87">
        <f t="shared" si="1"/>
        <v>1</v>
      </c>
      <c r="G87">
        <v>180965</v>
      </c>
      <c r="H87" t="s">
        <v>266</v>
      </c>
      <c r="I87" t="s">
        <v>14</v>
      </c>
      <c r="J87">
        <v>146447</v>
      </c>
      <c r="K87">
        <v>34518</v>
      </c>
    </row>
    <row r="88" spans="1:11">
      <c r="A88">
        <v>87</v>
      </c>
      <c r="C88" t="s">
        <v>267</v>
      </c>
      <c r="D88" t="s">
        <v>268</v>
      </c>
      <c r="E88" t="s">
        <v>14</v>
      </c>
      <c r="F88">
        <f t="shared" si="1"/>
        <v>0</v>
      </c>
      <c r="G88">
        <v>201339</v>
      </c>
      <c r="H88" t="s">
        <v>269</v>
      </c>
      <c r="I88" t="s">
        <v>20</v>
      </c>
      <c r="J88">
        <v>187463</v>
      </c>
      <c r="K88">
        <v>13876</v>
      </c>
    </row>
    <row r="89" spans="1:11">
      <c r="A89">
        <v>88</v>
      </c>
      <c r="C89" t="s">
        <v>270</v>
      </c>
      <c r="D89" t="s">
        <v>271</v>
      </c>
      <c r="E89" t="s">
        <v>20</v>
      </c>
      <c r="F89">
        <f t="shared" si="1"/>
        <v>1</v>
      </c>
      <c r="G89">
        <v>176912</v>
      </c>
      <c r="H89" t="s">
        <v>272</v>
      </c>
      <c r="I89" t="s">
        <v>14</v>
      </c>
      <c r="J89">
        <v>131917</v>
      </c>
      <c r="K89">
        <v>44995</v>
      </c>
    </row>
    <row r="90" spans="1:11">
      <c r="A90">
        <v>89</v>
      </c>
      <c r="C90" t="s">
        <v>273</v>
      </c>
      <c r="D90" t="s">
        <v>274</v>
      </c>
      <c r="E90" t="s">
        <v>20</v>
      </c>
      <c r="F90">
        <f t="shared" si="1"/>
        <v>1</v>
      </c>
      <c r="G90">
        <v>132876</v>
      </c>
      <c r="H90" t="s">
        <v>275</v>
      </c>
      <c r="I90" t="s">
        <v>44</v>
      </c>
      <c r="J90">
        <v>85045</v>
      </c>
      <c r="K90">
        <v>47831</v>
      </c>
    </row>
    <row r="91" spans="1:11">
      <c r="A91">
        <v>90</v>
      </c>
      <c r="C91" t="s">
        <v>276</v>
      </c>
      <c r="D91" t="s">
        <v>277</v>
      </c>
      <c r="E91" t="s">
        <v>20</v>
      </c>
      <c r="F91">
        <f t="shared" si="1"/>
        <v>1</v>
      </c>
      <c r="G91">
        <v>92234</v>
      </c>
      <c r="H91" t="s">
        <v>278</v>
      </c>
      <c r="I91" t="s">
        <v>14</v>
      </c>
      <c r="J91">
        <v>80141</v>
      </c>
      <c r="K91">
        <v>12093</v>
      </c>
    </row>
    <row r="92" spans="1:11">
      <c r="A92">
        <v>91</v>
      </c>
      <c r="C92" t="s">
        <v>279</v>
      </c>
      <c r="D92" t="s">
        <v>280</v>
      </c>
      <c r="E92" t="s">
        <v>14</v>
      </c>
      <c r="F92">
        <f t="shared" si="1"/>
        <v>0</v>
      </c>
      <c r="G92">
        <v>185338</v>
      </c>
      <c r="H92" t="s">
        <v>281</v>
      </c>
      <c r="I92" t="s">
        <v>20</v>
      </c>
      <c r="J92">
        <v>89691</v>
      </c>
      <c r="K92">
        <v>95647</v>
      </c>
    </row>
    <row r="93" spans="1:11">
      <c r="A93">
        <v>92</v>
      </c>
      <c r="C93" t="s">
        <v>282</v>
      </c>
      <c r="D93" t="s">
        <v>283</v>
      </c>
      <c r="E93" t="s">
        <v>14</v>
      </c>
      <c r="F93">
        <f t="shared" si="1"/>
        <v>0</v>
      </c>
      <c r="G93">
        <v>147896</v>
      </c>
      <c r="H93" t="s">
        <v>284</v>
      </c>
      <c r="I93" t="s">
        <v>20</v>
      </c>
      <c r="J93">
        <v>117018</v>
      </c>
      <c r="K93">
        <v>30878</v>
      </c>
    </row>
    <row r="94" spans="1:11">
      <c r="A94">
        <v>93</v>
      </c>
      <c r="C94" t="s">
        <v>285</v>
      </c>
      <c r="D94" t="s">
        <v>286</v>
      </c>
      <c r="E94" t="s">
        <v>14</v>
      </c>
      <c r="F94">
        <f t="shared" si="1"/>
        <v>0</v>
      </c>
      <c r="G94">
        <v>99975</v>
      </c>
      <c r="H94" t="s">
        <v>287</v>
      </c>
      <c r="I94" t="s">
        <v>20</v>
      </c>
      <c r="J94">
        <v>75225</v>
      </c>
      <c r="K94">
        <v>24750</v>
      </c>
    </row>
    <row r="95" spans="1:11">
      <c r="A95">
        <v>94</v>
      </c>
      <c r="C95" t="s">
        <v>288</v>
      </c>
      <c r="D95" t="s">
        <v>289</v>
      </c>
      <c r="E95" t="s">
        <v>20</v>
      </c>
      <c r="F95">
        <f t="shared" si="1"/>
        <v>1</v>
      </c>
      <c r="G95">
        <v>118142</v>
      </c>
      <c r="H95" t="s">
        <v>290</v>
      </c>
      <c r="I95" t="s">
        <v>44</v>
      </c>
      <c r="J95">
        <v>78457</v>
      </c>
      <c r="K95">
        <v>39685</v>
      </c>
    </row>
    <row r="96" spans="1:11">
      <c r="A96">
        <v>95</v>
      </c>
      <c r="C96" t="s">
        <v>291</v>
      </c>
      <c r="D96" t="s">
        <v>292</v>
      </c>
      <c r="E96" t="s">
        <v>20</v>
      </c>
      <c r="F96">
        <f t="shared" si="1"/>
        <v>1</v>
      </c>
      <c r="G96">
        <v>117527</v>
      </c>
      <c r="H96" t="s">
        <v>293</v>
      </c>
      <c r="I96" t="s">
        <v>14</v>
      </c>
      <c r="J96">
        <v>114323</v>
      </c>
      <c r="K96">
        <v>3204</v>
      </c>
    </row>
    <row r="97" spans="1:12">
      <c r="A97">
        <v>96</v>
      </c>
      <c r="C97" t="s">
        <v>294</v>
      </c>
      <c r="D97" t="s">
        <v>295</v>
      </c>
      <c r="E97" t="s">
        <v>20</v>
      </c>
      <c r="F97">
        <f t="shared" si="1"/>
        <v>1</v>
      </c>
      <c r="G97">
        <v>117709</v>
      </c>
      <c r="H97" t="s">
        <v>296</v>
      </c>
      <c r="I97" t="s">
        <v>14</v>
      </c>
      <c r="J97">
        <v>66409</v>
      </c>
      <c r="K97">
        <v>51300</v>
      </c>
    </row>
    <row r="98" spans="1:12">
      <c r="A98">
        <v>97</v>
      </c>
      <c r="C98" t="s">
        <v>297</v>
      </c>
      <c r="D98" t="s">
        <v>298</v>
      </c>
      <c r="E98" t="s">
        <v>14</v>
      </c>
      <c r="F98">
        <f t="shared" si="1"/>
        <v>0</v>
      </c>
      <c r="G98">
        <v>102661</v>
      </c>
      <c r="H98" t="s">
        <v>299</v>
      </c>
      <c r="I98" t="s">
        <v>20</v>
      </c>
      <c r="J98">
        <v>83550</v>
      </c>
      <c r="K98">
        <v>19111</v>
      </c>
    </row>
    <row r="99" spans="1:12">
      <c r="A99">
        <v>98</v>
      </c>
      <c r="C99" t="s">
        <v>300</v>
      </c>
      <c r="D99" t="s">
        <v>301</v>
      </c>
      <c r="E99" t="s">
        <v>20</v>
      </c>
      <c r="F99">
        <f t="shared" si="1"/>
        <v>1</v>
      </c>
      <c r="G99">
        <v>116067</v>
      </c>
      <c r="H99" t="s">
        <v>302</v>
      </c>
      <c r="I99" t="s">
        <v>14</v>
      </c>
      <c r="J99">
        <v>98326</v>
      </c>
      <c r="K99">
        <v>17741</v>
      </c>
    </row>
    <row r="100" spans="1:12">
      <c r="A100">
        <v>99</v>
      </c>
      <c r="C100" t="s">
        <v>303</v>
      </c>
      <c r="D100" t="s">
        <v>304</v>
      </c>
      <c r="E100" t="s">
        <v>14</v>
      </c>
      <c r="F100">
        <f t="shared" si="1"/>
        <v>0</v>
      </c>
      <c r="G100">
        <v>121352</v>
      </c>
      <c r="H100" t="s">
        <v>305</v>
      </c>
      <c r="I100" t="s">
        <v>20</v>
      </c>
      <c r="J100">
        <v>70346</v>
      </c>
      <c r="K100">
        <v>51006</v>
      </c>
    </row>
    <row r="101" spans="1:12">
      <c r="A101">
        <v>100</v>
      </c>
      <c r="C101" t="s">
        <v>306</v>
      </c>
      <c r="D101" t="s">
        <v>307</v>
      </c>
      <c r="E101" t="s">
        <v>20</v>
      </c>
      <c r="F101">
        <f t="shared" si="1"/>
        <v>1</v>
      </c>
      <c r="G101">
        <v>93789</v>
      </c>
      <c r="H101" t="s">
        <v>308</v>
      </c>
      <c r="I101" t="s">
        <v>14</v>
      </c>
      <c r="J101">
        <v>88197</v>
      </c>
      <c r="K101">
        <v>5592</v>
      </c>
    </row>
    <row r="102" spans="1:12">
      <c r="A102">
        <v>101</v>
      </c>
      <c r="C102" t="s">
        <v>309</v>
      </c>
      <c r="D102" t="s">
        <v>310</v>
      </c>
      <c r="E102" t="s">
        <v>14</v>
      </c>
      <c r="F102">
        <f t="shared" si="1"/>
        <v>0</v>
      </c>
      <c r="G102">
        <v>74845</v>
      </c>
      <c r="H102" t="s">
        <v>311</v>
      </c>
      <c r="I102" t="s">
        <v>20</v>
      </c>
      <c r="J102">
        <v>66010</v>
      </c>
      <c r="K102">
        <v>8835</v>
      </c>
    </row>
    <row r="103" spans="1:12">
      <c r="A103">
        <v>102</v>
      </c>
      <c r="C103" t="s">
        <v>312</v>
      </c>
      <c r="D103" t="s">
        <v>313</v>
      </c>
      <c r="E103" t="s">
        <v>14</v>
      </c>
      <c r="F103">
        <f t="shared" si="1"/>
        <v>0</v>
      </c>
      <c r="G103">
        <v>123162</v>
      </c>
      <c r="H103" t="s">
        <v>314</v>
      </c>
      <c r="I103" t="s">
        <v>315</v>
      </c>
      <c r="J103">
        <v>109530</v>
      </c>
      <c r="K103">
        <v>13632</v>
      </c>
    </row>
    <row r="104" spans="1:12">
      <c r="A104">
        <v>103</v>
      </c>
      <c r="C104" t="s">
        <v>316</v>
      </c>
      <c r="D104" t="s">
        <v>317</v>
      </c>
      <c r="E104" t="s">
        <v>14</v>
      </c>
      <c r="F104">
        <f t="shared" si="1"/>
        <v>0</v>
      </c>
      <c r="G104">
        <v>148854</v>
      </c>
      <c r="H104" t="s">
        <v>318</v>
      </c>
      <c r="I104" t="s">
        <v>20</v>
      </c>
      <c r="J104">
        <v>146246</v>
      </c>
      <c r="K104">
        <v>2608</v>
      </c>
    </row>
    <row r="105" spans="1:12">
      <c r="A105">
        <v>104</v>
      </c>
      <c r="C105" t="s">
        <v>319</v>
      </c>
      <c r="D105" t="s">
        <v>320</v>
      </c>
      <c r="E105" t="s">
        <v>20</v>
      </c>
      <c r="F105">
        <f t="shared" si="1"/>
        <v>1</v>
      </c>
      <c r="G105">
        <v>150724</v>
      </c>
      <c r="H105" t="s">
        <v>321</v>
      </c>
      <c r="I105" t="s">
        <v>14</v>
      </c>
      <c r="J105">
        <v>124710</v>
      </c>
      <c r="K105">
        <v>26014</v>
      </c>
    </row>
    <row r="106" spans="1:12">
      <c r="A106">
        <v>105</v>
      </c>
      <c r="C106" t="s">
        <v>322</v>
      </c>
      <c r="D106" t="s">
        <v>323</v>
      </c>
      <c r="E106" t="s">
        <v>20</v>
      </c>
      <c r="F106">
        <f t="shared" si="1"/>
        <v>1</v>
      </c>
      <c r="G106">
        <v>193772</v>
      </c>
      <c r="H106" t="s">
        <v>324</v>
      </c>
      <c r="I106" t="s">
        <v>14</v>
      </c>
      <c r="J106">
        <v>169995</v>
      </c>
      <c r="K106">
        <v>23777</v>
      </c>
    </row>
    <row r="107" spans="1:12">
      <c r="A107">
        <v>106</v>
      </c>
      <c r="C107" t="s">
        <v>325</v>
      </c>
      <c r="D107" t="s">
        <v>326</v>
      </c>
      <c r="E107" t="s">
        <v>20</v>
      </c>
      <c r="F107">
        <f t="shared" si="1"/>
        <v>1</v>
      </c>
      <c r="G107">
        <v>266959</v>
      </c>
      <c r="H107" t="s">
        <v>327</v>
      </c>
      <c r="I107" t="s">
        <v>14</v>
      </c>
      <c r="J107">
        <v>116293</v>
      </c>
      <c r="K107">
        <v>150666</v>
      </c>
    </row>
    <row r="108" spans="1:12">
      <c r="A108">
        <v>107</v>
      </c>
      <c r="C108" t="s">
        <v>328</v>
      </c>
      <c r="D108" t="s">
        <v>329</v>
      </c>
      <c r="E108" t="s">
        <v>20</v>
      </c>
      <c r="F108">
        <f t="shared" si="1"/>
        <v>1</v>
      </c>
      <c r="G108">
        <v>184233</v>
      </c>
      <c r="H108" t="s">
        <v>330</v>
      </c>
      <c r="I108" t="s">
        <v>44</v>
      </c>
      <c r="J108">
        <v>105379</v>
      </c>
      <c r="K108">
        <v>78854</v>
      </c>
    </row>
    <row r="109" spans="1:12">
      <c r="A109">
        <v>108</v>
      </c>
      <c r="C109" t="s">
        <v>331</v>
      </c>
      <c r="D109" t="s">
        <v>332</v>
      </c>
      <c r="E109" t="s">
        <v>20</v>
      </c>
      <c r="F109">
        <f t="shared" si="1"/>
        <v>1</v>
      </c>
      <c r="G109">
        <v>106913</v>
      </c>
      <c r="H109" t="s">
        <v>333</v>
      </c>
      <c r="I109" t="s">
        <v>14</v>
      </c>
      <c r="J109">
        <v>85426</v>
      </c>
      <c r="K109">
        <v>21487</v>
      </c>
    </row>
    <row r="110" spans="1:12">
      <c r="A110">
        <v>109</v>
      </c>
      <c r="B110" t="s">
        <v>334</v>
      </c>
      <c r="C110" t="s">
        <v>335</v>
      </c>
      <c r="D110" t="s">
        <v>336</v>
      </c>
      <c r="E110" t="s">
        <v>337</v>
      </c>
      <c r="F110">
        <f t="shared" si="1"/>
        <v>0</v>
      </c>
      <c r="G110">
        <v>140291</v>
      </c>
      <c r="H110" t="s">
        <v>338</v>
      </c>
      <c r="I110" t="s">
        <v>14</v>
      </c>
      <c r="J110">
        <v>136145</v>
      </c>
      <c r="K110">
        <v>4146</v>
      </c>
      <c r="L110">
        <v>1.46E-2</v>
      </c>
    </row>
    <row r="111" spans="1:12">
      <c r="A111">
        <v>110</v>
      </c>
      <c r="C111" t="s">
        <v>339</v>
      </c>
      <c r="D111" t="s">
        <v>340</v>
      </c>
      <c r="E111" t="s">
        <v>14</v>
      </c>
      <c r="F111">
        <f t="shared" si="1"/>
        <v>0</v>
      </c>
      <c r="G111">
        <v>90643</v>
      </c>
      <c r="H111" t="s">
        <v>341</v>
      </c>
      <c r="I111" t="s">
        <v>20</v>
      </c>
      <c r="J111">
        <v>85247</v>
      </c>
      <c r="K111">
        <v>5396</v>
      </c>
      <c r="L111">
        <v>2.7699999999999999E-2</v>
      </c>
    </row>
    <row r="112" spans="1:12">
      <c r="A112">
        <v>111</v>
      </c>
      <c r="C112" t="s">
        <v>342</v>
      </c>
      <c r="D112" t="s">
        <v>343</v>
      </c>
      <c r="E112" t="s">
        <v>14</v>
      </c>
      <c r="F112">
        <f t="shared" si="1"/>
        <v>0</v>
      </c>
      <c r="G112">
        <v>152087</v>
      </c>
      <c r="H112" t="s">
        <v>344</v>
      </c>
      <c r="I112" t="s">
        <v>337</v>
      </c>
      <c r="J112">
        <v>58161</v>
      </c>
      <c r="K112">
        <v>93926</v>
      </c>
    </row>
    <row r="113" spans="1:11">
      <c r="A113">
        <v>112</v>
      </c>
      <c r="C113" t="s">
        <v>345</v>
      </c>
      <c r="D113" t="s">
        <v>346</v>
      </c>
      <c r="E113" t="s">
        <v>20</v>
      </c>
      <c r="F113">
        <f t="shared" si="1"/>
        <v>1</v>
      </c>
      <c r="G113">
        <v>100750</v>
      </c>
      <c r="H113" t="s">
        <v>347</v>
      </c>
      <c r="I113" t="s">
        <v>14</v>
      </c>
      <c r="J113">
        <v>72676</v>
      </c>
      <c r="K113">
        <v>28074</v>
      </c>
    </row>
    <row r="114" spans="1:11">
      <c r="A114">
        <v>113</v>
      </c>
      <c r="C114" t="s">
        <v>348</v>
      </c>
      <c r="D114" t="s">
        <v>349</v>
      </c>
      <c r="E114" t="s">
        <v>350</v>
      </c>
      <c r="F114">
        <f t="shared" si="1"/>
        <v>0</v>
      </c>
      <c r="G114">
        <v>97323</v>
      </c>
      <c r="H114" t="s">
        <v>351</v>
      </c>
      <c r="I114" t="s">
        <v>44</v>
      </c>
      <c r="J114">
        <v>81361</v>
      </c>
      <c r="K114">
        <v>15962</v>
      </c>
    </row>
    <row r="115" spans="1:11">
      <c r="A115">
        <v>114</v>
      </c>
      <c r="C115" t="s">
        <v>352</v>
      </c>
      <c r="D115" t="s">
        <v>353</v>
      </c>
      <c r="E115" t="s">
        <v>14</v>
      </c>
      <c r="F115">
        <f t="shared" si="1"/>
        <v>0</v>
      </c>
      <c r="G115">
        <v>124013</v>
      </c>
      <c r="H115" t="s">
        <v>354</v>
      </c>
      <c r="I115" t="s">
        <v>337</v>
      </c>
      <c r="J115">
        <v>70127</v>
      </c>
      <c r="K115">
        <v>53886</v>
      </c>
    </row>
    <row r="116" spans="1:11">
      <c r="A116">
        <v>115</v>
      </c>
      <c r="C116" t="s">
        <v>355</v>
      </c>
      <c r="D116" t="s">
        <v>356</v>
      </c>
      <c r="E116" t="s">
        <v>357</v>
      </c>
      <c r="F116">
        <f t="shared" si="1"/>
        <v>0</v>
      </c>
      <c r="G116">
        <v>105543</v>
      </c>
      <c r="H116" t="s">
        <v>358</v>
      </c>
      <c r="I116" t="s">
        <v>20</v>
      </c>
      <c r="J116">
        <v>75337</v>
      </c>
      <c r="K116">
        <v>30206</v>
      </c>
    </row>
    <row r="117" spans="1:11">
      <c r="A117">
        <v>116</v>
      </c>
      <c r="C117" t="s">
        <v>359</v>
      </c>
      <c r="D117" t="s">
        <v>360</v>
      </c>
      <c r="E117" t="s">
        <v>14</v>
      </c>
      <c r="F117">
        <f t="shared" si="1"/>
        <v>0</v>
      </c>
      <c r="G117">
        <v>119085</v>
      </c>
      <c r="H117" t="s">
        <v>361</v>
      </c>
      <c r="I117" t="s">
        <v>20</v>
      </c>
      <c r="J117">
        <v>93703</v>
      </c>
      <c r="K117">
        <v>25382</v>
      </c>
    </row>
    <row r="118" spans="1:11">
      <c r="A118">
        <v>117</v>
      </c>
      <c r="C118" t="s">
        <v>362</v>
      </c>
      <c r="D118" t="s">
        <v>363</v>
      </c>
      <c r="E118" t="s">
        <v>14</v>
      </c>
      <c r="F118">
        <f t="shared" si="1"/>
        <v>0</v>
      </c>
      <c r="G118">
        <v>145990</v>
      </c>
      <c r="H118" t="s">
        <v>364</v>
      </c>
      <c r="I118" t="s">
        <v>365</v>
      </c>
      <c r="J118">
        <v>57351</v>
      </c>
      <c r="K118">
        <v>88639</v>
      </c>
    </row>
    <row r="119" spans="1:11">
      <c r="A119">
        <v>118</v>
      </c>
      <c r="C119" t="s">
        <v>366</v>
      </c>
      <c r="D119" t="s">
        <v>367</v>
      </c>
      <c r="E119" t="s">
        <v>14</v>
      </c>
      <c r="F119">
        <f t="shared" si="1"/>
        <v>0</v>
      </c>
      <c r="G119">
        <v>189351</v>
      </c>
      <c r="H119" t="s">
        <v>368</v>
      </c>
      <c r="I119" t="s">
        <v>20</v>
      </c>
      <c r="J119">
        <v>81437</v>
      </c>
      <c r="K119">
        <v>107914</v>
      </c>
    </row>
    <row r="120" spans="1:11">
      <c r="A120">
        <v>119</v>
      </c>
      <c r="C120" t="s">
        <v>369</v>
      </c>
      <c r="D120" t="s">
        <v>370</v>
      </c>
      <c r="E120" t="s">
        <v>14</v>
      </c>
      <c r="F120">
        <f t="shared" si="1"/>
        <v>0</v>
      </c>
      <c r="G120">
        <v>100552</v>
      </c>
      <c r="H120" t="s">
        <v>371</v>
      </c>
      <c r="I120" t="s">
        <v>20</v>
      </c>
      <c r="J120">
        <v>46263</v>
      </c>
      <c r="K120">
        <v>54289</v>
      </c>
    </row>
    <row r="121" spans="1:11">
      <c r="A121">
        <v>120</v>
      </c>
      <c r="C121" t="s">
        <v>372</v>
      </c>
      <c r="D121" t="s">
        <v>373</v>
      </c>
      <c r="E121" t="s">
        <v>14</v>
      </c>
      <c r="F121">
        <f t="shared" si="1"/>
        <v>0</v>
      </c>
      <c r="G121">
        <v>141622</v>
      </c>
      <c r="H121" t="s">
        <v>374</v>
      </c>
      <c r="I121" t="s">
        <v>20</v>
      </c>
      <c r="J121">
        <v>74082</v>
      </c>
      <c r="K121">
        <v>67540</v>
      </c>
    </row>
    <row r="122" spans="1:11">
      <c r="A122">
        <v>121</v>
      </c>
      <c r="C122" t="s">
        <v>375</v>
      </c>
      <c r="D122" t="s">
        <v>376</v>
      </c>
      <c r="E122" t="s">
        <v>14</v>
      </c>
      <c r="F122">
        <f t="shared" si="1"/>
        <v>0</v>
      </c>
      <c r="G122">
        <v>80930</v>
      </c>
      <c r="H122" t="s">
        <v>377</v>
      </c>
      <c r="I122" t="s">
        <v>378</v>
      </c>
      <c r="J122">
        <v>61192</v>
      </c>
      <c r="K122">
        <v>19738</v>
      </c>
    </row>
    <row r="123" spans="1:11">
      <c r="A123">
        <v>122</v>
      </c>
      <c r="C123" t="s">
        <v>379</v>
      </c>
      <c r="D123" t="s">
        <v>380</v>
      </c>
      <c r="E123" t="s">
        <v>14</v>
      </c>
      <c r="F123">
        <f t="shared" si="1"/>
        <v>0</v>
      </c>
      <c r="G123">
        <v>128322</v>
      </c>
      <c r="H123" t="s">
        <v>381</v>
      </c>
      <c r="I123" t="s">
        <v>20</v>
      </c>
      <c r="J123">
        <v>74684</v>
      </c>
      <c r="K123">
        <v>53638</v>
      </c>
    </row>
    <row r="124" spans="1:11">
      <c r="A124">
        <v>123</v>
      </c>
      <c r="C124" t="s">
        <v>382</v>
      </c>
      <c r="D124" t="s">
        <v>383</v>
      </c>
      <c r="E124" t="s">
        <v>14</v>
      </c>
      <c r="F124">
        <f t="shared" si="1"/>
        <v>0</v>
      </c>
      <c r="G124">
        <v>135146</v>
      </c>
      <c r="H124" t="s">
        <v>384</v>
      </c>
      <c r="I124" t="s">
        <v>337</v>
      </c>
      <c r="J124">
        <v>95044</v>
      </c>
      <c r="K124">
        <v>40102</v>
      </c>
    </row>
    <row r="125" spans="1:11">
      <c r="A125">
        <v>124</v>
      </c>
      <c r="C125" t="s">
        <v>385</v>
      </c>
      <c r="D125" t="s">
        <v>386</v>
      </c>
      <c r="E125" t="s">
        <v>14</v>
      </c>
      <c r="F125">
        <f t="shared" si="1"/>
        <v>0</v>
      </c>
      <c r="G125">
        <v>82217</v>
      </c>
      <c r="H125" t="s">
        <v>387</v>
      </c>
      <c r="I125" t="s">
        <v>20</v>
      </c>
      <c r="J125">
        <v>55988</v>
      </c>
      <c r="K125">
        <v>26229</v>
      </c>
    </row>
    <row r="126" spans="1:11">
      <c r="A126">
        <v>125</v>
      </c>
      <c r="C126" t="s">
        <v>388</v>
      </c>
      <c r="D126" t="s">
        <v>389</v>
      </c>
      <c r="E126" t="s">
        <v>14</v>
      </c>
      <c r="F126">
        <f t="shared" si="1"/>
        <v>0</v>
      </c>
      <c r="G126">
        <v>62010</v>
      </c>
      <c r="H126" t="s">
        <v>390</v>
      </c>
      <c r="I126" t="s">
        <v>20</v>
      </c>
      <c r="J126">
        <v>55120</v>
      </c>
      <c r="K126">
        <v>6890</v>
      </c>
    </row>
    <row r="127" spans="1:11">
      <c r="A127">
        <v>126</v>
      </c>
      <c r="C127" t="s">
        <v>391</v>
      </c>
      <c r="D127" t="s">
        <v>392</v>
      </c>
      <c r="E127" t="s">
        <v>14</v>
      </c>
      <c r="F127">
        <f t="shared" si="1"/>
        <v>0</v>
      </c>
      <c r="G127">
        <v>113419</v>
      </c>
      <c r="H127" t="s">
        <v>393</v>
      </c>
      <c r="I127" t="s">
        <v>20</v>
      </c>
      <c r="J127">
        <v>70556</v>
      </c>
      <c r="K127">
        <v>42863</v>
      </c>
    </row>
    <row r="128" spans="1:11">
      <c r="A128">
        <v>127</v>
      </c>
      <c r="C128" t="s">
        <v>394</v>
      </c>
      <c r="D128" t="s">
        <v>395</v>
      </c>
      <c r="E128" t="s">
        <v>20</v>
      </c>
      <c r="F128">
        <f t="shared" si="1"/>
        <v>1</v>
      </c>
      <c r="G128">
        <v>132659</v>
      </c>
      <c r="H128" t="s">
        <v>396</v>
      </c>
      <c r="I128" t="s">
        <v>14</v>
      </c>
      <c r="J128">
        <v>107105</v>
      </c>
      <c r="K128">
        <v>25554</v>
      </c>
    </row>
    <row r="129" spans="1:11">
      <c r="A129">
        <v>128</v>
      </c>
      <c r="C129" t="s">
        <v>397</v>
      </c>
      <c r="D129" t="s">
        <v>398</v>
      </c>
      <c r="E129" t="s">
        <v>14</v>
      </c>
      <c r="F129">
        <f t="shared" si="1"/>
        <v>0</v>
      </c>
      <c r="G129">
        <v>105185</v>
      </c>
      <c r="H129" t="s">
        <v>399</v>
      </c>
      <c r="I129" t="s">
        <v>20</v>
      </c>
      <c r="J129">
        <v>96897</v>
      </c>
      <c r="K129">
        <v>8288</v>
      </c>
    </row>
    <row r="130" spans="1:11">
      <c r="A130">
        <v>129</v>
      </c>
      <c r="C130" t="s">
        <v>400</v>
      </c>
      <c r="D130" t="s">
        <v>401</v>
      </c>
      <c r="E130" t="s">
        <v>14</v>
      </c>
      <c r="F130">
        <f t="shared" ref="F130:F193" si="2">IF(E130="Jamaat",1,0)</f>
        <v>0</v>
      </c>
      <c r="G130">
        <v>63791</v>
      </c>
      <c r="H130" t="s">
        <v>402</v>
      </c>
      <c r="I130" t="s">
        <v>16</v>
      </c>
      <c r="J130">
        <v>36616</v>
      </c>
      <c r="K130">
        <v>27175</v>
      </c>
    </row>
    <row r="131" spans="1:11">
      <c r="A131">
        <v>138</v>
      </c>
      <c r="B131" t="s">
        <v>403</v>
      </c>
      <c r="C131" t="s">
        <v>404</v>
      </c>
      <c r="D131" t="s">
        <v>405</v>
      </c>
      <c r="E131" t="s">
        <v>14</v>
      </c>
      <c r="F131">
        <f t="shared" si="2"/>
        <v>0</v>
      </c>
      <c r="G131">
        <v>172011</v>
      </c>
      <c r="H131" t="s">
        <v>406</v>
      </c>
      <c r="I131" t="s">
        <v>20</v>
      </c>
      <c r="J131">
        <v>93661</v>
      </c>
      <c r="K131">
        <v>78350</v>
      </c>
    </row>
    <row r="132" spans="1:11">
      <c r="A132">
        <v>139</v>
      </c>
      <c r="C132" t="s">
        <v>407</v>
      </c>
      <c r="D132" t="s">
        <v>408</v>
      </c>
      <c r="E132" t="s">
        <v>14</v>
      </c>
      <c r="F132">
        <f t="shared" si="2"/>
        <v>0</v>
      </c>
      <c r="G132">
        <v>95860</v>
      </c>
      <c r="H132" t="s">
        <v>409</v>
      </c>
      <c r="I132" t="s">
        <v>20</v>
      </c>
      <c r="J132">
        <v>62434</v>
      </c>
      <c r="K132">
        <v>33426</v>
      </c>
    </row>
    <row r="133" spans="1:11">
      <c r="A133">
        <v>140</v>
      </c>
      <c r="C133" t="s">
        <v>410</v>
      </c>
      <c r="D133" t="s">
        <v>411</v>
      </c>
      <c r="E133" t="s">
        <v>14</v>
      </c>
      <c r="F133">
        <f t="shared" si="2"/>
        <v>0</v>
      </c>
      <c r="G133">
        <v>207412</v>
      </c>
      <c r="H133" t="s">
        <v>412</v>
      </c>
      <c r="I133" t="s">
        <v>20</v>
      </c>
      <c r="J133">
        <v>81430</v>
      </c>
      <c r="K133">
        <v>125982</v>
      </c>
    </row>
    <row r="134" spans="1:11">
      <c r="A134">
        <v>141</v>
      </c>
      <c r="C134" t="s">
        <v>413</v>
      </c>
      <c r="D134" t="s">
        <v>414</v>
      </c>
      <c r="E134" t="s">
        <v>14</v>
      </c>
      <c r="F134">
        <f t="shared" si="2"/>
        <v>0</v>
      </c>
      <c r="G134">
        <v>147406</v>
      </c>
      <c r="H134" t="s">
        <v>415</v>
      </c>
      <c r="I134" t="s">
        <v>20</v>
      </c>
      <c r="J134">
        <v>44947</v>
      </c>
      <c r="K134">
        <v>102459</v>
      </c>
    </row>
    <row r="135" spans="1:11">
      <c r="A135">
        <v>142</v>
      </c>
      <c r="C135" t="s">
        <v>416</v>
      </c>
      <c r="D135" t="s">
        <v>417</v>
      </c>
      <c r="E135" t="s">
        <v>14</v>
      </c>
      <c r="F135">
        <f t="shared" si="2"/>
        <v>0</v>
      </c>
      <c r="G135">
        <v>199344</v>
      </c>
      <c r="H135" t="s">
        <v>418</v>
      </c>
      <c r="I135" t="s">
        <v>20</v>
      </c>
      <c r="J135">
        <v>113201</v>
      </c>
      <c r="K135">
        <v>86143</v>
      </c>
    </row>
    <row r="136" spans="1:11">
      <c r="A136">
        <v>143</v>
      </c>
      <c r="C136" t="s">
        <v>419</v>
      </c>
      <c r="D136" t="s">
        <v>420</v>
      </c>
      <c r="E136" t="s">
        <v>20</v>
      </c>
      <c r="F136">
        <f t="shared" si="2"/>
        <v>1</v>
      </c>
      <c r="G136">
        <v>127811</v>
      </c>
      <c r="H136" t="s">
        <v>421</v>
      </c>
      <c r="I136" t="s">
        <v>14</v>
      </c>
      <c r="J136">
        <v>78342</v>
      </c>
      <c r="K136">
        <v>49469</v>
      </c>
    </row>
    <row r="137" spans="1:11">
      <c r="A137">
        <v>144</v>
      </c>
      <c r="C137" t="s">
        <v>422</v>
      </c>
      <c r="D137" t="s">
        <v>423</v>
      </c>
      <c r="E137" t="s">
        <v>14</v>
      </c>
      <c r="F137">
        <f t="shared" si="2"/>
        <v>0</v>
      </c>
      <c r="G137">
        <v>118472</v>
      </c>
      <c r="H137" t="s">
        <v>424</v>
      </c>
      <c r="I137" t="s">
        <v>20</v>
      </c>
      <c r="J137">
        <v>108335</v>
      </c>
      <c r="K137">
        <v>10137</v>
      </c>
    </row>
    <row r="138" spans="1:11">
      <c r="A138">
        <v>145</v>
      </c>
      <c r="C138" t="s">
        <v>425</v>
      </c>
      <c r="D138" t="s">
        <v>426</v>
      </c>
      <c r="E138" t="s">
        <v>426</v>
      </c>
      <c r="F138">
        <f t="shared" si="2"/>
        <v>0</v>
      </c>
      <c r="H138" t="s">
        <v>426</v>
      </c>
      <c r="I138" t="s">
        <v>426</v>
      </c>
    </row>
    <row r="139" spans="1:11">
      <c r="A139">
        <v>146</v>
      </c>
      <c r="C139" t="s">
        <v>427</v>
      </c>
      <c r="D139" t="s">
        <v>428</v>
      </c>
      <c r="E139" t="s">
        <v>44</v>
      </c>
      <c r="F139">
        <f t="shared" si="2"/>
        <v>0</v>
      </c>
      <c r="G139">
        <v>108265</v>
      </c>
      <c r="H139" t="s">
        <v>429</v>
      </c>
      <c r="I139" t="s">
        <v>14</v>
      </c>
      <c r="J139">
        <v>101926</v>
      </c>
      <c r="K139">
        <v>6339</v>
      </c>
    </row>
    <row r="140" spans="1:11">
      <c r="A140">
        <v>147</v>
      </c>
      <c r="C140" t="s">
        <v>430</v>
      </c>
      <c r="D140" t="s">
        <v>431</v>
      </c>
      <c r="E140" t="s">
        <v>199</v>
      </c>
      <c r="F140">
        <f t="shared" si="2"/>
        <v>0</v>
      </c>
      <c r="G140">
        <v>144565</v>
      </c>
      <c r="H140" t="s">
        <v>432</v>
      </c>
      <c r="I140" t="s">
        <v>14</v>
      </c>
      <c r="J140">
        <v>117344</v>
      </c>
      <c r="K140">
        <v>27221</v>
      </c>
    </row>
    <row r="141" spans="1:11">
      <c r="A141">
        <v>148</v>
      </c>
      <c r="C141" t="s">
        <v>433</v>
      </c>
      <c r="D141" t="s">
        <v>434</v>
      </c>
      <c r="E141" t="s">
        <v>14</v>
      </c>
      <c r="F141">
        <f t="shared" si="2"/>
        <v>0</v>
      </c>
      <c r="G141">
        <v>75320</v>
      </c>
      <c r="H141" t="s">
        <v>435</v>
      </c>
      <c r="I141" t="s">
        <v>44</v>
      </c>
      <c r="J141">
        <v>65995</v>
      </c>
      <c r="K141">
        <v>9325</v>
      </c>
    </row>
    <row r="142" spans="1:11">
      <c r="A142">
        <v>149</v>
      </c>
      <c r="C142" t="s">
        <v>436</v>
      </c>
      <c r="D142" t="s">
        <v>437</v>
      </c>
      <c r="E142" t="s">
        <v>14</v>
      </c>
      <c r="F142">
        <f t="shared" si="2"/>
        <v>0</v>
      </c>
      <c r="G142">
        <v>177891</v>
      </c>
      <c r="H142" t="s">
        <v>438</v>
      </c>
      <c r="I142" t="s">
        <v>20</v>
      </c>
      <c r="J142">
        <v>169580</v>
      </c>
      <c r="K142">
        <v>8311</v>
      </c>
    </row>
    <row r="143" spans="1:11">
      <c r="A143">
        <v>150</v>
      </c>
      <c r="C143" t="s">
        <v>439</v>
      </c>
      <c r="D143" t="s">
        <v>440</v>
      </c>
      <c r="E143" t="s">
        <v>14</v>
      </c>
      <c r="F143">
        <f t="shared" si="2"/>
        <v>0</v>
      </c>
      <c r="G143">
        <v>128896</v>
      </c>
      <c r="H143" t="s">
        <v>441</v>
      </c>
      <c r="I143" t="s">
        <v>20</v>
      </c>
      <c r="J143">
        <v>102228</v>
      </c>
      <c r="K143">
        <v>26668</v>
      </c>
    </row>
    <row r="144" spans="1:11">
      <c r="A144">
        <v>151</v>
      </c>
      <c r="C144" t="s">
        <v>442</v>
      </c>
      <c r="D144" t="s">
        <v>443</v>
      </c>
      <c r="E144" t="s">
        <v>20</v>
      </c>
      <c r="F144">
        <f t="shared" si="2"/>
        <v>1</v>
      </c>
      <c r="G144">
        <v>75946</v>
      </c>
      <c r="H144" t="s">
        <v>444</v>
      </c>
      <c r="I144" t="s">
        <v>44</v>
      </c>
      <c r="J144">
        <v>52669</v>
      </c>
      <c r="K144">
        <v>23277</v>
      </c>
    </row>
    <row r="145" spans="1:11">
      <c r="A145">
        <v>152</v>
      </c>
      <c r="C145" t="s">
        <v>445</v>
      </c>
      <c r="D145" t="s">
        <v>446</v>
      </c>
      <c r="E145" t="s">
        <v>14</v>
      </c>
      <c r="F145">
        <f t="shared" si="2"/>
        <v>0</v>
      </c>
      <c r="G145">
        <v>99049</v>
      </c>
      <c r="H145" t="s">
        <v>447</v>
      </c>
      <c r="I145" t="s">
        <v>20</v>
      </c>
      <c r="J145">
        <v>84851</v>
      </c>
      <c r="K145">
        <v>14198</v>
      </c>
    </row>
    <row r="146" spans="1:11">
      <c r="A146">
        <v>153</v>
      </c>
      <c r="C146" t="s">
        <v>448</v>
      </c>
      <c r="D146" t="s">
        <v>449</v>
      </c>
      <c r="E146" t="s">
        <v>14</v>
      </c>
      <c r="F146">
        <f t="shared" si="2"/>
        <v>0</v>
      </c>
      <c r="G146">
        <v>107577</v>
      </c>
      <c r="H146" t="s">
        <v>450</v>
      </c>
      <c r="I146" t="s">
        <v>451</v>
      </c>
      <c r="J146">
        <v>45791</v>
      </c>
      <c r="K146">
        <v>61786</v>
      </c>
    </row>
    <row r="147" spans="1:11">
      <c r="A147">
        <v>154</v>
      </c>
      <c r="C147" t="s">
        <v>452</v>
      </c>
      <c r="D147" t="s">
        <v>453</v>
      </c>
      <c r="E147" t="s">
        <v>14</v>
      </c>
      <c r="F147">
        <f t="shared" si="2"/>
        <v>0</v>
      </c>
      <c r="G147">
        <v>85761</v>
      </c>
      <c r="H147" t="s">
        <v>454</v>
      </c>
      <c r="I147" t="s">
        <v>365</v>
      </c>
      <c r="J147">
        <v>71168</v>
      </c>
      <c r="K147">
        <v>14593</v>
      </c>
    </row>
    <row r="148" spans="1:11">
      <c r="A148">
        <v>155</v>
      </c>
      <c r="C148" t="s">
        <v>455</v>
      </c>
      <c r="D148" t="s">
        <v>456</v>
      </c>
      <c r="E148" t="s">
        <v>14</v>
      </c>
      <c r="F148">
        <f t="shared" si="2"/>
        <v>0</v>
      </c>
      <c r="G148">
        <v>75585</v>
      </c>
      <c r="H148" t="s">
        <v>457</v>
      </c>
      <c r="I148" t="s">
        <v>44</v>
      </c>
      <c r="J148">
        <v>67013</v>
      </c>
      <c r="K148">
        <v>8572</v>
      </c>
    </row>
    <row r="149" spans="1:11">
      <c r="A149">
        <v>156</v>
      </c>
      <c r="C149" t="s">
        <v>458</v>
      </c>
      <c r="D149" t="s">
        <v>459</v>
      </c>
      <c r="E149" t="s">
        <v>14</v>
      </c>
      <c r="F149">
        <f t="shared" si="2"/>
        <v>0</v>
      </c>
      <c r="G149">
        <v>111230</v>
      </c>
      <c r="H149" t="s">
        <v>460</v>
      </c>
      <c r="I149" t="s">
        <v>44</v>
      </c>
      <c r="J149">
        <v>66016</v>
      </c>
      <c r="K149">
        <v>45214</v>
      </c>
    </row>
    <row r="150" spans="1:11">
      <c r="A150">
        <v>157</v>
      </c>
      <c r="C150" t="s">
        <v>461</v>
      </c>
      <c r="D150" t="s">
        <v>462</v>
      </c>
      <c r="E150" t="s">
        <v>14</v>
      </c>
      <c r="F150">
        <f t="shared" si="2"/>
        <v>0</v>
      </c>
      <c r="G150">
        <v>158343</v>
      </c>
      <c r="H150" t="s">
        <v>463</v>
      </c>
      <c r="I150" t="s">
        <v>199</v>
      </c>
      <c r="J150">
        <v>87488</v>
      </c>
      <c r="K150">
        <v>70855</v>
      </c>
    </row>
    <row r="151" spans="1:11">
      <c r="A151">
        <v>158</v>
      </c>
      <c r="C151" t="s">
        <v>464</v>
      </c>
      <c r="D151" t="s">
        <v>465</v>
      </c>
      <c r="E151" t="s">
        <v>14</v>
      </c>
      <c r="F151">
        <f t="shared" si="2"/>
        <v>0</v>
      </c>
      <c r="G151">
        <v>171399</v>
      </c>
      <c r="H151" t="s">
        <v>466</v>
      </c>
      <c r="I151" t="s">
        <v>16</v>
      </c>
      <c r="J151">
        <v>67367</v>
      </c>
      <c r="K151">
        <v>104032</v>
      </c>
    </row>
    <row r="152" spans="1:11">
      <c r="A152">
        <v>159</v>
      </c>
      <c r="C152" t="s">
        <v>467</v>
      </c>
      <c r="D152" t="s">
        <v>468</v>
      </c>
      <c r="E152" t="s">
        <v>14</v>
      </c>
      <c r="F152">
        <f t="shared" si="2"/>
        <v>0</v>
      </c>
      <c r="G152">
        <v>118469</v>
      </c>
      <c r="H152" t="s">
        <v>469</v>
      </c>
      <c r="I152" t="s">
        <v>44</v>
      </c>
      <c r="J152">
        <v>68961</v>
      </c>
      <c r="K152">
        <v>49508</v>
      </c>
    </row>
    <row r="153" spans="1:11">
      <c r="A153">
        <v>160</v>
      </c>
      <c r="C153" t="s">
        <v>470</v>
      </c>
      <c r="D153" t="s">
        <v>471</v>
      </c>
      <c r="E153" t="s">
        <v>14</v>
      </c>
      <c r="F153">
        <f t="shared" si="2"/>
        <v>0</v>
      </c>
      <c r="G153">
        <v>160801</v>
      </c>
      <c r="H153" t="s">
        <v>472</v>
      </c>
      <c r="I153" t="s">
        <v>20</v>
      </c>
      <c r="J153">
        <v>39840</v>
      </c>
      <c r="K153">
        <v>120961</v>
      </c>
    </row>
    <row r="154" spans="1:11">
      <c r="A154">
        <v>161</v>
      </c>
      <c r="C154" t="s">
        <v>473</v>
      </c>
      <c r="D154" t="s">
        <v>474</v>
      </c>
      <c r="E154" t="s">
        <v>20</v>
      </c>
      <c r="F154">
        <f t="shared" si="2"/>
        <v>1</v>
      </c>
      <c r="G154">
        <v>82177</v>
      </c>
      <c r="H154" t="s">
        <v>475</v>
      </c>
      <c r="I154" t="s">
        <v>14</v>
      </c>
      <c r="J154">
        <v>79412</v>
      </c>
      <c r="K154">
        <v>2765</v>
      </c>
    </row>
    <row r="155" spans="1:11">
      <c r="A155">
        <v>130</v>
      </c>
      <c r="B155" t="s">
        <v>476</v>
      </c>
      <c r="C155" t="s">
        <v>477</v>
      </c>
      <c r="D155" t="s">
        <v>478</v>
      </c>
      <c r="E155" t="s">
        <v>14</v>
      </c>
      <c r="F155">
        <f t="shared" si="2"/>
        <v>0</v>
      </c>
      <c r="G155">
        <v>153932</v>
      </c>
      <c r="H155" t="s">
        <v>479</v>
      </c>
      <c r="I155" t="s">
        <v>20</v>
      </c>
      <c r="J155">
        <v>94462</v>
      </c>
      <c r="K155">
        <v>59470</v>
      </c>
    </row>
    <row r="156" spans="1:11">
      <c r="A156">
        <v>131</v>
      </c>
      <c r="C156" t="s">
        <v>480</v>
      </c>
      <c r="D156" t="s">
        <v>481</v>
      </c>
      <c r="E156" t="s">
        <v>14</v>
      </c>
      <c r="F156">
        <f t="shared" si="2"/>
        <v>0</v>
      </c>
      <c r="G156">
        <v>198213</v>
      </c>
      <c r="H156" t="s">
        <v>482</v>
      </c>
      <c r="I156" t="s">
        <v>20</v>
      </c>
      <c r="J156">
        <v>60871</v>
      </c>
      <c r="K156">
        <v>137342</v>
      </c>
    </row>
    <row r="157" spans="1:11">
      <c r="A157">
        <v>132</v>
      </c>
      <c r="C157" t="s">
        <v>483</v>
      </c>
      <c r="D157" t="s">
        <v>484</v>
      </c>
      <c r="E157" t="s">
        <v>44</v>
      </c>
      <c r="F157">
        <f t="shared" si="2"/>
        <v>0</v>
      </c>
      <c r="G157">
        <v>107901</v>
      </c>
      <c r="H157" t="s">
        <v>485</v>
      </c>
      <c r="I157" t="s">
        <v>14</v>
      </c>
      <c r="J157">
        <v>82769</v>
      </c>
      <c r="K157">
        <v>25132</v>
      </c>
    </row>
    <row r="158" spans="1:11">
      <c r="A158">
        <v>133</v>
      </c>
      <c r="C158" t="s">
        <v>486</v>
      </c>
      <c r="D158" t="s">
        <v>487</v>
      </c>
      <c r="E158" t="s">
        <v>14</v>
      </c>
      <c r="F158">
        <f t="shared" si="2"/>
        <v>0</v>
      </c>
      <c r="G158">
        <v>105342</v>
      </c>
      <c r="H158" t="s">
        <v>488</v>
      </c>
      <c r="I158" t="s">
        <v>44</v>
      </c>
      <c r="J158">
        <v>62509</v>
      </c>
      <c r="K158">
        <v>42833</v>
      </c>
    </row>
    <row r="159" spans="1:11">
      <c r="A159">
        <v>134</v>
      </c>
      <c r="C159" t="s">
        <v>489</v>
      </c>
      <c r="D159" t="s">
        <v>490</v>
      </c>
      <c r="E159" t="s">
        <v>14</v>
      </c>
      <c r="F159">
        <f t="shared" si="2"/>
        <v>0</v>
      </c>
      <c r="G159">
        <v>131279</v>
      </c>
      <c r="H159" t="s">
        <v>491</v>
      </c>
      <c r="I159" t="s">
        <v>20</v>
      </c>
      <c r="J159">
        <v>80283</v>
      </c>
      <c r="K159">
        <v>50996</v>
      </c>
    </row>
    <row r="160" spans="1:11">
      <c r="A160">
        <v>135</v>
      </c>
      <c r="C160" t="s">
        <v>492</v>
      </c>
      <c r="D160" t="s">
        <v>493</v>
      </c>
      <c r="E160" t="s">
        <v>14</v>
      </c>
      <c r="F160">
        <f t="shared" si="2"/>
        <v>0</v>
      </c>
      <c r="G160">
        <v>150952</v>
      </c>
      <c r="H160" t="s">
        <v>494</v>
      </c>
      <c r="I160" t="s">
        <v>20</v>
      </c>
      <c r="J160">
        <v>91914</v>
      </c>
      <c r="K160">
        <v>59038</v>
      </c>
    </row>
    <row r="161" spans="1:11">
      <c r="A161">
        <v>136</v>
      </c>
      <c r="C161" t="s">
        <v>495</v>
      </c>
      <c r="D161" t="s">
        <v>496</v>
      </c>
      <c r="E161" t="s">
        <v>14</v>
      </c>
      <c r="F161">
        <f t="shared" si="2"/>
        <v>0</v>
      </c>
      <c r="G161">
        <v>141253</v>
      </c>
      <c r="H161" t="s">
        <v>497</v>
      </c>
      <c r="I161" t="s">
        <v>20</v>
      </c>
      <c r="J161">
        <v>71040</v>
      </c>
      <c r="K161">
        <v>70213</v>
      </c>
    </row>
    <row r="162" spans="1:11">
      <c r="A162">
        <v>137</v>
      </c>
      <c r="C162" t="s">
        <v>498</v>
      </c>
      <c r="D162" t="s">
        <v>499</v>
      </c>
      <c r="E162" t="s">
        <v>14</v>
      </c>
      <c r="F162">
        <f t="shared" si="2"/>
        <v>0</v>
      </c>
      <c r="G162">
        <v>114217</v>
      </c>
      <c r="H162" t="s">
        <v>500</v>
      </c>
      <c r="I162" t="s">
        <v>44</v>
      </c>
      <c r="J162">
        <v>77130</v>
      </c>
      <c r="K162">
        <v>37087</v>
      </c>
    </row>
    <row r="163" spans="1:11">
      <c r="A163">
        <v>162</v>
      </c>
      <c r="C163" t="s">
        <v>501</v>
      </c>
      <c r="D163" t="s">
        <v>502</v>
      </c>
      <c r="E163" t="s">
        <v>14</v>
      </c>
      <c r="F163">
        <f t="shared" si="2"/>
        <v>0</v>
      </c>
      <c r="G163">
        <v>124035</v>
      </c>
      <c r="H163" t="s">
        <v>503</v>
      </c>
      <c r="I163" t="s">
        <v>199</v>
      </c>
      <c r="J163">
        <v>101132</v>
      </c>
      <c r="K163">
        <v>22903</v>
      </c>
    </row>
    <row r="164" spans="1:11">
      <c r="A164">
        <v>163</v>
      </c>
      <c r="C164" t="s">
        <v>504</v>
      </c>
      <c r="D164" t="s">
        <v>505</v>
      </c>
      <c r="E164" t="s">
        <v>14</v>
      </c>
      <c r="F164">
        <f t="shared" si="2"/>
        <v>0</v>
      </c>
      <c r="G164">
        <v>143669</v>
      </c>
      <c r="H164" t="s">
        <v>506</v>
      </c>
      <c r="I164" t="s">
        <v>20</v>
      </c>
      <c r="J164">
        <v>120975</v>
      </c>
      <c r="K164">
        <v>22694</v>
      </c>
    </row>
    <row r="165" spans="1:11">
      <c r="A165">
        <v>164</v>
      </c>
      <c r="C165" t="s">
        <v>507</v>
      </c>
      <c r="D165" t="s">
        <v>508</v>
      </c>
      <c r="E165" t="s">
        <v>14</v>
      </c>
      <c r="F165">
        <f t="shared" si="2"/>
        <v>0</v>
      </c>
      <c r="G165">
        <v>112466</v>
      </c>
      <c r="H165" t="s">
        <v>509</v>
      </c>
      <c r="I165" t="s">
        <v>20</v>
      </c>
      <c r="J165">
        <v>102476</v>
      </c>
      <c r="K165">
        <v>9990</v>
      </c>
    </row>
    <row r="166" spans="1:11">
      <c r="A166">
        <v>165</v>
      </c>
      <c r="C166" t="s">
        <v>510</v>
      </c>
      <c r="D166" t="s">
        <v>511</v>
      </c>
      <c r="E166" t="s">
        <v>14</v>
      </c>
      <c r="F166">
        <f t="shared" si="2"/>
        <v>0</v>
      </c>
      <c r="G166">
        <v>132472</v>
      </c>
      <c r="H166" t="s">
        <v>512</v>
      </c>
      <c r="I166" t="s">
        <v>20</v>
      </c>
      <c r="J166">
        <v>57829</v>
      </c>
      <c r="K166">
        <v>74643</v>
      </c>
    </row>
    <row r="167" spans="1:11">
      <c r="A167">
        <v>166</v>
      </c>
      <c r="C167" t="s">
        <v>513</v>
      </c>
      <c r="D167" t="s">
        <v>514</v>
      </c>
      <c r="E167" t="s">
        <v>14</v>
      </c>
      <c r="F167">
        <f t="shared" si="2"/>
        <v>0</v>
      </c>
      <c r="G167">
        <v>66450</v>
      </c>
      <c r="H167" t="s">
        <v>515</v>
      </c>
      <c r="I167" t="s">
        <v>20</v>
      </c>
      <c r="J167">
        <v>54400</v>
      </c>
      <c r="K167">
        <v>12050</v>
      </c>
    </row>
    <row r="168" spans="1:11">
      <c r="A168">
        <v>167</v>
      </c>
      <c r="C168" t="s">
        <v>516</v>
      </c>
      <c r="D168" t="s">
        <v>517</v>
      </c>
      <c r="E168" t="s">
        <v>14</v>
      </c>
      <c r="F168">
        <f t="shared" si="2"/>
        <v>0</v>
      </c>
      <c r="G168">
        <v>185813</v>
      </c>
      <c r="H168" t="s">
        <v>518</v>
      </c>
      <c r="I168" t="s">
        <v>199</v>
      </c>
      <c r="J168">
        <v>42555</v>
      </c>
      <c r="K168">
        <v>143258</v>
      </c>
    </row>
    <row r="169" spans="1:11">
      <c r="A169">
        <v>168</v>
      </c>
      <c r="C169" t="s">
        <v>519</v>
      </c>
      <c r="D169" t="s">
        <v>520</v>
      </c>
      <c r="E169" t="s">
        <v>14</v>
      </c>
      <c r="F169">
        <f t="shared" si="2"/>
        <v>0</v>
      </c>
      <c r="G169">
        <v>137773</v>
      </c>
      <c r="H169" t="s">
        <v>521</v>
      </c>
      <c r="I169" t="s">
        <v>44</v>
      </c>
      <c r="J169">
        <v>77818</v>
      </c>
      <c r="K169">
        <v>59955</v>
      </c>
    </row>
    <row r="170" spans="1:11">
      <c r="A170">
        <v>169</v>
      </c>
      <c r="C170" t="s">
        <v>522</v>
      </c>
      <c r="D170" t="s">
        <v>523</v>
      </c>
      <c r="E170" t="s">
        <v>14</v>
      </c>
      <c r="F170">
        <f t="shared" si="2"/>
        <v>0</v>
      </c>
      <c r="G170">
        <v>175776</v>
      </c>
      <c r="H170" t="s">
        <v>524</v>
      </c>
      <c r="I170" t="s">
        <v>199</v>
      </c>
      <c r="J170">
        <v>81531</v>
      </c>
      <c r="K170">
        <v>94245</v>
      </c>
    </row>
    <row r="171" spans="1:11">
      <c r="A171">
        <v>170</v>
      </c>
      <c r="C171" t="s">
        <v>525</v>
      </c>
      <c r="D171" t="s">
        <v>526</v>
      </c>
      <c r="E171" t="s">
        <v>14</v>
      </c>
      <c r="F171">
        <f t="shared" si="2"/>
        <v>0</v>
      </c>
      <c r="G171">
        <v>167345</v>
      </c>
      <c r="H171" t="s">
        <v>527</v>
      </c>
      <c r="I171" t="s">
        <v>199</v>
      </c>
      <c r="J171">
        <v>64242</v>
      </c>
      <c r="K171">
        <v>103103</v>
      </c>
    </row>
    <row r="172" spans="1:11">
      <c r="A172">
        <v>171</v>
      </c>
      <c r="C172" t="s">
        <v>528</v>
      </c>
      <c r="D172" t="s">
        <v>529</v>
      </c>
      <c r="E172" t="s">
        <v>14</v>
      </c>
      <c r="F172">
        <f t="shared" si="2"/>
        <v>0</v>
      </c>
      <c r="G172">
        <v>167562</v>
      </c>
      <c r="H172" t="s">
        <v>530</v>
      </c>
      <c r="I172" t="s">
        <v>20</v>
      </c>
      <c r="J172">
        <v>101568</v>
      </c>
      <c r="K172">
        <v>65994</v>
      </c>
    </row>
    <row r="173" spans="1:11">
      <c r="A173">
        <v>172</v>
      </c>
      <c r="C173" t="s">
        <v>531</v>
      </c>
      <c r="D173" t="s">
        <v>532</v>
      </c>
      <c r="E173" t="s">
        <v>14</v>
      </c>
      <c r="F173">
        <f t="shared" si="2"/>
        <v>0</v>
      </c>
      <c r="G173">
        <v>121154</v>
      </c>
      <c r="H173" t="s">
        <v>533</v>
      </c>
      <c r="I173" t="s">
        <v>16</v>
      </c>
      <c r="J173">
        <v>58573</v>
      </c>
      <c r="K173">
        <v>62581</v>
      </c>
    </row>
    <row r="174" spans="1:11">
      <c r="A174">
        <v>173</v>
      </c>
      <c r="C174" t="s">
        <v>534</v>
      </c>
      <c r="D174" t="s">
        <v>535</v>
      </c>
      <c r="E174" t="s">
        <v>14</v>
      </c>
      <c r="F174">
        <f t="shared" si="2"/>
        <v>0</v>
      </c>
      <c r="G174">
        <v>124691</v>
      </c>
      <c r="H174" t="s">
        <v>536</v>
      </c>
      <c r="I174" t="s">
        <v>44</v>
      </c>
      <c r="J174">
        <v>88936</v>
      </c>
      <c r="K174">
        <v>35755</v>
      </c>
    </row>
    <row r="175" spans="1:11">
      <c r="A175">
        <v>174</v>
      </c>
      <c r="C175" t="s">
        <v>537</v>
      </c>
      <c r="D175" t="s">
        <v>538</v>
      </c>
      <c r="E175" t="s">
        <v>14</v>
      </c>
      <c r="F175">
        <f t="shared" si="2"/>
        <v>0</v>
      </c>
      <c r="G175">
        <v>173781</v>
      </c>
      <c r="H175" t="s">
        <v>105</v>
      </c>
      <c r="I175" t="s">
        <v>20</v>
      </c>
      <c r="J175">
        <v>112622</v>
      </c>
      <c r="K175">
        <v>61159</v>
      </c>
    </row>
    <row r="176" spans="1:11">
      <c r="A176">
        <v>175</v>
      </c>
      <c r="C176" t="s">
        <v>539</v>
      </c>
      <c r="D176" t="s">
        <v>540</v>
      </c>
      <c r="E176" t="s">
        <v>14</v>
      </c>
      <c r="F176">
        <f t="shared" si="2"/>
        <v>0</v>
      </c>
      <c r="G176">
        <v>163020</v>
      </c>
      <c r="H176" t="s">
        <v>541</v>
      </c>
      <c r="I176" t="s">
        <v>20</v>
      </c>
      <c r="J176">
        <v>78655</v>
      </c>
      <c r="K176">
        <v>84365</v>
      </c>
    </row>
    <row r="177" spans="1:11">
      <c r="A177">
        <v>176</v>
      </c>
      <c r="C177" t="s">
        <v>542</v>
      </c>
      <c r="D177" t="s">
        <v>543</v>
      </c>
      <c r="E177" t="s">
        <v>14</v>
      </c>
      <c r="F177">
        <f t="shared" si="2"/>
        <v>0</v>
      </c>
      <c r="G177">
        <v>99163</v>
      </c>
      <c r="H177" t="s">
        <v>544</v>
      </c>
      <c r="I177" t="s">
        <v>20</v>
      </c>
      <c r="J177">
        <v>83264</v>
      </c>
      <c r="K177">
        <v>15899</v>
      </c>
    </row>
    <row r="178" spans="1:11">
      <c r="A178">
        <v>177</v>
      </c>
      <c r="C178" t="s">
        <v>545</v>
      </c>
      <c r="D178" t="s">
        <v>546</v>
      </c>
      <c r="E178" t="s">
        <v>20</v>
      </c>
      <c r="F178">
        <f t="shared" si="2"/>
        <v>1</v>
      </c>
      <c r="G178">
        <v>77367</v>
      </c>
      <c r="H178" t="s">
        <v>547</v>
      </c>
      <c r="I178" t="s">
        <v>14</v>
      </c>
      <c r="J178">
        <v>74447</v>
      </c>
      <c r="K178">
        <v>2920</v>
      </c>
    </row>
    <row r="179" spans="1:11">
      <c r="A179">
        <v>178</v>
      </c>
      <c r="C179" t="s">
        <v>548</v>
      </c>
      <c r="D179" t="s">
        <v>549</v>
      </c>
      <c r="E179" t="s">
        <v>20</v>
      </c>
      <c r="F179">
        <f t="shared" si="2"/>
        <v>1</v>
      </c>
      <c r="G179">
        <v>96641</v>
      </c>
      <c r="H179" t="s">
        <v>550</v>
      </c>
      <c r="I179" t="s">
        <v>14</v>
      </c>
      <c r="J179">
        <v>87491</v>
      </c>
      <c r="K179">
        <v>9150</v>
      </c>
    </row>
    <row r="180" spans="1:11">
      <c r="A180">
        <v>179</v>
      </c>
      <c r="C180" t="s">
        <v>551</v>
      </c>
      <c r="D180" t="s">
        <v>552</v>
      </c>
      <c r="E180" t="s">
        <v>14</v>
      </c>
      <c r="F180">
        <f t="shared" si="2"/>
        <v>0</v>
      </c>
      <c r="G180">
        <v>78850</v>
      </c>
      <c r="H180" t="s">
        <v>553</v>
      </c>
      <c r="I180" t="s">
        <v>20</v>
      </c>
      <c r="J180">
        <v>55697</v>
      </c>
      <c r="K180">
        <v>23153</v>
      </c>
    </row>
    <row r="181" spans="1:11">
      <c r="A181">
        <v>180</v>
      </c>
      <c r="C181" t="s">
        <v>554</v>
      </c>
      <c r="D181" t="s">
        <v>555</v>
      </c>
      <c r="E181" t="s">
        <v>14</v>
      </c>
      <c r="F181">
        <f t="shared" si="2"/>
        <v>0</v>
      </c>
      <c r="G181">
        <v>104666</v>
      </c>
      <c r="H181" t="s">
        <v>556</v>
      </c>
      <c r="I181" t="s">
        <v>20</v>
      </c>
      <c r="J181">
        <v>98483</v>
      </c>
      <c r="K181">
        <v>6183</v>
      </c>
    </row>
    <row r="182" spans="1:11">
      <c r="A182">
        <v>181</v>
      </c>
      <c r="C182" t="s">
        <v>557</v>
      </c>
      <c r="D182" t="s">
        <v>558</v>
      </c>
      <c r="E182" t="s">
        <v>14</v>
      </c>
      <c r="F182">
        <f t="shared" si="2"/>
        <v>0</v>
      </c>
      <c r="G182">
        <v>59366</v>
      </c>
      <c r="H182" t="s">
        <v>559</v>
      </c>
      <c r="I182" t="s">
        <v>16</v>
      </c>
      <c r="J182">
        <v>54127</v>
      </c>
      <c r="K182">
        <v>5239</v>
      </c>
    </row>
    <row r="183" spans="1:11">
      <c r="A183">
        <v>182</v>
      </c>
      <c r="C183" t="s">
        <v>560</v>
      </c>
      <c r="D183" t="s">
        <v>561</v>
      </c>
      <c r="E183" t="s">
        <v>14</v>
      </c>
      <c r="F183">
        <f t="shared" si="2"/>
        <v>0</v>
      </c>
      <c r="G183">
        <v>111212</v>
      </c>
      <c r="H183" t="s">
        <v>562</v>
      </c>
      <c r="I183" t="s">
        <v>16</v>
      </c>
      <c r="J183">
        <v>53460</v>
      </c>
      <c r="K183">
        <v>57752</v>
      </c>
    </row>
    <row r="184" spans="1:11">
      <c r="A184">
        <v>183</v>
      </c>
      <c r="C184" t="s">
        <v>563</v>
      </c>
      <c r="D184" t="s">
        <v>564</v>
      </c>
      <c r="E184" t="s">
        <v>14</v>
      </c>
      <c r="F184">
        <f t="shared" si="2"/>
        <v>0</v>
      </c>
      <c r="G184">
        <v>80436</v>
      </c>
      <c r="H184" t="s">
        <v>565</v>
      </c>
      <c r="I184" t="s">
        <v>20</v>
      </c>
      <c r="J184">
        <v>77136</v>
      </c>
      <c r="K184">
        <v>3300</v>
      </c>
    </row>
    <row r="185" spans="1:11">
      <c r="A185">
        <v>184</v>
      </c>
      <c r="C185" t="s">
        <v>566</v>
      </c>
      <c r="D185" t="s">
        <v>567</v>
      </c>
      <c r="E185" t="s">
        <v>16</v>
      </c>
      <c r="F185">
        <f t="shared" si="2"/>
        <v>0</v>
      </c>
      <c r="G185">
        <v>93872</v>
      </c>
      <c r="H185" t="s">
        <v>568</v>
      </c>
      <c r="I185" t="s">
        <v>14</v>
      </c>
      <c r="J185">
        <v>91833</v>
      </c>
      <c r="K185">
        <v>2039</v>
      </c>
    </row>
    <row r="186" spans="1:11">
      <c r="A186">
        <v>185</v>
      </c>
      <c r="C186" t="s">
        <v>569</v>
      </c>
      <c r="D186" t="s">
        <v>570</v>
      </c>
      <c r="E186" t="s">
        <v>20</v>
      </c>
      <c r="F186">
        <f t="shared" si="2"/>
        <v>1</v>
      </c>
      <c r="G186">
        <v>53773</v>
      </c>
      <c r="H186" t="s">
        <v>571</v>
      </c>
      <c r="I186" t="s">
        <v>572</v>
      </c>
      <c r="J186">
        <v>30963</v>
      </c>
      <c r="K186">
        <v>22810</v>
      </c>
    </row>
    <row r="187" spans="1:11">
      <c r="A187">
        <v>186</v>
      </c>
      <c r="C187" t="s">
        <v>573</v>
      </c>
      <c r="D187" t="s">
        <v>574</v>
      </c>
      <c r="E187" t="s">
        <v>14</v>
      </c>
      <c r="F187">
        <f t="shared" si="2"/>
        <v>0</v>
      </c>
      <c r="G187">
        <v>88387</v>
      </c>
      <c r="H187" t="s">
        <v>575</v>
      </c>
      <c r="I187" t="s">
        <v>199</v>
      </c>
      <c r="J187">
        <v>86067</v>
      </c>
      <c r="K187">
        <v>2320</v>
      </c>
    </row>
    <row r="188" spans="1:11">
      <c r="A188">
        <v>187</v>
      </c>
      <c r="C188" t="s">
        <v>576</v>
      </c>
      <c r="D188" t="s">
        <v>577</v>
      </c>
      <c r="E188" t="s">
        <v>20</v>
      </c>
      <c r="F188">
        <f t="shared" si="2"/>
        <v>1</v>
      </c>
      <c r="G188">
        <v>101113</v>
      </c>
      <c r="H188" t="s">
        <v>578</v>
      </c>
      <c r="I188" t="s">
        <v>14</v>
      </c>
      <c r="J188">
        <v>83323</v>
      </c>
      <c r="K188">
        <v>17790</v>
      </c>
    </row>
    <row r="189" spans="1:11">
      <c r="A189">
        <v>188</v>
      </c>
      <c r="C189" t="s">
        <v>579</v>
      </c>
      <c r="D189" t="s">
        <v>580</v>
      </c>
      <c r="E189" t="s">
        <v>20</v>
      </c>
      <c r="F189">
        <f t="shared" si="2"/>
        <v>1</v>
      </c>
      <c r="G189">
        <v>85131</v>
      </c>
      <c r="H189" t="s">
        <v>581</v>
      </c>
      <c r="I189" t="s">
        <v>14</v>
      </c>
      <c r="J189">
        <v>63513</v>
      </c>
      <c r="K189">
        <v>21618</v>
      </c>
    </row>
    <row r="190" spans="1:11">
      <c r="A190">
        <v>189</v>
      </c>
      <c r="C190" t="s">
        <v>582</v>
      </c>
      <c r="D190" t="s">
        <v>583</v>
      </c>
      <c r="E190" t="s">
        <v>20</v>
      </c>
      <c r="F190">
        <f t="shared" si="2"/>
        <v>1</v>
      </c>
      <c r="G190">
        <v>88828</v>
      </c>
      <c r="H190" t="s">
        <v>584</v>
      </c>
      <c r="I190" t="s">
        <v>14</v>
      </c>
      <c r="J190">
        <v>85467</v>
      </c>
      <c r="K190">
        <v>3361</v>
      </c>
    </row>
    <row r="191" spans="1:11">
      <c r="A191">
        <v>190</v>
      </c>
      <c r="C191" t="s">
        <v>585</v>
      </c>
      <c r="D191" t="s">
        <v>136</v>
      </c>
      <c r="E191" t="s">
        <v>14</v>
      </c>
      <c r="F191">
        <f t="shared" si="2"/>
        <v>0</v>
      </c>
      <c r="G191">
        <v>72699</v>
      </c>
      <c r="H191" t="s">
        <v>586</v>
      </c>
      <c r="I191" t="s">
        <v>20</v>
      </c>
      <c r="J191">
        <v>68300</v>
      </c>
      <c r="K191">
        <v>4399</v>
      </c>
    </row>
    <row r="192" spans="1:11">
      <c r="A192">
        <v>191</v>
      </c>
      <c r="C192" t="s">
        <v>587</v>
      </c>
      <c r="D192" t="s">
        <v>588</v>
      </c>
      <c r="E192" t="s">
        <v>14</v>
      </c>
      <c r="F192">
        <f t="shared" si="2"/>
        <v>0</v>
      </c>
      <c r="G192">
        <v>144715</v>
      </c>
      <c r="H192" t="s">
        <v>589</v>
      </c>
      <c r="I192" t="s">
        <v>16</v>
      </c>
      <c r="J192">
        <v>111297</v>
      </c>
      <c r="K192">
        <v>33418</v>
      </c>
    </row>
    <row r="193" spans="1:11">
      <c r="A193">
        <v>192</v>
      </c>
      <c r="C193" t="s">
        <v>590</v>
      </c>
      <c r="D193" t="s">
        <v>591</v>
      </c>
      <c r="E193" t="s">
        <v>14</v>
      </c>
      <c r="F193">
        <f t="shared" si="2"/>
        <v>0</v>
      </c>
      <c r="G193">
        <v>190976</v>
      </c>
      <c r="H193" t="s">
        <v>592</v>
      </c>
      <c r="I193" t="s">
        <v>16</v>
      </c>
      <c r="J193">
        <v>125283</v>
      </c>
      <c r="K193">
        <v>65693</v>
      </c>
    </row>
    <row r="194" spans="1:11">
      <c r="A194">
        <v>193</v>
      </c>
      <c r="C194" t="s">
        <v>593</v>
      </c>
      <c r="D194" t="s">
        <v>594</v>
      </c>
      <c r="E194" t="s">
        <v>14</v>
      </c>
      <c r="F194">
        <f t="shared" ref="F194:F257" si="3">IF(E194="Jamaat",1,0)</f>
        <v>0</v>
      </c>
      <c r="G194">
        <v>160428</v>
      </c>
      <c r="H194" t="s">
        <v>595</v>
      </c>
      <c r="I194" t="s">
        <v>16</v>
      </c>
      <c r="J194">
        <v>56343</v>
      </c>
      <c r="K194">
        <v>104085</v>
      </c>
    </row>
    <row r="195" spans="1:11">
      <c r="A195">
        <v>194</v>
      </c>
      <c r="C195" t="s">
        <v>596</v>
      </c>
      <c r="D195" t="s">
        <v>597</v>
      </c>
      <c r="E195" t="s">
        <v>14</v>
      </c>
      <c r="F195">
        <f t="shared" si="3"/>
        <v>0</v>
      </c>
      <c r="G195">
        <v>208688</v>
      </c>
      <c r="H195" t="s">
        <v>598</v>
      </c>
      <c r="I195" t="s">
        <v>20</v>
      </c>
      <c r="J195">
        <v>149553</v>
      </c>
      <c r="K195">
        <v>59135</v>
      </c>
    </row>
    <row r="196" spans="1:11">
      <c r="A196">
        <v>195</v>
      </c>
      <c r="C196" t="s">
        <v>599</v>
      </c>
      <c r="D196" t="s">
        <v>600</v>
      </c>
      <c r="E196" t="s">
        <v>14</v>
      </c>
      <c r="F196">
        <f t="shared" si="3"/>
        <v>0</v>
      </c>
      <c r="G196">
        <v>188606</v>
      </c>
      <c r="H196" t="s">
        <v>601</v>
      </c>
      <c r="I196" t="s">
        <v>16</v>
      </c>
      <c r="J196">
        <v>140950</v>
      </c>
      <c r="K196">
        <v>47656</v>
      </c>
    </row>
    <row r="197" spans="1:11">
      <c r="A197">
        <v>196</v>
      </c>
      <c r="C197" t="s">
        <v>602</v>
      </c>
      <c r="D197" t="s">
        <v>603</v>
      </c>
      <c r="E197" t="s">
        <v>14</v>
      </c>
      <c r="F197">
        <f t="shared" si="3"/>
        <v>0</v>
      </c>
      <c r="G197">
        <v>162343</v>
      </c>
      <c r="H197" t="s">
        <v>604</v>
      </c>
      <c r="I197" t="s">
        <v>199</v>
      </c>
      <c r="J197">
        <v>100539</v>
      </c>
      <c r="K197">
        <v>61804</v>
      </c>
    </row>
    <row r="198" spans="1:11">
      <c r="A198">
        <v>197</v>
      </c>
      <c r="C198" t="s">
        <v>605</v>
      </c>
      <c r="D198" t="s">
        <v>606</v>
      </c>
      <c r="E198" t="s">
        <v>20</v>
      </c>
      <c r="F198">
        <f t="shared" si="3"/>
        <v>1</v>
      </c>
      <c r="G198">
        <v>101779</v>
      </c>
      <c r="H198" t="s">
        <v>607</v>
      </c>
      <c r="I198" t="s">
        <v>14</v>
      </c>
      <c r="J198">
        <v>90390</v>
      </c>
      <c r="K198">
        <v>11389</v>
      </c>
    </row>
    <row r="199" spans="1:11">
      <c r="A199">
        <v>198</v>
      </c>
      <c r="C199" t="s">
        <v>608</v>
      </c>
      <c r="D199" t="s">
        <v>609</v>
      </c>
      <c r="E199" t="s">
        <v>14</v>
      </c>
      <c r="F199">
        <f t="shared" si="3"/>
        <v>0</v>
      </c>
      <c r="G199">
        <v>133869</v>
      </c>
      <c r="H199" t="s">
        <v>610</v>
      </c>
      <c r="I199" t="s">
        <v>20</v>
      </c>
      <c r="J199">
        <v>78123</v>
      </c>
      <c r="K199">
        <v>55746</v>
      </c>
    </row>
    <row r="200" spans="1:11">
      <c r="A200">
        <v>199</v>
      </c>
      <c r="C200" t="s">
        <v>611</v>
      </c>
      <c r="D200" t="s">
        <v>612</v>
      </c>
      <c r="E200" t="s">
        <v>14</v>
      </c>
      <c r="F200">
        <f t="shared" si="3"/>
        <v>0</v>
      </c>
      <c r="G200">
        <v>161405</v>
      </c>
      <c r="H200" t="s">
        <v>613</v>
      </c>
      <c r="I200" t="s">
        <v>20</v>
      </c>
      <c r="J200">
        <v>95349</v>
      </c>
      <c r="K200">
        <v>66056</v>
      </c>
    </row>
    <row r="201" spans="1:11">
      <c r="A201">
        <v>200</v>
      </c>
      <c r="C201" t="s">
        <v>614</v>
      </c>
      <c r="D201" t="s">
        <v>615</v>
      </c>
      <c r="E201" t="s">
        <v>14</v>
      </c>
      <c r="F201">
        <f t="shared" si="3"/>
        <v>0</v>
      </c>
      <c r="G201">
        <v>92739</v>
      </c>
      <c r="H201" t="s">
        <v>230</v>
      </c>
      <c r="I201" t="s">
        <v>20</v>
      </c>
      <c r="J201">
        <v>55920</v>
      </c>
      <c r="K201">
        <v>36819</v>
      </c>
    </row>
    <row r="202" spans="1:11">
      <c r="A202">
        <v>201</v>
      </c>
      <c r="C202" t="s">
        <v>616</v>
      </c>
      <c r="D202" t="s">
        <v>617</v>
      </c>
      <c r="E202" t="s">
        <v>14</v>
      </c>
      <c r="F202">
        <f t="shared" si="3"/>
        <v>0</v>
      </c>
      <c r="G202">
        <v>82061</v>
      </c>
      <c r="H202" t="s">
        <v>618</v>
      </c>
      <c r="I202" t="s">
        <v>44</v>
      </c>
      <c r="J202">
        <v>45682</v>
      </c>
      <c r="K202">
        <v>36379</v>
      </c>
    </row>
    <row r="203" spans="1:11">
      <c r="A203">
        <v>202</v>
      </c>
      <c r="C203" t="s">
        <v>619</v>
      </c>
      <c r="D203" t="s">
        <v>620</v>
      </c>
      <c r="E203" t="s">
        <v>14</v>
      </c>
      <c r="F203">
        <f t="shared" si="3"/>
        <v>0</v>
      </c>
      <c r="G203">
        <v>163392</v>
      </c>
      <c r="H203" t="s">
        <v>621</v>
      </c>
      <c r="I203" t="s">
        <v>20</v>
      </c>
      <c r="J203">
        <v>78744</v>
      </c>
      <c r="K203">
        <v>84648</v>
      </c>
    </row>
    <row r="204" spans="1:11">
      <c r="A204">
        <v>203</v>
      </c>
      <c r="C204" t="s">
        <v>622</v>
      </c>
      <c r="D204" t="s">
        <v>623</v>
      </c>
      <c r="E204" t="s">
        <v>14</v>
      </c>
      <c r="F204">
        <f t="shared" si="3"/>
        <v>0</v>
      </c>
      <c r="G204">
        <v>137690</v>
      </c>
      <c r="H204" t="s">
        <v>624</v>
      </c>
      <c r="I204" t="s">
        <v>199</v>
      </c>
      <c r="J204">
        <v>44981</v>
      </c>
      <c r="K204">
        <v>92709</v>
      </c>
    </row>
    <row r="205" spans="1:11">
      <c r="A205">
        <v>204</v>
      </c>
      <c r="C205" t="s">
        <v>625</v>
      </c>
      <c r="D205" t="s">
        <v>626</v>
      </c>
      <c r="E205" t="s">
        <v>14</v>
      </c>
      <c r="F205">
        <f t="shared" si="3"/>
        <v>0</v>
      </c>
      <c r="G205">
        <v>158358</v>
      </c>
      <c r="H205" t="s">
        <v>627</v>
      </c>
      <c r="I205" t="s">
        <v>20</v>
      </c>
      <c r="J205">
        <v>91690</v>
      </c>
      <c r="K205">
        <v>66668</v>
      </c>
    </row>
    <row r="206" spans="1:11">
      <c r="A206">
        <v>205</v>
      </c>
      <c r="C206" t="s">
        <v>628</v>
      </c>
      <c r="D206" t="s">
        <v>629</v>
      </c>
      <c r="E206" t="s">
        <v>14</v>
      </c>
      <c r="F206">
        <f t="shared" si="3"/>
        <v>0</v>
      </c>
      <c r="G206">
        <v>124291</v>
      </c>
      <c r="H206" t="s">
        <v>630</v>
      </c>
      <c r="I206" t="s">
        <v>20</v>
      </c>
      <c r="J206">
        <v>81054</v>
      </c>
      <c r="K206">
        <v>43237</v>
      </c>
    </row>
    <row r="207" spans="1:11">
      <c r="A207">
        <v>206</v>
      </c>
      <c r="C207" t="s">
        <v>631</v>
      </c>
      <c r="D207" t="s">
        <v>632</v>
      </c>
      <c r="E207" t="s">
        <v>14</v>
      </c>
      <c r="F207">
        <f t="shared" si="3"/>
        <v>0</v>
      </c>
      <c r="G207">
        <v>155400</v>
      </c>
      <c r="H207" t="s">
        <v>633</v>
      </c>
      <c r="I207" t="s">
        <v>20</v>
      </c>
      <c r="J207">
        <v>134918</v>
      </c>
      <c r="K207">
        <v>20482</v>
      </c>
    </row>
    <row r="208" spans="1:11">
      <c r="A208">
        <v>207</v>
      </c>
      <c r="C208" t="s">
        <v>634</v>
      </c>
      <c r="D208" t="s">
        <v>635</v>
      </c>
      <c r="E208" t="s">
        <v>16</v>
      </c>
      <c r="F208">
        <f t="shared" si="3"/>
        <v>0</v>
      </c>
      <c r="G208">
        <v>106171</v>
      </c>
      <c r="H208" t="s">
        <v>636</v>
      </c>
      <c r="I208" t="s">
        <v>51</v>
      </c>
      <c r="J208">
        <v>80619</v>
      </c>
      <c r="K208">
        <v>25552</v>
      </c>
    </row>
    <row r="209" spans="1:11">
      <c r="A209">
        <v>208</v>
      </c>
      <c r="C209" t="s">
        <v>637</v>
      </c>
      <c r="D209" t="s">
        <v>638</v>
      </c>
      <c r="E209" t="s">
        <v>14</v>
      </c>
      <c r="F209">
        <f t="shared" si="3"/>
        <v>0</v>
      </c>
      <c r="G209">
        <v>114799</v>
      </c>
      <c r="H209" t="s">
        <v>639</v>
      </c>
      <c r="I209" t="s">
        <v>199</v>
      </c>
      <c r="J209">
        <v>101196</v>
      </c>
      <c r="K209">
        <v>13603</v>
      </c>
    </row>
    <row r="210" spans="1:11">
      <c r="A210">
        <v>209</v>
      </c>
      <c r="C210" t="s">
        <v>640</v>
      </c>
      <c r="D210" t="s">
        <v>641</v>
      </c>
      <c r="E210" t="s">
        <v>14</v>
      </c>
      <c r="F210">
        <f t="shared" si="3"/>
        <v>0</v>
      </c>
      <c r="G210">
        <v>154541</v>
      </c>
      <c r="H210" t="s">
        <v>146</v>
      </c>
      <c r="I210" t="s">
        <v>20</v>
      </c>
      <c r="J210">
        <v>101092</v>
      </c>
      <c r="K210">
        <v>53449</v>
      </c>
    </row>
    <row r="211" spans="1:11">
      <c r="A211">
        <v>210</v>
      </c>
      <c r="C211" t="s">
        <v>642</v>
      </c>
      <c r="D211" t="s">
        <v>643</v>
      </c>
      <c r="E211" t="s">
        <v>14</v>
      </c>
      <c r="F211">
        <f t="shared" si="3"/>
        <v>0</v>
      </c>
      <c r="G211">
        <v>237254</v>
      </c>
      <c r="H211" t="s">
        <v>644</v>
      </c>
      <c r="I211" t="s">
        <v>16</v>
      </c>
      <c r="J211">
        <v>67299</v>
      </c>
      <c r="K211">
        <v>169955</v>
      </c>
    </row>
    <row r="212" spans="1:11">
      <c r="A212">
        <v>211</v>
      </c>
      <c r="C212" t="s">
        <v>645</v>
      </c>
      <c r="D212" t="s">
        <v>646</v>
      </c>
      <c r="E212" t="s">
        <v>20</v>
      </c>
      <c r="F212">
        <f t="shared" si="3"/>
        <v>1</v>
      </c>
      <c r="G212">
        <v>154145</v>
      </c>
      <c r="H212" t="s">
        <v>647</v>
      </c>
      <c r="I212" t="s">
        <v>14</v>
      </c>
      <c r="J212">
        <v>126476</v>
      </c>
      <c r="K212">
        <v>27669</v>
      </c>
    </row>
    <row r="213" spans="1:11">
      <c r="A213">
        <v>212</v>
      </c>
      <c r="C213" t="s">
        <v>648</v>
      </c>
      <c r="D213" t="s">
        <v>649</v>
      </c>
      <c r="E213" t="s">
        <v>14</v>
      </c>
      <c r="F213">
        <f t="shared" si="3"/>
        <v>0</v>
      </c>
      <c r="G213">
        <v>121694</v>
      </c>
      <c r="H213" t="s">
        <v>650</v>
      </c>
      <c r="I213" t="s">
        <v>199</v>
      </c>
      <c r="J213">
        <v>89305</v>
      </c>
      <c r="K213">
        <v>32389</v>
      </c>
    </row>
    <row r="214" spans="1:11">
      <c r="A214">
        <v>213</v>
      </c>
      <c r="C214" t="s">
        <v>651</v>
      </c>
      <c r="D214" t="s">
        <v>652</v>
      </c>
      <c r="E214" t="s">
        <v>14</v>
      </c>
      <c r="F214">
        <f t="shared" si="3"/>
        <v>0</v>
      </c>
      <c r="G214">
        <v>148545</v>
      </c>
      <c r="H214" t="s">
        <v>653</v>
      </c>
      <c r="I214" t="s">
        <v>20</v>
      </c>
      <c r="J214">
        <v>124115</v>
      </c>
      <c r="K214">
        <v>24430</v>
      </c>
    </row>
    <row r="215" spans="1:11">
      <c r="A215">
        <v>214</v>
      </c>
      <c r="C215" t="s">
        <v>654</v>
      </c>
      <c r="D215" t="s">
        <v>655</v>
      </c>
      <c r="E215" t="s">
        <v>14</v>
      </c>
      <c r="F215">
        <f t="shared" si="3"/>
        <v>0</v>
      </c>
      <c r="G215">
        <v>127443</v>
      </c>
      <c r="H215" t="s">
        <v>656</v>
      </c>
      <c r="I215" t="s">
        <v>20</v>
      </c>
      <c r="J215">
        <v>75805</v>
      </c>
      <c r="K215">
        <v>51638</v>
      </c>
    </row>
    <row r="216" spans="1:11">
      <c r="A216">
        <v>215</v>
      </c>
      <c r="C216" t="s">
        <v>657</v>
      </c>
      <c r="D216" t="s">
        <v>658</v>
      </c>
      <c r="E216" t="s">
        <v>14</v>
      </c>
      <c r="F216">
        <f t="shared" si="3"/>
        <v>0</v>
      </c>
      <c r="G216">
        <v>69462</v>
      </c>
      <c r="H216" t="s">
        <v>659</v>
      </c>
      <c r="I216" t="s">
        <v>350</v>
      </c>
      <c r="J216">
        <v>54329</v>
      </c>
      <c r="K216">
        <v>15133</v>
      </c>
    </row>
    <row r="217" spans="1:11">
      <c r="A217">
        <v>216</v>
      </c>
      <c r="C217" t="s">
        <v>660</v>
      </c>
      <c r="D217" t="s">
        <v>661</v>
      </c>
      <c r="E217" t="s">
        <v>14</v>
      </c>
      <c r="F217">
        <f t="shared" si="3"/>
        <v>0</v>
      </c>
      <c r="G217">
        <v>40048</v>
      </c>
      <c r="H217" t="s">
        <v>662</v>
      </c>
      <c r="I217" t="s">
        <v>44</v>
      </c>
      <c r="J217">
        <v>33039</v>
      </c>
      <c r="K217">
        <v>7009</v>
      </c>
    </row>
    <row r="218" spans="1:11">
      <c r="A218">
        <v>217</v>
      </c>
      <c r="C218" t="s">
        <v>663</v>
      </c>
      <c r="D218" t="s">
        <v>664</v>
      </c>
      <c r="E218" t="s">
        <v>14</v>
      </c>
      <c r="F218">
        <f t="shared" si="3"/>
        <v>0</v>
      </c>
      <c r="G218">
        <v>60166</v>
      </c>
      <c r="H218" t="s">
        <v>665</v>
      </c>
      <c r="I218" t="s">
        <v>44</v>
      </c>
      <c r="J218">
        <v>33867</v>
      </c>
      <c r="K218">
        <v>26299</v>
      </c>
    </row>
    <row r="219" spans="1:11">
      <c r="A219">
        <v>218</v>
      </c>
      <c r="C219" t="s">
        <v>666</v>
      </c>
      <c r="D219" t="s">
        <v>667</v>
      </c>
      <c r="E219" t="s">
        <v>199</v>
      </c>
      <c r="F219">
        <f t="shared" si="3"/>
        <v>0</v>
      </c>
      <c r="G219">
        <v>64909</v>
      </c>
      <c r="H219" t="s">
        <v>668</v>
      </c>
      <c r="I219" t="s">
        <v>14</v>
      </c>
      <c r="J219">
        <v>64524</v>
      </c>
      <c r="K219">
        <v>385</v>
      </c>
    </row>
    <row r="220" spans="1:11">
      <c r="A220">
        <v>219</v>
      </c>
      <c r="C220" t="s">
        <v>669</v>
      </c>
      <c r="D220" t="s">
        <v>670</v>
      </c>
      <c r="E220" t="s">
        <v>14</v>
      </c>
      <c r="F220">
        <f t="shared" si="3"/>
        <v>0</v>
      </c>
      <c r="G220">
        <v>61744</v>
      </c>
      <c r="H220" t="s">
        <v>671</v>
      </c>
      <c r="I220" t="s">
        <v>44</v>
      </c>
      <c r="J220">
        <v>46476</v>
      </c>
      <c r="K220">
        <v>15268</v>
      </c>
    </row>
    <row r="221" spans="1:11">
      <c r="A221">
        <v>220</v>
      </c>
      <c r="C221" t="s">
        <v>672</v>
      </c>
      <c r="D221" t="s">
        <v>673</v>
      </c>
      <c r="E221" t="s">
        <v>14</v>
      </c>
      <c r="F221">
        <f t="shared" si="3"/>
        <v>0</v>
      </c>
      <c r="G221">
        <v>96188</v>
      </c>
      <c r="H221" t="s">
        <v>674</v>
      </c>
      <c r="I221" t="s">
        <v>20</v>
      </c>
      <c r="J221">
        <v>84646</v>
      </c>
      <c r="K221">
        <v>11542</v>
      </c>
    </row>
    <row r="222" spans="1:11">
      <c r="A222">
        <v>221</v>
      </c>
      <c r="C222" t="s">
        <v>675</v>
      </c>
      <c r="D222" t="s">
        <v>676</v>
      </c>
      <c r="E222" t="s">
        <v>14</v>
      </c>
      <c r="F222">
        <f t="shared" si="3"/>
        <v>0</v>
      </c>
      <c r="G222">
        <v>77398</v>
      </c>
      <c r="H222" t="s">
        <v>677</v>
      </c>
      <c r="I222" t="s">
        <v>199</v>
      </c>
      <c r="J222">
        <v>62717</v>
      </c>
      <c r="K222">
        <v>14681</v>
      </c>
    </row>
    <row r="223" spans="1:11">
      <c r="A223">
        <v>222</v>
      </c>
      <c r="C223" t="s">
        <v>678</v>
      </c>
      <c r="D223" t="s">
        <v>679</v>
      </c>
      <c r="E223" t="s">
        <v>14</v>
      </c>
      <c r="F223">
        <f t="shared" si="3"/>
        <v>0</v>
      </c>
      <c r="G223">
        <v>129814</v>
      </c>
      <c r="H223" t="s">
        <v>680</v>
      </c>
      <c r="I223" t="s">
        <v>20</v>
      </c>
      <c r="J223">
        <v>70892</v>
      </c>
      <c r="K223">
        <v>58922</v>
      </c>
    </row>
    <row r="224" spans="1:11">
      <c r="A224">
        <v>223</v>
      </c>
      <c r="C224" t="s">
        <v>681</v>
      </c>
      <c r="D224" t="s">
        <v>682</v>
      </c>
      <c r="E224" t="s">
        <v>14</v>
      </c>
      <c r="F224">
        <f t="shared" si="3"/>
        <v>0</v>
      </c>
      <c r="G224">
        <v>107516</v>
      </c>
      <c r="H224" t="s">
        <v>683</v>
      </c>
      <c r="I224" t="s">
        <v>20</v>
      </c>
      <c r="J224">
        <v>69684</v>
      </c>
      <c r="K224">
        <v>37832</v>
      </c>
    </row>
    <row r="225" spans="1:11">
      <c r="A225">
        <v>224</v>
      </c>
      <c r="B225" t="s">
        <v>684</v>
      </c>
      <c r="C225" t="s">
        <v>685</v>
      </c>
      <c r="D225" t="s">
        <v>686</v>
      </c>
      <c r="E225" t="s">
        <v>14</v>
      </c>
      <c r="F225">
        <f t="shared" si="3"/>
        <v>0</v>
      </c>
      <c r="G225">
        <v>161774</v>
      </c>
      <c r="H225" t="s">
        <v>687</v>
      </c>
      <c r="I225" t="s">
        <v>20</v>
      </c>
      <c r="J225">
        <v>92966</v>
      </c>
      <c r="K225">
        <v>68808</v>
      </c>
    </row>
    <row r="226" spans="1:11">
      <c r="A226">
        <v>225</v>
      </c>
      <c r="C226" t="s">
        <v>688</v>
      </c>
      <c r="D226" t="s">
        <v>689</v>
      </c>
      <c r="E226" t="s">
        <v>14</v>
      </c>
      <c r="F226">
        <f t="shared" si="3"/>
        <v>0</v>
      </c>
      <c r="G226">
        <v>99522</v>
      </c>
      <c r="H226" t="s">
        <v>690</v>
      </c>
      <c r="I226" t="s">
        <v>20</v>
      </c>
      <c r="J226">
        <v>63220</v>
      </c>
      <c r="K226">
        <v>36302</v>
      </c>
    </row>
    <row r="227" spans="1:11">
      <c r="A227">
        <v>226</v>
      </c>
      <c r="C227" t="s">
        <v>691</v>
      </c>
      <c r="D227" t="s">
        <v>692</v>
      </c>
      <c r="E227" t="s">
        <v>14</v>
      </c>
      <c r="F227">
        <f t="shared" si="3"/>
        <v>0</v>
      </c>
      <c r="G227">
        <v>97313</v>
      </c>
      <c r="H227" t="s">
        <v>693</v>
      </c>
      <c r="I227" t="s">
        <v>44</v>
      </c>
      <c r="J227">
        <v>42226</v>
      </c>
      <c r="K227">
        <v>55087</v>
      </c>
    </row>
    <row r="228" spans="1:11">
      <c r="A228">
        <v>227</v>
      </c>
      <c r="C228" t="s">
        <v>694</v>
      </c>
      <c r="D228" t="s">
        <v>695</v>
      </c>
      <c r="E228" t="s">
        <v>14</v>
      </c>
      <c r="F228">
        <f t="shared" si="3"/>
        <v>0</v>
      </c>
      <c r="G228">
        <v>98092</v>
      </c>
      <c r="H228" t="s">
        <v>696</v>
      </c>
      <c r="I228" t="s">
        <v>20</v>
      </c>
      <c r="J228">
        <v>75735</v>
      </c>
      <c r="K228">
        <v>22357</v>
      </c>
    </row>
    <row r="229" spans="1:11">
      <c r="A229">
        <v>228</v>
      </c>
      <c r="C229" t="s">
        <v>697</v>
      </c>
      <c r="D229" t="s">
        <v>698</v>
      </c>
      <c r="E229" t="s">
        <v>14</v>
      </c>
      <c r="F229">
        <f t="shared" si="3"/>
        <v>0</v>
      </c>
      <c r="G229">
        <v>151915</v>
      </c>
      <c r="H229" t="s">
        <v>699</v>
      </c>
      <c r="I229" t="s">
        <v>20</v>
      </c>
      <c r="J229">
        <v>102121</v>
      </c>
      <c r="K229">
        <v>49794</v>
      </c>
    </row>
    <row r="230" spans="1:11">
      <c r="A230">
        <v>229</v>
      </c>
      <c r="C230" t="s">
        <v>700</v>
      </c>
      <c r="D230" t="s">
        <v>701</v>
      </c>
      <c r="E230" t="s">
        <v>14</v>
      </c>
      <c r="F230">
        <f t="shared" si="3"/>
        <v>0</v>
      </c>
      <c r="G230">
        <v>176936</v>
      </c>
      <c r="H230" t="s">
        <v>702</v>
      </c>
      <c r="I230" t="s">
        <v>20</v>
      </c>
      <c r="J230">
        <v>134983</v>
      </c>
      <c r="K230">
        <v>41953</v>
      </c>
    </row>
    <row r="231" spans="1:11">
      <c r="A231">
        <v>230</v>
      </c>
      <c r="C231" t="s">
        <v>703</v>
      </c>
      <c r="D231" t="s">
        <v>704</v>
      </c>
      <c r="E231" t="s">
        <v>14</v>
      </c>
      <c r="F231">
        <f t="shared" si="3"/>
        <v>0</v>
      </c>
      <c r="G231">
        <v>116697</v>
      </c>
      <c r="H231" t="s">
        <v>705</v>
      </c>
      <c r="I231" t="s">
        <v>315</v>
      </c>
      <c r="J231">
        <v>37446</v>
      </c>
      <c r="K231">
        <v>79251</v>
      </c>
    </row>
    <row r="232" spans="1:11">
      <c r="A232">
        <v>231</v>
      </c>
      <c r="C232" t="s">
        <v>706</v>
      </c>
      <c r="D232" t="s">
        <v>707</v>
      </c>
      <c r="E232" t="s">
        <v>14</v>
      </c>
      <c r="F232">
        <f t="shared" si="3"/>
        <v>0</v>
      </c>
      <c r="G232">
        <v>114255</v>
      </c>
      <c r="H232" t="s">
        <v>708</v>
      </c>
      <c r="I232" t="s">
        <v>199</v>
      </c>
      <c r="J232">
        <v>73614</v>
      </c>
      <c r="K232">
        <v>40641</v>
      </c>
    </row>
    <row r="233" spans="1:11">
      <c r="A233">
        <v>232</v>
      </c>
      <c r="C233" t="s">
        <v>709</v>
      </c>
      <c r="D233" t="s">
        <v>710</v>
      </c>
      <c r="E233" t="s">
        <v>14</v>
      </c>
      <c r="F233">
        <f t="shared" si="3"/>
        <v>0</v>
      </c>
      <c r="G233">
        <v>186846</v>
      </c>
      <c r="H233" t="s">
        <v>711</v>
      </c>
      <c r="I233" t="s">
        <v>20</v>
      </c>
      <c r="J233">
        <v>71391</v>
      </c>
      <c r="K233">
        <v>115455</v>
      </c>
    </row>
    <row r="234" spans="1:11">
      <c r="A234">
        <v>233</v>
      </c>
      <c r="C234" t="s">
        <v>712</v>
      </c>
      <c r="D234" t="s">
        <v>713</v>
      </c>
      <c r="E234" t="s">
        <v>315</v>
      </c>
      <c r="F234">
        <f t="shared" si="3"/>
        <v>0</v>
      </c>
      <c r="G234">
        <v>79355</v>
      </c>
      <c r="H234" t="s">
        <v>714</v>
      </c>
      <c r="I234" t="s">
        <v>51</v>
      </c>
      <c r="J234">
        <v>69774</v>
      </c>
      <c r="K234">
        <v>9581</v>
      </c>
    </row>
    <row r="235" spans="1:11">
      <c r="A235">
        <v>234</v>
      </c>
      <c r="C235" t="s">
        <v>715</v>
      </c>
      <c r="D235" t="s">
        <v>716</v>
      </c>
      <c r="E235" t="s">
        <v>14</v>
      </c>
      <c r="F235">
        <f t="shared" si="3"/>
        <v>0</v>
      </c>
      <c r="G235">
        <v>70794</v>
      </c>
      <c r="H235" t="s">
        <v>717</v>
      </c>
      <c r="I235" t="s">
        <v>20</v>
      </c>
      <c r="J235">
        <v>55923</v>
      </c>
      <c r="K235">
        <v>14871</v>
      </c>
    </row>
    <row r="236" spans="1:11">
      <c r="A236">
        <v>235</v>
      </c>
      <c r="C236" t="s">
        <v>718</v>
      </c>
      <c r="D236" t="s">
        <v>719</v>
      </c>
      <c r="E236" t="s">
        <v>14</v>
      </c>
      <c r="F236">
        <f t="shared" si="3"/>
        <v>0</v>
      </c>
      <c r="G236">
        <v>98282</v>
      </c>
      <c r="H236" t="s">
        <v>720</v>
      </c>
      <c r="I236" t="s">
        <v>20</v>
      </c>
      <c r="J236">
        <v>83013</v>
      </c>
      <c r="K236">
        <v>15269</v>
      </c>
    </row>
    <row r="237" spans="1:11">
      <c r="A237">
        <v>236</v>
      </c>
      <c r="C237" t="s">
        <v>721</v>
      </c>
      <c r="D237" t="s">
        <v>722</v>
      </c>
      <c r="E237" t="s">
        <v>14</v>
      </c>
      <c r="F237">
        <f t="shared" si="3"/>
        <v>0</v>
      </c>
      <c r="G237">
        <v>88381</v>
      </c>
      <c r="H237" t="s">
        <v>723</v>
      </c>
      <c r="I237" t="s">
        <v>20</v>
      </c>
      <c r="J237">
        <v>53458</v>
      </c>
      <c r="K237">
        <v>34923</v>
      </c>
    </row>
    <row r="238" spans="1:11">
      <c r="A238">
        <v>237</v>
      </c>
      <c r="C238" t="s">
        <v>724</v>
      </c>
      <c r="D238" t="s">
        <v>725</v>
      </c>
      <c r="E238" t="s">
        <v>14</v>
      </c>
      <c r="F238">
        <f t="shared" si="3"/>
        <v>0</v>
      </c>
      <c r="G238">
        <v>156757</v>
      </c>
      <c r="H238" t="s">
        <v>553</v>
      </c>
      <c r="I238" t="s">
        <v>20</v>
      </c>
      <c r="J238">
        <v>77636</v>
      </c>
      <c r="K238">
        <v>79121</v>
      </c>
    </row>
    <row r="239" spans="1:11">
      <c r="A239">
        <v>238</v>
      </c>
      <c r="C239" t="s">
        <v>726</v>
      </c>
      <c r="D239" t="s">
        <v>727</v>
      </c>
      <c r="E239" t="s">
        <v>14</v>
      </c>
      <c r="F239">
        <f t="shared" si="3"/>
        <v>0</v>
      </c>
      <c r="G239">
        <v>170877</v>
      </c>
      <c r="H239" t="s">
        <v>728</v>
      </c>
      <c r="I239" t="s">
        <v>199</v>
      </c>
      <c r="J239">
        <v>50204</v>
      </c>
      <c r="K239">
        <v>120673</v>
      </c>
    </row>
    <row r="240" spans="1:11">
      <c r="A240">
        <v>239</v>
      </c>
      <c r="C240" t="s">
        <v>729</v>
      </c>
      <c r="D240" t="s">
        <v>730</v>
      </c>
      <c r="E240" t="s">
        <v>14</v>
      </c>
      <c r="F240">
        <f t="shared" si="3"/>
        <v>0</v>
      </c>
      <c r="G240">
        <v>111999</v>
      </c>
      <c r="H240" t="s">
        <v>731</v>
      </c>
      <c r="I240" t="s">
        <v>199</v>
      </c>
      <c r="J240">
        <v>56132</v>
      </c>
      <c r="K240">
        <v>55867</v>
      </c>
    </row>
    <row r="241" spans="1:11">
      <c r="A241">
        <v>240</v>
      </c>
      <c r="C241" t="s">
        <v>732</v>
      </c>
      <c r="D241" t="s">
        <v>733</v>
      </c>
      <c r="E241" t="s">
        <v>14</v>
      </c>
      <c r="F241">
        <f t="shared" si="3"/>
        <v>0</v>
      </c>
      <c r="G241">
        <v>126583</v>
      </c>
      <c r="H241" t="s">
        <v>734</v>
      </c>
      <c r="I241" t="s">
        <v>199</v>
      </c>
      <c r="J241">
        <v>65762</v>
      </c>
      <c r="K241">
        <v>60821</v>
      </c>
    </row>
    <row r="242" spans="1:11">
      <c r="A242">
        <v>241</v>
      </c>
      <c r="C242" t="s">
        <v>735</v>
      </c>
      <c r="D242" t="s">
        <v>736</v>
      </c>
      <c r="E242" t="s">
        <v>14</v>
      </c>
      <c r="F242">
        <f t="shared" si="3"/>
        <v>0</v>
      </c>
      <c r="G242">
        <v>142348</v>
      </c>
      <c r="H242" t="s">
        <v>737</v>
      </c>
      <c r="I242" t="s">
        <v>20</v>
      </c>
      <c r="J242">
        <v>45568</v>
      </c>
      <c r="K242">
        <v>96780</v>
      </c>
    </row>
    <row r="243" spans="1:11">
      <c r="A243">
        <v>242</v>
      </c>
      <c r="C243" t="s">
        <v>738</v>
      </c>
      <c r="D243" t="s">
        <v>739</v>
      </c>
      <c r="E243" t="s">
        <v>14</v>
      </c>
      <c r="F243">
        <f t="shared" si="3"/>
        <v>0</v>
      </c>
      <c r="G243">
        <v>188072</v>
      </c>
      <c r="H243" t="s">
        <v>740</v>
      </c>
      <c r="I243" t="s">
        <v>741</v>
      </c>
      <c r="J243">
        <v>84323</v>
      </c>
      <c r="K243">
        <v>103749</v>
      </c>
    </row>
    <row r="244" spans="1:11">
      <c r="A244">
        <v>243</v>
      </c>
      <c r="B244" t="s">
        <v>742</v>
      </c>
      <c r="C244" t="s">
        <v>743</v>
      </c>
      <c r="D244" t="s">
        <v>744</v>
      </c>
      <c r="E244" t="s">
        <v>14</v>
      </c>
      <c r="F244">
        <f t="shared" si="3"/>
        <v>0</v>
      </c>
      <c r="G244">
        <v>68092</v>
      </c>
      <c r="H244" t="s">
        <v>745</v>
      </c>
      <c r="I244" t="s">
        <v>20</v>
      </c>
      <c r="J244">
        <v>35220</v>
      </c>
      <c r="K244">
        <v>32872</v>
      </c>
    </row>
    <row r="245" spans="1:11">
      <c r="A245">
        <v>244</v>
      </c>
      <c r="C245" t="s">
        <v>746</v>
      </c>
      <c r="D245" t="s">
        <v>747</v>
      </c>
      <c r="E245" t="s">
        <v>44</v>
      </c>
      <c r="F245">
        <f t="shared" si="3"/>
        <v>0</v>
      </c>
      <c r="G245">
        <v>118547</v>
      </c>
      <c r="H245" t="s">
        <v>748</v>
      </c>
      <c r="I245" t="s">
        <v>51</v>
      </c>
      <c r="J245">
        <v>80434</v>
      </c>
      <c r="K245">
        <v>38113</v>
      </c>
    </row>
    <row r="246" spans="1:11">
      <c r="A246">
        <v>245</v>
      </c>
      <c r="C246" t="s">
        <v>749</v>
      </c>
      <c r="D246" t="s">
        <v>750</v>
      </c>
      <c r="E246" t="s">
        <v>14</v>
      </c>
      <c r="F246">
        <f t="shared" si="3"/>
        <v>0</v>
      </c>
      <c r="G246">
        <v>209636</v>
      </c>
      <c r="H246" t="s">
        <v>751</v>
      </c>
      <c r="I246" t="s">
        <v>16</v>
      </c>
      <c r="J246">
        <v>62547</v>
      </c>
      <c r="K246">
        <v>147089</v>
      </c>
    </row>
    <row r="247" spans="1:11">
      <c r="A247">
        <v>246</v>
      </c>
      <c r="C247" t="s">
        <v>752</v>
      </c>
      <c r="D247" t="s">
        <v>753</v>
      </c>
      <c r="E247" t="s">
        <v>14</v>
      </c>
      <c r="F247">
        <f t="shared" si="3"/>
        <v>0</v>
      </c>
      <c r="G247">
        <v>139842</v>
      </c>
      <c r="H247" t="s">
        <v>754</v>
      </c>
      <c r="I247" t="s">
        <v>20</v>
      </c>
      <c r="J247">
        <v>91796</v>
      </c>
      <c r="K247">
        <v>48046</v>
      </c>
    </row>
    <row r="248" spans="1:11">
      <c r="A248">
        <v>247</v>
      </c>
      <c r="C248" t="s">
        <v>755</v>
      </c>
      <c r="D248" t="s">
        <v>756</v>
      </c>
      <c r="E248" t="s">
        <v>14</v>
      </c>
      <c r="F248">
        <f t="shared" si="3"/>
        <v>0</v>
      </c>
      <c r="G248">
        <v>85769</v>
      </c>
      <c r="H248" t="s">
        <v>757</v>
      </c>
      <c r="I248" t="s">
        <v>44</v>
      </c>
      <c r="J248">
        <v>84708</v>
      </c>
      <c r="K248">
        <v>1061</v>
      </c>
    </row>
    <row r="249" spans="1:11">
      <c r="A249">
        <v>248</v>
      </c>
      <c r="C249" t="s">
        <v>758</v>
      </c>
      <c r="D249" t="s">
        <v>759</v>
      </c>
      <c r="E249" t="s">
        <v>760</v>
      </c>
      <c r="F249">
        <f t="shared" si="3"/>
        <v>0</v>
      </c>
      <c r="G249">
        <v>95342</v>
      </c>
      <c r="H249" t="s">
        <v>761</v>
      </c>
      <c r="I249" t="s">
        <v>20</v>
      </c>
      <c r="J249">
        <v>39976</v>
      </c>
      <c r="K249">
        <v>55366</v>
      </c>
    </row>
    <row r="250" spans="1:11">
      <c r="A250">
        <v>249</v>
      </c>
      <c r="C250" t="s">
        <v>762</v>
      </c>
      <c r="D250" t="s">
        <v>763</v>
      </c>
      <c r="E250" t="s">
        <v>14</v>
      </c>
      <c r="F250">
        <f t="shared" si="3"/>
        <v>0</v>
      </c>
      <c r="G250">
        <v>141440</v>
      </c>
      <c r="H250" t="s">
        <v>333</v>
      </c>
      <c r="I250" t="s">
        <v>20</v>
      </c>
      <c r="J250">
        <v>94845</v>
      </c>
      <c r="K250">
        <v>46595</v>
      </c>
    </row>
    <row r="251" spans="1:11">
      <c r="A251">
        <v>250</v>
      </c>
      <c r="C251" t="s">
        <v>764</v>
      </c>
      <c r="D251" t="s">
        <v>756</v>
      </c>
      <c r="E251" t="s">
        <v>14</v>
      </c>
      <c r="F251">
        <f t="shared" si="3"/>
        <v>0</v>
      </c>
      <c r="G251">
        <v>77037</v>
      </c>
      <c r="H251" t="s">
        <v>765</v>
      </c>
      <c r="I251" t="s">
        <v>44</v>
      </c>
      <c r="J251">
        <v>63045</v>
      </c>
      <c r="K251">
        <v>13992</v>
      </c>
    </row>
    <row r="252" spans="1:11">
      <c r="A252">
        <v>251</v>
      </c>
      <c r="C252" t="s">
        <v>766</v>
      </c>
      <c r="D252" t="s">
        <v>767</v>
      </c>
      <c r="E252" t="s">
        <v>14</v>
      </c>
      <c r="F252">
        <f t="shared" si="3"/>
        <v>0</v>
      </c>
      <c r="G252">
        <v>159291</v>
      </c>
      <c r="H252" t="s">
        <v>768</v>
      </c>
      <c r="I252" t="s">
        <v>20</v>
      </c>
      <c r="J252">
        <v>109599</v>
      </c>
      <c r="K252">
        <v>49692</v>
      </c>
    </row>
    <row r="253" spans="1:11">
      <c r="A253">
        <v>252</v>
      </c>
      <c r="C253" t="s">
        <v>769</v>
      </c>
      <c r="D253" t="s">
        <v>770</v>
      </c>
      <c r="E253" t="s">
        <v>16</v>
      </c>
      <c r="F253">
        <f t="shared" si="3"/>
        <v>0</v>
      </c>
      <c r="G253">
        <v>166583</v>
      </c>
      <c r="H253" t="s">
        <v>771</v>
      </c>
      <c r="I253" t="s">
        <v>350</v>
      </c>
      <c r="J253">
        <v>49885</v>
      </c>
      <c r="K253">
        <v>116698</v>
      </c>
    </row>
    <row r="254" spans="1:11">
      <c r="A254">
        <v>253</v>
      </c>
      <c r="C254" t="s">
        <v>772</v>
      </c>
      <c r="D254" t="s">
        <v>773</v>
      </c>
      <c r="E254" t="s">
        <v>14</v>
      </c>
      <c r="F254">
        <f t="shared" si="3"/>
        <v>0</v>
      </c>
      <c r="G254">
        <v>134485</v>
      </c>
      <c r="H254" t="s">
        <v>774</v>
      </c>
      <c r="I254" t="s">
        <v>20</v>
      </c>
      <c r="J254">
        <v>124587</v>
      </c>
      <c r="K254">
        <v>9898</v>
      </c>
    </row>
    <row r="255" spans="1:11">
      <c r="A255">
        <v>254</v>
      </c>
      <c r="C255" t="s">
        <v>775</v>
      </c>
      <c r="D255" t="s">
        <v>776</v>
      </c>
      <c r="E255" t="s">
        <v>14</v>
      </c>
      <c r="F255">
        <f t="shared" si="3"/>
        <v>0</v>
      </c>
      <c r="G255">
        <v>201706</v>
      </c>
      <c r="H255" t="s">
        <v>777</v>
      </c>
      <c r="I255" t="s">
        <v>20</v>
      </c>
      <c r="J255">
        <v>119851</v>
      </c>
      <c r="K255">
        <v>81855</v>
      </c>
    </row>
    <row r="256" spans="1:11">
      <c r="A256">
        <v>255</v>
      </c>
      <c r="C256" t="s">
        <v>778</v>
      </c>
      <c r="D256" t="s">
        <v>779</v>
      </c>
      <c r="E256" t="s">
        <v>44</v>
      </c>
      <c r="F256">
        <f t="shared" si="3"/>
        <v>0</v>
      </c>
      <c r="G256">
        <v>91690</v>
      </c>
      <c r="H256" t="s">
        <v>780</v>
      </c>
      <c r="I256" t="s">
        <v>14</v>
      </c>
      <c r="J256">
        <v>48509</v>
      </c>
      <c r="K256">
        <v>43181</v>
      </c>
    </row>
    <row r="257" spans="1:11">
      <c r="A257">
        <v>256</v>
      </c>
      <c r="C257" t="s">
        <v>781</v>
      </c>
      <c r="D257" t="s">
        <v>782</v>
      </c>
      <c r="E257" t="s">
        <v>14</v>
      </c>
      <c r="F257">
        <f t="shared" si="3"/>
        <v>0</v>
      </c>
      <c r="G257">
        <v>169178</v>
      </c>
      <c r="H257" t="s">
        <v>783</v>
      </c>
      <c r="I257" t="s">
        <v>20</v>
      </c>
      <c r="J257">
        <v>45091</v>
      </c>
      <c r="K257">
        <v>124087</v>
      </c>
    </row>
    <row r="258" spans="1:11">
      <c r="A258">
        <v>257</v>
      </c>
      <c r="C258" t="s">
        <v>784</v>
      </c>
      <c r="D258" t="s">
        <v>785</v>
      </c>
      <c r="E258" t="s">
        <v>14</v>
      </c>
      <c r="F258">
        <f t="shared" ref="F258:F301" si="4">IF(E258="Jamaat",1,0)</f>
        <v>0</v>
      </c>
      <c r="G258">
        <v>170008</v>
      </c>
      <c r="H258" t="s">
        <v>786</v>
      </c>
      <c r="I258" t="s">
        <v>20</v>
      </c>
      <c r="J258">
        <v>118961</v>
      </c>
      <c r="K258">
        <v>51047</v>
      </c>
    </row>
    <row r="259" spans="1:11">
      <c r="A259">
        <v>258</v>
      </c>
      <c r="C259" t="s">
        <v>787</v>
      </c>
      <c r="D259" t="s">
        <v>788</v>
      </c>
      <c r="E259" t="s">
        <v>14</v>
      </c>
      <c r="F259">
        <f t="shared" si="4"/>
        <v>0</v>
      </c>
      <c r="G259">
        <v>163667</v>
      </c>
      <c r="H259" t="s">
        <v>789</v>
      </c>
      <c r="I259" t="s">
        <v>20</v>
      </c>
      <c r="J259">
        <v>123733</v>
      </c>
      <c r="K259">
        <v>39934</v>
      </c>
    </row>
    <row r="260" spans="1:11">
      <c r="A260">
        <v>259</v>
      </c>
      <c r="C260" t="s">
        <v>790</v>
      </c>
      <c r="D260" t="s">
        <v>791</v>
      </c>
      <c r="E260" t="s">
        <v>20</v>
      </c>
      <c r="F260">
        <f t="shared" si="4"/>
        <v>1</v>
      </c>
      <c r="G260">
        <v>133308</v>
      </c>
      <c r="H260" t="s">
        <v>792</v>
      </c>
      <c r="I260" t="s">
        <v>14</v>
      </c>
      <c r="J260">
        <v>76638</v>
      </c>
      <c r="K260">
        <v>56670</v>
      </c>
    </row>
    <row r="261" spans="1:11">
      <c r="A261">
        <v>260</v>
      </c>
      <c r="C261" t="s">
        <v>793</v>
      </c>
      <c r="D261" t="s">
        <v>794</v>
      </c>
      <c r="E261" t="s">
        <v>14</v>
      </c>
      <c r="F261">
        <f t="shared" si="4"/>
        <v>0</v>
      </c>
      <c r="G261">
        <v>133032</v>
      </c>
      <c r="H261" t="s">
        <v>795</v>
      </c>
      <c r="I261" t="s">
        <v>20</v>
      </c>
      <c r="J261">
        <v>70368</v>
      </c>
      <c r="K261">
        <v>62664</v>
      </c>
    </row>
    <row r="262" spans="1:11">
      <c r="A262">
        <v>261</v>
      </c>
      <c r="C262" t="s">
        <v>796</v>
      </c>
      <c r="D262" t="s">
        <v>797</v>
      </c>
      <c r="E262" t="s">
        <v>14</v>
      </c>
      <c r="F262">
        <f t="shared" si="4"/>
        <v>0</v>
      </c>
      <c r="G262">
        <v>172506</v>
      </c>
      <c r="H262" t="s">
        <v>798</v>
      </c>
      <c r="I262" t="s">
        <v>451</v>
      </c>
      <c r="J262">
        <v>57473</v>
      </c>
      <c r="K262">
        <v>115033</v>
      </c>
    </row>
    <row r="263" spans="1:11">
      <c r="A263">
        <v>262</v>
      </c>
      <c r="C263" t="s">
        <v>799</v>
      </c>
      <c r="D263" t="s">
        <v>800</v>
      </c>
      <c r="E263" t="s">
        <v>14</v>
      </c>
      <c r="F263">
        <f t="shared" si="4"/>
        <v>0</v>
      </c>
      <c r="G263">
        <v>165404</v>
      </c>
      <c r="H263" t="s">
        <v>142</v>
      </c>
      <c r="I263" t="s">
        <v>20</v>
      </c>
      <c r="J263">
        <v>100865</v>
      </c>
      <c r="K263">
        <v>64539</v>
      </c>
    </row>
    <row r="264" spans="1:11">
      <c r="A264">
        <v>263</v>
      </c>
      <c r="C264" t="s">
        <v>801</v>
      </c>
      <c r="D264" t="s">
        <v>802</v>
      </c>
      <c r="E264" t="s">
        <v>44</v>
      </c>
      <c r="F264">
        <f t="shared" si="4"/>
        <v>0</v>
      </c>
      <c r="G264">
        <v>74175</v>
      </c>
      <c r="H264" t="s">
        <v>803</v>
      </c>
      <c r="I264" t="s">
        <v>14</v>
      </c>
      <c r="J264">
        <v>69155</v>
      </c>
      <c r="K264">
        <v>5020</v>
      </c>
    </row>
    <row r="265" spans="1:11">
      <c r="A265">
        <v>264</v>
      </c>
      <c r="C265" t="s">
        <v>804</v>
      </c>
      <c r="D265" t="s">
        <v>805</v>
      </c>
      <c r="E265" t="s">
        <v>14</v>
      </c>
      <c r="F265">
        <f t="shared" si="4"/>
        <v>0</v>
      </c>
      <c r="G265">
        <v>185404</v>
      </c>
      <c r="H265" t="s">
        <v>806</v>
      </c>
      <c r="I265" t="s">
        <v>451</v>
      </c>
      <c r="J265">
        <v>75660</v>
      </c>
      <c r="K265">
        <v>109744</v>
      </c>
    </row>
    <row r="266" spans="1:11">
      <c r="A266">
        <v>265</v>
      </c>
      <c r="C266" t="s">
        <v>807</v>
      </c>
      <c r="D266" t="s">
        <v>808</v>
      </c>
      <c r="E266" t="s">
        <v>14</v>
      </c>
      <c r="F266">
        <f t="shared" si="4"/>
        <v>0</v>
      </c>
      <c r="G266">
        <v>119904</v>
      </c>
      <c r="H266" t="s">
        <v>809</v>
      </c>
      <c r="I266" t="s">
        <v>20</v>
      </c>
      <c r="J266">
        <v>85615</v>
      </c>
      <c r="K266">
        <v>34289</v>
      </c>
    </row>
    <row r="267" spans="1:11">
      <c r="A267">
        <v>266</v>
      </c>
      <c r="C267" t="s">
        <v>810</v>
      </c>
      <c r="D267" t="s">
        <v>811</v>
      </c>
      <c r="E267" t="s">
        <v>14</v>
      </c>
      <c r="F267">
        <f t="shared" si="4"/>
        <v>0</v>
      </c>
      <c r="G267">
        <v>131210</v>
      </c>
      <c r="H267" t="s">
        <v>812</v>
      </c>
      <c r="I267" t="s">
        <v>378</v>
      </c>
      <c r="J267">
        <v>80058</v>
      </c>
      <c r="K267">
        <v>51152</v>
      </c>
    </row>
    <row r="268" spans="1:11">
      <c r="A268">
        <v>267</v>
      </c>
      <c r="C268" t="s">
        <v>813</v>
      </c>
      <c r="D268" t="s">
        <v>814</v>
      </c>
      <c r="E268" t="s">
        <v>14</v>
      </c>
      <c r="F268">
        <f t="shared" si="4"/>
        <v>0</v>
      </c>
      <c r="G268">
        <v>157425</v>
      </c>
      <c r="H268" t="s">
        <v>815</v>
      </c>
      <c r="I268" t="s">
        <v>20</v>
      </c>
      <c r="J268">
        <v>108160</v>
      </c>
      <c r="K268">
        <v>49265</v>
      </c>
    </row>
    <row r="269" spans="1:11">
      <c r="A269">
        <v>268</v>
      </c>
      <c r="C269" t="s">
        <v>816</v>
      </c>
      <c r="D269" t="s">
        <v>817</v>
      </c>
      <c r="E269" t="s">
        <v>14</v>
      </c>
      <c r="F269">
        <f t="shared" si="4"/>
        <v>0</v>
      </c>
      <c r="G269">
        <v>126833</v>
      </c>
      <c r="H269" t="s">
        <v>818</v>
      </c>
      <c r="I269" t="s">
        <v>20</v>
      </c>
      <c r="J269">
        <v>98036</v>
      </c>
      <c r="K269">
        <v>28797</v>
      </c>
    </row>
    <row r="270" spans="1:11">
      <c r="A270">
        <v>269</v>
      </c>
      <c r="C270" t="s">
        <v>819</v>
      </c>
      <c r="D270" t="s">
        <v>820</v>
      </c>
      <c r="E270" t="s">
        <v>14</v>
      </c>
      <c r="F270">
        <f t="shared" si="4"/>
        <v>0</v>
      </c>
      <c r="G270">
        <v>83982</v>
      </c>
      <c r="H270" t="s">
        <v>821</v>
      </c>
      <c r="I270" t="s">
        <v>16</v>
      </c>
      <c r="J270">
        <v>67054</v>
      </c>
      <c r="K270">
        <v>16928</v>
      </c>
    </row>
    <row r="271" spans="1:11">
      <c r="A271">
        <v>270</v>
      </c>
      <c r="C271" t="s">
        <v>822</v>
      </c>
      <c r="D271" t="s">
        <v>823</v>
      </c>
      <c r="E271" t="s">
        <v>14</v>
      </c>
      <c r="F271">
        <f t="shared" si="4"/>
        <v>0</v>
      </c>
      <c r="G271">
        <v>141031</v>
      </c>
      <c r="H271" t="s">
        <v>824</v>
      </c>
      <c r="I271" t="s">
        <v>20</v>
      </c>
      <c r="J271">
        <v>123941</v>
      </c>
      <c r="K271">
        <v>17090</v>
      </c>
    </row>
    <row r="272" spans="1:11">
      <c r="A272">
        <v>271</v>
      </c>
      <c r="C272" t="s">
        <v>825</v>
      </c>
      <c r="D272" t="s">
        <v>826</v>
      </c>
      <c r="E272" t="s">
        <v>14</v>
      </c>
      <c r="F272">
        <f t="shared" si="4"/>
        <v>0</v>
      </c>
      <c r="G272">
        <v>219182</v>
      </c>
      <c r="H272" t="s">
        <v>827</v>
      </c>
      <c r="I272" t="s">
        <v>20</v>
      </c>
      <c r="J272">
        <v>148989</v>
      </c>
      <c r="K272">
        <v>70193</v>
      </c>
    </row>
    <row r="273" spans="1:12">
      <c r="A273">
        <v>272</v>
      </c>
      <c r="C273" t="s">
        <v>828</v>
      </c>
      <c r="D273" t="s">
        <v>829</v>
      </c>
      <c r="E273" t="s">
        <v>14</v>
      </c>
      <c r="F273">
        <f t="shared" si="4"/>
        <v>0</v>
      </c>
      <c r="G273">
        <v>147808</v>
      </c>
      <c r="H273" t="s">
        <v>830</v>
      </c>
      <c r="I273" t="s">
        <v>20</v>
      </c>
      <c r="J273">
        <v>120453</v>
      </c>
      <c r="K273">
        <v>27355</v>
      </c>
    </row>
    <row r="274" spans="1:12">
      <c r="A274">
        <v>273</v>
      </c>
      <c r="C274" t="s">
        <v>831</v>
      </c>
      <c r="D274" t="s">
        <v>832</v>
      </c>
      <c r="E274" t="s">
        <v>16</v>
      </c>
      <c r="F274">
        <f t="shared" si="4"/>
        <v>0</v>
      </c>
      <c r="G274">
        <v>91899</v>
      </c>
      <c r="H274" t="s">
        <v>833</v>
      </c>
      <c r="I274" t="s">
        <v>14</v>
      </c>
      <c r="J274">
        <v>64021</v>
      </c>
      <c r="K274">
        <v>27878</v>
      </c>
    </row>
    <row r="275" spans="1:12">
      <c r="A275">
        <v>274</v>
      </c>
      <c r="C275" t="s">
        <v>834</v>
      </c>
      <c r="D275" t="s">
        <v>835</v>
      </c>
      <c r="E275" t="s">
        <v>14</v>
      </c>
      <c r="F275">
        <f t="shared" si="4"/>
        <v>0</v>
      </c>
      <c r="G275">
        <v>86811</v>
      </c>
      <c r="H275" t="s">
        <v>836</v>
      </c>
      <c r="I275" t="s">
        <v>16</v>
      </c>
      <c r="J275">
        <v>59265</v>
      </c>
      <c r="K275">
        <v>27546</v>
      </c>
    </row>
    <row r="276" spans="1:12">
      <c r="A276">
        <v>275</v>
      </c>
      <c r="C276" t="s">
        <v>837</v>
      </c>
      <c r="D276" t="s">
        <v>838</v>
      </c>
      <c r="E276" t="s">
        <v>14</v>
      </c>
      <c r="F276">
        <f t="shared" si="4"/>
        <v>0</v>
      </c>
      <c r="G276">
        <v>146321</v>
      </c>
      <c r="H276" t="s">
        <v>839</v>
      </c>
      <c r="I276" t="s">
        <v>20</v>
      </c>
      <c r="J276">
        <v>133698</v>
      </c>
      <c r="K276">
        <v>12623</v>
      </c>
    </row>
    <row r="277" spans="1:12">
      <c r="A277">
        <v>276</v>
      </c>
      <c r="C277" t="s">
        <v>840</v>
      </c>
      <c r="D277" t="s">
        <v>841</v>
      </c>
      <c r="E277" t="s">
        <v>14</v>
      </c>
      <c r="F277">
        <f t="shared" si="4"/>
        <v>0</v>
      </c>
      <c r="G277">
        <v>135612</v>
      </c>
      <c r="H277" t="s">
        <v>842</v>
      </c>
      <c r="I277" t="s">
        <v>20</v>
      </c>
      <c r="J277">
        <v>122802</v>
      </c>
      <c r="K277">
        <v>12810</v>
      </c>
    </row>
    <row r="278" spans="1:12">
      <c r="A278">
        <v>277</v>
      </c>
      <c r="C278" t="s">
        <v>843</v>
      </c>
      <c r="D278" t="s">
        <v>844</v>
      </c>
      <c r="E278" t="s">
        <v>14</v>
      </c>
      <c r="F278">
        <f t="shared" si="4"/>
        <v>0</v>
      </c>
      <c r="G278">
        <v>115199</v>
      </c>
      <c r="H278" t="s">
        <v>845</v>
      </c>
      <c r="I278" t="s">
        <v>20</v>
      </c>
      <c r="J278">
        <v>73756</v>
      </c>
      <c r="K278">
        <v>41443</v>
      </c>
    </row>
    <row r="279" spans="1:12">
      <c r="A279">
        <v>278</v>
      </c>
      <c r="C279" t="s">
        <v>846</v>
      </c>
      <c r="D279" t="s">
        <v>847</v>
      </c>
      <c r="E279" t="s">
        <v>14</v>
      </c>
      <c r="F279">
        <f t="shared" si="4"/>
        <v>0</v>
      </c>
      <c r="G279">
        <v>128799</v>
      </c>
      <c r="H279" t="s">
        <v>848</v>
      </c>
      <c r="I279" t="s">
        <v>20</v>
      </c>
      <c r="J279">
        <v>84538</v>
      </c>
      <c r="K279">
        <v>44261</v>
      </c>
    </row>
    <row r="280" spans="1:12">
      <c r="A280">
        <v>279</v>
      </c>
      <c r="C280" t="s">
        <v>849</v>
      </c>
      <c r="D280" t="s">
        <v>850</v>
      </c>
      <c r="E280" t="s">
        <v>850</v>
      </c>
      <c r="F280">
        <f t="shared" si="4"/>
        <v>0</v>
      </c>
      <c r="H280" t="s">
        <v>850</v>
      </c>
      <c r="I280" t="s">
        <v>850</v>
      </c>
    </row>
    <row r="281" spans="1:12">
      <c r="A281">
        <v>280</v>
      </c>
      <c r="C281" t="s">
        <v>851</v>
      </c>
      <c r="D281" t="s">
        <v>852</v>
      </c>
      <c r="E281" t="s">
        <v>14</v>
      </c>
      <c r="F281">
        <f t="shared" si="4"/>
        <v>0</v>
      </c>
      <c r="G281">
        <v>73037</v>
      </c>
      <c r="H281" t="s">
        <v>853</v>
      </c>
      <c r="I281" t="s">
        <v>20</v>
      </c>
      <c r="J281">
        <v>39662</v>
      </c>
      <c r="K281">
        <v>33375</v>
      </c>
      <c r="L281">
        <v>27.59</v>
      </c>
    </row>
    <row r="282" spans="1:12">
      <c r="A282">
        <v>281</v>
      </c>
      <c r="C282" t="s">
        <v>854</v>
      </c>
      <c r="D282" t="s">
        <v>850</v>
      </c>
      <c r="E282" t="s">
        <v>850</v>
      </c>
      <c r="F282">
        <f t="shared" si="4"/>
        <v>0</v>
      </c>
      <c r="H282" t="s">
        <v>850</v>
      </c>
      <c r="I282" t="s">
        <v>850</v>
      </c>
    </row>
    <row r="283" spans="1:12">
      <c r="A283">
        <v>282</v>
      </c>
      <c r="C283" t="s">
        <v>855</v>
      </c>
      <c r="D283" t="s">
        <v>856</v>
      </c>
      <c r="E283" t="s">
        <v>14</v>
      </c>
      <c r="F283">
        <f t="shared" si="4"/>
        <v>0</v>
      </c>
      <c r="G283">
        <v>147054</v>
      </c>
      <c r="H283" t="s">
        <v>857</v>
      </c>
      <c r="I283" t="s">
        <v>199</v>
      </c>
      <c r="J283">
        <v>46589</v>
      </c>
      <c r="K283">
        <v>100465</v>
      </c>
    </row>
    <row r="284" spans="1:12">
      <c r="A284">
        <v>283</v>
      </c>
      <c r="C284" t="s">
        <v>858</v>
      </c>
      <c r="D284" t="s">
        <v>859</v>
      </c>
      <c r="E284" t="s">
        <v>14</v>
      </c>
      <c r="F284">
        <f t="shared" si="4"/>
        <v>0</v>
      </c>
      <c r="G284">
        <v>111201</v>
      </c>
      <c r="H284" t="s">
        <v>860</v>
      </c>
      <c r="I284" t="s">
        <v>741</v>
      </c>
      <c r="J284">
        <v>26696</v>
      </c>
      <c r="K284">
        <v>84505</v>
      </c>
    </row>
    <row r="285" spans="1:12">
      <c r="A285">
        <v>284</v>
      </c>
      <c r="C285" t="s">
        <v>861</v>
      </c>
      <c r="D285" t="s">
        <v>862</v>
      </c>
      <c r="E285" t="s">
        <v>14</v>
      </c>
      <c r="F285">
        <f t="shared" si="4"/>
        <v>0</v>
      </c>
      <c r="G285">
        <v>101445</v>
      </c>
      <c r="H285" t="s">
        <v>863</v>
      </c>
      <c r="I285" t="s">
        <v>20</v>
      </c>
      <c r="J285">
        <v>41719</v>
      </c>
      <c r="K285">
        <v>59726</v>
      </c>
    </row>
    <row r="286" spans="1:12">
      <c r="A286">
        <v>285</v>
      </c>
      <c r="C286" t="s">
        <v>864</v>
      </c>
      <c r="D286" t="s">
        <v>865</v>
      </c>
      <c r="E286" t="s">
        <v>14</v>
      </c>
      <c r="F286">
        <f t="shared" si="4"/>
        <v>0</v>
      </c>
      <c r="G286">
        <v>152969</v>
      </c>
      <c r="H286" t="s">
        <v>866</v>
      </c>
      <c r="I286" t="s">
        <v>20</v>
      </c>
      <c r="J286">
        <v>53564</v>
      </c>
      <c r="K286">
        <v>99405</v>
      </c>
    </row>
    <row r="287" spans="1:12">
      <c r="A287">
        <v>286</v>
      </c>
      <c r="C287" t="s">
        <v>867</v>
      </c>
      <c r="D287" t="s">
        <v>868</v>
      </c>
      <c r="E287" t="s">
        <v>14</v>
      </c>
      <c r="F287">
        <f t="shared" si="4"/>
        <v>0</v>
      </c>
      <c r="G287">
        <v>109388</v>
      </c>
      <c r="H287" t="s">
        <v>869</v>
      </c>
      <c r="I287" t="s">
        <v>20</v>
      </c>
      <c r="J287">
        <v>53807</v>
      </c>
      <c r="K287">
        <v>55581</v>
      </c>
    </row>
    <row r="288" spans="1:12">
      <c r="A288">
        <v>287</v>
      </c>
      <c r="C288" t="s">
        <v>870</v>
      </c>
      <c r="D288" t="s">
        <v>871</v>
      </c>
      <c r="E288" t="s">
        <v>14</v>
      </c>
      <c r="F288">
        <f t="shared" si="4"/>
        <v>0</v>
      </c>
      <c r="G288">
        <v>122978</v>
      </c>
      <c r="H288" t="s">
        <v>872</v>
      </c>
      <c r="I288" t="s">
        <v>20</v>
      </c>
      <c r="J288">
        <v>76919</v>
      </c>
      <c r="K288">
        <v>46059</v>
      </c>
      <c r="L288">
        <v>21.5</v>
      </c>
    </row>
    <row r="289" spans="1:11">
      <c r="A289">
        <v>288</v>
      </c>
      <c r="C289" t="s">
        <v>873</v>
      </c>
      <c r="D289" t="s">
        <v>874</v>
      </c>
      <c r="E289" t="s">
        <v>14</v>
      </c>
      <c r="F289">
        <f t="shared" si="4"/>
        <v>0</v>
      </c>
      <c r="G289">
        <v>115999</v>
      </c>
      <c r="H289" t="s">
        <v>875</v>
      </c>
      <c r="I289" t="s">
        <v>20</v>
      </c>
      <c r="J289">
        <v>76681</v>
      </c>
      <c r="K289">
        <v>39318</v>
      </c>
    </row>
    <row r="290" spans="1:11">
      <c r="A290">
        <v>289</v>
      </c>
      <c r="C290" t="s">
        <v>876</v>
      </c>
      <c r="D290" t="s">
        <v>877</v>
      </c>
      <c r="E290" t="s">
        <v>14</v>
      </c>
      <c r="F290">
        <f t="shared" si="4"/>
        <v>0</v>
      </c>
      <c r="G290">
        <v>135044</v>
      </c>
      <c r="H290" t="s">
        <v>878</v>
      </c>
      <c r="I290" t="s">
        <v>741</v>
      </c>
      <c r="J290">
        <v>28999</v>
      </c>
      <c r="K290">
        <v>106045</v>
      </c>
    </row>
    <row r="291" spans="1:11">
      <c r="A291">
        <v>290</v>
      </c>
      <c r="C291" t="s">
        <v>879</v>
      </c>
      <c r="D291" t="s">
        <v>880</v>
      </c>
      <c r="E291" t="s">
        <v>14</v>
      </c>
      <c r="F291">
        <f t="shared" si="4"/>
        <v>0</v>
      </c>
      <c r="G291">
        <v>126192</v>
      </c>
      <c r="H291" t="s">
        <v>881</v>
      </c>
      <c r="I291" t="s">
        <v>741</v>
      </c>
      <c r="J291">
        <v>51450</v>
      </c>
      <c r="K291">
        <v>74742</v>
      </c>
    </row>
    <row r="292" spans="1:11">
      <c r="A292">
        <v>291</v>
      </c>
      <c r="C292" t="s">
        <v>882</v>
      </c>
      <c r="D292" t="s">
        <v>883</v>
      </c>
      <c r="E292" t="s">
        <v>14</v>
      </c>
      <c r="F292">
        <f t="shared" si="4"/>
        <v>0</v>
      </c>
      <c r="G292">
        <v>76493</v>
      </c>
      <c r="H292" t="s">
        <v>884</v>
      </c>
      <c r="I292" t="s">
        <v>451</v>
      </c>
      <c r="J292">
        <v>75467</v>
      </c>
      <c r="K292">
        <v>1026</v>
      </c>
    </row>
    <row r="293" spans="1:11">
      <c r="A293">
        <v>292</v>
      </c>
      <c r="C293" t="s">
        <v>885</v>
      </c>
      <c r="D293" t="s">
        <v>886</v>
      </c>
      <c r="E293" t="s">
        <v>20</v>
      </c>
      <c r="F293">
        <f t="shared" si="4"/>
        <v>1</v>
      </c>
      <c r="G293">
        <v>172061</v>
      </c>
      <c r="H293" t="s">
        <v>887</v>
      </c>
      <c r="I293" t="s">
        <v>14</v>
      </c>
      <c r="J293">
        <v>127025</v>
      </c>
      <c r="K293">
        <v>50577</v>
      </c>
    </row>
    <row r="294" spans="1:11">
      <c r="A294">
        <v>293</v>
      </c>
      <c r="C294" t="s">
        <v>888</v>
      </c>
      <c r="D294" t="s">
        <v>889</v>
      </c>
      <c r="E294" t="s">
        <v>20</v>
      </c>
      <c r="F294">
        <f t="shared" si="4"/>
        <v>1</v>
      </c>
      <c r="G294">
        <v>93167</v>
      </c>
      <c r="H294" t="s">
        <v>890</v>
      </c>
      <c r="I294" t="s">
        <v>14</v>
      </c>
      <c r="J294">
        <v>83105</v>
      </c>
      <c r="K294">
        <v>10062</v>
      </c>
    </row>
    <row r="295" spans="1:11">
      <c r="A295">
        <v>294</v>
      </c>
      <c r="C295" t="s">
        <v>891</v>
      </c>
      <c r="D295" t="s">
        <v>892</v>
      </c>
      <c r="E295" t="s">
        <v>14</v>
      </c>
      <c r="F295">
        <f t="shared" si="4"/>
        <v>0</v>
      </c>
      <c r="G295">
        <v>222019</v>
      </c>
      <c r="H295" t="s">
        <v>893</v>
      </c>
      <c r="I295" t="s">
        <v>20</v>
      </c>
      <c r="J295">
        <v>129728</v>
      </c>
      <c r="K295">
        <v>92291</v>
      </c>
    </row>
    <row r="296" spans="1:11">
      <c r="A296">
        <v>295</v>
      </c>
      <c r="C296" t="s">
        <v>894</v>
      </c>
      <c r="D296" t="s">
        <v>895</v>
      </c>
      <c r="E296" t="s">
        <v>14</v>
      </c>
      <c r="F296">
        <f t="shared" si="4"/>
        <v>0</v>
      </c>
      <c r="G296">
        <v>125543</v>
      </c>
      <c r="H296" t="s">
        <v>896</v>
      </c>
      <c r="I296" t="s">
        <v>20</v>
      </c>
      <c r="J296">
        <v>91889</v>
      </c>
      <c r="K296">
        <v>33654</v>
      </c>
    </row>
    <row r="297" spans="1:11">
      <c r="A297">
        <v>296</v>
      </c>
      <c r="C297" t="s">
        <v>897</v>
      </c>
      <c r="D297" t="s">
        <v>898</v>
      </c>
      <c r="E297" t="s">
        <v>14</v>
      </c>
      <c r="F297">
        <f t="shared" si="4"/>
        <v>0</v>
      </c>
      <c r="G297">
        <v>182096</v>
      </c>
      <c r="H297" t="s">
        <v>899</v>
      </c>
      <c r="I297" t="s">
        <v>20</v>
      </c>
      <c r="J297">
        <v>161827</v>
      </c>
      <c r="K297">
        <v>20269</v>
      </c>
    </row>
    <row r="298" spans="1:11">
      <c r="A298">
        <v>297</v>
      </c>
      <c r="C298" t="s">
        <v>900</v>
      </c>
      <c r="D298" t="s">
        <v>901</v>
      </c>
      <c r="E298" t="s">
        <v>14</v>
      </c>
      <c r="F298">
        <f t="shared" si="4"/>
        <v>0</v>
      </c>
      <c r="G298">
        <v>122909</v>
      </c>
      <c r="H298" t="s">
        <v>902</v>
      </c>
      <c r="I298" t="s">
        <v>20</v>
      </c>
      <c r="J298">
        <v>121980</v>
      </c>
      <c r="K298">
        <v>929</v>
      </c>
    </row>
    <row r="299" spans="1:11">
      <c r="A299">
        <v>298</v>
      </c>
      <c r="C299" t="s">
        <v>1433</v>
      </c>
      <c r="D299" t="s">
        <v>904</v>
      </c>
      <c r="E299" t="s">
        <v>14</v>
      </c>
      <c r="F299">
        <f t="shared" si="4"/>
        <v>0</v>
      </c>
      <c r="G299">
        <v>151040</v>
      </c>
      <c r="H299" t="s">
        <v>905</v>
      </c>
      <c r="I299" t="s">
        <v>44</v>
      </c>
      <c r="J299">
        <v>68315</v>
      </c>
      <c r="K299">
        <v>82725</v>
      </c>
    </row>
    <row r="300" spans="1:11">
      <c r="A300">
        <v>299</v>
      </c>
      <c r="C300" t="s">
        <v>1442</v>
      </c>
      <c r="D300" t="s">
        <v>907</v>
      </c>
      <c r="E300" t="s">
        <v>14</v>
      </c>
      <c r="F300">
        <f t="shared" si="4"/>
        <v>0</v>
      </c>
      <c r="G300">
        <v>201544</v>
      </c>
      <c r="H300" t="s">
        <v>908</v>
      </c>
      <c r="I300" t="s">
        <v>44</v>
      </c>
      <c r="J300">
        <v>31222</v>
      </c>
      <c r="K300">
        <v>170322</v>
      </c>
    </row>
    <row r="301" spans="1:11">
      <c r="A301">
        <v>300</v>
      </c>
      <c r="C301" t="s">
        <v>1450</v>
      </c>
      <c r="D301" t="s">
        <v>910</v>
      </c>
      <c r="E301" t="s">
        <v>14</v>
      </c>
      <c r="F301">
        <f t="shared" si="4"/>
        <v>0</v>
      </c>
      <c r="G301">
        <v>141455</v>
      </c>
      <c r="H301" t="s">
        <v>911</v>
      </c>
      <c r="I301" t="s">
        <v>16</v>
      </c>
      <c r="J301">
        <v>26162</v>
      </c>
      <c r="K301">
        <v>115293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9307-1AD2-456D-B10F-D486EFF344C2}">
  <dimension ref="A1:P500"/>
  <sheetViews>
    <sheetView topLeftCell="H1" workbookViewId="0">
      <selection activeCell="P3" sqref="P3"/>
    </sheetView>
  </sheetViews>
  <sheetFormatPr defaultRowHeight="15"/>
  <cols>
    <col min="1" max="1" width="14.7109375" customWidth="1"/>
    <col min="2" max="2" width="22.85546875" customWidth="1"/>
    <col min="3" max="3" width="9.7109375" customWidth="1"/>
    <col min="4" max="4" width="9.42578125" customWidth="1"/>
    <col min="5" max="5" width="13" customWidth="1"/>
    <col min="6" max="6" width="12.85546875" customWidth="1"/>
    <col min="7" max="7" width="20.5703125" customWidth="1"/>
    <col min="8" max="8" width="17.28515625" customWidth="1"/>
    <col min="9" max="9" width="15" customWidth="1"/>
    <col min="10" max="10" width="13.28515625" customWidth="1"/>
    <col min="11" max="11" width="22.85546875" customWidth="1"/>
    <col min="12" max="12" width="25" customWidth="1"/>
  </cols>
  <sheetData>
    <row r="1" spans="1:16">
      <c r="A1" t="s">
        <v>2</v>
      </c>
      <c r="B1" t="s">
        <v>1586</v>
      </c>
      <c r="C1" t="s">
        <v>913</v>
      </c>
      <c r="D1" t="s">
        <v>914</v>
      </c>
      <c r="E1" t="s">
        <v>1568</v>
      </c>
      <c r="F1" t="s">
        <v>1464</v>
      </c>
      <c r="G1" t="s">
        <v>1569</v>
      </c>
      <c r="H1" t="s">
        <v>1465</v>
      </c>
      <c r="I1" t="s">
        <v>1466</v>
      </c>
      <c r="J1" t="s">
        <v>1526</v>
      </c>
      <c r="K1" t="s">
        <v>1565</v>
      </c>
      <c r="L1" t="s">
        <v>1566</v>
      </c>
      <c r="M1" t="s">
        <v>1588</v>
      </c>
      <c r="N1" t="s">
        <v>1619</v>
      </c>
      <c r="O1" t="s">
        <v>1620</v>
      </c>
      <c r="P1" t="s">
        <v>1621</v>
      </c>
    </row>
    <row r="2" spans="1:16">
      <c r="A2" t="s">
        <v>12</v>
      </c>
      <c r="B2" t="str">
        <f>SUBSTITUTE(SUBSTITUTE(SUBSTITUTE(SUBSTITUTE(TRIM(Table6[[#This Row],[Constituency]]),"Barisal","Barishal"),"Jessore","Jashore"),"Bogra","Bogura"),"Chapai Nawabganj","Chapainawabganj")</f>
        <v>Panchagarh-1</v>
      </c>
      <c r="C2" t="s">
        <v>915</v>
      </c>
      <c r="D2" t="s">
        <v>916</v>
      </c>
      <c r="E2">
        <f>_xlfn.XLOOKUP(C2,Population_data!B:B,Population_data!C:C,"")</f>
        <v>189.12</v>
      </c>
      <c r="F2">
        <f>_xlfn.XLOOKUP(C2,Population_data!B:B,Population_data!D:D,"")</f>
        <v>335353</v>
      </c>
      <c r="G2">
        <f>_xlfn.XLOOKUP(C2,Population_data!B:B,Population_data!E:E,"")</f>
        <v>1773.23</v>
      </c>
      <c r="H2">
        <f>_xlfn.XLOOKUP(C2,Population_data!B:B,Population_data!F:F,"")</f>
        <v>4.25</v>
      </c>
      <c r="I2">
        <f>_xlfn.XLOOKUP(C2,Population_data!B:B,Population_data!G:G,"")</f>
        <v>75.59</v>
      </c>
      <c r="J2" t="str">
        <f>_xlfn.XLOOKUP(D2,District_Crime_Unit_Map!A:A,District_Crime_Unit_Map!B:B,"")</f>
        <v>Rangpur Range</v>
      </c>
      <c r="K2">
        <f>_xlfn.XLOOKUP(J2,Crime_Data!A:A,Crime_Data!V:V,"")</f>
        <v>101.90869513385242</v>
      </c>
      <c r="L2">
        <f>_xlfn.XLOOKUP(J2,Crime_Data!A:A,Crime_Data!W:W,"")</f>
        <v>15.175373179583827</v>
      </c>
      <c r="M2" t="str">
        <f>TRIM(Table6[[#This Row],[District]])&amp;"|"&amp;TRIM(Table6[[#This Row],[Upazila]])</f>
        <v>Panchagarh|Panchagarh Sadar</v>
      </c>
      <c r="N2" t="str">
        <f>_xlfn.XLOOKUP(B2,Remittance_Data!A:A,Remittance_Data!B:B,"CHECK")</f>
        <v>CHECK</v>
      </c>
      <c r="O2" t="str">
        <f>_xlfn.XLOOKUP(B2,Remittance_Data!A:A,Remittance_Data!C:C,"CHECK")</f>
        <v>CHECK</v>
      </c>
      <c r="P2" t="str">
        <f>_xlfn.XLOOKUP(B2,Remittance_Data!A:A,Remittance_Data!D:D,"CHECK")</f>
        <v>CHECK</v>
      </c>
    </row>
    <row r="3" spans="1:16">
      <c r="A3" t="s">
        <v>12</v>
      </c>
      <c r="B3" t="str">
        <f>SUBSTITUTE(SUBSTITUTE(SUBSTITUTE(SUBSTITUTE(TRIM(Table6[[#This Row],[Constituency]]),"Barisal","Barishal"),"Jessore","Jashore"),"Bogra","Bogura"),"Chapai Nawabganj","Chapainawabganj")</f>
        <v>Panchagarh-1</v>
      </c>
      <c r="C3" t="s">
        <v>917</v>
      </c>
      <c r="D3" t="s">
        <v>916</v>
      </c>
      <c r="E3">
        <f>_xlfn.XLOOKUP(C3,Population_data!B:B,Population_data!C:C,"")</f>
        <v>303.5</v>
      </c>
      <c r="F3">
        <f>_xlfn.XLOOKUP(C3,Population_data!B:B,Population_data!D:D,"")</f>
        <v>160178</v>
      </c>
      <c r="G3">
        <f>_xlfn.XLOOKUP(C3,Population_data!B:B,Population_data!E:E,"")</f>
        <v>527.77</v>
      </c>
      <c r="H3">
        <f>_xlfn.XLOOKUP(C3,Population_data!B:B,Population_data!F:F,"")</f>
        <v>4.33</v>
      </c>
      <c r="I3">
        <f>_xlfn.XLOOKUP(C3,Population_data!B:B,Population_data!G:G,"")</f>
        <v>71.78</v>
      </c>
      <c r="J3" t="str">
        <f>_xlfn.XLOOKUP(D3,District_Crime_Unit_Map!A:A,District_Crime_Unit_Map!B:B,"")</f>
        <v>Rangpur Range</v>
      </c>
      <c r="K3">
        <f>_xlfn.XLOOKUP(J3,Crime_Data!A:A,Crime_Data!V:V,"")</f>
        <v>101.90869513385242</v>
      </c>
      <c r="L3">
        <f>_xlfn.XLOOKUP(J3,Crime_Data!A:A,Crime_Data!W:W,"")</f>
        <v>15.175373179583827</v>
      </c>
      <c r="M3" t="str">
        <f>TRIM(Table6[[#This Row],[District]])&amp;"|"&amp;TRIM(Table6[[#This Row],[Upazila]])</f>
        <v>Panchagarh|Tetulia</v>
      </c>
      <c r="N3" t="str">
        <f>_xlfn.XLOOKUP(B3,Remittance_Data!A:A,Remittance_Data!B:B,"CHECK")</f>
        <v>CHECK</v>
      </c>
      <c r="O3" t="str">
        <f>_xlfn.XLOOKUP(B3,Remittance_Data!A:A,Remittance_Data!C:C,"CHECK")</f>
        <v>CHECK</v>
      </c>
      <c r="P3" t="str">
        <f>_xlfn.XLOOKUP(B3,Remittance_Data!A:A,Remittance_Data!D:D,"CHECK")</f>
        <v>CHECK</v>
      </c>
    </row>
    <row r="4" spans="1:16">
      <c r="A4" t="s">
        <v>12</v>
      </c>
      <c r="B4" t="str">
        <f>SUBSTITUTE(SUBSTITUTE(SUBSTITUTE(SUBSTITUTE(TRIM(Table6[[#This Row],[Constituency]]),"Barisal","Barishal"),"Jessore","Jashore"),"Bogra","Bogura"),"Chapai Nawabganj","Chapainawabganj")</f>
        <v>Panchagarh-1</v>
      </c>
      <c r="C4" t="s">
        <v>918</v>
      </c>
      <c r="D4" t="s">
        <v>916</v>
      </c>
      <c r="E4">
        <f>_xlfn.XLOOKUP(C4,Population_data!B:B,Population_data!C:C,"")</f>
        <v>286.81</v>
      </c>
      <c r="F4">
        <f>_xlfn.XLOOKUP(C4,Population_data!B:B,Population_data!D:D,"")</f>
        <v>141545</v>
      </c>
      <c r="G4">
        <f>_xlfn.XLOOKUP(C4,Population_data!B:B,Population_data!E:E,"")</f>
        <v>493.51</v>
      </c>
      <c r="H4">
        <f>_xlfn.XLOOKUP(C4,Population_data!B:B,Population_data!F:F,"")</f>
        <v>3.97</v>
      </c>
      <c r="I4">
        <f>_xlfn.XLOOKUP(C4,Population_data!B:B,Population_data!G:G,"")</f>
        <v>76.19</v>
      </c>
      <c r="J4" t="str">
        <f>_xlfn.XLOOKUP(D4,District_Crime_Unit_Map!A:A,District_Crime_Unit_Map!B:B,"")</f>
        <v>Rangpur Range</v>
      </c>
      <c r="K4">
        <f>_xlfn.XLOOKUP(J4,Crime_Data!A:A,Crime_Data!V:V,"")</f>
        <v>101.90869513385242</v>
      </c>
      <c r="L4">
        <f>_xlfn.XLOOKUP(J4,Crime_Data!A:A,Crime_Data!W:W,"")</f>
        <v>15.175373179583827</v>
      </c>
      <c r="M4" t="str">
        <f>TRIM(Table6[[#This Row],[District]])&amp;"|"&amp;TRIM(Table6[[#This Row],[Upazila]])</f>
        <v>Panchagarh|Atwari</v>
      </c>
      <c r="N4" t="str">
        <f>_xlfn.XLOOKUP(B4,Remittance_Data!A:A,Remittance_Data!B:B,"CHECK")</f>
        <v>CHECK</v>
      </c>
      <c r="O4" t="str">
        <f>_xlfn.XLOOKUP(B4,Remittance_Data!A:A,Remittance_Data!C:C,"CHECK")</f>
        <v>CHECK</v>
      </c>
      <c r="P4" t="str">
        <f>_xlfn.XLOOKUP(B4,Remittance_Data!A:A,Remittance_Data!D:D,"CHECK")</f>
        <v>CHECK</v>
      </c>
    </row>
    <row r="5" spans="1:16">
      <c r="A5" t="s">
        <v>17</v>
      </c>
      <c r="B5" t="str">
        <f>SUBSTITUTE(SUBSTITUTE(SUBSTITUTE(SUBSTITUTE(TRIM(Table6[[#This Row],[Constituency]]),"Barisal","Barishal"),"Jessore","Jashore"),"Bogra","Bogura"),"Chapai Nawabganj","Chapainawabganj")</f>
        <v>Panchagarh-2</v>
      </c>
      <c r="C5" t="s">
        <v>919</v>
      </c>
      <c r="D5" t="s">
        <v>916</v>
      </c>
      <c r="E5">
        <f>_xlfn.XLOOKUP(C5,Population_data!B:B,Population_data!C:C,"")</f>
        <v>189.29</v>
      </c>
      <c r="F5">
        <f>_xlfn.XLOOKUP(C5,Population_data!B:B,Population_data!D:D,"")</f>
        <v>275279</v>
      </c>
      <c r="G5">
        <f>_xlfn.XLOOKUP(C5,Population_data!B:B,Population_data!E:E,"")</f>
        <v>1454.27</v>
      </c>
      <c r="H5">
        <f>_xlfn.XLOOKUP(C5,Population_data!B:B,Population_data!F:F,"")</f>
        <v>4.05</v>
      </c>
      <c r="I5">
        <f>_xlfn.XLOOKUP(C5,Population_data!B:B,Population_data!G:G,"")</f>
        <v>73.67</v>
      </c>
      <c r="J5" t="str">
        <f>_xlfn.XLOOKUP(D5,District_Crime_Unit_Map!A:A,District_Crime_Unit_Map!B:B,"")</f>
        <v>Rangpur Range</v>
      </c>
      <c r="K5">
        <f>_xlfn.XLOOKUP(J5,Crime_Data!A:A,Crime_Data!V:V,"")</f>
        <v>101.90869513385242</v>
      </c>
      <c r="L5">
        <f>_xlfn.XLOOKUP(J5,Crime_Data!A:A,Crime_Data!W:W,"")</f>
        <v>15.175373179583827</v>
      </c>
      <c r="M5" t="str">
        <f>TRIM(Table6[[#This Row],[District]])&amp;"|"&amp;TRIM(Table6[[#This Row],[Upazila]])</f>
        <v>Panchagarh|Boda</v>
      </c>
      <c r="N5" t="str">
        <f>_xlfn.XLOOKUP(B5,Remittance_Data!A:A,Remittance_Data!B:B,"CHECK")</f>
        <v>CHECK</v>
      </c>
      <c r="O5" t="str">
        <f>_xlfn.XLOOKUP(B5,Remittance_Data!A:A,Remittance_Data!C:C,"CHECK")</f>
        <v>CHECK</v>
      </c>
      <c r="P5" t="str">
        <f>_xlfn.XLOOKUP(B5,Remittance_Data!A:A,Remittance_Data!D:D,"CHECK")</f>
        <v>CHECK</v>
      </c>
    </row>
    <row r="6" spans="1:16">
      <c r="A6" t="s">
        <v>17</v>
      </c>
      <c r="B6" t="str">
        <f>SUBSTITUTE(SUBSTITUTE(SUBSTITUTE(SUBSTITUTE(TRIM(Table6[[#This Row],[Constituency]]),"Barisal","Barishal"),"Jessore","Jashore"),"Bogra","Bogura"),"Chapai Nawabganj","Chapainawabganj")</f>
        <v>Panchagarh-2</v>
      </c>
      <c r="C6" t="s">
        <v>920</v>
      </c>
      <c r="D6" t="s">
        <v>916</v>
      </c>
      <c r="E6">
        <f>_xlfn.XLOOKUP(C6,Population_data!B:B,Population_data!C:C,"")</f>
        <v>359.52</v>
      </c>
      <c r="F6">
        <f>_xlfn.XLOOKUP(C6,Population_data!B:B,Population_data!D:D,"")</f>
        <v>267452</v>
      </c>
      <c r="G6">
        <f>_xlfn.XLOOKUP(C6,Population_data!B:B,Population_data!E:E,"")</f>
        <v>743.91</v>
      </c>
      <c r="H6">
        <f>_xlfn.XLOOKUP(C6,Population_data!B:B,Population_data!F:F,"")</f>
        <v>4.0999999999999996</v>
      </c>
      <c r="I6">
        <f>_xlfn.XLOOKUP(C6,Population_data!B:B,Population_data!G:G,"")</f>
        <v>71.040000000000006</v>
      </c>
      <c r="J6" t="str">
        <f>_xlfn.XLOOKUP(D6,District_Crime_Unit_Map!A:A,District_Crime_Unit_Map!B:B,"")</f>
        <v>Rangpur Range</v>
      </c>
      <c r="K6">
        <f>_xlfn.XLOOKUP(J6,Crime_Data!A:A,Crime_Data!V:V,"")</f>
        <v>101.90869513385242</v>
      </c>
      <c r="L6">
        <f>_xlfn.XLOOKUP(J6,Crime_Data!A:A,Crime_Data!W:W,"")</f>
        <v>15.175373179583827</v>
      </c>
      <c r="M6" t="str">
        <f>TRIM(Table6[[#This Row],[District]])&amp;"|"&amp;TRIM(Table6[[#This Row],[Upazila]])</f>
        <v>Panchagarh|Debiganj</v>
      </c>
      <c r="N6" t="str">
        <f>_xlfn.XLOOKUP(B6,Remittance_Data!A:A,Remittance_Data!B:B,"CHECK")</f>
        <v>CHECK</v>
      </c>
      <c r="O6" t="str">
        <f>_xlfn.XLOOKUP(B6,Remittance_Data!A:A,Remittance_Data!C:C,"CHECK")</f>
        <v>CHECK</v>
      </c>
      <c r="P6" t="str">
        <f>_xlfn.XLOOKUP(B6,Remittance_Data!A:A,Remittance_Data!D:D,"CHECK")</f>
        <v>CHECK</v>
      </c>
    </row>
    <row r="7" spans="1:16">
      <c r="A7" t="s">
        <v>21</v>
      </c>
      <c r="B7" t="str">
        <f>SUBSTITUTE(SUBSTITUTE(SUBSTITUTE(SUBSTITUTE(TRIM(Table6[[#This Row],[Constituency]]),"Barisal","Barishal"),"Jessore","Jashore"),"Bogra","Bogura"),"Chapai Nawabganj","Chapainawabganj")</f>
        <v>Thakurgaon-1</v>
      </c>
      <c r="C7" t="s">
        <v>921</v>
      </c>
      <c r="D7" t="s">
        <v>922</v>
      </c>
      <c r="E7">
        <f>_xlfn.XLOOKUP(C7,Population_data!B:B,Population_data!C:C,"")</f>
        <v>172.65</v>
      </c>
      <c r="F7">
        <f>_xlfn.XLOOKUP(C7,Population_data!B:B,Population_data!D:D,"")</f>
        <v>656770</v>
      </c>
      <c r="G7">
        <f>_xlfn.XLOOKUP(C7,Population_data!B:B,Population_data!E:E,"")</f>
        <v>3804.05</v>
      </c>
      <c r="H7">
        <f>_xlfn.XLOOKUP(C7,Population_data!B:B,Population_data!F:F,"")</f>
        <v>3.99</v>
      </c>
      <c r="I7">
        <f>_xlfn.XLOOKUP(C7,Population_data!B:B,Population_data!G:G,"")</f>
        <v>76.849999999999994</v>
      </c>
      <c r="J7" t="str">
        <f>_xlfn.XLOOKUP(D7,District_Crime_Unit_Map!A:A,District_Crime_Unit_Map!B:B,"")</f>
        <v>Rangpur Range</v>
      </c>
      <c r="K7">
        <f>_xlfn.XLOOKUP(J7,Crime_Data!A:A,Crime_Data!V:V,"")</f>
        <v>101.90869513385242</v>
      </c>
      <c r="L7">
        <f>_xlfn.XLOOKUP(J7,Crime_Data!A:A,Crime_Data!W:W,"")</f>
        <v>15.175373179583827</v>
      </c>
      <c r="M7" t="str">
        <f>TRIM(Table6[[#This Row],[District]])&amp;"|"&amp;TRIM(Table6[[#This Row],[Upazila]])</f>
        <v>Thakurgaon|Thakurgaon Sadar</v>
      </c>
      <c r="N7" t="str">
        <f>_xlfn.XLOOKUP(B7,Remittance_Data!A:A,Remittance_Data!B:B,"CHECK")</f>
        <v>CHECK</v>
      </c>
      <c r="O7" t="str">
        <f>_xlfn.XLOOKUP(B7,Remittance_Data!A:A,Remittance_Data!C:C,"CHECK")</f>
        <v>CHECK</v>
      </c>
      <c r="P7" t="str">
        <f>_xlfn.XLOOKUP(B7,Remittance_Data!A:A,Remittance_Data!D:D,"CHECK")</f>
        <v>CHECK</v>
      </c>
    </row>
    <row r="8" spans="1:16">
      <c r="A8" t="s">
        <v>24</v>
      </c>
      <c r="B8" t="str">
        <f>SUBSTITUTE(SUBSTITUTE(SUBSTITUTE(SUBSTITUTE(TRIM(Table6[[#This Row],[Constituency]]),"Barisal","Barishal"),"Jessore","Jashore"),"Bogra","Bogura"),"Chapai Nawabganj","Chapainawabganj")</f>
        <v>Thakurgaon-2</v>
      </c>
      <c r="C8" t="s">
        <v>923</v>
      </c>
      <c r="D8" t="s">
        <v>922</v>
      </c>
      <c r="E8">
        <f>_xlfn.XLOOKUP(C8,Population_data!B:B,Population_data!C:C,"")</f>
        <v>258.61</v>
      </c>
      <c r="F8">
        <f>_xlfn.XLOOKUP(C8,Population_data!B:B,Population_data!D:D,"")</f>
        <v>208346</v>
      </c>
      <c r="G8">
        <f>_xlfn.XLOOKUP(C8,Population_data!B:B,Population_data!E:E,"")</f>
        <v>805.64</v>
      </c>
      <c r="H8">
        <f>_xlfn.XLOOKUP(C8,Population_data!B:B,Population_data!F:F,"")</f>
        <v>3.94</v>
      </c>
      <c r="I8">
        <f>_xlfn.XLOOKUP(C8,Population_data!B:B,Population_data!G:G,"")</f>
        <v>70.95</v>
      </c>
      <c r="J8" t="str">
        <f>_xlfn.XLOOKUP(D8,District_Crime_Unit_Map!A:A,District_Crime_Unit_Map!B:B,"")</f>
        <v>Rangpur Range</v>
      </c>
      <c r="K8">
        <f>_xlfn.XLOOKUP(J8,Crime_Data!A:A,Crime_Data!V:V,"")</f>
        <v>101.90869513385242</v>
      </c>
      <c r="L8">
        <f>_xlfn.XLOOKUP(J8,Crime_Data!A:A,Crime_Data!W:W,"")</f>
        <v>15.175373179583827</v>
      </c>
      <c r="M8" t="str">
        <f>TRIM(Table6[[#This Row],[District]])&amp;"|"&amp;TRIM(Table6[[#This Row],[Upazila]])</f>
        <v>Thakurgaon|Baliadangi</v>
      </c>
      <c r="N8" t="str">
        <f>_xlfn.XLOOKUP(B8,Remittance_Data!A:A,Remittance_Data!B:B,"CHECK")</f>
        <v>CHECK</v>
      </c>
      <c r="O8" t="str">
        <f>_xlfn.XLOOKUP(B8,Remittance_Data!A:A,Remittance_Data!C:C,"CHECK")</f>
        <v>CHECK</v>
      </c>
      <c r="P8" t="str">
        <f>_xlfn.XLOOKUP(B8,Remittance_Data!A:A,Remittance_Data!D:D,"CHECK")</f>
        <v>CHECK</v>
      </c>
    </row>
    <row r="9" spans="1:16">
      <c r="A9" t="s">
        <v>24</v>
      </c>
      <c r="B9" t="str">
        <f>SUBSTITUTE(SUBSTITUTE(SUBSTITUTE(SUBSTITUTE(TRIM(Table6[[#This Row],[Constituency]]),"Barisal","Barishal"),"Jessore","Jashore"),"Bogra","Bogura"),"Chapai Nawabganj","Chapainawabganj")</f>
        <v>Thakurgaon-2</v>
      </c>
      <c r="C9" t="s">
        <v>924</v>
      </c>
      <c r="D9" t="s">
        <v>922</v>
      </c>
      <c r="E9">
        <f>_xlfn.XLOOKUP(C9,Population_data!B:B,Population_data!C:C,"")</f>
        <v>258.02999999999997</v>
      </c>
      <c r="F9">
        <f>_xlfn.XLOOKUP(C9,Population_data!B:B,Population_data!D:D,"")</f>
        <v>159510</v>
      </c>
      <c r="G9">
        <f>_xlfn.XLOOKUP(C9,Population_data!B:B,Population_data!E:E,"")</f>
        <v>618.17999999999995</v>
      </c>
      <c r="H9">
        <f>_xlfn.XLOOKUP(C9,Population_data!B:B,Population_data!F:F,"")</f>
        <v>4.05</v>
      </c>
      <c r="I9">
        <f>_xlfn.XLOOKUP(C9,Population_data!B:B,Population_data!G:G,"")</f>
        <v>68.98</v>
      </c>
      <c r="J9" t="str">
        <f>_xlfn.XLOOKUP(D9,District_Crime_Unit_Map!A:A,District_Crime_Unit_Map!B:B,"")</f>
        <v>Rangpur Range</v>
      </c>
      <c r="K9">
        <f>_xlfn.XLOOKUP(J9,Crime_Data!A:A,Crime_Data!V:V,"")</f>
        <v>101.90869513385242</v>
      </c>
      <c r="L9">
        <f>_xlfn.XLOOKUP(J9,Crime_Data!A:A,Crime_Data!W:W,"")</f>
        <v>15.175373179583827</v>
      </c>
      <c r="M9" t="str">
        <f>TRIM(Table6[[#This Row],[District]])&amp;"|"&amp;TRIM(Table6[[#This Row],[Upazila]])</f>
        <v>Thakurgaon|Haripur</v>
      </c>
      <c r="N9" t="str">
        <f>_xlfn.XLOOKUP(B9,Remittance_Data!A:A,Remittance_Data!B:B,"CHECK")</f>
        <v>CHECK</v>
      </c>
      <c r="O9" t="str">
        <f>_xlfn.XLOOKUP(B9,Remittance_Data!A:A,Remittance_Data!C:C,"CHECK")</f>
        <v>CHECK</v>
      </c>
      <c r="P9" t="str">
        <f>_xlfn.XLOOKUP(B9,Remittance_Data!A:A,Remittance_Data!D:D,"CHECK")</f>
        <v>CHECK</v>
      </c>
    </row>
    <row r="10" spans="1:16">
      <c r="A10" t="s">
        <v>24</v>
      </c>
      <c r="B10" t="str">
        <f>SUBSTITUTE(SUBSTITUTE(SUBSTITUTE(SUBSTITUTE(TRIM(Table6[[#This Row],[Constituency]]),"Barisal","Barishal"),"Jessore","Jashore"),"Bogra","Bogura"),"Chapai Nawabganj","Chapainawabganj")</f>
        <v>Thakurgaon-2</v>
      </c>
      <c r="C10" t="s">
        <v>1516</v>
      </c>
      <c r="D10" t="s">
        <v>922</v>
      </c>
      <c r="E10">
        <f>_xlfn.XLOOKUP(C10,Population_data!B:B,Population_data!C:C,"")</f>
        <v>334.67</v>
      </c>
      <c r="F10">
        <f>_xlfn.XLOOKUP(C10,Population_data!B:B,Population_data!D:D,"")</f>
        <v>244074</v>
      </c>
      <c r="G10">
        <f>_xlfn.XLOOKUP(C10,Population_data!B:B,Population_data!E:E,"")</f>
        <v>729.3</v>
      </c>
      <c r="H10">
        <f>_xlfn.XLOOKUP(C10,Population_data!B:B,Population_data!F:F,"")</f>
        <v>3.92</v>
      </c>
      <c r="I10">
        <f>_xlfn.XLOOKUP(C10,Population_data!B:B,Population_data!G:G,"")</f>
        <v>73.7</v>
      </c>
      <c r="J10" t="str">
        <f>_xlfn.XLOOKUP(D10,District_Crime_Unit_Map!A:A,District_Crime_Unit_Map!B:B,"")</f>
        <v>Rangpur Range</v>
      </c>
      <c r="K10">
        <f>_xlfn.XLOOKUP(J10,Crime_Data!A:A,Crime_Data!V:V,"")</f>
        <v>101.90869513385242</v>
      </c>
      <c r="L10">
        <f>_xlfn.XLOOKUP(J10,Crime_Data!A:A,Crime_Data!W:W,"")</f>
        <v>15.175373179583827</v>
      </c>
      <c r="M10" t="str">
        <f>TRIM(Table6[[#This Row],[District]])&amp;"|"&amp;TRIM(Table6[[#This Row],[Upazila]])</f>
        <v>Thakurgaon|Ranishankail</v>
      </c>
      <c r="N10" t="str">
        <f>_xlfn.XLOOKUP(B10,Remittance_Data!A:A,Remittance_Data!B:B,"CHECK")</f>
        <v>CHECK</v>
      </c>
      <c r="O10" t="str">
        <f>_xlfn.XLOOKUP(B10,Remittance_Data!A:A,Remittance_Data!C:C,"CHECK")</f>
        <v>CHECK</v>
      </c>
      <c r="P10" t="str">
        <f>_xlfn.XLOOKUP(B10,Remittance_Data!A:A,Remittance_Data!D:D,"CHECK")</f>
        <v>CHECK</v>
      </c>
    </row>
    <row r="11" spans="1:16">
      <c r="A11" t="s">
        <v>27</v>
      </c>
      <c r="B11" t="str">
        <f>SUBSTITUTE(SUBSTITUTE(SUBSTITUTE(SUBSTITUTE(TRIM(Table6[[#This Row],[Constituency]]),"Barisal","Barishal"),"Jessore","Jashore"),"Bogra","Bogura"),"Chapai Nawabganj","Chapainawabganj")</f>
        <v>Thakurgaon-3</v>
      </c>
      <c r="C11" t="s">
        <v>925</v>
      </c>
      <c r="D11" t="s">
        <v>922</v>
      </c>
      <c r="E11">
        <f>_xlfn.XLOOKUP(C11,Population_data!B:B,Population_data!C:C,"")</f>
        <v>280.43</v>
      </c>
      <c r="F11">
        <f>_xlfn.XLOOKUP(C11,Population_data!B:B,Population_data!D:D,"")</f>
        <v>414833</v>
      </c>
      <c r="G11">
        <f>_xlfn.XLOOKUP(C11,Population_data!B:B,Population_data!E:E,"")</f>
        <v>1479.27</v>
      </c>
      <c r="H11">
        <f>_xlfn.XLOOKUP(C11,Population_data!B:B,Population_data!F:F,"")</f>
        <v>3.58</v>
      </c>
      <c r="I11">
        <f>_xlfn.XLOOKUP(C11,Population_data!B:B,Population_data!G:G,"")</f>
        <v>67.11</v>
      </c>
      <c r="J11" t="str">
        <f>_xlfn.XLOOKUP(D11,District_Crime_Unit_Map!A:A,District_Crime_Unit_Map!B:B,"")</f>
        <v>Rangpur Range</v>
      </c>
      <c r="K11">
        <f>_xlfn.XLOOKUP(J11,Crime_Data!A:A,Crime_Data!V:V,"")</f>
        <v>101.90869513385242</v>
      </c>
      <c r="L11">
        <f>_xlfn.XLOOKUP(J11,Crime_Data!A:A,Crime_Data!W:W,"")</f>
        <v>15.175373179583827</v>
      </c>
      <c r="M11" t="str">
        <f>TRIM(Table6[[#This Row],[District]])&amp;"|"&amp;TRIM(Table6[[#This Row],[Upazila]])</f>
        <v>Thakurgaon|Pirganj</v>
      </c>
      <c r="N11" t="str">
        <f>_xlfn.XLOOKUP(B11,Remittance_Data!A:A,Remittance_Data!B:B,"CHECK")</f>
        <v>CHECK</v>
      </c>
      <c r="O11" t="str">
        <f>_xlfn.XLOOKUP(B11,Remittance_Data!A:A,Remittance_Data!C:C,"CHECK")</f>
        <v>CHECK</v>
      </c>
      <c r="P11" t="str">
        <f>_xlfn.XLOOKUP(B11,Remittance_Data!A:A,Remittance_Data!D:D,"CHECK")</f>
        <v>CHECK</v>
      </c>
    </row>
    <row r="12" spans="1:16">
      <c r="A12" t="s">
        <v>27</v>
      </c>
      <c r="B12" t="str">
        <f>SUBSTITUTE(SUBSTITUTE(SUBSTITUTE(SUBSTITUTE(TRIM(Table6[[#This Row],[Constituency]]),"Barisal","Barishal"),"Jessore","Jashore"),"Bogra","Bogura"),"Chapai Nawabganj","Chapainawabganj")</f>
        <v>Thakurgaon-3</v>
      </c>
      <c r="C12" t="s">
        <v>1516</v>
      </c>
      <c r="D12" t="s">
        <v>922</v>
      </c>
      <c r="E12">
        <f>_xlfn.XLOOKUP(C12,Population_data!B:B,Population_data!C:C,"")</f>
        <v>334.67</v>
      </c>
      <c r="F12">
        <f>_xlfn.XLOOKUP(C12,Population_data!B:B,Population_data!D:D,"")</f>
        <v>244074</v>
      </c>
      <c r="G12">
        <f>_xlfn.XLOOKUP(C12,Population_data!B:B,Population_data!E:E,"")</f>
        <v>729.3</v>
      </c>
      <c r="H12">
        <f>_xlfn.XLOOKUP(C12,Population_data!B:B,Population_data!F:F,"")</f>
        <v>3.92</v>
      </c>
      <c r="I12">
        <f>_xlfn.XLOOKUP(C12,Population_data!B:B,Population_data!G:G,"")</f>
        <v>73.7</v>
      </c>
      <c r="J12" t="str">
        <f>_xlfn.XLOOKUP(D12,District_Crime_Unit_Map!A:A,District_Crime_Unit_Map!B:B,"")</f>
        <v>Rangpur Range</v>
      </c>
      <c r="K12">
        <f>_xlfn.XLOOKUP(J12,Crime_Data!A:A,Crime_Data!V:V,"")</f>
        <v>101.90869513385242</v>
      </c>
      <c r="L12">
        <f>_xlfn.XLOOKUP(J12,Crime_Data!A:A,Crime_Data!W:W,"")</f>
        <v>15.175373179583827</v>
      </c>
      <c r="M12" t="str">
        <f>TRIM(Table6[[#This Row],[District]])&amp;"|"&amp;TRIM(Table6[[#This Row],[Upazila]])</f>
        <v>Thakurgaon|Ranishankail</v>
      </c>
      <c r="N12" t="str">
        <f>_xlfn.XLOOKUP(B12,Remittance_Data!A:A,Remittance_Data!B:B,"CHECK")</f>
        <v>CHECK</v>
      </c>
      <c r="O12" t="str">
        <f>_xlfn.XLOOKUP(B12,Remittance_Data!A:A,Remittance_Data!C:C,"CHECK")</f>
        <v>CHECK</v>
      </c>
      <c r="P12" t="str">
        <f>_xlfn.XLOOKUP(B12,Remittance_Data!A:A,Remittance_Data!D:D,"CHECK")</f>
        <v>CHECK</v>
      </c>
    </row>
    <row r="13" spans="1:16">
      <c r="A13" t="s">
        <v>30</v>
      </c>
      <c r="B13" t="str">
        <f>SUBSTITUTE(SUBSTITUTE(SUBSTITUTE(SUBSTITUTE(TRIM(Table6[[#This Row],[Constituency]]),"Barisal","Barishal"),"Jessore","Jashore"),"Bogra","Bogura"),"Chapai Nawabganj","Chapainawabganj")</f>
        <v>Dinajpur-1</v>
      </c>
      <c r="C13" t="s">
        <v>928</v>
      </c>
      <c r="D13" t="s">
        <v>929</v>
      </c>
      <c r="E13">
        <f>_xlfn.XLOOKUP(C13,Population_data!B:B,Population_data!C:C,"")</f>
        <v>193.61</v>
      </c>
      <c r="F13">
        <f>_xlfn.XLOOKUP(C13,Population_data!B:B,Population_data!D:D,"")</f>
        <v>356140</v>
      </c>
      <c r="G13">
        <f>_xlfn.XLOOKUP(C13,Population_data!B:B,Population_data!E:E,"")</f>
        <v>1839.47</v>
      </c>
      <c r="H13">
        <f>_xlfn.XLOOKUP(C13,Population_data!B:B,Population_data!F:F,"")</f>
        <v>4</v>
      </c>
      <c r="I13">
        <f>_xlfn.XLOOKUP(C13,Population_data!B:B,Population_data!G:G,"")</f>
        <v>73.209999999999994</v>
      </c>
      <c r="J13" t="str">
        <f>_xlfn.XLOOKUP(D13,District_Crime_Unit_Map!A:A,District_Crime_Unit_Map!B:B,"")</f>
        <v>Rangpur Range</v>
      </c>
      <c r="K13">
        <f>_xlfn.XLOOKUP(J13,Crime_Data!A:A,Crime_Data!V:V,"")</f>
        <v>101.90869513385242</v>
      </c>
      <c r="L13">
        <f>_xlfn.XLOOKUP(J13,Crime_Data!A:A,Crime_Data!W:W,"")</f>
        <v>15.175373179583827</v>
      </c>
      <c r="M13" t="str">
        <f>TRIM(Table6[[#This Row],[District]])&amp;"|"&amp;TRIM(Table6[[#This Row],[Upazila]])</f>
        <v>Dinajpur|Birganj</v>
      </c>
      <c r="N13" t="str">
        <f>_xlfn.XLOOKUP(B13,Remittance_Data!A:A,Remittance_Data!B:B,"CHECK")</f>
        <v>CHECK</v>
      </c>
      <c r="O13" t="str">
        <f>_xlfn.XLOOKUP(B13,Remittance_Data!A:A,Remittance_Data!C:C,"CHECK")</f>
        <v>CHECK</v>
      </c>
      <c r="P13" t="str">
        <f>_xlfn.XLOOKUP(B13,Remittance_Data!A:A,Remittance_Data!D:D,"CHECK")</f>
        <v>CHECK</v>
      </c>
    </row>
    <row r="14" spans="1:16">
      <c r="A14" t="s">
        <v>30</v>
      </c>
      <c r="B14" t="str">
        <f>SUBSTITUTE(SUBSTITUTE(SUBSTITUTE(SUBSTITUTE(TRIM(Table6[[#This Row],[Constituency]]),"Barisal","Barishal"),"Jessore","Jashore"),"Bogra","Bogura"),"Chapai Nawabganj","Chapainawabganj")</f>
        <v>Dinajpur-1</v>
      </c>
      <c r="C14" t="s">
        <v>930</v>
      </c>
      <c r="D14" t="s">
        <v>929</v>
      </c>
      <c r="E14">
        <f>_xlfn.XLOOKUP(C14,Population_data!B:B,Population_data!C:C,"")</f>
        <v>205.41</v>
      </c>
      <c r="F14">
        <f>_xlfn.XLOOKUP(C14,Population_data!B:B,Population_data!D:D,"")</f>
        <v>174557</v>
      </c>
      <c r="G14">
        <f>_xlfn.XLOOKUP(C14,Population_data!B:B,Population_data!E:E,"")</f>
        <v>849.8</v>
      </c>
      <c r="H14">
        <f>_xlfn.XLOOKUP(C14,Population_data!B:B,Population_data!F:F,"")</f>
        <v>4.03</v>
      </c>
      <c r="I14">
        <f>_xlfn.XLOOKUP(C14,Population_data!B:B,Population_data!G:G,"")</f>
        <v>74.47</v>
      </c>
      <c r="J14" t="str">
        <f>_xlfn.XLOOKUP(D14,District_Crime_Unit_Map!A:A,District_Crime_Unit_Map!B:B,"")</f>
        <v>Rangpur Range</v>
      </c>
      <c r="K14">
        <f>_xlfn.XLOOKUP(J14,Crime_Data!A:A,Crime_Data!V:V,"")</f>
        <v>101.90869513385242</v>
      </c>
      <c r="L14">
        <f>_xlfn.XLOOKUP(J14,Crime_Data!A:A,Crime_Data!W:W,"")</f>
        <v>15.175373179583827</v>
      </c>
      <c r="M14" t="str">
        <f>TRIM(Table6[[#This Row],[District]])&amp;"|"&amp;TRIM(Table6[[#This Row],[Upazila]])</f>
        <v>Dinajpur|Kaharole</v>
      </c>
      <c r="N14" t="str">
        <f>_xlfn.XLOOKUP(B14,Remittance_Data!A:A,Remittance_Data!B:B,"CHECK")</f>
        <v>CHECK</v>
      </c>
      <c r="O14" t="str">
        <f>_xlfn.XLOOKUP(B14,Remittance_Data!A:A,Remittance_Data!C:C,"CHECK")</f>
        <v>CHECK</v>
      </c>
      <c r="P14" t="str">
        <f>_xlfn.XLOOKUP(B14,Remittance_Data!A:A,Remittance_Data!D:D,"CHECK")</f>
        <v>CHECK</v>
      </c>
    </row>
    <row r="15" spans="1:16">
      <c r="A15" t="s">
        <v>33</v>
      </c>
      <c r="B15" t="str">
        <f>SUBSTITUTE(SUBSTITUTE(SUBSTITUTE(SUBSTITUTE(TRIM(Table6[[#This Row],[Constituency]]),"Barisal","Barishal"),"Jessore","Jashore"),"Bogra","Bogura"),"Chapai Nawabganj","Chapainawabganj")</f>
        <v>Dinajpur-2</v>
      </c>
      <c r="C15" t="s">
        <v>1512</v>
      </c>
      <c r="D15" t="s">
        <v>929</v>
      </c>
      <c r="E15">
        <f>_xlfn.XLOOKUP(C15,Population_data!B:B,Population_data!C:C,"")</f>
        <v>343.9</v>
      </c>
      <c r="F15">
        <f>_xlfn.XLOOKUP(C15,Population_data!B:B,Population_data!D:D,"")</f>
        <v>281549</v>
      </c>
      <c r="G15">
        <f>_xlfn.XLOOKUP(C15,Population_data!B:B,Population_data!E:E,"")</f>
        <v>818.69</v>
      </c>
      <c r="H15">
        <f>_xlfn.XLOOKUP(C15,Population_data!B:B,Population_data!F:F,"")</f>
        <v>4.05</v>
      </c>
      <c r="I15">
        <f>_xlfn.XLOOKUP(C15,Population_data!B:B,Population_data!G:G,"")</f>
        <v>75.650000000000006</v>
      </c>
      <c r="J15" t="str">
        <f>_xlfn.XLOOKUP(D15,District_Crime_Unit_Map!A:A,District_Crime_Unit_Map!B:B,"")</f>
        <v>Rangpur Range</v>
      </c>
      <c r="K15">
        <f>_xlfn.XLOOKUP(J15,Crime_Data!A:A,Crime_Data!V:V,"")</f>
        <v>101.90869513385242</v>
      </c>
      <c r="L15">
        <f>_xlfn.XLOOKUP(J15,Crime_Data!A:A,Crime_Data!W:W,"")</f>
        <v>15.175373179583827</v>
      </c>
      <c r="M15" t="str">
        <f>TRIM(Table6[[#This Row],[District]])&amp;"|"&amp;TRIM(Table6[[#This Row],[Upazila]])</f>
        <v>Dinajpur|Birol</v>
      </c>
      <c r="N15" t="str">
        <f>_xlfn.XLOOKUP(B15,Remittance_Data!A:A,Remittance_Data!B:B,"CHECK")</f>
        <v>CHECK</v>
      </c>
      <c r="O15" t="str">
        <f>_xlfn.XLOOKUP(B15,Remittance_Data!A:A,Remittance_Data!C:C,"CHECK")</f>
        <v>CHECK</v>
      </c>
      <c r="P15" t="str">
        <f>_xlfn.XLOOKUP(B15,Remittance_Data!A:A,Remittance_Data!D:D,"CHECK")</f>
        <v>CHECK</v>
      </c>
    </row>
    <row r="16" spans="1:16">
      <c r="A16" t="s">
        <v>33</v>
      </c>
      <c r="B16" t="str">
        <f>SUBSTITUTE(SUBSTITUTE(SUBSTITUTE(SUBSTITUTE(TRIM(Table6[[#This Row],[Constituency]]),"Barisal","Barishal"),"Jessore","Jashore"),"Bogra","Bogura"),"Chapai Nawabganj","Chapainawabganj")</f>
        <v>Dinajpur-2</v>
      </c>
      <c r="C16" t="s">
        <v>932</v>
      </c>
      <c r="D16" t="s">
        <v>929</v>
      </c>
      <c r="E16">
        <f>_xlfn.XLOOKUP(C16,Population_data!B:B,Population_data!C:C,"")</f>
        <v>336.11</v>
      </c>
      <c r="F16">
        <f>_xlfn.XLOOKUP(C16,Population_data!B:B,Population_data!D:D,"")</f>
        <v>171715</v>
      </c>
      <c r="G16">
        <f>_xlfn.XLOOKUP(C16,Population_data!B:B,Population_data!E:E,"")</f>
        <v>510.89</v>
      </c>
      <c r="H16">
        <f>_xlfn.XLOOKUP(C16,Population_data!B:B,Population_data!F:F,"")</f>
        <v>3.91</v>
      </c>
      <c r="I16">
        <f>_xlfn.XLOOKUP(C16,Population_data!B:B,Population_data!G:G,"")</f>
        <v>76.19</v>
      </c>
      <c r="J16" t="str">
        <f>_xlfn.XLOOKUP(D16,District_Crime_Unit_Map!A:A,District_Crime_Unit_Map!B:B,"")</f>
        <v>Rangpur Range</v>
      </c>
      <c r="K16">
        <f>_xlfn.XLOOKUP(J16,Crime_Data!A:A,Crime_Data!V:V,"")</f>
        <v>101.90869513385242</v>
      </c>
      <c r="L16">
        <f>_xlfn.XLOOKUP(J16,Crime_Data!A:A,Crime_Data!W:W,"")</f>
        <v>15.175373179583827</v>
      </c>
      <c r="M16" t="str">
        <f>TRIM(Table6[[#This Row],[District]])&amp;"|"&amp;TRIM(Table6[[#This Row],[Upazila]])</f>
        <v>Dinajpur|Bochaganj</v>
      </c>
      <c r="N16" t="str">
        <f>_xlfn.XLOOKUP(B16,Remittance_Data!A:A,Remittance_Data!B:B,"CHECK")</f>
        <v>CHECK</v>
      </c>
      <c r="O16" t="str">
        <f>_xlfn.XLOOKUP(B16,Remittance_Data!A:A,Remittance_Data!C:C,"CHECK")</f>
        <v>CHECK</v>
      </c>
      <c r="P16" t="str">
        <f>_xlfn.XLOOKUP(B16,Remittance_Data!A:A,Remittance_Data!D:D,"CHECK")</f>
        <v>CHECK</v>
      </c>
    </row>
    <row r="17" spans="1:16">
      <c r="A17" t="s">
        <v>36</v>
      </c>
      <c r="B17" t="str">
        <f>SUBSTITUTE(SUBSTITUTE(SUBSTITUTE(SUBSTITUTE(TRIM(Table6[[#This Row],[Constituency]]),"Barisal","Barishal"),"Jessore","Jashore"),"Bogra","Bogura"),"Chapai Nawabganj","Chapainawabganj")</f>
        <v>Dinajpur-3</v>
      </c>
      <c r="C17" t="s">
        <v>933</v>
      </c>
      <c r="D17" t="s">
        <v>929</v>
      </c>
      <c r="E17">
        <f>_xlfn.XLOOKUP(C17,Population_data!B:B,Population_data!C:C,"")</f>
        <v>344.3</v>
      </c>
      <c r="F17">
        <f>_xlfn.XLOOKUP(C17,Population_data!B:B,Population_data!D:D,"")</f>
        <v>549160</v>
      </c>
      <c r="G17">
        <f>_xlfn.XLOOKUP(C17,Population_data!B:B,Population_data!E:E,"")</f>
        <v>1595</v>
      </c>
      <c r="H17">
        <f>_xlfn.XLOOKUP(C17,Population_data!B:B,Population_data!F:F,"")</f>
        <v>3.87</v>
      </c>
      <c r="I17">
        <f>_xlfn.XLOOKUP(C17,Population_data!B:B,Population_data!G:G,"")</f>
        <v>82.78</v>
      </c>
      <c r="J17" t="str">
        <f>_xlfn.XLOOKUP(D17,District_Crime_Unit_Map!A:A,District_Crime_Unit_Map!B:B,"")</f>
        <v>Rangpur Range</v>
      </c>
      <c r="K17">
        <f>_xlfn.XLOOKUP(J17,Crime_Data!A:A,Crime_Data!V:V,"")</f>
        <v>101.90869513385242</v>
      </c>
      <c r="L17">
        <f>_xlfn.XLOOKUP(J17,Crime_Data!A:A,Crime_Data!W:W,"")</f>
        <v>15.175373179583827</v>
      </c>
      <c r="M17" t="str">
        <f>TRIM(Table6[[#This Row],[District]])&amp;"|"&amp;TRIM(Table6[[#This Row],[Upazila]])</f>
        <v>Dinajpur|Dinajpur Sadar</v>
      </c>
      <c r="N17" t="str">
        <f>_xlfn.XLOOKUP(B17,Remittance_Data!A:A,Remittance_Data!B:B,"CHECK")</f>
        <v>CHECK</v>
      </c>
      <c r="O17" t="str">
        <f>_xlfn.XLOOKUP(B17,Remittance_Data!A:A,Remittance_Data!C:C,"CHECK")</f>
        <v>CHECK</v>
      </c>
      <c r="P17" t="str">
        <f>_xlfn.XLOOKUP(B17,Remittance_Data!A:A,Remittance_Data!D:D,"CHECK")</f>
        <v>CHECK</v>
      </c>
    </row>
    <row r="18" spans="1:16">
      <c r="A18" t="s">
        <v>39</v>
      </c>
      <c r="B18" t="str">
        <f>SUBSTITUTE(SUBSTITUTE(SUBSTITUTE(SUBSTITUTE(TRIM(Table6[[#This Row],[Constituency]]),"Barisal","Barishal"),"Jessore","Jashore"),"Bogra","Bogura"),"Chapai Nawabganj","Chapainawabganj")</f>
        <v>Dinajpur-4</v>
      </c>
      <c r="C18" t="s">
        <v>934</v>
      </c>
      <c r="D18" t="s">
        <v>929</v>
      </c>
      <c r="E18">
        <f>_xlfn.XLOOKUP(C18,Population_data!B:B,Population_data!C:C,"")</f>
        <v>185.22</v>
      </c>
      <c r="F18">
        <f>_xlfn.XLOOKUP(C18,Population_data!B:B,Population_data!D:D,"")</f>
        <v>197401</v>
      </c>
      <c r="G18">
        <f>_xlfn.XLOOKUP(C18,Population_data!B:B,Population_data!E:E,"")</f>
        <v>1065.77</v>
      </c>
      <c r="H18">
        <f>_xlfn.XLOOKUP(C18,Population_data!B:B,Population_data!F:F,"")</f>
        <v>4.13</v>
      </c>
      <c r="I18">
        <f>_xlfn.XLOOKUP(C18,Population_data!B:B,Population_data!G:G,"")</f>
        <v>71.02</v>
      </c>
      <c r="J18" t="str">
        <f>_xlfn.XLOOKUP(D18,District_Crime_Unit_Map!A:A,District_Crime_Unit_Map!B:B,"")</f>
        <v>Rangpur Range</v>
      </c>
      <c r="K18">
        <f>_xlfn.XLOOKUP(J18,Crime_Data!A:A,Crime_Data!V:V,"")</f>
        <v>101.90869513385242</v>
      </c>
      <c r="L18">
        <f>_xlfn.XLOOKUP(J18,Crime_Data!A:A,Crime_Data!W:W,"")</f>
        <v>15.175373179583827</v>
      </c>
      <c r="M18" t="str">
        <f>TRIM(Table6[[#This Row],[District]])&amp;"|"&amp;TRIM(Table6[[#This Row],[Upazila]])</f>
        <v>Dinajpur|Khansama</v>
      </c>
      <c r="N18" t="str">
        <f>_xlfn.XLOOKUP(B18,Remittance_Data!A:A,Remittance_Data!B:B,"CHECK")</f>
        <v>CHECK</v>
      </c>
      <c r="O18" t="str">
        <f>_xlfn.XLOOKUP(B18,Remittance_Data!A:A,Remittance_Data!C:C,"CHECK")</f>
        <v>CHECK</v>
      </c>
      <c r="P18" t="str">
        <f>_xlfn.XLOOKUP(B18,Remittance_Data!A:A,Remittance_Data!D:D,"CHECK")</f>
        <v>CHECK</v>
      </c>
    </row>
    <row r="19" spans="1:16">
      <c r="A19" t="s">
        <v>39</v>
      </c>
      <c r="B19" t="str">
        <f>SUBSTITUTE(SUBSTITUTE(SUBSTITUTE(SUBSTITUTE(TRIM(Table6[[#This Row],[Constituency]]),"Barisal","Barishal"),"Jessore","Jashore"),"Bogra","Bogura"),"Chapai Nawabganj","Chapainawabganj")</f>
        <v>Dinajpur-4</v>
      </c>
      <c r="C19" t="s">
        <v>935</v>
      </c>
      <c r="D19" t="s">
        <v>929</v>
      </c>
      <c r="E19">
        <f>_xlfn.XLOOKUP(C19,Population_data!B:B,Population_data!C:C,"")</f>
        <v>506.78</v>
      </c>
      <c r="F19">
        <f>_xlfn.XLOOKUP(C19,Population_data!B:B,Population_data!D:D,"")</f>
        <v>323880</v>
      </c>
      <c r="G19">
        <f>_xlfn.XLOOKUP(C19,Population_data!B:B,Population_data!E:E,"")</f>
        <v>639.09</v>
      </c>
      <c r="H19">
        <f>_xlfn.XLOOKUP(C19,Population_data!B:B,Population_data!F:F,"")</f>
        <v>4.09</v>
      </c>
      <c r="I19">
        <f>_xlfn.XLOOKUP(C19,Population_data!B:B,Population_data!G:G,"")</f>
        <v>75.94</v>
      </c>
      <c r="J19" t="str">
        <f>_xlfn.XLOOKUP(D19,District_Crime_Unit_Map!A:A,District_Crime_Unit_Map!B:B,"")</f>
        <v>Rangpur Range</v>
      </c>
      <c r="K19">
        <f>_xlfn.XLOOKUP(J19,Crime_Data!A:A,Crime_Data!V:V,"")</f>
        <v>101.90869513385242</v>
      </c>
      <c r="L19">
        <f>_xlfn.XLOOKUP(J19,Crime_Data!A:A,Crime_Data!W:W,"")</f>
        <v>15.175373179583827</v>
      </c>
      <c r="M19" t="str">
        <f>TRIM(Table6[[#This Row],[District]])&amp;"|"&amp;TRIM(Table6[[#This Row],[Upazila]])</f>
        <v>Dinajpur|Chirirbandar</v>
      </c>
      <c r="N19" t="str">
        <f>_xlfn.XLOOKUP(B19,Remittance_Data!A:A,Remittance_Data!B:B,"CHECK")</f>
        <v>CHECK</v>
      </c>
      <c r="O19" t="str">
        <f>_xlfn.XLOOKUP(B19,Remittance_Data!A:A,Remittance_Data!C:C,"CHECK")</f>
        <v>CHECK</v>
      </c>
      <c r="P19" t="str">
        <f>_xlfn.XLOOKUP(B19,Remittance_Data!A:A,Remittance_Data!D:D,"CHECK")</f>
        <v>CHECK</v>
      </c>
    </row>
    <row r="20" spans="1:16">
      <c r="A20" t="s">
        <v>42</v>
      </c>
      <c r="B20" t="str">
        <f>SUBSTITUTE(SUBSTITUTE(SUBSTITUTE(SUBSTITUTE(TRIM(Table6[[#This Row],[Constituency]]),"Barisal","Barishal"),"Jessore","Jashore"),"Bogra","Bogura"),"Chapai Nawabganj","Chapainawabganj")</f>
        <v>Dinajpur-5</v>
      </c>
      <c r="C20" t="s">
        <v>936</v>
      </c>
      <c r="D20" t="s">
        <v>929</v>
      </c>
      <c r="E20">
        <f>_xlfn.XLOOKUP(C20,Population_data!B:B,Population_data!C:C,"")</f>
        <v>354.34</v>
      </c>
      <c r="F20">
        <f>_xlfn.XLOOKUP(C20,Population_data!B:B,Population_data!D:D,"")</f>
        <v>400630</v>
      </c>
      <c r="G20">
        <f>_xlfn.XLOOKUP(C20,Population_data!B:B,Population_data!E:E,"")</f>
        <v>1130.6400000000001</v>
      </c>
      <c r="H20">
        <f>_xlfn.XLOOKUP(C20,Population_data!B:B,Population_data!F:F,"")</f>
        <v>3.79</v>
      </c>
      <c r="I20">
        <f>_xlfn.XLOOKUP(C20,Population_data!B:B,Population_data!G:G,"")</f>
        <v>77.03</v>
      </c>
      <c r="J20" t="str">
        <f>_xlfn.XLOOKUP(D20,District_Crime_Unit_Map!A:A,District_Crime_Unit_Map!B:B,"")</f>
        <v>Rangpur Range</v>
      </c>
      <c r="K20">
        <f>_xlfn.XLOOKUP(J20,Crime_Data!A:A,Crime_Data!V:V,"")</f>
        <v>101.90869513385242</v>
      </c>
      <c r="L20">
        <f>_xlfn.XLOOKUP(J20,Crime_Data!A:A,Crime_Data!W:W,"")</f>
        <v>15.175373179583827</v>
      </c>
      <c r="M20" t="str">
        <f>TRIM(Table6[[#This Row],[District]])&amp;"|"&amp;TRIM(Table6[[#This Row],[Upazila]])</f>
        <v>Dinajpur|Parbatipur</v>
      </c>
      <c r="N20" t="str">
        <f>_xlfn.XLOOKUP(B20,Remittance_Data!A:A,Remittance_Data!B:B,"CHECK")</f>
        <v>CHECK</v>
      </c>
      <c r="O20" t="str">
        <f>_xlfn.XLOOKUP(B20,Remittance_Data!A:A,Remittance_Data!C:C,"CHECK")</f>
        <v>CHECK</v>
      </c>
      <c r="P20" t="str">
        <f>_xlfn.XLOOKUP(B20,Remittance_Data!A:A,Remittance_Data!D:D,"CHECK")</f>
        <v>CHECK</v>
      </c>
    </row>
    <row r="21" spans="1:16">
      <c r="A21" t="s">
        <v>42</v>
      </c>
      <c r="B21" t="str">
        <f>SUBSTITUTE(SUBSTITUTE(SUBSTITUTE(SUBSTITUTE(TRIM(Table6[[#This Row],[Constituency]]),"Barisal","Barishal"),"Jessore","Jashore"),"Bogra","Bogura"),"Chapai Nawabganj","Chapainawabganj")</f>
        <v>Dinajpur-5</v>
      </c>
      <c r="C21" t="s">
        <v>937</v>
      </c>
      <c r="D21" t="s">
        <v>929</v>
      </c>
      <c r="E21">
        <f>_xlfn.XLOOKUP(C21,Population_data!B:B,Population_data!C:C,"")</f>
        <v>276.45</v>
      </c>
      <c r="F21">
        <f>_xlfn.XLOOKUP(C21,Population_data!B:B,Population_data!D:D,"")</f>
        <v>186676</v>
      </c>
      <c r="G21">
        <f>_xlfn.XLOOKUP(C21,Population_data!B:B,Population_data!E:E,"")</f>
        <v>675.26</v>
      </c>
      <c r="H21">
        <f>_xlfn.XLOOKUP(C21,Population_data!B:B,Population_data!F:F,"")</f>
        <v>3.85</v>
      </c>
      <c r="I21">
        <f>_xlfn.XLOOKUP(C21,Population_data!B:B,Population_data!G:G,"")</f>
        <v>66.010000000000005</v>
      </c>
      <c r="J21" t="str">
        <f>_xlfn.XLOOKUP(D21,District_Crime_Unit_Map!A:A,District_Crime_Unit_Map!B:B,"")</f>
        <v>Rangpur Range</v>
      </c>
      <c r="K21">
        <f>_xlfn.XLOOKUP(J21,Crime_Data!A:A,Crime_Data!V:V,"")</f>
        <v>101.90869513385242</v>
      </c>
      <c r="L21">
        <f>_xlfn.XLOOKUP(J21,Crime_Data!A:A,Crime_Data!W:W,"")</f>
        <v>15.175373179583827</v>
      </c>
      <c r="M21" t="str">
        <f>TRIM(Table6[[#This Row],[District]])&amp;"|"&amp;TRIM(Table6[[#This Row],[Upazila]])</f>
        <v>Dinajpur|Phulbari</v>
      </c>
      <c r="N21" t="str">
        <f>_xlfn.XLOOKUP(B21,Remittance_Data!A:A,Remittance_Data!B:B,"CHECK")</f>
        <v>CHECK</v>
      </c>
      <c r="O21" t="str">
        <f>_xlfn.XLOOKUP(B21,Remittance_Data!A:A,Remittance_Data!C:C,"CHECK")</f>
        <v>CHECK</v>
      </c>
      <c r="P21" t="str">
        <f>_xlfn.XLOOKUP(B21,Remittance_Data!A:A,Remittance_Data!D:D,"CHECK")</f>
        <v>CHECK</v>
      </c>
    </row>
    <row r="22" spans="1:16">
      <c r="A22" t="s">
        <v>46</v>
      </c>
      <c r="B22" t="str">
        <f>SUBSTITUTE(SUBSTITUTE(SUBSTITUTE(SUBSTITUTE(TRIM(Table6[[#This Row],[Constituency]]),"Barisal","Barishal"),"Jessore","Jashore"),"Bogra","Bogura"),"Chapai Nawabganj","Chapainawabganj")</f>
        <v>Dinajpur-6</v>
      </c>
      <c r="C22" t="s">
        <v>938</v>
      </c>
      <c r="D22" t="s">
        <v>929</v>
      </c>
      <c r="E22">
        <f>_xlfn.XLOOKUP(C22,Population_data!B:B,Population_data!C:C,"")</f>
        <v>181.29</v>
      </c>
      <c r="F22">
        <f>_xlfn.XLOOKUP(C22,Population_data!B:B,Population_data!D:D,"")</f>
        <v>95959</v>
      </c>
      <c r="G22">
        <f>_xlfn.XLOOKUP(C22,Population_data!B:B,Population_data!E:E,"")</f>
        <v>529.30999999999995</v>
      </c>
      <c r="H22">
        <f>_xlfn.XLOOKUP(C22,Population_data!B:B,Population_data!F:F,"")</f>
        <v>3.72</v>
      </c>
      <c r="I22">
        <f>_xlfn.XLOOKUP(C22,Population_data!B:B,Population_data!G:G,"")</f>
        <v>77.25</v>
      </c>
      <c r="J22" t="str">
        <f>_xlfn.XLOOKUP(D22,District_Crime_Unit_Map!A:A,District_Crime_Unit_Map!B:B,"")</f>
        <v>Rangpur Range</v>
      </c>
      <c r="K22">
        <f>_xlfn.XLOOKUP(J22,Crime_Data!A:A,Crime_Data!V:V,"")</f>
        <v>101.90869513385242</v>
      </c>
      <c r="L22">
        <f>_xlfn.XLOOKUP(J22,Crime_Data!A:A,Crime_Data!W:W,"")</f>
        <v>15.175373179583827</v>
      </c>
      <c r="M22" t="str">
        <f>TRIM(Table6[[#This Row],[District]])&amp;"|"&amp;TRIM(Table6[[#This Row],[Upazila]])</f>
        <v>Dinajpur|Hakimpur</v>
      </c>
      <c r="N22" t="str">
        <f>_xlfn.XLOOKUP(B22,Remittance_Data!A:A,Remittance_Data!B:B,"CHECK")</f>
        <v>CHECK</v>
      </c>
      <c r="O22" t="str">
        <f>_xlfn.XLOOKUP(B22,Remittance_Data!A:A,Remittance_Data!C:C,"CHECK")</f>
        <v>CHECK</v>
      </c>
      <c r="P22" t="str">
        <f>_xlfn.XLOOKUP(B22,Remittance_Data!A:A,Remittance_Data!D:D,"CHECK")</f>
        <v>CHECK</v>
      </c>
    </row>
    <row r="23" spans="1:16">
      <c r="A23" t="s">
        <v>46</v>
      </c>
      <c r="B23" t="str">
        <f>SUBSTITUTE(SUBSTITUTE(SUBSTITUTE(SUBSTITUTE(TRIM(Table6[[#This Row],[Constituency]]),"Barisal","Barishal"),"Jessore","Jashore"),"Bogra","Bogura"),"Chapai Nawabganj","Chapainawabganj")</f>
        <v>Dinajpur-6</v>
      </c>
      <c r="C23" t="s">
        <v>939</v>
      </c>
      <c r="D23" t="s">
        <v>929</v>
      </c>
      <c r="E23">
        <f>_xlfn.XLOOKUP(C23,Population_data!B:B,Population_data!C:C,"")</f>
        <v>280.13</v>
      </c>
      <c r="F23">
        <f>_xlfn.XLOOKUP(C23,Population_data!B:B,Population_data!D:D,"")</f>
        <v>348786</v>
      </c>
      <c r="G23">
        <f>_xlfn.XLOOKUP(C23,Population_data!B:B,Population_data!E:E,"")</f>
        <v>1245.0899999999999</v>
      </c>
      <c r="H23">
        <f>_xlfn.XLOOKUP(C23,Population_data!B:B,Population_data!F:F,"")</f>
        <v>3.81</v>
      </c>
      <c r="I23">
        <f>_xlfn.XLOOKUP(C23,Population_data!B:B,Population_data!G:G,"")</f>
        <v>79.27</v>
      </c>
      <c r="J23" t="str">
        <f>_xlfn.XLOOKUP(D23,District_Crime_Unit_Map!A:A,District_Crime_Unit_Map!B:B,"")</f>
        <v>Rangpur Range</v>
      </c>
      <c r="K23">
        <f>_xlfn.XLOOKUP(J23,Crime_Data!A:A,Crime_Data!V:V,"")</f>
        <v>101.90869513385242</v>
      </c>
      <c r="L23">
        <f>_xlfn.XLOOKUP(J23,Crime_Data!A:A,Crime_Data!W:W,"")</f>
        <v>15.175373179583827</v>
      </c>
      <c r="M23" t="str">
        <f>TRIM(Table6[[#This Row],[District]])&amp;"|"&amp;TRIM(Table6[[#This Row],[Upazila]])</f>
        <v>Dinajpur|Nawabganj</v>
      </c>
      <c r="N23" t="str">
        <f>_xlfn.XLOOKUP(B23,Remittance_Data!A:A,Remittance_Data!B:B,"CHECK")</f>
        <v>CHECK</v>
      </c>
      <c r="O23" t="str">
        <f>_xlfn.XLOOKUP(B23,Remittance_Data!A:A,Remittance_Data!C:C,"CHECK")</f>
        <v>CHECK</v>
      </c>
      <c r="P23" t="str">
        <f>_xlfn.XLOOKUP(B23,Remittance_Data!A:A,Remittance_Data!D:D,"CHECK")</f>
        <v>CHECK</v>
      </c>
    </row>
    <row r="24" spans="1:16">
      <c r="A24" t="s">
        <v>46</v>
      </c>
      <c r="B24" t="str">
        <f>SUBSTITUTE(SUBSTITUTE(SUBSTITUTE(SUBSTITUTE(TRIM(Table6[[#This Row],[Constituency]]),"Barisal","Barishal"),"Jessore","Jashore"),"Bogra","Bogura"),"Chapai Nawabganj","Chapainawabganj")</f>
        <v>Dinajpur-6</v>
      </c>
      <c r="C24" t="s">
        <v>940</v>
      </c>
      <c r="D24" t="s">
        <v>929</v>
      </c>
      <c r="E24">
        <f>_xlfn.XLOOKUP(C24,Population_data!B:B,Population_data!C:C,"")</f>
        <v>247.84</v>
      </c>
      <c r="F24">
        <f>_xlfn.XLOOKUP(C24,Population_data!B:B,Population_data!D:D,"")</f>
        <v>131408</v>
      </c>
      <c r="G24">
        <f>_xlfn.XLOOKUP(C24,Population_data!B:B,Population_data!E:E,"")</f>
        <v>530.21</v>
      </c>
      <c r="H24">
        <f>_xlfn.XLOOKUP(C24,Population_data!B:B,Population_data!F:F,"")</f>
        <v>3.66</v>
      </c>
      <c r="I24">
        <f>_xlfn.XLOOKUP(C24,Population_data!B:B,Population_data!G:G,"")</f>
        <v>70.53</v>
      </c>
      <c r="J24" t="str">
        <f>_xlfn.XLOOKUP(D24,District_Crime_Unit_Map!A:A,District_Crime_Unit_Map!B:B,"")</f>
        <v>Rangpur Range</v>
      </c>
      <c r="K24">
        <f>_xlfn.XLOOKUP(J24,Crime_Data!A:A,Crime_Data!V:V,"")</f>
        <v>101.90869513385242</v>
      </c>
      <c r="L24">
        <f>_xlfn.XLOOKUP(J24,Crime_Data!A:A,Crime_Data!W:W,"")</f>
        <v>15.175373179583827</v>
      </c>
      <c r="M24" t="str">
        <f>TRIM(Table6[[#This Row],[District]])&amp;"|"&amp;TRIM(Table6[[#This Row],[Upazila]])</f>
        <v>Dinajpur|Ghoraghat</v>
      </c>
      <c r="N24" t="str">
        <f>_xlfn.XLOOKUP(B24,Remittance_Data!A:A,Remittance_Data!B:B,"CHECK")</f>
        <v>CHECK</v>
      </c>
      <c r="O24" t="str">
        <f>_xlfn.XLOOKUP(B24,Remittance_Data!A:A,Remittance_Data!C:C,"CHECK")</f>
        <v>CHECK</v>
      </c>
      <c r="P24" t="str">
        <f>_xlfn.XLOOKUP(B24,Remittance_Data!A:A,Remittance_Data!D:D,"CHECK")</f>
        <v>CHECK</v>
      </c>
    </row>
    <row r="25" spans="1:16">
      <c r="A25" t="s">
        <v>49</v>
      </c>
      <c r="B25" t="str">
        <f>SUBSTITUTE(SUBSTITUTE(SUBSTITUTE(SUBSTITUTE(TRIM(Table6[[#This Row],[Constituency]]),"Barisal","Barishal"),"Jessore","Jashore"),"Bogra","Bogura"),"Chapai Nawabganj","Chapainawabganj")</f>
        <v>Nilphamari-1</v>
      </c>
      <c r="C25" t="s">
        <v>941</v>
      </c>
      <c r="D25" t="s">
        <v>942</v>
      </c>
      <c r="E25">
        <f>_xlfn.XLOOKUP(C25,Population_data!B:B,Population_data!C:C,"")</f>
        <v>330.79</v>
      </c>
      <c r="F25">
        <f>_xlfn.XLOOKUP(C25,Population_data!B:B,Population_data!D:D,"")</f>
        <v>316838</v>
      </c>
      <c r="G25">
        <f>_xlfn.XLOOKUP(C25,Population_data!B:B,Population_data!E:E,"")</f>
        <v>957.82</v>
      </c>
      <c r="H25">
        <f>_xlfn.XLOOKUP(C25,Population_data!B:B,Population_data!F:F,"")</f>
        <v>4.1399999999999997</v>
      </c>
      <c r="I25">
        <f>_xlfn.XLOOKUP(C25,Population_data!B:B,Population_data!G:G,"")</f>
        <v>67.64</v>
      </c>
      <c r="J25" t="str">
        <f>_xlfn.XLOOKUP(D25,District_Crime_Unit_Map!A:A,District_Crime_Unit_Map!B:B,"")</f>
        <v>Rangpur Range</v>
      </c>
      <c r="K25">
        <f>_xlfn.XLOOKUP(J25,Crime_Data!A:A,Crime_Data!V:V,"")</f>
        <v>101.90869513385242</v>
      </c>
      <c r="L25">
        <f>_xlfn.XLOOKUP(J25,Crime_Data!A:A,Crime_Data!W:W,"")</f>
        <v>15.175373179583827</v>
      </c>
      <c r="M25" t="str">
        <f>TRIM(Table6[[#This Row],[District]])&amp;"|"&amp;TRIM(Table6[[#This Row],[Upazila]])</f>
        <v>Nilphamari|Dimla</v>
      </c>
      <c r="N25" t="str">
        <f>_xlfn.XLOOKUP(B25,Remittance_Data!A:A,Remittance_Data!B:B,"CHECK")</f>
        <v>CHECK</v>
      </c>
      <c r="O25" t="str">
        <f>_xlfn.XLOOKUP(B25,Remittance_Data!A:A,Remittance_Data!C:C,"CHECK")</f>
        <v>CHECK</v>
      </c>
      <c r="P25" t="str">
        <f>_xlfn.XLOOKUP(B25,Remittance_Data!A:A,Remittance_Data!D:D,"CHECK")</f>
        <v>CHECK</v>
      </c>
    </row>
    <row r="26" spans="1:16">
      <c r="A26" t="s">
        <v>49</v>
      </c>
      <c r="B26" t="str">
        <f>SUBSTITUTE(SUBSTITUTE(SUBSTITUTE(SUBSTITUTE(TRIM(Table6[[#This Row],[Constituency]]),"Barisal","Barishal"),"Jessore","Jashore"),"Bogra","Bogura"),"Chapai Nawabganj","Chapainawabganj")</f>
        <v>Nilphamari-1</v>
      </c>
      <c r="C26" t="s">
        <v>943</v>
      </c>
      <c r="D26" t="s">
        <v>942</v>
      </c>
      <c r="E26">
        <f>_xlfn.XLOOKUP(C26,Population_data!B:B,Population_data!C:C,"")</f>
        <v>191.72</v>
      </c>
      <c r="F26">
        <f>_xlfn.XLOOKUP(C26,Population_data!B:B,Population_data!D:D,"")</f>
        <v>386790</v>
      </c>
      <c r="G26">
        <f>_xlfn.XLOOKUP(C26,Population_data!B:B,Population_data!E:E,"")</f>
        <v>2017.47</v>
      </c>
      <c r="H26">
        <f>_xlfn.XLOOKUP(C26,Population_data!B:B,Population_data!F:F,"")</f>
        <v>4.0999999999999996</v>
      </c>
      <c r="I26">
        <f>_xlfn.XLOOKUP(C26,Population_data!B:B,Population_data!G:G,"")</f>
        <v>66.47</v>
      </c>
      <c r="J26" t="str">
        <f>_xlfn.XLOOKUP(D26,District_Crime_Unit_Map!A:A,District_Crime_Unit_Map!B:B,"")</f>
        <v>Rangpur Range</v>
      </c>
      <c r="K26">
        <f>_xlfn.XLOOKUP(J26,Crime_Data!A:A,Crime_Data!V:V,"")</f>
        <v>101.90869513385242</v>
      </c>
      <c r="L26">
        <f>_xlfn.XLOOKUP(J26,Crime_Data!A:A,Crime_Data!W:W,"")</f>
        <v>15.175373179583827</v>
      </c>
      <c r="M26" t="str">
        <f>TRIM(Table6[[#This Row],[District]])&amp;"|"&amp;TRIM(Table6[[#This Row],[Upazila]])</f>
        <v>Nilphamari|Jaldhaka</v>
      </c>
      <c r="N26" t="str">
        <f>_xlfn.XLOOKUP(B26,Remittance_Data!A:A,Remittance_Data!B:B,"CHECK")</f>
        <v>CHECK</v>
      </c>
      <c r="O26" t="str">
        <f>_xlfn.XLOOKUP(B26,Remittance_Data!A:A,Remittance_Data!C:C,"CHECK")</f>
        <v>CHECK</v>
      </c>
      <c r="P26" t="str">
        <f>_xlfn.XLOOKUP(B26,Remittance_Data!A:A,Remittance_Data!D:D,"CHECK")</f>
        <v>CHECK</v>
      </c>
    </row>
    <row r="27" spans="1:16">
      <c r="A27" t="s">
        <v>52</v>
      </c>
      <c r="B27" t="str">
        <f>SUBSTITUTE(SUBSTITUTE(SUBSTITUTE(SUBSTITUTE(TRIM(Table6[[#This Row],[Constituency]]),"Barisal","Barishal"),"Jessore","Jashore"),"Bogra","Bogura"),"Chapai Nawabganj","Chapainawabganj")</f>
        <v>Nilphamari-2</v>
      </c>
      <c r="C27" t="s">
        <v>944</v>
      </c>
      <c r="D27" t="s">
        <v>942</v>
      </c>
      <c r="E27">
        <f>_xlfn.XLOOKUP(C27,Population_data!B:B,Population_data!C:C,"")</f>
        <v>314.52999999999997</v>
      </c>
      <c r="F27">
        <f>_xlfn.XLOOKUP(C27,Population_data!B:B,Population_data!D:D,"")</f>
        <v>523950</v>
      </c>
      <c r="G27">
        <f>_xlfn.XLOOKUP(C27,Population_data!B:B,Population_data!E:E,"")</f>
        <v>1665.82</v>
      </c>
      <c r="H27">
        <f>_xlfn.XLOOKUP(C27,Population_data!B:B,Population_data!F:F,"")</f>
        <v>4.17</v>
      </c>
      <c r="I27">
        <f>_xlfn.XLOOKUP(C27,Population_data!B:B,Population_data!G:G,"")</f>
        <v>69.790000000000006</v>
      </c>
      <c r="J27" t="str">
        <f>_xlfn.XLOOKUP(D27,District_Crime_Unit_Map!A:A,District_Crime_Unit_Map!B:B,"")</f>
        <v>Rangpur Range</v>
      </c>
      <c r="K27">
        <f>_xlfn.XLOOKUP(J27,Crime_Data!A:A,Crime_Data!V:V,"")</f>
        <v>101.90869513385242</v>
      </c>
      <c r="L27">
        <f>_xlfn.XLOOKUP(J27,Crime_Data!A:A,Crime_Data!W:W,"")</f>
        <v>15.175373179583827</v>
      </c>
      <c r="M27" t="str">
        <f>TRIM(Table6[[#This Row],[District]])&amp;"|"&amp;TRIM(Table6[[#This Row],[Upazila]])</f>
        <v>Nilphamari|Nilphamari Sadar</v>
      </c>
      <c r="N27" t="str">
        <f>_xlfn.XLOOKUP(B27,Remittance_Data!A:A,Remittance_Data!B:B,"CHECK")</f>
        <v>CHECK</v>
      </c>
      <c r="O27" t="str">
        <f>_xlfn.XLOOKUP(B27,Remittance_Data!A:A,Remittance_Data!C:C,"CHECK")</f>
        <v>CHECK</v>
      </c>
      <c r="P27" t="str">
        <f>_xlfn.XLOOKUP(B27,Remittance_Data!A:A,Remittance_Data!D:D,"CHECK")</f>
        <v>CHECK</v>
      </c>
    </row>
    <row r="28" spans="1:16">
      <c r="A28" t="s">
        <v>55</v>
      </c>
      <c r="B28" t="str">
        <f>SUBSTITUTE(SUBSTITUTE(SUBSTITUTE(SUBSTITUTE(TRIM(Table6[[#This Row],[Constituency]]),"Barisal","Barishal"),"Jessore","Jashore"),"Bogra","Bogura"),"Chapai Nawabganj","Chapainawabganj")</f>
        <v>Nilphamari-3</v>
      </c>
      <c r="C28" t="s">
        <v>945</v>
      </c>
      <c r="D28" t="s">
        <v>942</v>
      </c>
      <c r="E28">
        <f>_xlfn.XLOOKUP(C28,Population_data!B:B,Population_data!C:C,"")</f>
        <v>307.70999999999998</v>
      </c>
      <c r="F28">
        <f>_xlfn.XLOOKUP(C28,Population_data!B:B,Population_data!D:D,"")</f>
        <v>269322</v>
      </c>
      <c r="G28">
        <f>_xlfn.XLOOKUP(C28,Population_data!B:B,Population_data!E:E,"")</f>
        <v>875.25</v>
      </c>
      <c r="H28">
        <f>_xlfn.XLOOKUP(C28,Population_data!B:B,Population_data!F:F,"")</f>
        <v>3.89</v>
      </c>
      <c r="I28">
        <f>_xlfn.XLOOKUP(C28,Population_data!B:B,Population_data!G:G,"")</f>
        <v>63.82</v>
      </c>
      <c r="J28" t="str">
        <f>_xlfn.XLOOKUP(D28,District_Crime_Unit_Map!A:A,District_Crime_Unit_Map!B:B,"")</f>
        <v>Rangpur Range</v>
      </c>
      <c r="K28">
        <f>_xlfn.XLOOKUP(J28,Crime_Data!A:A,Crime_Data!V:V,"")</f>
        <v>101.90869513385242</v>
      </c>
      <c r="L28">
        <f>_xlfn.XLOOKUP(J28,Crime_Data!A:A,Crime_Data!W:W,"")</f>
        <v>15.175373179583827</v>
      </c>
      <c r="M28" t="str">
        <f>TRIM(Table6[[#This Row],[District]])&amp;"|"&amp;TRIM(Table6[[#This Row],[Upazila]])</f>
        <v>Nilphamari|Kishoreganj</v>
      </c>
      <c r="N28" t="str">
        <f>_xlfn.XLOOKUP(B28,Remittance_Data!A:A,Remittance_Data!B:B,"CHECK")</f>
        <v>CHECK</v>
      </c>
      <c r="O28" t="str">
        <f>_xlfn.XLOOKUP(B28,Remittance_Data!A:A,Remittance_Data!C:C,"CHECK")</f>
        <v>CHECK</v>
      </c>
      <c r="P28" t="str">
        <f>_xlfn.XLOOKUP(B28,Remittance_Data!A:A,Remittance_Data!D:D,"CHECK")</f>
        <v>CHECK</v>
      </c>
    </row>
    <row r="29" spans="1:16">
      <c r="A29" t="s">
        <v>55</v>
      </c>
      <c r="B29" t="str">
        <f>SUBSTITUTE(SUBSTITUTE(SUBSTITUTE(SUBSTITUTE(TRIM(Table6[[#This Row],[Constituency]]),"Barisal","Barishal"),"Jessore","Jashore"),"Bogra","Bogura"),"Chapai Nawabganj","Chapainawabganj")</f>
        <v>Nilphamari-3</v>
      </c>
      <c r="C29" t="s">
        <v>947</v>
      </c>
      <c r="D29" t="s">
        <v>942</v>
      </c>
      <c r="E29">
        <f>_xlfn.XLOOKUP(C29,Population_data!B:B,Population_data!C:C,"")</f>
        <v>209.61</v>
      </c>
      <c r="F29">
        <f>_xlfn.XLOOKUP(C29,Population_data!B:B,Population_data!D:D,"")</f>
        <v>312988</v>
      </c>
      <c r="G29">
        <f>_xlfn.XLOOKUP(C29,Population_data!B:B,Population_data!E:E,"")</f>
        <v>1493.19</v>
      </c>
      <c r="H29">
        <f>_xlfn.XLOOKUP(C29,Population_data!B:B,Population_data!F:F,"")</f>
        <v>4.1900000000000004</v>
      </c>
      <c r="I29">
        <f>_xlfn.XLOOKUP(C29,Population_data!B:B,Population_data!G:G,"")</f>
        <v>74.069999999999993</v>
      </c>
      <c r="J29" t="str">
        <f>_xlfn.XLOOKUP(D29,District_Crime_Unit_Map!A:A,District_Crime_Unit_Map!B:B,"")</f>
        <v>Rangpur Range</v>
      </c>
      <c r="K29">
        <f>_xlfn.XLOOKUP(J29,Crime_Data!A:A,Crime_Data!V:V,"")</f>
        <v>101.90869513385242</v>
      </c>
      <c r="L29">
        <f>_xlfn.XLOOKUP(J29,Crime_Data!A:A,Crime_Data!W:W,"")</f>
        <v>15.175373179583827</v>
      </c>
      <c r="M29" t="str">
        <f>TRIM(Table6[[#This Row],[District]])&amp;"|"&amp;TRIM(Table6[[#This Row],[Upazila]])</f>
        <v>Nilphamari|Syedpur</v>
      </c>
      <c r="N29" t="str">
        <f>_xlfn.XLOOKUP(B29,Remittance_Data!A:A,Remittance_Data!B:B,"CHECK")</f>
        <v>CHECK</v>
      </c>
      <c r="O29" t="str">
        <f>_xlfn.XLOOKUP(B29,Remittance_Data!A:A,Remittance_Data!C:C,"CHECK")</f>
        <v>CHECK</v>
      </c>
      <c r="P29" t="str">
        <f>_xlfn.XLOOKUP(B29,Remittance_Data!A:A,Remittance_Data!D:D,"CHECK")</f>
        <v>CHECK</v>
      </c>
    </row>
    <row r="30" spans="1:16">
      <c r="A30" t="s">
        <v>58</v>
      </c>
      <c r="B30" t="str">
        <f>SUBSTITUTE(SUBSTITUTE(SUBSTITUTE(SUBSTITUTE(TRIM(Table6[[#This Row],[Constituency]]),"Barisal","Barishal"),"Jessore","Jashore"),"Bogra","Bogura"),"Chapai Nawabganj","Chapainawabganj")</f>
        <v>Nilphamari-4</v>
      </c>
      <c r="C30" t="s">
        <v>947</v>
      </c>
      <c r="D30" t="s">
        <v>942</v>
      </c>
      <c r="E30">
        <f>_xlfn.XLOOKUP(C30,Population_data!B:B,Population_data!C:C,"")</f>
        <v>209.61</v>
      </c>
      <c r="F30">
        <f>_xlfn.XLOOKUP(C30,Population_data!B:B,Population_data!D:D,"")</f>
        <v>312988</v>
      </c>
      <c r="G30">
        <f>_xlfn.XLOOKUP(C30,Population_data!B:B,Population_data!E:E,"")</f>
        <v>1493.19</v>
      </c>
      <c r="H30">
        <f>_xlfn.XLOOKUP(C30,Population_data!B:B,Population_data!F:F,"")</f>
        <v>4.1900000000000004</v>
      </c>
      <c r="I30">
        <f>_xlfn.XLOOKUP(C30,Population_data!B:B,Population_data!G:G,"")</f>
        <v>74.069999999999993</v>
      </c>
      <c r="J30" t="str">
        <f>_xlfn.XLOOKUP(D30,District_Crime_Unit_Map!A:A,District_Crime_Unit_Map!B:B,"")</f>
        <v>Rangpur Range</v>
      </c>
      <c r="K30">
        <f>_xlfn.XLOOKUP(J30,Crime_Data!A:A,Crime_Data!V:V,"")</f>
        <v>101.90869513385242</v>
      </c>
      <c r="L30">
        <f>_xlfn.XLOOKUP(J30,Crime_Data!A:A,Crime_Data!W:W,"")</f>
        <v>15.175373179583827</v>
      </c>
      <c r="M30" t="str">
        <f>TRIM(Table6[[#This Row],[District]])&amp;"|"&amp;TRIM(Table6[[#This Row],[Upazila]])</f>
        <v>Nilphamari|Syedpur</v>
      </c>
      <c r="N30" t="str">
        <f>_xlfn.XLOOKUP(B30,Remittance_Data!A:A,Remittance_Data!B:B,"CHECK")</f>
        <v>CHECK</v>
      </c>
      <c r="O30" t="str">
        <f>_xlfn.XLOOKUP(B30,Remittance_Data!A:A,Remittance_Data!C:C,"CHECK")</f>
        <v>CHECK</v>
      </c>
      <c r="P30" t="str">
        <f>_xlfn.XLOOKUP(B30,Remittance_Data!A:A,Remittance_Data!D:D,"CHECK")</f>
        <v>CHECK</v>
      </c>
    </row>
    <row r="31" spans="1:16">
      <c r="A31" t="s">
        <v>61</v>
      </c>
      <c r="B31" t="str">
        <f>SUBSTITUTE(SUBSTITUTE(SUBSTITUTE(SUBSTITUTE(TRIM(Table6[[#This Row],[Constituency]]),"Barisal","Barishal"),"Jessore","Jashore"),"Bogra","Bogura"),"Chapai Nawabganj","Chapainawabganj")</f>
        <v>Lalmonirhat-1</v>
      </c>
      <c r="C31" t="s">
        <v>948</v>
      </c>
      <c r="D31" t="s">
        <v>949</v>
      </c>
      <c r="E31">
        <f>_xlfn.XLOOKUP(C31,Population_data!B:B,Population_data!C:C,"")</f>
        <v>147.63</v>
      </c>
      <c r="F31">
        <f>_xlfn.XLOOKUP(C31,Population_data!B:B,Population_data!D:D,"")</f>
        <v>262573</v>
      </c>
      <c r="G31">
        <f>_xlfn.XLOOKUP(C31,Population_data!B:B,Population_data!E:E,"")</f>
        <v>1778.59</v>
      </c>
      <c r="H31">
        <f>_xlfn.XLOOKUP(C31,Population_data!B:B,Population_data!F:F,"")</f>
        <v>4.5199999999999996</v>
      </c>
      <c r="I31">
        <f>_xlfn.XLOOKUP(C31,Population_data!B:B,Population_data!G:G,"")</f>
        <v>73.45</v>
      </c>
      <c r="J31" t="str">
        <f>_xlfn.XLOOKUP(D31,District_Crime_Unit_Map!A:A,District_Crime_Unit_Map!B:B,"")</f>
        <v>Rangpur Range</v>
      </c>
      <c r="K31">
        <f>_xlfn.XLOOKUP(J31,Crime_Data!A:A,Crime_Data!V:V,"")</f>
        <v>101.90869513385242</v>
      </c>
      <c r="L31">
        <f>_xlfn.XLOOKUP(J31,Crime_Data!A:A,Crime_Data!W:W,"")</f>
        <v>15.175373179583827</v>
      </c>
      <c r="M31" t="str">
        <f>TRIM(Table6[[#This Row],[District]])&amp;"|"&amp;TRIM(Table6[[#This Row],[Upazila]])</f>
        <v>Lalmonirhat|Patgram</v>
      </c>
      <c r="N31" t="str">
        <f>_xlfn.XLOOKUP(B31,Remittance_Data!A:A,Remittance_Data!B:B,"CHECK")</f>
        <v>CHECK</v>
      </c>
      <c r="O31" t="str">
        <f>_xlfn.XLOOKUP(B31,Remittance_Data!A:A,Remittance_Data!C:C,"CHECK")</f>
        <v>CHECK</v>
      </c>
      <c r="P31" t="str">
        <f>_xlfn.XLOOKUP(B31,Remittance_Data!A:A,Remittance_Data!D:D,"CHECK")</f>
        <v>CHECK</v>
      </c>
    </row>
    <row r="32" spans="1:16">
      <c r="A32" t="s">
        <v>61</v>
      </c>
      <c r="B32" t="str">
        <f>SUBSTITUTE(SUBSTITUTE(SUBSTITUTE(SUBSTITUTE(TRIM(Table6[[#This Row],[Constituency]]),"Barisal","Barishal"),"Jessore","Jashore"),"Bogra","Bogura"),"Chapai Nawabganj","Chapainawabganj")</f>
        <v>Lalmonirhat-1</v>
      </c>
      <c r="C32" t="s">
        <v>950</v>
      </c>
      <c r="D32" t="s">
        <v>949</v>
      </c>
      <c r="E32">
        <f>_xlfn.XLOOKUP(C32,Population_data!B:B,Population_data!C:C,"")</f>
        <v>288.42</v>
      </c>
      <c r="F32">
        <f>_xlfn.XLOOKUP(C32,Population_data!B:B,Population_data!D:D,"")</f>
        <v>264098</v>
      </c>
      <c r="G32">
        <f>_xlfn.XLOOKUP(C32,Population_data!B:B,Population_data!E:E,"")</f>
        <v>915.67</v>
      </c>
      <c r="H32">
        <f>_xlfn.XLOOKUP(C32,Population_data!B:B,Population_data!F:F,"")</f>
        <v>4.1500000000000004</v>
      </c>
      <c r="I32">
        <f>_xlfn.XLOOKUP(C32,Population_data!B:B,Population_data!G:G,"")</f>
        <v>71.92</v>
      </c>
      <c r="J32" t="str">
        <f>_xlfn.XLOOKUP(D32,District_Crime_Unit_Map!A:A,District_Crime_Unit_Map!B:B,"")</f>
        <v>Rangpur Range</v>
      </c>
      <c r="K32">
        <f>_xlfn.XLOOKUP(J32,Crime_Data!A:A,Crime_Data!V:V,"")</f>
        <v>101.90869513385242</v>
      </c>
      <c r="L32">
        <f>_xlfn.XLOOKUP(J32,Crime_Data!A:A,Crime_Data!W:W,"")</f>
        <v>15.175373179583827</v>
      </c>
      <c r="M32" t="str">
        <f>TRIM(Table6[[#This Row],[District]])&amp;"|"&amp;TRIM(Table6[[#This Row],[Upazila]])</f>
        <v>Lalmonirhat|Hatibandha</v>
      </c>
      <c r="N32" t="str">
        <f>_xlfn.XLOOKUP(B32,Remittance_Data!A:A,Remittance_Data!B:B,"CHECK")</f>
        <v>CHECK</v>
      </c>
      <c r="O32" t="str">
        <f>_xlfn.XLOOKUP(B32,Remittance_Data!A:A,Remittance_Data!C:C,"CHECK")</f>
        <v>CHECK</v>
      </c>
      <c r="P32" t="str">
        <f>_xlfn.XLOOKUP(B32,Remittance_Data!A:A,Remittance_Data!D:D,"CHECK")</f>
        <v>CHECK</v>
      </c>
    </row>
    <row r="33" spans="1:16">
      <c r="A33" t="s">
        <v>64</v>
      </c>
      <c r="B33" t="str">
        <f>SUBSTITUTE(SUBSTITUTE(SUBSTITUTE(SUBSTITUTE(TRIM(Table6[[#This Row],[Constituency]]),"Barisal","Barishal"),"Jessore","Jashore"),"Bogra","Bogura"),"Chapai Nawabganj","Chapainawabganj")</f>
        <v>Lalmonirhat-2</v>
      </c>
      <c r="C33" t="s">
        <v>951</v>
      </c>
      <c r="D33" t="s">
        <v>949</v>
      </c>
      <c r="E33">
        <f>_xlfn.XLOOKUP(C33,Population_data!B:B,Population_data!C:C,"")</f>
        <v>225.38</v>
      </c>
      <c r="F33">
        <f>_xlfn.XLOOKUP(C33,Population_data!B:B,Population_data!D:D,"")</f>
        <v>373463</v>
      </c>
      <c r="G33">
        <f>_xlfn.XLOOKUP(C33,Population_data!B:B,Population_data!E:E,"")</f>
        <v>1657.04</v>
      </c>
      <c r="H33">
        <f>_xlfn.XLOOKUP(C33,Population_data!B:B,Population_data!F:F,"")</f>
        <v>4.0199999999999996</v>
      </c>
      <c r="I33">
        <f>_xlfn.XLOOKUP(C33,Population_data!B:B,Population_data!G:G,"")</f>
        <v>69.11</v>
      </c>
      <c r="J33" t="str">
        <f>_xlfn.XLOOKUP(D33,District_Crime_Unit_Map!A:A,District_Crime_Unit_Map!B:B,"")</f>
        <v>Rangpur Range</v>
      </c>
      <c r="K33">
        <f>_xlfn.XLOOKUP(J33,Crime_Data!A:A,Crime_Data!V:V,"")</f>
        <v>101.90869513385242</v>
      </c>
      <c r="L33">
        <f>_xlfn.XLOOKUP(J33,Crime_Data!A:A,Crime_Data!W:W,"")</f>
        <v>15.175373179583827</v>
      </c>
      <c r="M33" t="str">
        <f>TRIM(Table6[[#This Row],[District]])&amp;"|"&amp;TRIM(Table6[[#This Row],[Upazila]])</f>
        <v>Lalmonirhat|Lalmonirhat Sadar</v>
      </c>
      <c r="N33" t="str">
        <f>_xlfn.XLOOKUP(B33,Remittance_Data!A:A,Remittance_Data!B:B,"CHECK")</f>
        <v>CHECK</v>
      </c>
      <c r="O33" t="str">
        <f>_xlfn.XLOOKUP(B33,Remittance_Data!A:A,Remittance_Data!C:C,"CHECK")</f>
        <v>CHECK</v>
      </c>
      <c r="P33" t="str">
        <f>_xlfn.XLOOKUP(B33,Remittance_Data!A:A,Remittance_Data!D:D,"CHECK")</f>
        <v>CHECK</v>
      </c>
    </row>
    <row r="34" spans="1:16">
      <c r="A34" t="s">
        <v>64</v>
      </c>
      <c r="B34" t="str">
        <f>SUBSTITUTE(SUBSTITUTE(SUBSTITUTE(SUBSTITUTE(TRIM(Table6[[#This Row],[Constituency]]),"Barisal","Barishal"),"Jessore","Jashore"),"Bogra","Bogura"),"Chapai Nawabganj","Chapainawabganj")</f>
        <v>Lalmonirhat-2</v>
      </c>
      <c r="C34" t="s">
        <v>952</v>
      </c>
      <c r="D34" t="s">
        <v>949</v>
      </c>
      <c r="E34">
        <f>_xlfn.XLOOKUP(C34,Population_data!B:B,Population_data!C:C,"")</f>
        <v>236.67</v>
      </c>
      <c r="F34">
        <f>_xlfn.XLOOKUP(C34,Population_data!B:B,Population_data!D:D,"")</f>
        <v>310943</v>
      </c>
      <c r="G34">
        <f>_xlfn.XLOOKUP(C34,Population_data!B:B,Population_data!E:E,"")</f>
        <v>1313.83</v>
      </c>
      <c r="H34">
        <f>_xlfn.XLOOKUP(C34,Population_data!B:B,Population_data!F:F,"")</f>
        <v>3.97</v>
      </c>
      <c r="I34">
        <f>_xlfn.XLOOKUP(C34,Population_data!B:B,Population_data!G:G,"")</f>
        <v>79.58</v>
      </c>
      <c r="J34" t="str">
        <f>_xlfn.XLOOKUP(D34,District_Crime_Unit_Map!A:A,District_Crime_Unit_Map!B:B,"")</f>
        <v>Rangpur Range</v>
      </c>
      <c r="K34">
        <f>_xlfn.XLOOKUP(J34,Crime_Data!A:A,Crime_Data!V:V,"")</f>
        <v>101.90869513385242</v>
      </c>
      <c r="L34">
        <f>_xlfn.XLOOKUP(J34,Crime_Data!A:A,Crime_Data!W:W,"")</f>
        <v>15.175373179583827</v>
      </c>
      <c r="M34" t="str">
        <f>TRIM(Table6[[#This Row],[District]])&amp;"|"&amp;TRIM(Table6[[#This Row],[Upazila]])</f>
        <v>Lalmonirhat|Kaliganj</v>
      </c>
      <c r="N34" t="str">
        <f>_xlfn.XLOOKUP(B34,Remittance_Data!A:A,Remittance_Data!B:B,"CHECK")</f>
        <v>CHECK</v>
      </c>
      <c r="O34" t="str">
        <f>_xlfn.XLOOKUP(B34,Remittance_Data!A:A,Remittance_Data!C:C,"CHECK")</f>
        <v>CHECK</v>
      </c>
      <c r="P34" t="str">
        <f>_xlfn.XLOOKUP(B34,Remittance_Data!A:A,Remittance_Data!D:D,"CHECK")</f>
        <v>CHECK</v>
      </c>
    </row>
    <row r="35" spans="1:16">
      <c r="A35" t="s">
        <v>67</v>
      </c>
      <c r="B35" t="str">
        <f>SUBSTITUTE(SUBSTITUTE(SUBSTITUTE(SUBSTITUTE(TRIM(Table6[[#This Row],[Constituency]]),"Barisal","Barishal"),"Jessore","Jashore"),"Bogra","Bogura"),"Chapai Nawabganj","Chapainawabganj")</f>
        <v>Lalmonirhat-3</v>
      </c>
      <c r="C35" t="s">
        <v>953</v>
      </c>
      <c r="D35" t="s">
        <v>949</v>
      </c>
      <c r="E35">
        <f>_xlfn.XLOOKUP(C35,Population_data!B:B,Population_data!C:C,"")</f>
        <v>189.42</v>
      </c>
      <c r="F35">
        <f>_xlfn.XLOOKUP(C35,Population_data!B:B,Population_data!D:D,"")</f>
        <v>251223</v>
      </c>
      <c r="G35">
        <f>_xlfn.XLOOKUP(C35,Population_data!B:B,Population_data!E:E,"")</f>
        <v>1326.27</v>
      </c>
      <c r="H35">
        <f>_xlfn.XLOOKUP(C35,Population_data!B:B,Population_data!F:F,"")</f>
        <v>4.0999999999999996</v>
      </c>
      <c r="I35">
        <f>_xlfn.XLOOKUP(C35,Population_data!B:B,Population_data!G:G,"")</f>
        <v>70.34</v>
      </c>
      <c r="J35" t="str">
        <f>_xlfn.XLOOKUP(D35,District_Crime_Unit_Map!A:A,District_Crime_Unit_Map!B:B,"")</f>
        <v>Rangpur Range</v>
      </c>
      <c r="K35">
        <f>_xlfn.XLOOKUP(J35,Crime_Data!A:A,Crime_Data!V:V,"")</f>
        <v>101.90869513385242</v>
      </c>
      <c r="L35">
        <f>_xlfn.XLOOKUP(J35,Crime_Data!A:A,Crime_Data!W:W,"")</f>
        <v>15.175373179583827</v>
      </c>
      <c r="M35" t="str">
        <f>TRIM(Table6[[#This Row],[District]])&amp;"|"&amp;TRIM(Table6[[#This Row],[Upazila]])</f>
        <v>Lalmonirhat|Aditmari</v>
      </c>
      <c r="N35" t="str">
        <f>_xlfn.XLOOKUP(B35,Remittance_Data!A:A,Remittance_Data!B:B,"CHECK")</f>
        <v>CHECK</v>
      </c>
      <c r="O35" t="str">
        <f>_xlfn.XLOOKUP(B35,Remittance_Data!A:A,Remittance_Data!C:C,"CHECK")</f>
        <v>CHECK</v>
      </c>
      <c r="P35" t="str">
        <f>_xlfn.XLOOKUP(B35,Remittance_Data!A:A,Remittance_Data!D:D,"CHECK")</f>
        <v>CHECK</v>
      </c>
    </row>
    <row r="36" spans="1:16">
      <c r="A36" t="s">
        <v>70</v>
      </c>
      <c r="B36" t="str">
        <f>SUBSTITUTE(SUBSTITUTE(SUBSTITUTE(SUBSTITUTE(TRIM(Table6[[#This Row],[Constituency]]),"Barisal","Barishal"),"Jessore","Jashore"),"Bogra","Bogura"),"Chapai Nawabganj","Chapainawabganj")</f>
        <v>Rangpur-1</v>
      </c>
      <c r="C36" t="s">
        <v>954</v>
      </c>
      <c r="D36" t="s">
        <v>11</v>
      </c>
      <c r="E36">
        <f>_xlfn.XLOOKUP(C36,Population_data!B:B,Population_data!C:C,"")</f>
        <v>330.33</v>
      </c>
      <c r="F36">
        <f>_xlfn.XLOOKUP(C36,Population_data!B:B,Population_data!D:D,"")</f>
        <v>286730</v>
      </c>
      <c r="G36">
        <f>_xlfn.XLOOKUP(C36,Population_data!B:B,Population_data!E:E,"")</f>
        <v>868.01</v>
      </c>
      <c r="H36">
        <f>_xlfn.XLOOKUP(C36,Population_data!B:B,Population_data!F:F,"")</f>
        <v>3.84</v>
      </c>
      <c r="I36">
        <f>_xlfn.XLOOKUP(C36,Population_data!B:B,Population_data!G:G,"")</f>
        <v>66.66</v>
      </c>
      <c r="J36" t="str">
        <f>_xlfn.XLOOKUP(D36,District_Crime_Unit_Map!A:A,District_Crime_Unit_Map!B:B,"")</f>
        <v>Rangpur Range</v>
      </c>
      <c r="K36">
        <f>_xlfn.XLOOKUP(J36,Crime_Data!A:A,Crime_Data!V:V,"")</f>
        <v>101.90869513385242</v>
      </c>
      <c r="L36">
        <f>_xlfn.XLOOKUP(J36,Crime_Data!A:A,Crime_Data!W:W,"")</f>
        <v>15.175373179583827</v>
      </c>
      <c r="M36" t="str">
        <f>TRIM(Table6[[#This Row],[District]])&amp;"|"&amp;TRIM(Table6[[#This Row],[Upazila]])</f>
        <v>Rangpur|Gangachara</v>
      </c>
      <c r="N36" t="str">
        <f>_xlfn.XLOOKUP(B36,Remittance_Data!A:A,Remittance_Data!B:B,"CHECK")</f>
        <v>CHECK</v>
      </c>
      <c r="O36" t="str">
        <f>_xlfn.XLOOKUP(B36,Remittance_Data!A:A,Remittance_Data!C:C,"CHECK")</f>
        <v>CHECK</v>
      </c>
      <c r="P36" t="str">
        <f>_xlfn.XLOOKUP(B36,Remittance_Data!A:A,Remittance_Data!D:D,"CHECK")</f>
        <v>CHECK</v>
      </c>
    </row>
    <row r="37" spans="1:16">
      <c r="A37" t="s">
        <v>70</v>
      </c>
      <c r="B37" t="str">
        <f>SUBSTITUTE(SUBSTITUTE(SUBSTITUTE(SUBSTITUTE(TRIM(Table6[[#This Row],[Constituency]]),"Barisal","Barishal"),"Jessore","Jashore"),"Bogra","Bogura"),"Chapai Nawabganj","Chapainawabganj")</f>
        <v>Rangpur-1</v>
      </c>
      <c r="C37" t="s">
        <v>955</v>
      </c>
      <c r="D37" t="s">
        <v>11</v>
      </c>
      <c r="E37">
        <f>_xlfn.XLOOKUP(C37,Population_data!B:B,Population_data!C:C,"")</f>
        <v>236.44</v>
      </c>
      <c r="F37">
        <f>_xlfn.XLOOKUP(C37,Population_data!B:B,Population_data!D:D,"")</f>
        <v>178664</v>
      </c>
      <c r="G37">
        <f>_xlfn.XLOOKUP(C37,Population_data!B:B,Population_data!E:E,"")</f>
        <v>755.64</v>
      </c>
      <c r="H37">
        <f>_xlfn.XLOOKUP(C37,Population_data!B:B,Population_data!F:F,"")</f>
        <v>3.85</v>
      </c>
      <c r="I37">
        <f>_xlfn.XLOOKUP(C37,Population_data!B:B,Population_data!G:G,"")</f>
        <v>68.239999999999995</v>
      </c>
      <c r="J37" t="str">
        <f>_xlfn.XLOOKUP(D37,District_Crime_Unit_Map!A:A,District_Crime_Unit_Map!B:B,"")</f>
        <v>Rangpur Range</v>
      </c>
      <c r="K37">
        <f>_xlfn.XLOOKUP(J37,Crime_Data!A:A,Crime_Data!V:V,"")</f>
        <v>101.90869513385242</v>
      </c>
      <c r="L37">
        <f>_xlfn.XLOOKUP(J37,Crime_Data!A:A,Crime_Data!W:W,"")</f>
        <v>15.175373179583827</v>
      </c>
      <c r="M37" t="str">
        <f>TRIM(Table6[[#This Row],[District]])&amp;"|"&amp;TRIM(Table6[[#This Row],[Upazila]])</f>
        <v>Rangpur|Rangpur Sadar</v>
      </c>
      <c r="N37" t="str">
        <f>_xlfn.XLOOKUP(B37,Remittance_Data!A:A,Remittance_Data!B:B,"CHECK")</f>
        <v>CHECK</v>
      </c>
      <c r="O37" t="str">
        <f>_xlfn.XLOOKUP(B37,Remittance_Data!A:A,Remittance_Data!C:C,"CHECK")</f>
        <v>CHECK</v>
      </c>
      <c r="P37" t="str">
        <f>_xlfn.XLOOKUP(B37,Remittance_Data!A:A,Remittance_Data!D:D,"CHECK")</f>
        <v>CHECK</v>
      </c>
    </row>
    <row r="38" spans="1:16">
      <c r="A38" t="s">
        <v>73</v>
      </c>
      <c r="B38" t="str">
        <f>SUBSTITUTE(SUBSTITUTE(SUBSTITUTE(SUBSTITUTE(TRIM(Table6[[#This Row],[Constituency]]),"Barisal","Barishal"),"Jessore","Jashore"),"Bogra","Bogura"),"Chapai Nawabganj","Chapainawabganj")</f>
        <v>Rangpur-2</v>
      </c>
      <c r="C38" t="s">
        <v>956</v>
      </c>
      <c r="D38" t="s">
        <v>11</v>
      </c>
      <c r="E38">
        <f>_xlfn.XLOOKUP(C38,Population_data!B:B,Population_data!C:C,"")</f>
        <v>197.48</v>
      </c>
      <c r="F38">
        <f>_xlfn.XLOOKUP(C38,Population_data!B:B,Population_data!D:D,"")</f>
        <v>314844</v>
      </c>
      <c r="G38">
        <f>_xlfn.XLOOKUP(C38,Population_data!B:B,Population_data!E:E,"")</f>
        <v>1594.31</v>
      </c>
      <c r="H38">
        <f>_xlfn.XLOOKUP(C38,Population_data!B:B,Population_data!F:F,"")</f>
        <v>3.79</v>
      </c>
      <c r="I38">
        <f>_xlfn.XLOOKUP(C38,Population_data!B:B,Population_data!G:G,"")</f>
        <v>68.319999999999993</v>
      </c>
      <c r="J38" t="str">
        <f>_xlfn.XLOOKUP(D38,District_Crime_Unit_Map!A:A,District_Crime_Unit_Map!B:B,"")</f>
        <v>Rangpur Range</v>
      </c>
      <c r="K38">
        <f>_xlfn.XLOOKUP(J38,Crime_Data!A:A,Crime_Data!V:V,"")</f>
        <v>101.90869513385242</v>
      </c>
      <c r="L38">
        <f>_xlfn.XLOOKUP(J38,Crime_Data!A:A,Crime_Data!W:W,"")</f>
        <v>15.175373179583827</v>
      </c>
      <c r="M38" t="str">
        <f>TRIM(Table6[[#This Row],[District]])&amp;"|"&amp;TRIM(Table6[[#This Row],[Upazila]])</f>
        <v>Rangpur|Badarganj</v>
      </c>
      <c r="N38" t="str">
        <f>_xlfn.XLOOKUP(B38,Remittance_Data!A:A,Remittance_Data!B:B,"CHECK")</f>
        <v>CHECK</v>
      </c>
      <c r="O38" t="str">
        <f>_xlfn.XLOOKUP(B38,Remittance_Data!A:A,Remittance_Data!C:C,"CHECK")</f>
        <v>CHECK</v>
      </c>
      <c r="P38" t="str">
        <f>_xlfn.XLOOKUP(B38,Remittance_Data!A:A,Remittance_Data!D:D,"CHECK")</f>
        <v>CHECK</v>
      </c>
    </row>
    <row r="39" spans="1:16">
      <c r="A39" t="s">
        <v>73</v>
      </c>
      <c r="B39" t="str">
        <f>SUBSTITUTE(SUBSTITUTE(SUBSTITUTE(SUBSTITUTE(TRIM(Table6[[#This Row],[Constituency]]),"Barisal","Barishal"),"Jessore","Jashore"),"Bogra","Bogura"),"Chapai Nawabganj","Chapainawabganj")</f>
        <v>Rangpur-2</v>
      </c>
      <c r="C39" t="s">
        <v>957</v>
      </c>
      <c r="D39" t="s">
        <v>11</v>
      </c>
      <c r="E39">
        <f>_xlfn.XLOOKUP(C39,Population_data!B:B,Population_data!C:C,"")</f>
        <v>201.34</v>
      </c>
      <c r="F39">
        <f>_xlfn.XLOOKUP(C39,Population_data!B:B,Population_data!D:D,"")</f>
        <v>160885</v>
      </c>
      <c r="G39">
        <f>_xlfn.XLOOKUP(C39,Population_data!B:B,Population_data!E:E,"")</f>
        <v>799.07</v>
      </c>
      <c r="H39">
        <f>_xlfn.XLOOKUP(C39,Population_data!B:B,Population_data!F:F,"")</f>
        <v>3.94</v>
      </c>
      <c r="I39">
        <f>_xlfn.XLOOKUP(C39,Population_data!B:B,Population_data!G:G,"")</f>
        <v>68.069999999999993</v>
      </c>
      <c r="J39" t="str">
        <f>_xlfn.XLOOKUP(D39,District_Crime_Unit_Map!A:A,District_Crime_Unit_Map!B:B,"")</f>
        <v>Rangpur Range</v>
      </c>
      <c r="K39">
        <f>_xlfn.XLOOKUP(J39,Crime_Data!A:A,Crime_Data!V:V,"")</f>
        <v>101.90869513385242</v>
      </c>
      <c r="L39">
        <f>_xlfn.XLOOKUP(J39,Crime_Data!A:A,Crime_Data!W:W,"")</f>
        <v>15.175373179583827</v>
      </c>
      <c r="M39" t="str">
        <f>TRIM(Table6[[#This Row],[District]])&amp;"|"&amp;TRIM(Table6[[#This Row],[Upazila]])</f>
        <v>Rangpur|Taraganj</v>
      </c>
      <c r="N39" t="str">
        <f>_xlfn.XLOOKUP(B39,Remittance_Data!A:A,Remittance_Data!B:B,"CHECK")</f>
        <v>CHECK</v>
      </c>
      <c r="O39" t="str">
        <f>_xlfn.XLOOKUP(B39,Remittance_Data!A:A,Remittance_Data!C:C,"CHECK")</f>
        <v>CHECK</v>
      </c>
      <c r="P39" t="str">
        <f>_xlfn.XLOOKUP(B39,Remittance_Data!A:A,Remittance_Data!D:D,"CHECK")</f>
        <v>CHECK</v>
      </c>
    </row>
    <row r="40" spans="1:16">
      <c r="A40" t="s">
        <v>76</v>
      </c>
      <c r="B40" t="str">
        <f>SUBSTITUTE(SUBSTITUTE(SUBSTITUTE(SUBSTITUTE(TRIM(Table6[[#This Row],[Constituency]]),"Barisal","Barishal"),"Jessore","Jashore"),"Bogra","Bogura"),"Chapai Nawabganj","Chapainawabganj")</f>
        <v>Rangpur-3</v>
      </c>
      <c r="C40" t="s">
        <v>955</v>
      </c>
      <c r="D40" t="s">
        <v>11</v>
      </c>
      <c r="E40">
        <f>_xlfn.XLOOKUP(C40,Population_data!B:B,Population_data!C:C,"")</f>
        <v>236.44</v>
      </c>
      <c r="F40">
        <f>_xlfn.XLOOKUP(C40,Population_data!B:B,Population_data!D:D,"")</f>
        <v>178664</v>
      </c>
      <c r="G40">
        <f>_xlfn.XLOOKUP(C40,Population_data!B:B,Population_data!E:E,"")</f>
        <v>755.64</v>
      </c>
      <c r="H40">
        <f>_xlfn.XLOOKUP(C40,Population_data!B:B,Population_data!F:F,"")</f>
        <v>3.85</v>
      </c>
      <c r="I40">
        <f>_xlfn.XLOOKUP(C40,Population_data!B:B,Population_data!G:G,"")</f>
        <v>68.239999999999995</v>
      </c>
      <c r="J40" t="str">
        <f>_xlfn.XLOOKUP(D40,District_Crime_Unit_Map!A:A,District_Crime_Unit_Map!B:B,"")</f>
        <v>Rangpur Range</v>
      </c>
      <c r="K40">
        <f>_xlfn.XLOOKUP(J40,Crime_Data!A:A,Crime_Data!V:V,"")</f>
        <v>101.90869513385242</v>
      </c>
      <c r="L40">
        <f>_xlfn.XLOOKUP(J40,Crime_Data!A:A,Crime_Data!W:W,"")</f>
        <v>15.175373179583827</v>
      </c>
      <c r="M40" t="str">
        <f>TRIM(Table6[[#This Row],[District]])&amp;"|"&amp;TRIM(Table6[[#This Row],[Upazila]])</f>
        <v>Rangpur|Rangpur Sadar</v>
      </c>
      <c r="N40" t="str">
        <f>_xlfn.XLOOKUP(B40,Remittance_Data!A:A,Remittance_Data!B:B,"CHECK")</f>
        <v>CHECK</v>
      </c>
      <c r="O40" t="str">
        <f>_xlfn.XLOOKUP(B40,Remittance_Data!A:A,Remittance_Data!C:C,"CHECK")</f>
        <v>CHECK</v>
      </c>
      <c r="P40" t="str">
        <f>_xlfn.XLOOKUP(B40,Remittance_Data!A:A,Remittance_Data!D:D,"CHECK")</f>
        <v>CHECK</v>
      </c>
    </row>
    <row r="41" spans="1:16">
      <c r="A41" t="s">
        <v>79</v>
      </c>
      <c r="B41" t="str">
        <f>SUBSTITUTE(SUBSTITUTE(SUBSTITUTE(SUBSTITUTE(TRIM(Table6[[#This Row],[Constituency]]),"Barisal","Barishal"),"Jessore","Jashore"),"Bogra","Bogura"),"Chapai Nawabganj","Chapainawabganj")</f>
        <v>Rangpur-4</v>
      </c>
      <c r="C41" t="s">
        <v>959</v>
      </c>
      <c r="D41" t="s">
        <v>11</v>
      </c>
      <c r="E41">
        <f>_xlfn.XLOOKUP(C41,Population_data!B:B,Population_data!C:C,"")</f>
        <v>359.03</v>
      </c>
      <c r="F41">
        <f>_xlfn.XLOOKUP(C41,Population_data!B:B,Population_data!D:D,"")</f>
        <v>326606</v>
      </c>
      <c r="G41">
        <f>_xlfn.XLOOKUP(C41,Population_data!B:B,Population_data!E:E,"")</f>
        <v>909.69</v>
      </c>
      <c r="H41">
        <f>_xlfn.XLOOKUP(C41,Population_data!B:B,Population_data!F:F,"")</f>
        <v>3.55</v>
      </c>
      <c r="I41">
        <f>_xlfn.XLOOKUP(C41,Population_data!B:B,Population_data!G:G,"")</f>
        <v>65.599999999999994</v>
      </c>
      <c r="J41" t="str">
        <f>_xlfn.XLOOKUP(D41,District_Crime_Unit_Map!A:A,District_Crime_Unit_Map!B:B,"")</f>
        <v>Rangpur Range</v>
      </c>
      <c r="K41">
        <f>_xlfn.XLOOKUP(J41,Crime_Data!A:A,Crime_Data!V:V,"")</f>
        <v>101.90869513385242</v>
      </c>
      <c r="L41">
        <f>_xlfn.XLOOKUP(J41,Crime_Data!A:A,Crime_Data!W:W,"")</f>
        <v>15.175373179583827</v>
      </c>
      <c r="M41" t="str">
        <f>TRIM(Table6[[#This Row],[District]])&amp;"|"&amp;TRIM(Table6[[#This Row],[Upazila]])</f>
        <v>Rangpur|Pirgachha</v>
      </c>
      <c r="N41" t="str">
        <f>_xlfn.XLOOKUP(B41,Remittance_Data!A:A,Remittance_Data!B:B,"CHECK")</f>
        <v>CHECK</v>
      </c>
      <c r="O41" t="str">
        <f>_xlfn.XLOOKUP(B41,Remittance_Data!A:A,Remittance_Data!C:C,"CHECK")</f>
        <v>CHECK</v>
      </c>
      <c r="P41" t="str">
        <f>_xlfn.XLOOKUP(B41,Remittance_Data!A:A,Remittance_Data!D:D,"CHECK")</f>
        <v>CHECK</v>
      </c>
    </row>
    <row r="42" spans="1:16">
      <c r="A42" t="s">
        <v>79</v>
      </c>
      <c r="B42" t="str">
        <f>SUBSTITUTE(SUBSTITUTE(SUBSTITUTE(SUBSTITUTE(TRIM(Table6[[#This Row],[Constituency]]),"Barisal","Barishal"),"Jessore","Jashore"),"Bogra","Bogura"),"Chapai Nawabganj","Chapainawabganj")</f>
        <v>Rangpur-4</v>
      </c>
      <c r="C42" t="s">
        <v>960</v>
      </c>
      <c r="D42" t="s">
        <v>11</v>
      </c>
      <c r="E42">
        <f>_xlfn.XLOOKUP(C42,Population_data!B:B,Population_data!C:C,"")</f>
        <v>225.17</v>
      </c>
      <c r="F42">
        <f>_xlfn.XLOOKUP(C42,Population_data!B:B,Population_data!D:D,"")</f>
        <v>239682</v>
      </c>
      <c r="G42">
        <f>_xlfn.XLOOKUP(C42,Population_data!B:B,Population_data!E:E,"")</f>
        <v>1064.45</v>
      </c>
      <c r="H42">
        <f>_xlfn.XLOOKUP(C42,Population_data!B:B,Population_data!F:F,"")</f>
        <v>3.76</v>
      </c>
      <c r="I42">
        <f>_xlfn.XLOOKUP(C42,Population_data!B:B,Population_data!G:G,"")</f>
        <v>68.069999999999993</v>
      </c>
      <c r="J42" t="str">
        <f>_xlfn.XLOOKUP(D42,District_Crime_Unit_Map!A:A,District_Crime_Unit_Map!B:B,"")</f>
        <v>Rangpur Range</v>
      </c>
      <c r="K42">
        <f>_xlfn.XLOOKUP(J42,Crime_Data!A:A,Crime_Data!V:V,"")</f>
        <v>101.90869513385242</v>
      </c>
      <c r="L42">
        <f>_xlfn.XLOOKUP(J42,Crime_Data!A:A,Crime_Data!W:W,"")</f>
        <v>15.175373179583827</v>
      </c>
      <c r="M42" t="str">
        <f>TRIM(Table6[[#This Row],[District]])&amp;"|"&amp;TRIM(Table6[[#This Row],[Upazila]])</f>
        <v>Rangpur|Kaunia</v>
      </c>
      <c r="N42" t="str">
        <f>_xlfn.XLOOKUP(B42,Remittance_Data!A:A,Remittance_Data!B:B,"CHECK")</f>
        <v>CHECK</v>
      </c>
      <c r="O42" t="str">
        <f>_xlfn.XLOOKUP(B42,Remittance_Data!A:A,Remittance_Data!C:C,"CHECK")</f>
        <v>CHECK</v>
      </c>
      <c r="P42" t="str">
        <f>_xlfn.XLOOKUP(B42,Remittance_Data!A:A,Remittance_Data!D:D,"CHECK")</f>
        <v>CHECK</v>
      </c>
    </row>
    <row r="43" spans="1:16">
      <c r="A43" t="s">
        <v>82</v>
      </c>
      <c r="B43" t="str">
        <f>SUBSTITUTE(SUBSTITUTE(SUBSTITUTE(SUBSTITUTE(TRIM(Table6[[#This Row],[Constituency]]),"Barisal","Barishal"),"Jessore","Jashore"),"Bogra","Bogura"),"Chapai Nawabganj","Chapainawabganj")</f>
        <v>Rangpur-5</v>
      </c>
      <c r="C43" t="s">
        <v>961</v>
      </c>
      <c r="D43" t="s">
        <v>11</v>
      </c>
      <c r="E43">
        <f>_xlfn.XLOOKUP(C43,Population_data!B:B,Population_data!C:C,"")</f>
        <v>409.37</v>
      </c>
      <c r="F43">
        <f>_xlfn.XLOOKUP(C43,Population_data!B:B,Population_data!D:D,"")</f>
        <v>538686</v>
      </c>
      <c r="G43">
        <f>_xlfn.XLOOKUP(C43,Population_data!B:B,Population_data!E:E,"")</f>
        <v>1315.89</v>
      </c>
      <c r="H43">
        <f>_xlfn.XLOOKUP(C43,Population_data!B:B,Population_data!F:F,"")</f>
        <v>3.51</v>
      </c>
      <c r="I43">
        <f>_xlfn.XLOOKUP(C43,Population_data!B:B,Population_data!G:G,"")</f>
        <v>69.33</v>
      </c>
      <c r="J43" t="str">
        <f>_xlfn.XLOOKUP(D43,District_Crime_Unit_Map!A:A,District_Crime_Unit_Map!B:B,"")</f>
        <v>Rangpur Range</v>
      </c>
      <c r="K43">
        <f>_xlfn.XLOOKUP(J43,Crime_Data!A:A,Crime_Data!V:V,"")</f>
        <v>101.90869513385242</v>
      </c>
      <c r="L43">
        <f>_xlfn.XLOOKUP(J43,Crime_Data!A:A,Crime_Data!W:W,"")</f>
        <v>15.175373179583827</v>
      </c>
      <c r="M43" t="str">
        <f>TRIM(Table6[[#This Row],[District]])&amp;"|"&amp;TRIM(Table6[[#This Row],[Upazila]])</f>
        <v>Rangpur|Mithapukur</v>
      </c>
      <c r="N43" t="str">
        <f>_xlfn.XLOOKUP(B43,Remittance_Data!A:A,Remittance_Data!B:B,"CHECK")</f>
        <v>CHECK</v>
      </c>
      <c r="O43" t="str">
        <f>_xlfn.XLOOKUP(B43,Remittance_Data!A:A,Remittance_Data!C:C,"CHECK")</f>
        <v>CHECK</v>
      </c>
      <c r="P43" t="str">
        <f>_xlfn.XLOOKUP(B43,Remittance_Data!A:A,Remittance_Data!D:D,"CHECK")</f>
        <v>CHECK</v>
      </c>
    </row>
    <row r="44" spans="1:16">
      <c r="A44" t="s">
        <v>84</v>
      </c>
      <c r="B44" t="str">
        <f>SUBSTITUTE(SUBSTITUTE(SUBSTITUTE(SUBSTITUTE(TRIM(Table6[[#This Row],[Constituency]]),"Barisal","Barishal"),"Jessore","Jashore"),"Bogra","Bogura"),"Chapai Nawabganj","Chapainawabganj")</f>
        <v>Rangpur-6</v>
      </c>
      <c r="C44" t="s">
        <v>925</v>
      </c>
      <c r="D44" t="s">
        <v>11</v>
      </c>
      <c r="E44">
        <f>_xlfn.XLOOKUP(C44,Population_data!B:B,Population_data!C:C,"")</f>
        <v>280.43</v>
      </c>
      <c r="F44">
        <f>_xlfn.XLOOKUP(C44,Population_data!B:B,Population_data!D:D,"")</f>
        <v>414833</v>
      </c>
      <c r="G44">
        <f>_xlfn.XLOOKUP(C44,Population_data!B:B,Population_data!E:E,"")</f>
        <v>1479.27</v>
      </c>
      <c r="H44">
        <f>_xlfn.XLOOKUP(C44,Population_data!B:B,Population_data!F:F,"")</f>
        <v>3.58</v>
      </c>
      <c r="I44">
        <f>_xlfn.XLOOKUP(C44,Population_data!B:B,Population_data!G:G,"")</f>
        <v>67.11</v>
      </c>
      <c r="J44" t="str">
        <f>_xlfn.XLOOKUP(D44,District_Crime_Unit_Map!A:A,District_Crime_Unit_Map!B:B,"")</f>
        <v>Rangpur Range</v>
      </c>
      <c r="K44">
        <f>_xlfn.XLOOKUP(J44,Crime_Data!A:A,Crime_Data!V:V,"")</f>
        <v>101.90869513385242</v>
      </c>
      <c r="L44">
        <f>_xlfn.XLOOKUP(J44,Crime_Data!A:A,Crime_Data!W:W,"")</f>
        <v>15.175373179583827</v>
      </c>
      <c r="M44" t="str">
        <f>TRIM(Table6[[#This Row],[District]])&amp;"|"&amp;TRIM(Table6[[#This Row],[Upazila]])</f>
        <v>Rangpur|Pirganj</v>
      </c>
      <c r="N44" t="str">
        <f>_xlfn.XLOOKUP(B44,Remittance_Data!A:A,Remittance_Data!B:B,"CHECK")</f>
        <v>CHECK</v>
      </c>
      <c r="O44" t="str">
        <f>_xlfn.XLOOKUP(B44,Remittance_Data!A:A,Remittance_Data!C:C,"CHECK")</f>
        <v>CHECK</v>
      </c>
      <c r="P44" t="str">
        <f>_xlfn.XLOOKUP(B44,Remittance_Data!A:A,Remittance_Data!D:D,"CHECK")</f>
        <v>CHECK</v>
      </c>
    </row>
    <row r="45" spans="1:16">
      <c r="A45" t="s">
        <v>87</v>
      </c>
      <c r="B45" t="str">
        <f>SUBSTITUTE(SUBSTITUTE(SUBSTITUTE(SUBSTITUTE(TRIM(Table6[[#This Row],[Constituency]]),"Barisal","Barishal"),"Jessore","Jashore"),"Bogra","Bogura"),"Chapai Nawabganj","Chapainawabganj")</f>
        <v>Kurigram-1</v>
      </c>
      <c r="C45" t="s">
        <v>962</v>
      </c>
      <c r="D45" t="s">
        <v>963</v>
      </c>
      <c r="E45">
        <f>_xlfn.XLOOKUP(C45,Population_data!B:B,Population_data!C:C,"")</f>
        <v>412.7</v>
      </c>
      <c r="F45">
        <f>_xlfn.XLOOKUP(C45,Population_data!B:B,Population_data!D:D,"")</f>
        <v>255542</v>
      </c>
      <c r="G45">
        <f>_xlfn.XLOOKUP(C45,Population_data!B:B,Population_data!E:E,"")</f>
        <v>619.20000000000005</v>
      </c>
      <c r="H45">
        <f>_xlfn.XLOOKUP(C45,Population_data!B:B,Population_data!F:F,"")</f>
        <v>3.69</v>
      </c>
      <c r="I45">
        <f>_xlfn.XLOOKUP(C45,Population_data!B:B,Population_data!G:G,"")</f>
        <v>63.06</v>
      </c>
      <c r="J45" t="str">
        <f>_xlfn.XLOOKUP(D45,District_Crime_Unit_Map!A:A,District_Crime_Unit_Map!B:B,"")</f>
        <v>Rangpur Range</v>
      </c>
      <c r="K45">
        <f>_xlfn.XLOOKUP(J45,Crime_Data!A:A,Crime_Data!V:V,"")</f>
        <v>101.90869513385242</v>
      </c>
      <c r="L45">
        <f>_xlfn.XLOOKUP(J45,Crime_Data!A:A,Crime_Data!W:W,"")</f>
        <v>15.175373179583827</v>
      </c>
      <c r="M45" t="str">
        <f>TRIM(Table6[[#This Row],[District]])&amp;"|"&amp;TRIM(Table6[[#This Row],[Upazila]])</f>
        <v>Kurigram|Bhurungamari</v>
      </c>
      <c r="N45" t="str">
        <f>_xlfn.XLOOKUP(B45,Remittance_Data!A:A,Remittance_Data!B:B,"CHECK")</f>
        <v>CHECK</v>
      </c>
      <c r="O45" t="str">
        <f>_xlfn.XLOOKUP(B45,Remittance_Data!A:A,Remittance_Data!C:C,"CHECK")</f>
        <v>CHECK</v>
      </c>
      <c r="P45" t="str">
        <f>_xlfn.XLOOKUP(B45,Remittance_Data!A:A,Remittance_Data!D:D,"CHECK")</f>
        <v>CHECK</v>
      </c>
    </row>
    <row r="46" spans="1:16">
      <c r="A46" t="s">
        <v>87</v>
      </c>
      <c r="B46" t="str">
        <f>SUBSTITUTE(SUBSTITUTE(SUBSTITUTE(SUBSTITUTE(TRIM(Table6[[#This Row],[Constituency]]),"Barisal","Barishal"),"Jessore","Jashore"),"Bogra","Bogura"),"Chapai Nawabganj","Chapainawabganj")</f>
        <v>Kurigram-1</v>
      </c>
      <c r="C46" t="s">
        <v>964</v>
      </c>
      <c r="D46" t="s">
        <v>963</v>
      </c>
      <c r="E46">
        <f>_xlfn.XLOOKUP(C46,Population_data!B:B,Population_data!C:C,"")</f>
        <v>294.64</v>
      </c>
      <c r="F46">
        <f>_xlfn.XLOOKUP(C46,Population_data!B:B,Population_data!D:D,"")</f>
        <v>444693</v>
      </c>
      <c r="G46">
        <f>_xlfn.XLOOKUP(C46,Population_data!B:B,Population_data!E:E,"")</f>
        <v>1509.28</v>
      </c>
      <c r="H46">
        <f>_xlfn.XLOOKUP(C46,Population_data!B:B,Population_data!F:F,"")</f>
        <v>3.94</v>
      </c>
      <c r="I46">
        <f>_xlfn.XLOOKUP(C46,Population_data!B:B,Population_data!G:G,"")</f>
        <v>62.75</v>
      </c>
      <c r="J46" t="str">
        <f>_xlfn.XLOOKUP(D46,District_Crime_Unit_Map!A:A,District_Crime_Unit_Map!B:B,"")</f>
        <v>Rangpur Range</v>
      </c>
      <c r="K46">
        <f>_xlfn.XLOOKUP(J46,Crime_Data!A:A,Crime_Data!V:V,"")</f>
        <v>101.90869513385242</v>
      </c>
      <c r="L46">
        <f>_xlfn.XLOOKUP(J46,Crime_Data!A:A,Crime_Data!W:W,"")</f>
        <v>15.175373179583827</v>
      </c>
      <c r="M46" t="str">
        <f>TRIM(Table6[[#This Row],[District]])&amp;"|"&amp;TRIM(Table6[[#This Row],[Upazila]])</f>
        <v>Kurigram|Nageshwari</v>
      </c>
      <c r="N46" t="str">
        <f>_xlfn.XLOOKUP(B46,Remittance_Data!A:A,Remittance_Data!B:B,"CHECK")</f>
        <v>CHECK</v>
      </c>
      <c r="O46" t="str">
        <f>_xlfn.XLOOKUP(B46,Remittance_Data!A:A,Remittance_Data!C:C,"CHECK")</f>
        <v>CHECK</v>
      </c>
      <c r="P46" t="str">
        <f>_xlfn.XLOOKUP(B46,Remittance_Data!A:A,Remittance_Data!D:D,"CHECK")</f>
        <v>CHECK</v>
      </c>
    </row>
    <row r="47" spans="1:16">
      <c r="A47" t="s">
        <v>89</v>
      </c>
      <c r="B47" t="str">
        <f>SUBSTITUTE(SUBSTITUTE(SUBSTITUTE(SUBSTITUTE(TRIM(Table6[[#This Row],[Constituency]]),"Barisal","Barishal"),"Jessore","Jashore"),"Bogra","Bogura"),"Chapai Nawabganj","Chapainawabganj")</f>
        <v>Kurigram-2</v>
      </c>
      <c r="C47" t="s">
        <v>965</v>
      </c>
      <c r="D47" t="s">
        <v>963</v>
      </c>
      <c r="E47">
        <f>_xlfn.XLOOKUP(C47,Population_data!B:B,Population_data!C:C,"")</f>
        <v>227.17</v>
      </c>
      <c r="F47">
        <f>_xlfn.XLOOKUP(C47,Population_data!B:B,Population_data!D:D,"")</f>
        <v>194561</v>
      </c>
      <c r="G47">
        <f>_xlfn.XLOOKUP(C47,Population_data!B:B,Population_data!E:E,"")</f>
        <v>856.46</v>
      </c>
      <c r="H47">
        <f>_xlfn.XLOOKUP(C47,Population_data!B:B,Population_data!F:F,"")</f>
        <v>3.8</v>
      </c>
      <c r="I47">
        <f>_xlfn.XLOOKUP(C47,Population_data!B:B,Population_data!G:G,"")</f>
        <v>77.61</v>
      </c>
      <c r="J47" t="str">
        <f>_xlfn.XLOOKUP(D47,District_Crime_Unit_Map!A:A,District_Crime_Unit_Map!B:B,"")</f>
        <v>Rangpur Range</v>
      </c>
      <c r="K47">
        <f>_xlfn.XLOOKUP(J47,Crime_Data!A:A,Crime_Data!V:V,"")</f>
        <v>101.90869513385242</v>
      </c>
      <c r="L47">
        <f>_xlfn.XLOOKUP(J47,Crime_Data!A:A,Crime_Data!W:W,"")</f>
        <v>15.175373179583827</v>
      </c>
      <c r="M47" t="str">
        <f>TRIM(Table6[[#This Row],[District]])&amp;"|"&amp;TRIM(Table6[[#This Row],[Upazila]])</f>
        <v>Kurigram|Fulbari</v>
      </c>
      <c r="N47" t="str">
        <f>_xlfn.XLOOKUP(B47,Remittance_Data!A:A,Remittance_Data!B:B,"CHECK")</f>
        <v>CHECK</v>
      </c>
      <c r="O47" t="str">
        <f>_xlfn.XLOOKUP(B47,Remittance_Data!A:A,Remittance_Data!C:C,"CHECK")</f>
        <v>CHECK</v>
      </c>
      <c r="P47" t="str">
        <f>_xlfn.XLOOKUP(B47,Remittance_Data!A:A,Remittance_Data!D:D,"CHECK")</f>
        <v>CHECK</v>
      </c>
    </row>
    <row r="48" spans="1:16">
      <c r="A48" t="s">
        <v>89</v>
      </c>
      <c r="B48" t="str">
        <f>SUBSTITUTE(SUBSTITUTE(SUBSTITUTE(SUBSTITUTE(TRIM(Table6[[#This Row],[Constituency]]),"Barisal","Barishal"),"Jessore","Jashore"),"Bogra","Bogura"),"Chapai Nawabganj","Chapainawabganj")</f>
        <v>Kurigram-2</v>
      </c>
      <c r="C48" t="s">
        <v>966</v>
      </c>
      <c r="D48" t="s">
        <v>963</v>
      </c>
      <c r="E48">
        <f>_xlfn.XLOOKUP(C48,Population_data!B:B,Population_data!C:C,"")</f>
        <v>571.54999999999995</v>
      </c>
      <c r="F48">
        <f>_xlfn.XLOOKUP(C48,Population_data!B:B,Population_data!D:D,"")</f>
        <v>203048</v>
      </c>
      <c r="G48">
        <f>_xlfn.XLOOKUP(C48,Population_data!B:B,Population_data!E:E,"")</f>
        <v>355.26</v>
      </c>
      <c r="H48">
        <f>_xlfn.XLOOKUP(C48,Population_data!B:B,Population_data!F:F,"")</f>
        <v>3.77</v>
      </c>
      <c r="I48">
        <f>_xlfn.XLOOKUP(C48,Population_data!B:B,Population_data!G:G,"")</f>
        <v>70.27</v>
      </c>
      <c r="J48" t="str">
        <f>_xlfn.XLOOKUP(D48,District_Crime_Unit_Map!A:A,District_Crime_Unit_Map!B:B,"")</f>
        <v>Rangpur Range</v>
      </c>
      <c r="K48">
        <f>_xlfn.XLOOKUP(J48,Crime_Data!A:A,Crime_Data!V:V,"")</f>
        <v>101.90869513385242</v>
      </c>
      <c r="L48">
        <f>_xlfn.XLOOKUP(J48,Crime_Data!A:A,Crime_Data!W:W,"")</f>
        <v>15.175373179583827</v>
      </c>
      <c r="M48" t="str">
        <f>TRIM(Table6[[#This Row],[District]])&amp;"|"&amp;TRIM(Table6[[#This Row],[Upazila]])</f>
        <v>Kurigram|Rajarhat</v>
      </c>
      <c r="N48" t="str">
        <f>_xlfn.XLOOKUP(B48,Remittance_Data!A:A,Remittance_Data!B:B,"CHECK")</f>
        <v>CHECK</v>
      </c>
      <c r="O48" t="str">
        <f>_xlfn.XLOOKUP(B48,Remittance_Data!A:A,Remittance_Data!C:C,"CHECK")</f>
        <v>CHECK</v>
      </c>
      <c r="P48" t="str">
        <f>_xlfn.XLOOKUP(B48,Remittance_Data!A:A,Remittance_Data!D:D,"CHECK")</f>
        <v>CHECK</v>
      </c>
    </row>
    <row r="49" spans="1:16">
      <c r="A49" t="s">
        <v>89</v>
      </c>
      <c r="B49" t="str">
        <f>SUBSTITUTE(SUBSTITUTE(SUBSTITUTE(SUBSTITUTE(TRIM(Table6[[#This Row],[Constituency]]),"Barisal","Barishal"),"Jessore","Jashore"),"Bogra","Bogura"),"Chapai Nawabganj","Chapainawabganj")</f>
        <v>Kurigram-2</v>
      </c>
      <c r="C49" t="s">
        <v>967</v>
      </c>
      <c r="D49" t="s">
        <v>963</v>
      </c>
      <c r="E49">
        <f>_xlfn.XLOOKUP(C49,Population_data!B:B,Population_data!C:C,"")</f>
        <v>415.43</v>
      </c>
      <c r="F49">
        <f>_xlfn.XLOOKUP(C49,Population_data!B:B,Population_data!D:D,"")</f>
        <v>361396</v>
      </c>
      <c r="G49">
        <f>_xlfn.XLOOKUP(C49,Population_data!B:B,Population_data!E:E,"")</f>
        <v>869.93</v>
      </c>
      <c r="H49">
        <f>_xlfn.XLOOKUP(C49,Population_data!B:B,Population_data!F:F,"")</f>
        <v>3.92</v>
      </c>
      <c r="I49">
        <f>_xlfn.XLOOKUP(C49,Population_data!B:B,Population_data!G:G,"")</f>
        <v>69.87</v>
      </c>
      <c r="J49" t="str">
        <f>_xlfn.XLOOKUP(D49,District_Crime_Unit_Map!A:A,District_Crime_Unit_Map!B:B,"")</f>
        <v>Rangpur Range</v>
      </c>
      <c r="K49">
        <f>_xlfn.XLOOKUP(J49,Crime_Data!A:A,Crime_Data!V:V,"")</f>
        <v>101.90869513385242</v>
      </c>
      <c r="L49">
        <f>_xlfn.XLOOKUP(J49,Crime_Data!A:A,Crime_Data!W:W,"")</f>
        <v>15.175373179583827</v>
      </c>
      <c r="M49" t="str">
        <f>TRIM(Table6[[#This Row],[District]])&amp;"|"&amp;TRIM(Table6[[#This Row],[Upazila]])</f>
        <v>Kurigram|Kurigram Sadar</v>
      </c>
      <c r="N49" t="str">
        <f>_xlfn.XLOOKUP(B49,Remittance_Data!A:A,Remittance_Data!B:B,"CHECK")</f>
        <v>CHECK</v>
      </c>
      <c r="O49" t="str">
        <f>_xlfn.XLOOKUP(B49,Remittance_Data!A:A,Remittance_Data!C:C,"CHECK")</f>
        <v>CHECK</v>
      </c>
      <c r="P49" t="str">
        <f>_xlfn.XLOOKUP(B49,Remittance_Data!A:A,Remittance_Data!D:D,"CHECK")</f>
        <v>CHECK</v>
      </c>
    </row>
    <row r="50" spans="1:16">
      <c r="A50" t="s">
        <v>92</v>
      </c>
      <c r="B50" t="str">
        <f>SUBSTITUTE(SUBSTITUTE(SUBSTITUTE(SUBSTITUTE(TRIM(Table6[[#This Row],[Constituency]]),"Barisal","Barishal"),"Jessore","Jashore"),"Bogra","Bogura"),"Chapai Nawabganj","Chapainawabganj")</f>
        <v>Kurigram-3</v>
      </c>
      <c r="C50" t="s">
        <v>968</v>
      </c>
      <c r="D50" t="s">
        <v>963</v>
      </c>
      <c r="E50">
        <f>_xlfn.XLOOKUP(C50,Population_data!B:B,Population_data!C:C,"")</f>
        <v>411.34</v>
      </c>
      <c r="F50">
        <f>_xlfn.XLOOKUP(C50,Population_data!B:B,Population_data!D:D,"")</f>
        <v>440143</v>
      </c>
      <c r="G50">
        <f>_xlfn.XLOOKUP(C50,Population_data!B:B,Population_data!E:E,"")</f>
        <v>1070.02</v>
      </c>
      <c r="H50">
        <f>_xlfn.XLOOKUP(C50,Population_data!B:B,Population_data!F:F,"")</f>
        <v>3.63</v>
      </c>
      <c r="I50">
        <f>_xlfn.XLOOKUP(C50,Population_data!B:B,Population_data!G:G,"")</f>
        <v>64.7</v>
      </c>
      <c r="J50" t="str">
        <f>_xlfn.XLOOKUP(D50,District_Crime_Unit_Map!A:A,District_Crime_Unit_Map!B:B,"")</f>
        <v>Rangpur Range</v>
      </c>
      <c r="K50">
        <f>_xlfn.XLOOKUP(J50,Crime_Data!A:A,Crime_Data!V:V,"")</f>
        <v>101.90869513385242</v>
      </c>
      <c r="L50">
        <f>_xlfn.XLOOKUP(J50,Crime_Data!A:A,Crime_Data!W:W,"")</f>
        <v>15.175373179583827</v>
      </c>
      <c r="M50" t="str">
        <f>TRIM(Table6[[#This Row],[District]])&amp;"|"&amp;TRIM(Table6[[#This Row],[Upazila]])</f>
        <v>Kurigram|Ulipur</v>
      </c>
      <c r="N50" t="str">
        <f>_xlfn.XLOOKUP(B50,Remittance_Data!A:A,Remittance_Data!B:B,"CHECK")</f>
        <v>CHECK</v>
      </c>
      <c r="O50" t="str">
        <f>_xlfn.XLOOKUP(B50,Remittance_Data!A:A,Remittance_Data!C:C,"CHECK")</f>
        <v>CHECK</v>
      </c>
      <c r="P50" t="str">
        <f>_xlfn.XLOOKUP(B50,Remittance_Data!A:A,Remittance_Data!D:D,"CHECK")</f>
        <v>CHECK</v>
      </c>
    </row>
    <row r="51" spans="1:16">
      <c r="A51" t="s">
        <v>92</v>
      </c>
      <c r="B51" t="str">
        <f>SUBSTITUTE(SUBSTITUTE(SUBSTITUTE(SUBSTITUTE(TRIM(Table6[[#This Row],[Constituency]]),"Barisal","Barishal"),"Jessore","Jashore"),"Bogra","Bogura"),"Chapai Nawabganj","Chapainawabganj")</f>
        <v>Kurigram-3</v>
      </c>
      <c r="C51" t="s">
        <v>969</v>
      </c>
      <c r="D51" t="s">
        <v>963</v>
      </c>
      <c r="E51">
        <f>_xlfn.XLOOKUP(C51,Population_data!B:B,Population_data!C:C,"")</f>
        <v>225.39</v>
      </c>
      <c r="F51">
        <f>_xlfn.XLOOKUP(C51,Population_data!B:B,Population_data!D:D,"")</f>
        <v>131711</v>
      </c>
      <c r="G51">
        <f>_xlfn.XLOOKUP(C51,Population_data!B:B,Population_data!E:E,"")</f>
        <v>584.37</v>
      </c>
      <c r="H51">
        <f>_xlfn.XLOOKUP(C51,Population_data!B:B,Population_data!F:F,"")</f>
        <v>3.8</v>
      </c>
      <c r="I51">
        <f>_xlfn.XLOOKUP(C51,Population_data!B:B,Population_data!G:G,"")</f>
        <v>66.38</v>
      </c>
      <c r="J51" t="str">
        <f>_xlfn.XLOOKUP(D51,District_Crime_Unit_Map!A:A,District_Crime_Unit_Map!B:B,"")</f>
        <v>Rangpur Range</v>
      </c>
      <c r="K51">
        <f>_xlfn.XLOOKUP(J51,Crime_Data!A:A,Crime_Data!V:V,"")</f>
        <v>101.90869513385242</v>
      </c>
      <c r="L51">
        <f>_xlfn.XLOOKUP(J51,Crime_Data!A:A,Crime_Data!W:W,"")</f>
        <v>15.175373179583827</v>
      </c>
      <c r="M51" t="str">
        <f>TRIM(Table6[[#This Row],[District]])&amp;"|"&amp;TRIM(Table6[[#This Row],[Upazila]])</f>
        <v>Kurigram|Chilmari</v>
      </c>
      <c r="N51" t="str">
        <f>_xlfn.XLOOKUP(B51,Remittance_Data!A:A,Remittance_Data!B:B,"CHECK")</f>
        <v>CHECK</v>
      </c>
      <c r="O51" t="str">
        <f>_xlfn.XLOOKUP(B51,Remittance_Data!A:A,Remittance_Data!C:C,"CHECK")</f>
        <v>CHECK</v>
      </c>
      <c r="P51" t="str">
        <f>_xlfn.XLOOKUP(B51,Remittance_Data!A:A,Remittance_Data!D:D,"CHECK")</f>
        <v>CHECK</v>
      </c>
    </row>
    <row r="52" spans="1:16">
      <c r="A52" t="s">
        <v>92</v>
      </c>
      <c r="B52" t="str">
        <f>SUBSTITUTE(SUBSTITUTE(SUBSTITUTE(SUBSTITUTE(TRIM(Table6[[#This Row],[Constituency]]),"Barisal","Barishal"),"Jessore","Jashore"),"Bogra","Bogura"),"Chapai Nawabganj","Chapainawabganj")</f>
        <v>Kurigram-3</v>
      </c>
      <c r="C52" t="s">
        <v>970</v>
      </c>
      <c r="D52" t="s">
        <v>963</v>
      </c>
      <c r="E52">
        <f>_xlfn.XLOOKUP(C52,Population_data!B:B,Population_data!C:C,"")</f>
        <v>404.53</v>
      </c>
      <c r="F52">
        <f>_xlfn.XLOOKUP(C52,Population_data!B:B,Population_data!D:D,"")</f>
        <v>227509</v>
      </c>
      <c r="G52">
        <f>_xlfn.XLOOKUP(C52,Population_data!B:B,Population_data!E:E,"")</f>
        <v>562.4</v>
      </c>
      <c r="H52">
        <f>_xlfn.XLOOKUP(C52,Population_data!B:B,Population_data!F:F,"")</f>
        <v>3.94</v>
      </c>
      <c r="I52">
        <f>_xlfn.XLOOKUP(C52,Population_data!B:B,Population_data!G:G,"")</f>
        <v>60.52</v>
      </c>
      <c r="J52" t="str">
        <f>_xlfn.XLOOKUP(D52,District_Crime_Unit_Map!A:A,District_Crime_Unit_Map!B:B,"")</f>
        <v>Rangpur Range</v>
      </c>
      <c r="K52">
        <f>_xlfn.XLOOKUP(J52,Crime_Data!A:A,Crime_Data!V:V,"")</f>
        <v>101.90869513385242</v>
      </c>
      <c r="L52">
        <f>_xlfn.XLOOKUP(J52,Crime_Data!A:A,Crime_Data!W:W,"")</f>
        <v>15.175373179583827</v>
      </c>
      <c r="M52" t="str">
        <f>TRIM(Table6[[#This Row],[District]])&amp;"|"&amp;TRIM(Table6[[#This Row],[Upazila]])</f>
        <v>Kurigram|Roumari</v>
      </c>
      <c r="N52" t="str">
        <f>_xlfn.XLOOKUP(B52,Remittance_Data!A:A,Remittance_Data!B:B,"CHECK")</f>
        <v>CHECK</v>
      </c>
      <c r="O52" t="str">
        <f>_xlfn.XLOOKUP(B52,Remittance_Data!A:A,Remittance_Data!C:C,"CHECK")</f>
        <v>CHECK</v>
      </c>
      <c r="P52" t="str">
        <f>_xlfn.XLOOKUP(B52,Remittance_Data!A:A,Remittance_Data!D:D,"CHECK")</f>
        <v>CHECK</v>
      </c>
    </row>
    <row r="53" spans="1:16">
      <c r="A53" t="s">
        <v>92</v>
      </c>
      <c r="B53" t="str">
        <f>SUBSTITUTE(SUBSTITUTE(SUBSTITUTE(SUBSTITUTE(TRIM(Table6[[#This Row],[Constituency]]),"Barisal","Barishal"),"Jessore","Jashore"),"Bogra","Bogura"),"Chapai Nawabganj","Chapainawabganj")</f>
        <v>Kurigram-3</v>
      </c>
      <c r="C53" t="s">
        <v>971</v>
      </c>
      <c r="D53" t="s">
        <v>963</v>
      </c>
      <c r="E53">
        <f>_xlfn.XLOOKUP(C53,Population_data!B:B,Population_data!C:C,"")</f>
        <v>410.63</v>
      </c>
      <c r="F53">
        <f>_xlfn.XLOOKUP(C53,Population_data!B:B,Population_data!D:D,"")</f>
        <v>78382</v>
      </c>
      <c r="G53">
        <f>_xlfn.XLOOKUP(C53,Population_data!B:B,Population_data!E:E,"")</f>
        <v>190.88</v>
      </c>
      <c r="H53">
        <f>_xlfn.XLOOKUP(C53,Population_data!B:B,Population_data!F:F,"")</f>
        <v>4.04</v>
      </c>
      <c r="I53">
        <f>_xlfn.XLOOKUP(C53,Population_data!B:B,Population_data!G:G,"")</f>
        <v>61.39</v>
      </c>
      <c r="J53" t="str">
        <f>_xlfn.XLOOKUP(D53,District_Crime_Unit_Map!A:A,District_Crime_Unit_Map!B:B,"")</f>
        <v>Rangpur Range</v>
      </c>
      <c r="K53">
        <f>_xlfn.XLOOKUP(J53,Crime_Data!A:A,Crime_Data!V:V,"")</f>
        <v>101.90869513385242</v>
      </c>
      <c r="L53">
        <f>_xlfn.XLOOKUP(J53,Crime_Data!A:A,Crime_Data!W:W,"")</f>
        <v>15.175373179583827</v>
      </c>
      <c r="M53" t="str">
        <f>TRIM(Table6[[#This Row],[District]])&amp;"|"&amp;TRIM(Table6[[#This Row],[Upazila]])</f>
        <v>Kurigram|Rajibpur</v>
      </c>
      <c r="N53" t="str">
        <f>_xlfn.XLOOKUP(B53,Remittance_Data!A:A,Remittance_Data!B:B,"CHECK")</f>
        <v>CHECK</v>
      </c>
      <c r="O53" t="str">
        <f>_xlfn.XLOOKUP(B53,Remittance_Data!A:A,Remittance_Data!C:C,"CHECK")</f>
        <v>CHECK</v>
      </c>
      <c r="P53" t="str">
        <f>_xlfn.XLOOKUP(B53,Remittance_Data!A:A,Remittance_Data!D:D,"CHECK")</f>
        <v>CHECK</v>
      </c>
    </row>
    <row r="54" spans="1:16">
      <c r="A54" t="s">
        <v>95</v>
      </c>
      <c r="B54" t="str">
        <f>SUBSTITUTE(SUBSTITUTE(SUBSTITUTE(SUBSTITUTE(TRIM(Table6[[#This Row],[Constituency]]),"Barisal","Barishal"),"Jessore","Jashore"),"Bogra","Bogura"),"Chapai Nawabganj","Chapainawabganj")</f>
        <v>Kurigram-4</v>
      </c>
      <c r="C54" t="s">
        <v>937</v>
      </c>
      <c r="D54" t="s">
        <v>963</v>
      </c>
      <c r="E54">
        <f>_xlfn.XLOOKUP(C54,Population_data!B:B,Population_data!C:C,"")</f>
        <v>276.45</v>
      </c>
      <c r="F54">
        <f>_xlfn.XLOOKUP(C54,Population_data!B:B,Population_data!D:D,"")</f>
        <v>186676</v>
      </c>
      <c r="G54">
        <f>_xlfn.XLOOKUP(C54,Population_data!B:B,Population_data!E:E,"")</f>
        <v>675.26</v>
      </c>
      <c r="H54">
        <f>_xlfn.XLOOKUP(C54,Population_data!B:B,Population_data!F:F,"")</f>
        <v>3.85</v>
      </c>
      <c r="I54">
        <f>_xlfn.XLOOKUP(C54,Population_data!B:B,Population_data!G:G,"")</f>
        <v>66.010000000000005</v>
      </c>
      <c r="J54" t="str">
        <f>_xlfn.XLOOKUP(D54,District_Crime_Unit_Map!A:A,District_Crime_Unit_Map!B:B,"")</f>
        <v>Rangpur Range</v>
      </c>
      <c r="K54">
        <f>_xlfn.XLOOKUP(J54,Crime_Data!A:A,Crime_Data!V:V,"")</f>
        <v>101.90869513385242</v>
      </c>
      <c r="L54">
        <f>_xlfn.XLOOKUP(J54,Crime_Data!A:A,Crime_Data!W:W,"")</f>
        <v>15.175373179583827</v>
      </c>
      <c r="M54" t="str">
        <f>TRIM(Table6[[#This Row],[District]])&amp;"|"&amp;TRIM(Table6[[#This Row],[Upazila]])</f>
        <v>Kurigram|Phulbari</v>
      </c>
      <c r="N54" t="str">
        <f>_xlfn.XLOOKUP(B54,Remittance_Data!A:A,Remittance_Data!B:B,"CHECK")</f>
        <v>CHECK</v>
      </c>
      <c r="O54" t="str">
        <f>_xlfn.XLOOKUP(B54,Remittance_Data!A:A,Remittance_Data!C:C,"CHECK")</f>
        <v>CHECK</v>
      </c>
      <c r="P54" t="str">
        <f>_xlfn.XLOOKUP(B54,Remittance_Data!A:A,Remittance_Data!D:D,"CHECK")</f>
        <v>CHECK</v>
      </c>
    </row>
    <row r="55" spans="1:16">
      <c r="A55" t="s">
        <v>95</v>
      </c>
      <c r="B55" t="str">
        <f>SUBSTITUTE(SUBSTITUTE(SUBSTITUTE(SUBSTITUTE(TRIM(Table6[[#This Row],[Constituency]]),"Barisal","Barishal"),"Jessore","Jashore"),"Bogra","Bogura"),"Chapai Nawabganj","Chapainawabganj")</f>
        <v>Kurigram-4</v>
      </c>
      <c r="C55" t="s">
        <v>966</v>
      </c>
      <c r="D55" t="s">
        <v>963</v>
      </c>
      <c r="E55">
        <f>_xlfn.XLOOKUP(C55,Population_data!B:B,Population_data!C:C,"")</f>
        <v>571.54999999999995</v>
      </c>
      <c r="F55">
        <f>_xlfn.XLOOKUP(C55,Population_data!B:B,Population_data!D:D,"")</f>
        <v>203048</v>
      </c>
      <c r="G55">
        <f>_xlfn.XLOOKUP(C55,Population_data!B:B,Population_data!E:E,"")</f>
        <v>355.26</v>
      </c>
      <c r="H55">
        <f>_xlfn.XLOOKUP(C55,Population_data!B:B,Population_data!F:F,"")</f>
        <v>3.77</v>
      </c>
      <c r="I55">
        <f>_xlfn.XLOOKUP(C55,Population_data!B:B,Population_data!G:G,"")</f>
        <v>70.27</v>
      </c>
      <c r="J55" t="str">
        <f>_xlfn.XLOOKUP(D55,District_Crime_Unit_Map!A:A,District_Crime_Unit_Map!B:B,"")</f>
        <v>Rangpur Range</v>
      </c>
      <c r="K55">
        <f>_xlfn.XLOOKUP(J55,Crime_Data!A:A,Crime_Data!V:V,"")</f>
        <v>101.90869513385242</v>
      </c>
      <c r="L55">
        <f>_xlfn.XLOOKUP(J55,Crime_Data!A:A,Crime_Data!W:W,"")</f>
        <v>15.175373179583827</v>
      </c>
      <c r="M55" t="str">
        <f>TRIM(Table6[[#This Row],[District]])&amp;"|"&amp;TRIM(Table6[[#This Row],[Upazila]])</f>
        <v>Kurigram|Rajarhat</v>
      </c>
      <c r="N55" t="str">
        <f>_xlfn.XLOOKUP(B55,Remittance_Data!A:A,Remittance_Data!B:B,"CHECK")</f>
        <v>CHECK</v>
      </c>
      <c r="O55" t="str">
        <f>_xlfn.XLOOKUP(B55,Remittance_Data!A:A,Remittance_Data!C:C,"CHECK")</f>
        <v>CHECK</v>
      </c>
      <c r="P55" t="str">
        <f>_xlfn.XLOOKUP(B55,Remittance_Data!A:A,Remittance_Data!D:D,"CHECK")</f>
        <v>CHECK</v>
      </c>
    </row>
    <row r="56" spans="1:16">
      <c r="A56" t="s">
        <v>98</v>
      </c>
      <c r="B56" t="str">
        <f>SUBSTITUTE(SUBSTITUTE(SUBSTITUTE(SUBSTITUTE(TRIM(Table6[[#This Row],[Constituency]]),"Barisal","Barishal"),"Jessore","Jashore"),"Bogra","Bogura"),"Chapai Nawabganj","Chapainawabganj")</f>
        <v>Gaibandha-1</v>
      </c>
      <c r="C56" t="s">
        <v>972</v>
      </c>
      <c r="D56" t="s">
        <v>973</v>
      </c>
      <c r="E56">
        <f>_xlfn.XLOOKUP(C56,Population_data!B:B,Population_data!C:C,"")</f>
        <v>426.52</v>
      </c>
      <c r="F56">
        <f>_xlfn.XLOOKUP(C56,Population_data!B:B,Population_data!D:D,"")</f>
        <v>482515</v>
      </c>
      <c r="G56">
        <f>_xlfn.XLOOKUP(C56,Population_data!B:B,Population_data!E:E,"")</f>
        <v>1131.28</v>
      </c>
      <c r="H56">
        <f>_xlfn.XLOOKUP(C56,Population_data!B:B,Population_data!F:F,"")</f>
        <v>3.61</v>
      </c>
      <c r="I56">
        <f>_xlfn.XLOOKUP(C56,Population_data!B:B,Population_data!G:G,"")</f>
        <v>64.81</v>
      </c>
      <c r="J56" t="str">
        <f>_xlfn.XLOOKUP(D56,District_Crime_Unit_Map!A:A,District_Crime_Unit_Map!B:B,"")</f>
        <v>Rangpur Range</v>
      </c>
      <c r="K56">
        <f>_xlfn.XLOOKUP(J56,Crime_Data!A:A,Crime_Data!V:V,"")</f>
        <v>101.90869513385242</v>
      </c>
      <c r="L56">
        <f>_xlfn.XLOOKUP(J56,Crime_Data!A:A,Crime_Data!W:W,"")</f>
        <v>15.175373179583827</v>
      </c>
      <c r="M56" t="str">
        <f>TRIM(Table6[[#This Row],[District]])&amp;"|"&amp;TRIM(Table6[[#This Row],[Upazila]])</f>
        <v>Gaibandha|Sundarganj</v>
      </c>
      <c r="N56" t="str">
        <f>_xlfn.XLOOKUP(B56,Remittance_Data!A:A,Remittance_Data!B:B,"CHECK")</f>
        <v>CHECK</v>
      </c>
      <c r="O56" t="str">
        <f>_xlfn.XLOOKUP(B56,Remittance_Data!A:A,Remittance_Data!C:C,"CHECK")</f>
        <v>CHECK</v>
      </c>
      <c r="P56" t="str">
        <f>_xlfn.XLOOKUP(B56,Remittance_Data!A:A,Remittance_Data!D:D,"CHECK")</f>
        <v>CHECK</v>
      </c>
    </row>
    <row r="57" spans="1:16">
      <c r="A57" t="s">
        <v>101</v>
      </c>
      <c r="B57" t="str">
        <f>SUBSTITUTE(SUBSTITUTE(SUBSTITUTE(SUBSTITUTE(TRIM(Table6[[#This Row],[Constituency]]),"Barisal","Barishal"),"Jessore","Jashore"),"Bogra","Bogura"),"Chapai Nawabganj","Chapainawabganj")</f>
        <v>Gaibandha-2</v>
      </c>
      <c r="C57" t="s">
        <v>974</v>
      </c>
      <c r="D57" t="s">
        <v>973</v>
      </c>
      <c r="E57">
        <f>_xlfn.XLOOKUP(C57,Population_data!B:B,Population_data!C:C,"")</f>
        <v>440.33</v>
      </c>
      <c r="F57">
        <f>_xlfn.XLOOKUP(C57,Population_data!B:B,Population_data!D:D,"")</f>
        <v>313616</v>
      </c>
      <c r="G57">
        <f>_xlfn.XLOOKUP(C57,Population_data!B:B,Population_data!E:E,"")</f>
        <v>712.23</v>
      </c>
      <c r="H57">
        <f>_xlfn.XLOOKUP(C57,Population_data!B:B,Population_data!F:F,"")</f>
        <v>3.54</v>
      </c>
      <c r="I57">
        <f>_xlfn.XLOOKUP(C57,Population_data!B:B,Population_data!G:G,"")</f>
        <v>66.87</v>
      </c>
      <c r="J57" t="str">
        <f>_xlfn.XLOOKUP(D57,District_Crime_Unit_Map!A:A,District_Crime_Unit_Map!B:B,"")</f>
        <v>Rangpur Range</v>
      </c>
      <c r="K57">
        <f>_xlfn.XLOOKUP(J57,Crime_Data!A:A,Crime_Data!V:V,"")</f>
        <v>101.90869513385242</v>
      </c>
      <c r="L57">
        <f>_xlfn.XLOOKUP(J57,Crime_Data!A:A,Crime_Data!W:W,"")</f>
        <v>15.175373179583827</v>
      </c>
      <c r="M57" t="str">
        <f>TRIM(Table6[[#This Row],[District]])&amp;"|"&amp;TRIM(Table6[[#This Row],[Upazila]])</f>
        <v>Gaibandha|Sadullapur</v>
      </c>
      <c r="N57" t="str">
        <f>_xlfn.XLOOKUP(B57,Remittance_Data!A:A,Remittance_Data!B:B,"CHECK")</f>
        <v>CHECK</v>
      </c>
      <c r="O57" t="str">
        <f>_xlfn.XLOOKUP(B57,Remittance_Data!A:A,Remittance_Data!C:C,"CHECK")</f>
        <v>CHECK</v>
      </c>
      <c r="P57" t="str">
        <f>_xlfn.XLOOKUP(B57,Remittance_Data!A:A,Remittance_Data!D:D,"CHECK")</f>
        <v>CHECK</v>
      </c>
    </row>
    <row r="58" spans="1:16">
      <c r="A58" t="s">
        <v>101</v>
      </c>
      <c r="B58" t="str">
        <f>SUBSTITUTE(SUBSTITUTE(SUBSTITUTE(SUBSTITUTE(TRIM(Table6[[#This Row],[Constituency]]),"Barisal","Barishal"),"Jessore","Jashore"),"Bogra","Bogura"),"Chapai Nawabganj","Chapainawabganj")</f>
        <v>Gaibandha-2</v>
      </c>
      <c r="C58" t="s">
        <v>975</v>
      </c>
      <c r="D58" t="s">
        <v>973</v>
      </c>
      <c r="E58">
        <f>_xlfn.XLOOKUP(C58,Population_data!B:B,Population_data!C:C,"")</f>
        <v>230.5</v>
      </c>
      <c r="F58">
        <f>_xlfn.XLOOKUP(C58,Population_data!B:B,Population_data!D:D,"")</f>
        <v>267434</v>
      </c>
      <c r="G58">
        <f>_xlfn.XLOOKUP(C58,Population_data!B:B,Population_data!E:E,"")</f>
        <v>1160.23</v>
      </c>
      <c r="H58">
        <f>_xlfn.XLOOKUP(C58,Population_data!B:B,Population_data!F:F,"")</f>
        <v>3.63</v>
      </c>
      <c r="I58">
        <f>_xlfn.XLOOKUP(C58,Population_data!B:B,Population_data!G:G,"")</f>
        <v>69.77</v>
      </c>
      <c r="J58" t="str">
        <f>_xlfn.XLOOKUP(D58,District_Crime_Unit_Map!A:A,District_Crime_Unit_Map!B:B,"")</f>
        <v>Rangpur Range</v>
      </c>
      <c r="K58">
        <f>_xlfn.XLOOKUP(J58,Crime_Data!A:A,Crime_Data!V:V,"")</f>
        <v>101.90869513385242</v>
      </c>
      <c r="L58">
        <f>_xlfn.XLOOKUP(J58,Crime_Data!A:A,Crime_Data!W:W,"")</f>
        <v>15.175373179583827</v>
      </c>
      <c r="M58" t="str">
        <f>TRIM(Table6[[#This Row],[District]])&amp;"|"&amp;TRIM(Table6[[#This Row],[Upazila]])</f>
        <v>Gaibandha|Palashbari</v>
      </c>
      <c r="N58" t="str">
        <f>_xlfn.XLOOKUP(B58,Remittance_Data!A:A,Remittance_Data!B:B,"CHECK")</f>
        <v>CHECK</v>
      </c>
      <c r="O58" t="str">
        <f>_xlfn.XLOOKUP(B58,Remittance_Data!A:A,Remittance_Data!C:C,"CHECK")</f>
        <v>CHECK</v>
      </c>
      <c r="P58" t="str">
        <f>_xlfn.XLOOKUP(B58,Remittance_Data!A:A,Remittance_Data!D:D,"CHECK")</f>
        <v>CHECK</v>
      </c>
    </row>
    <row r="59" spans="1:16">
      <c r="A59" t="s">
        <v>104</v>
      </c>
      <c r="B59" t="str">
        <f>SUBSTITUTE(SUBSTITUTE(SUBSTITUTE(SUBSTITUTE(TRIM(Table6[[#This Row],[Constituency]]),"Barisal","Barishal"),"Jessore","Jashore"),"Bogra","Bogura"),"Chapai Nawabganj","Chapainawabganj")</f>
        <v>Gaibandha-3</v>
      </c>
      <c r="C59" t="s">
        <v>976</v>
      </c>
      <c r="D59" t="s">
        <v>973</v>
      </c>
      <c r="E59">
        <f>_xlfn.XLOOKUP(C59,Population_data!B:B,Population_data!C:C,"")</f>
        <v>354.67</v>
      </c>
      <c r="F59">
        <f>_xlfn.XLOOKUP(C59,Population_data!B:B,Population_data!D:D,"")</f>
        <v>499155</v>
      </c>
      <c r="G59">
        <f>_xlfn.XLOOKUP(C59,Population_data!B:B,Population_data!E:E,"")</f>
        <v>1407.38</v>
      </c>
      <c r="H59">
        <f>_xlfn.XLOOKUP(C59,Population_data!B:B,Population_data!F:F,"")</f>
        <v>3.72</v>
      </c>
      <c r="I59">
        <f>_xlfn.XLOOKUP(C59,Population_data!B:B,Population_data!G:G,"")</f>
        <v>70.3</v>
      </c>
      <c r="J59" t="str">
        <f>_xlfn.XLOOKUP(D59,District_Crime_Unit_Map!A:A,District_Crime_Unit_Map!B:B,"")</f>
        <v>Rangpur Range</v>
      </c>
      <c r="K59">
        <f>_xlfn.XLOOKUP(J59,Crime_Data!A:A,Crime_Data!V:V,"")</f>
        <v>101.90869513385242</v>
      </c>
      <c r="L59">
        <f>_xlfn.XLOOKUP(J59,Crime_Data!A:A,Crime_Data!W:W,"")</f>
        <v>15.175373179583827</v>
      </c>
      <c r="M59" t="str">
        <f>TRIM(Table6[[#This Row],[District]])&amp;"|"&amp;TRIM(Table6[[#This Row],[Upazila]])</f>
        <v>Gaibandha|Gaibandha Sadar</v>
      </c>
      <c r="N59" t="str">
        <f>_xlfn.XLOOKUP(B59,Remittance_Data!A:A,Remittance_Data!B:B,"CHECK")</f>
        <v>CHECK</v>
      </c>
      <c r="O59" t="str">
        <f>_xlfn.XLOOKUP(B59,Remittance_Data!A:A,Remittance_Data!C:C,"CHECK")</f>
        <v>CHECK</v>
      </c>
      <c r="P59" t="str">
        <f>_xlfn.XLOOKUP(B59,Remittance_Data!A:A,Remittance_Data!D:D,"CHECK")</f>
        <v>CHECK</v>
      </c>
    </row>
    <row r="60" spans="1:16">
      <c r="A60" t="s">
        <v>107</v>
      </c>
      <c r="B60" t="str">
        <f>SUBSTITUTE(SUBSTITUTE(SUBSTITUTE(SUBSTITUTE(TRIM(Table6[[#This Row],[Constituency]]),"Barisal","Barishal"),"Jessore","Jashore"),"Bogra","Bogura"),"Chapai Nawabganj","Chapainawabganj")</f>
        <v>Gaibandha-4</v>
      </c>
      <c r="C60" t="s">
        <v>977</v>
      </c>
      <c r="D60" t="s">
        <v>973</v>
      </c>
      <c r="E60">
        <f>_xlfn.XLOOKUP(C60,Population_data!B:B,Population_data!C:C,"")</f>
        <v>481.98</v>
      </c>
      <c r="F60">
        <f>_xlfn.XLOOKUP(C60,Population_data!B:B,Population_data!D:D,"")</f>
        <v>543101</v>
      </c>
      <c r="G60">
        <f>_xlfn.XLOOKUP(C60,Population_data!B:B,Population_data!E:E,"")</f>
        <v>1126.81</v>
      </c>
      <c r="H60">
        <f>_xlfn.XLOOKUP(C60,Population_data!B:B,Population_data!F:F,"")</f>
        <v>3.6</v>
      </c>
      <c r="I60">
        <f>_xlfn.XLOOKUP(C60,Population_data!B:B,Population_data!G:G,"")</f>
        <v>67.239999999999995</v>
      </c>
      <c r="J60" t="str">
        <f>_xlfn.XLOOKUP(D60,District_Crime_Unit_Map!A:A,District_Crime_Unit_Map!B:B,"")</f>
        <v>Rangpur Range</v>
      </c>
      <c r="K60">
        <f>_xlfn.XLOOKUP(J60,Crime_Data!A:A,Crime_Data!V:V,"")</f>
        <v>101.90869513385242</v>
      </c>
      <c r="L60">
        <f>_xlfn.XLOOKUP(J60,Crime_Data!A:A,Crime_Data!W:W,"")</f>
        <v>15.175373179583827</v>
      </c>
      <c r="M60" t="str">
        <f>TRIM(Table6[[#This Row],[District]])&amp;"|"&amp;TRIM(Table6[[#This Row],[Upazila]])</f>
        <v>Gaibandha|Gobindaganj</v>
      </c>
      <c r="N60" t="str">
        <f>_xlfn.XLOOKUP(B60,Remittance_Data!A:A,Remittance_Data!B:B,"CHECK")</f>
        <v>CHECK</v>
      </c>
      <c r="O60" t="str">
        <f>_xlfn.XLOOKUP(B60,Remittance_Data!A:A,Remittance_Data!C:C,"CHECK")</f>
        <v>CHECK</v>
      </c>
      <c r="P60" t="str">
        <f>_xlfn.XLOOKUP(B60,Remittance_Data!A:A,Remittance_Data!D:D,"CHECK")</f>
        <v>CHECK</v>
      </c>
    </row>
    <row r="61" spans="1:16">
      <c r="A61" t="s">
        <v>110</v>
      </c>
      <c r="B61" t="str">
        <f>SUBSTITUTE(SUBSTITUTE(SUBSTITUTE(SUBSTITUTE(TRIM(Table6[[#This Row],[Constituency]]),"Barisal","Barishal"),"Jessore","Jashore"),"Bogra","Bogura"),"Chapai Nawabganj","Chapainawabganj")</f>
        <v>Gaibandha-5</v>
      </c>
      <c r="C61" t="s">
        <v>978</v>
      </c>
      <c r="D61" t="s">
        <v>973</v>
      </c>
      <c r="E61">
        <f>_xlfn.XLOOKUP(C61,Population_data!B:B,Population_data!C:C,"")</f>
        <v>213.44</v>
      </c>
      <c r="F61">
        <f>_xlfn.XLOOKUP(C61,Population_data!B:B,Population_data!D:D,"")</f>
        <v>289597</v>
      </c>
      <c r="G61">
        <f>_xlfn.XLOOKUP(C61,Population_data!B:B,Population_data!E:E,"")</f>
        <v>1356.81</v>
      </c>
      <c r="H61">
        <f>_xlfn.XLOOKUP(C61,Population_data!B:B,Population_data!F:F,"")</f>
        <v>3.6</v>
      </c>
      <c r="I61">
        <f>_xlfn.XLOOKUP(C61,Population_data!B:B,Population_data!G:G,"")</f>
        <v>66.08</v>
      </c>
      <c r="J61" t="str">
        <f>_xlfn.XLOOKUP(D61,District_Crime_Unit_Map!A:A,District_Crime_Unit_Map!B:B,"")</f>
        <v>Rangpur Range</v>
      </c>
      <c r="K61">
        <f>_xlfn.XLOOKUP(J61,Crime_Data!A:A,Crime_Data!V:V,"")</f>
        <v>101.90869513385242</v>
      </c>
      <c r="L61">
        <f>_xlfn.XLOOKUP(J61,Crime_Data!A:A,Crime_Data!W:W,"")</f>
        <v>15.175373179583827</v>
      </c>
      <c r="M61" t="str">
        <f>TRIM(Table6[[#This Row],[District]])&amp;"|"&amp;TRIM(Table6[[#This Row],[Upazila]])</f>
        <v>Gaibandha|Saghata</v>
      </c>
      <c r="N61" t="str">
        <f>_xlfn.XLOOKUP(B61,Remittance_Data!A:A,Remittance_Data!B:B,"CHECK")</f>
        <v>CHECK</v>
      </c>
      <c r="O61" t="str">
        <f>_xlfn.XLOOKUP(B61,Remittance_Data!A:A,Remittance_Data!C:C,"CHECK")</f>
        <v>CHECK</v>
      </c>
      <c r="P61" t="str">
        <f>_xlfn.XLOOKUP(B61,Remittance_Data!A:A,Remittance_Data!D:D,"CHECK")</f>
        <v>CHECK</v>
      </c>
    </row>
    <row r="62" spans="1:16">
      <c r="A62" t="s">
        <v>110</v>
      </c>
      <c r="B62" t="str">
        <f>SUBSTITUTE(SUBSTITUTE(SUBSTITUTE(SUBSTITUTE(TRIM(Table6[[#This Row],[Constituency]]),"Barisal","Barishal"),"Jessore","Jashore"),"Bogra","Bogura"),"Chapai Nawabganj","Chapainawabganj")</f>
        <v>Gaibandha-5</v>
      </c>
      <c r="C62" t="s">
        <v>1514</v>
      </c>
      <c r="D62" t="s">
        <v>973</v>
      </c>
      <c r="E62">
        <f>_xlfn.XLOOKUP(C62,Population_data!B:B,Population_data!C:C,"")</f>
        <v>165.83</v>
      </c>
      <c r="F62">
        <f>_xlfn.XLOOKUP(C62,Population_data!B:B,Population_data!D:D,"")</f>
        <v>166662</v>
      </c>
      <c r="G62">
        <f>_xlfn.XLOOKUP(C62,Population_data!B:B,Population_data!E:E,"")</f>
        <v>1005.02</v>
      </c>
      <c r="H62">
        <f>_xlfn.XLOOKUP(C62,Population_data!B:B,Population_data!F:F,"")</f>
        <v>3.7</v>
      </c>
      <c r="I62">
        <f>_xlfn.XLOOKUP(C62,Population_data!B:B,Population_data!G:G,"")</f>
        <v>59.99</v>
      </c>
      <c r="J62" t="str">
        <f>_xlfn.XLOOKUP(D62,District_Crime_Unit_Map!A:A,District_Crime_Unit_Map!B:B,"")</f>
        <v>Rangpur Range</v>
      </c>
      <c r="K62">
        <f>_xlfn.XLOOKUP(J62,Crime_Data!A:A,Crime_Data!V:V,"")</f>
        <v>101.90869513385242</v>
      </c>
      <c r="L62">
        <f>_xlfn.XLOOKUP(J62,Crime_Data!A:A,Crime_Data!W:W,"")</f>
        <v>15.175373179583827</v>
      </c>
      <c r="M62" t="str">
        <f>TRIM(Table6[[#This Row],[District]])&amp;"|"&amp;TRIM(Table6[[#This Row],[Upazila]])</f>
        <v>Gaibandha|Fulchhari</v>
      </c>
      <c r="N62" t="str">
        <f>_xlfn.XLOOKUP(B62,Remittance_Data!A:A,Remittance_Data!B:B,"CHECK")</f>
        <v>CHECK</v>
      </c>
      <c r="O62" t="str">
        <f>_xlfn.XLOOKUP(B62,Remittance_Data!A:A,Remittance_Data!C:C,"CHECK")</f>
        <v>CHECK</v>
      </c>
      <c r="P62" t="str">
        <f>_xlfn.XLOOKUP(B62,Remittance_Data!A:A,Remittance_Data!D:D,"CHECK")</f>
        <v>CHECK</v>
      </c>
    </row>
    <row r="63" spans="1:16">
      <c r="A63" t="s">
        <v>114</v>
      </c>
      <c r="B63" t="str">
        <f>SUBSTITUTE(SUBSTITUTE(SUBSTITUTE(SUBSTITUTE(TRIM(Table6[[#This Row],[Constituency]]),"Barisal","Barishal"),"Jessore","Jashore"),"Bogra","Bogura"),"Chapai Nawabganj","Chapainawabganj")</f>
        <v>Joypurhat-1</v>
      </c>
      <c r="C63" t="s">
        <v>980</v>
      </c>
      <c r="D63" t="s">
        <v>981</v>
      </c>
      <c r="E63">
        <f>_xlfn.XLOOKUP(C63,Population_data!B:B,Population_data!C:C,"")</f>
        <v>248.83</v>
      </c>
      <c r="F63">
        <f>_xlfn.XLOOKUP(C63,Population_data!B:B,Population_data!D:D,"")</f>
        <v>315191</v>
      </c>
      <c r="G63">
        <f>_xlfn.XLOOKUP(C63,Population_data!B:B,Population_data!E:E,"")</f>
        <v>1266.69</v>
      </c>
      <c r="H63">
        <f>_xlfn.XLOOKUP(C63,Population_data!B:B,Population_data!F:F,"")</f>
        <v>3.56</v>
      </c>
      <c r="I63">
        <f>_xlfn.XLOOKUP(C63,Population_data!B:B,Population_data!G:G,"")</f>
        <v>76.8</v>
      </c>
      <c r="J63" t="str">
        <f>_xlfn.XLOOKUP(D63,District_Crime_Unit_Map!A:A,District_Crime_Unit_Map!B:B,"")</f>
        <v>Rajshahi Range</v>
      </c>
      <c r="K63">
        <f>_xlfn.XLOOKUP(J63,Crime_Data!A:A,Crime_Data!V:V,"")</f>
        <v>112.81411131450233</v>
      </c>
      <c r="L63">
        <f>_xlfn.XLOOKUP(J63,Crime_Data!A:A,Crime_Data!W:W,"")</f>
        <v>14.272851259111949</v>
      </c>
      <c r="M63" t="str">
        <f>TRIM(Table6[[#This Row],[District]])&amp;"|"&amp;TRIM(Table6[[#This Row],[Upazila]])</f>
        <v>Joypurhat|Joypurhat Sadar</v>
      </c>
      <c r="N63" t="str">
        <f>_xlfn.XLOOKUP(B63,Remittance_Data!A:A,Remittance_Data!B:B,"CHECK")</f>
        <v>CHECK</v>
      </c>
      <c r="O63" t="str">
        <f>_xlfn.XLOOKUP(B63,Remittance_Data!A:A,Remittance_Data!C:C,"CHECK")</f>
        <v>CHECK</v>
      </c>
      <c r="P63" t="str">
        <f>_xlfn.XLOOKUP(B63,Remittance_Data!A:A,Remittance_Data!D:D,"CHECK")</f>
        <v>CHECK</v>
      </c>
    </row>
    <row r="64" spans="1:16">
      <c r="A64" t="s">
        <v>114</v>
      </c>
      <c r="B64" t="str">
        <f>SUBSTITUTE(SUBSTITUTE(SUBSTITUTE(SUBSTITUTE(TRIM(Table6[[#This Row],[Constituency]]),"Barisal","Barishal"),"Jessore","Jashore"),"Bogra","Bogura"),"Chapai Nawabganj","Chapainawabganj")</f>
        <v>Joypurhat-1</v>
      </c>
      <c r="C64" t="s">
        <v>982</v>
      </c>
      <c r="D64" t="s">
        <v>981</v>
      </c>
      <c r="E64">
        <f>_xlfn.XLOOKUP(C64,Population_data!B:B,Population_data!C:C,"")</f>
        <v>276.02</v>
      </c>
      <c r="F64">
        <f>_xlfn.XLOOKUP(C64,Population_data!B:B,Population_data!D:D,"")</f>
        <v>239591</v>
      </c>
      <c r="G64">
        <f>_xlfn.XLOOKUP(C64,Population_data!B:B,Population_data!E:E,"")</f>
        <v>868.02</v>
      </c>
      <c r="H64">
        <f>_xlfn.XLOOKUP(C64,Population_data!B:B,Population_data!F:F,"")</f>
        <v>3.55</v>
      </c>
      <c r="I64">
        <f>_xlfn.XLOOKUP(C64,Population_data!B:B,Population_data!G:G,"")</f>
        <v>73.27</v>
      </c>
      <c r="J64" t="str">
        <f>_xlfn.XLOOKUP(D64,District_Crime_Unit_Map!A:A,District_Crime_Unit_Map!B:B,"")</f>
        <v>Rajshahi Range</v>
      </c>
      <c r="K64">
        <f>_xlfn.XLOOKUP(J64,Crime_Data!A:A,Crime_Data!V:V,"")</f>
        <v>112.81411131450233</v>
      </c>
      <c r="L64">
        <f>_xlfn.XLOOKUP(J64,Crime_Data!A:A,Crime_Data!W:W,"")</f>
        <v>14.272851259111949</v>
      </c>
      <c r="M64" t="str">
        <f>TRIM(Table6[[#This Row],[District]])&amp;"|"&amp;TRIM(Table6[[#This Row],[Upazila]])</f>
        <v>Joypurhat|Panchbibi</v>
      </c>
      <c r="N64" t="str">
        <f>_xlfn.XLOOKUP(B64,Remittance_Data!A:A,Remittance_Data!B:B,"CHECK")</f>
        <v>CHECK</v>
      </c>
      <c r="O64" t="str">
        <f>_xlfn.XLOOKUP(B64,Remittance_Data!A:A,Remittance_Data!C:C,"CHECK")</f>
        <v>CHECK</v>
      </c>
      <c r="P64" t="str">
        <f>_xlfn.XLOOKUP(B64,Remittance_Data!A:A,Remittance_Data!D:D,"CHECK")</f>
        <v>CHECK</v>
      </c>
    </row>
    <row r="65" spans="1:16">
      <c r="A65" t="s">
        <v>117</v>
      </c>
      <c r="B65" t="str">
        <f>SUBSTITUTE(SUBSTITUTE(SUBSTITUTE(SUBSTITUTE(TRIM(Table6[[#This Row],[Constituency]]),"Barisal","Barishal"),"Jessore","Jashore"),"Bogra","Bogura"),"Chapai Nawabganj","Chapainawabganj")</f>
        <v>Joypurhat-2</v>
      </c>
      <c r="C65" t="s">
        <v>983</v>
      </c>
      <c r="D65" t="s">
        <v>981</v>
      </c>
      <c r="E65">
        <f>_xlfn.XLOOKUP(C65,Population_data!B:B,Population_data!C:C,"")</f>
        <v>139.77000000000001</v>
      </c>
      <c r="F65">
        <f>_xlfn.XLOOKUP(C65,Population_data!B:B,Population_data!D:D,"")</f>
        <v>144676</v>
      </c>
      <c r="G65">
        <f>_xlfn.XLOOKUP(C65,Population_data!B:B,Population_data!E:E,"")</f>
        <v>1035.0999999999999</v>
      </c>
      <c r="H65">
        <f>_xlfn.XLOOKUP(C65,Population_data!B:B,Population_data!F:F,"")</f>
        <v>3.48</v>
      </c>
      <c r="I65">
        <f>_xlfn.XLOOKUP(C65,Population_data!B:B,Population_data!G:G,"")</f>
        <v>74.62</v>
      </c>
      <c r="J65" t="str">
        <f>_xlfn.XLOOKUP(D65,District_Crime_Unit_Map!A:A,District_Crime_Unit_Map!B:B,"")</f>
        <v>Rajshahi Range</v>
      </c>
      <c r="K65">
        <f>_xlfn.XLOOKUP(J65,Crime_Data!A:A,Crime_Data!V:V,"")</f>
        <v>112.81411131450233</v>
      </c>
      <c r="L65">
        <f>_xlfn.XLOOKUP(J65,Crime_Data!A:A,Crime_Data!W:W,"")</f>
        <v>14.272851259111949</v>
      </c>
      <c r="M65" t="str">
        <f>TRIM(Table6[[#This Row],[District]])&amp;"|"&amp;TRIM(Table6[[#This Row],[Upazila]])</f>
        <v>Joypurhat|Akkelpur</v>
      </c>
      <c r="N65" t="str">
        <f>_xlfn.XLOOKUP(B65,Remittance_Data!A:A,Remittance_Data!B:B,"CHECK")</f>
        <v>CHECK</v>
      </c>
      <c r="O65" t="str">
        <f>_xlfn.XLOOKUP(B65,Remittance_Data!A:A,Remittance_Data!C:C,"CHECK")</f>
        <v>CHECK</v>
      </c>
      <c r="P65" t="str">
        <f>_xlfn.XLOOKUP(B65,Remittance_Data!A:A,Remittance_Data!D:D,"CHECK")</f>
        <v>CHECK</v>
      </c>
    </row>
    <row r="66" spans="1:16">
      <c r="A66" t="s">
        <v>117</v>
      </c>
      <c r="B66" t="str">
        <f>SUBSTITUTE(SUBSTITUTE(SUBSTITUTE(SUBSTITUTE(TRIM(Table6[[#This Row],[Constituency]]),"Barisal","Barishal"),"Jessore","Jashore"),"Bogra","Bogura"),"Chapai Nawabganj","Chapainawabganj")</f>
        <v>Joypurhat-2</v>
      </c>
      <c r="C66" t="s">
        <v>984</v>
      </c>
      <c r="D66" t="s">
        <v>981</v>
      </c>
      <c r="E66">
        <f>_xlfn.XLOOKUP(C66,Population_data!B:B,Population_data!C:C,"")</f>
        <v>166.73</v>
      </c>
      <c r="F66">
        <f>_xlfn.XLOOKUP(C66,Population_data!B:B,Population_data!D:D,"")</f>
        <v>146041</v>
      </c>
      <c r="G66">
        <f>_xlfn.XLOOKUP(C66,Population_data!B:B,Population_data!E:E,"")</f>
        <v>875.91</v>
      </c>
      <c r="H66">
        <f>_xlfn.XLOOKUP(C66,Population_data!B:B,Population_data!F:F,"")</f>
        <v>3.41</v>
      </c>
      <c r="I66">
        <f>_xlfn.XLOOKUP(C66,Population_data!B:B,Population_data!G:G,"")</f>
        <v>69.819999999999993</v>
      </c>
      <c r="J66" t="str">
        <f>_xlfn.XLOOKUP(D66,District_Crime_Unit_Map!A:A,District_Crime_Unit_Map!B:B,"")</f>
        <v>Rajshahi Range</v>
      </c>
      <c r="K66">
        <f>_xlfn.XLOOKUP(J66,Crime_Data!A:A,Crime_Data!V:V,"")</f>
        <v>112.81411131450233</v>
      </c>
      <c r="L66">
        <f>_xlfn.XLOOKUP(J66,Crime_Data!A:A,Crime_Data!W:W,"")</f>
        <v>14.272851259111949</v>
      </c>
      <c r="M66" t="str">
        <f>TRIM(Table6[[#This Row],[District]])&amp;"|"&amp;TRIM(Table6[[#This Row],[Upazila]])</f>
        <v>Joypurhat|Kalai</v>
      </c>
      <c r="N66" t="str">
        <f>_xlfn.XLOOKUP(B66,Remittance_Data!A:A,Remittance_Data!B:B,"CHECK")</f>
        <v>CHECK</v>
      </c>
      <c r="O66" t="str">
        <f>_xlfn.XLOOKUP(B66,Remittance_Data!A:A,Remittance_Data!C:C,"CHECK")</f>
        <v>CHECK</v>
      </c>
      <c r="P66" t="str">
        <f>_xlfn.XLOOKUP(B66,Remittance_Data!A:A,Remittance_Data!D:D,"CHECK")</f>
        <v>CHECK</v>
      </c>
    </row>
    <row r="67" spans="1:16">
      <c r="A67" t="s">
        <v>117</v>
      </c>
      <c r="B67" t="str">
        <f>SUBSTITUTE(SUBSTITUTE(SUBSTITUTE(SUBSTITUTE(TRIM(Table6[[#This Row],[Constituency]]),"Barisal","Barishal"),"Jessore","Jashore"),"Bogra","Bogura"),"Chapai Nawabganj","Chapainawabganj")</f>
        <v>Joypurhat-2</v>
      </c>
      <c r="C67" t="s">
        <v>985</v>
      </c>
      <c r="D67" t="s">
        <v>981</v>
      </c>
      <c r="E67">
        <f>_xlfn.XLOOKUP(C67,Population_data!B:B,Population_data!C:C,"")</f>
        <v>142.33000000000001</v>
      </c>
      <c r="F67">
        <f>_xlfn.XLOOKUP(C67,Population_data!B:B,Population_data!D:D,"")</f>
        <v>110843</v>
      </c>
      <c r="G67">
        <f>_xlfn.XLOOKUP(C67,Population_data!B:B,Population_data!E:E,"")</f>
        <v>778.77</v>
      </c>
      <c r="H67">
        <f>_xlfn.XLOOKUP(C67,Population_data!B:B,Population_data!F:F,"")</f>
        <v>3.36</v>
      </c>
      <c r="I67">
        <f>_xlfn.XLOOKUP(C67,Population_data!B:B,Population_data!G:G,"")</f>
        <v>70</v>
      </c>
      <c r="J67" t="str">
        <f>_xlfn.XLOOKUP(D67,District_Crime_Unit_Map!A:A,District_Crime_Unit_Map!B:B,"")</f>
        <v>Rajshahi Range</v>
      </c>
      <c r="K67">
        <f>_xlfn.XLOOKUP(J67,Crime_Data!A:A,Crime_Data!V:V,"")</f>
        <v>112.81411131450233</v>
      </c>
      <c r="L67">
        <f>_xlfn.XLOOKUP(J67,Crime_Data!A:A,Crime_Data!W:W,"")</f>
        <v>14.272851259111949</v>
      </c>
      <c r="M67" t="str">
        <f>TRIM(Table6[[#This Row],[District]])&amp;"|"&amp;TRIM(Table6[[#This Row],[Upazila]])</f>
        <v>Joypurhat|Khetlal</v>
      </c>
      <c r="N67" t="str">
        <f>_xlfn.XLOOKUP(B67,Remittance_Data!A:A,Remittance_Data!B:B,"CHECK")</f>
        <v>CHECK</v>
      </c>
      <c r="O67" t="str">
        <f>_xlfn.XLOOKUP(B67,Remittance_Data!A:A,Remittance_Data!C:C,"CHECK")</f>
        <v>CHECK</v>
      </c>
      <c r="P67" t="str">
        <f>_xlfn.XLOOKUP(B67,Remittance_Data!A:A,Remittance_Data!D:D,"CHECK")</f>
        <v>CHECK</v>
      </c>
    </row>
    <row r="68" spans="1:16">
      <c r="A68" t="s">
        <v>986</v>
      </c>
      <c r="B68" t="str">
        <f>SUBSTITUTE(SUBSTITUTE(SUBSTITUTE(SUBSTITUTE(TRIM(Table6[[#This Row],[Constituency]]),"Barisal","Barishal"),"Jessore","Jashore"),"Bogra","Bogura"),"Chapai Nawabganj","Chapainawabganj")</f>
        <v>Bogura-1</v>
      </c>
      <c r="C68" t="s">
        <v>987</v>
      </c>
      <c r="D68" t="s">
        <v>988</v>
      </c>
      <c r="E68">
        <f>_xlfn.XLOOKUP(C68,Population_data!B:B,Population_data!C:C,"")</f>
        <v>263.5</v>
      </c>
      <c r="F68">
        <f>_xlfn.XLOOKUP(C68,Population_data!B:B,Population_data!D:D,"")</f>
        <v>276195</v>
      </c>
      <c r="G68">
        <f>_xlfn.XLOOKUP(C68,Population_data!B:B,Population_data!E:E,"")</f>
        <v>1048.18</v>
      </c>
      <c r="H68">
        <f>_xlfn.XLOOKUP(C68,Population_data!B:B,Population_data!F:F,"")</f>
        <v>3.32</v>
      </c>
      <c r="I68">
        <f>_xlfn.XLOOKUP(C68,Population_data!B:B,Population_data!G:G,"")</f>
        <v>63.48</v>
      </c>
      <c r="J68" t="str">
        <f>_xlfn.XLOOKUP(D68,District_Crime_Unit_Map!A:A,District_Crime_Unit_Map!B:B,"")</f>
        <v>Rajshahi Range</v>
      </c>
      <c r="K68">
        <f>_xlfn.XLOOKUP(J68,Crime_Data!A:A,Crime_Data!V:V,"")</f>
        <v>112.81411131450233</v>
      </c>
      <c r="L68">
        <f>_xlfn.XLOOKUP(J68,Crime_Data!A:A,Crime_Data!W:W,"")</f>
        <v>14.272851259111949</v>
      </c>
      <c r="M68" t="str">
        <f>TRIM(Table6[[#This Row],[District]])&amp;"|"&amp;TRIM(Table6[[#This Row],[Upazila]])</f>
        <v>Bogura|Sariakandi</v>
      </c>
      <c r="N68" t="str">
        <f>_xlfn.XLOOKUP(B68,Remittance_Data!A:A,Remittance_Data!B:B,"CHECK")</f>
        <v>CHECK</v>
      </c>
      <c r="O68" t="str">
        <f>_xlfn.XLOOKUP(B68,Remittance_Data!A:A,Remittance_Data!C:C,"CHECK")</f>
        <v>CHECK</v>
      </c>
      <c r="P68" t="str">
        <f>_xlfn.XLOOKUP(B68,Remittance_Data!A:A,Remittance_Data!D:D,"CHECK")</f>
        <v>CHECK</v>
      </c>
    </row>
    <row r="69" spans="1:16">
      <c r="A69" t="s">
        <v>986</v>
      </c>
      <c r="B69" t="str">
        <f>SUBSTITUTE(SUBSTITUTE(SUBSTITUTE(SUBSTITUTE(TRIM(Table6[[#This Row],[Constituency]]),"Barisal","Barishal"),"Jessore","Jashore"),"Bogra","Bogura"),"Chapai Nawabganj","Chapainawabganj")</f>
        <v>Bogura-1</v>
      </c>
      <c r="C69" t="s">
        <v>989</v>
      </c>
      <c r="D69" t="s">
        <v>988</v>
      </c>
      <c r="E69">
        <f>_xlfn.XLOOKUP(C69,Population_data!B:B,Population_data!C:C,"")</f>
        <v>291.55</v>
      </c>
      <c r="F69">
        <f>_xlfn.XLOOKUP(C69,Population_data!B:B,Population_data!D:D,"")</f>
        <v>193455</v>
      </c>
      <c r="G69">
        <f>_xlfn.XLOOKUP(C69,Population_data!B:B,Population_data!E:E,"")</f>
        <v>663.54</v>
      </c>
      <c r="H69">
        <f>_xlfn.XLOOKUP(C69,Population_data!B:B,Population_data!F:F,"")</f>
        <v>3.59</v>
      </c>
      <c r="I69">
        <f>_xlfn.XLOOKUP(C69,Population_data!B:B,Population_data!G:G,"")</f>
        <v>68.73</v>
      </c>
      <c r="J69" t="str">
        <f>_xlfn.XLOOKUP(D69,District_Crime_Unit_Map!A:A,District_Crime_Unit_Map!B:B,"")</f>
        <v>Rajshahi Range</v>
      </c>
      <c r="K69">
        <f>_xlfn.XLOOKUP(J69,Crime_Data!A:A,Crime_Data!V:V,"")</f>
        <v>112.81411131450233</v>
      </c>
      <c r="L69">
        <f>_xlfn.XLOOKUP(J69,Crime_Data!A:A,Crime_Data!W:W,"")</f>
        <v>14.272851259111949</v>
      </c>
      <c r="M69" t="str">
        <f>TRIM(Table6[[#This Row],[District]])&amp;"|"&amp;TRIM(Table6[[#This Row],[Upazila]])</f>
        <v>Bogura|Sonatala</v>
      </c>
      <c r="N69" t="str">
        <f>_xlfn.XLOOKUP(B69,Remittance_Data!A:A,Remittance_Data!B:B,"CHECK")</f>
        <v>CHECK</v>
      </c>
      <c r="O69" t="str">
        <f>_xlfn.XLOOKUP(B69,Remittance_Data!A:A,Remittance_Data!C:C,"CHECK")</f>
        <v>CHECK</v>
      </c>
      <c r="P69" t="str">
        <f>_xlfn.XLOOKUP(B69,Remittance_Data!A:A,Remittance_Data!D:D,"CHECK")</f>
        <v>CHECK</v>
      </c>
    </row>
    <row r="70" spans="1:16">
      <c r="A70" t="s">
        <v>990</v>
      </c>
      <c r="B70" t="str">
        <f>SUBSTITUTE(SUBSTITUTE(SUBSTITUTE(SUBSTITUTE(TRIM(Table6[[#This Row],[Constituency]]),"Barisal","Barishal"),"Jessore","Jashore"),"Bogra","Bogura"),"Chapai Nawabganj","Chapainawabganj")</f>
        <v>Bogura-2</v>
      </c>
      <c r="C70" t="s">
        <v>991</v>
      </c>
      <c r="D70" t="s">
        <v>988</v>
      </c>
      <c r="E70">
        <f>_xlfn.XLOOKUP(C70,Population_data!B:B,Population_data!C:C,"")</f>
        <v>516.70000000000005</v>
      </c>
      <c r="F70">
        <f>_xlfn.XLOOKUP(C70,Population_data!B:B,Population_data!D:D,"")</f>
        <v>400407</v>
      </c>
      <c r="G70">
        <f>_xlfn.XLOOKUP(C70,Population_data!B:B,Population_data!E:E,"")</f>
        <v>774.93</v>
      </c>
      <c r="H70">
        <f>_xlfn.XLOOKUP(C70,Population_data!B:B,Population_data!F:F,"")</f>
        <v>3.46</v>
      </c>
      <c r="I70">
        <f>_xlfn.XLOOKUP(C70,Population_data!B:B,Population_data!G:G,"")</f>
        <v>67.760000000000005</v>
      </c>
      <c r="J70" t="str">
        <f>_xlfn.XLOOKUP(D70,District_Crime_Unit_Map!A:A,District_Crime_Unit_Map!B:B,"")</f>
        <v>Rajshahi Range</v>
      </c>
      <c r="K70">
        <f>_xlfn.XLOOKUP(J70,Crime_Data!A:A,Crime_Data!V:V,"")</f>
        <v>112.81411131450233</v>
      </c>
      <c r="L70">
        <f>_xlfn.XLOOKUP(J70,Crime_Data!A:A,Crime_Data!W:W,"")</f>
        <v>14.272851259111949</v>
      </c>
      <c r="M70" t="str">
        <f>TRIM(Table6[[#This Row],[District]])&amp;"|"&amp;TRIM(Table6[[#This Row],[Upazila]])</f>
        <v>Bogura|Shibganj</v>
      </c>
      <c r="N70" t="str">
        <f>_xlfn.XLOOKUP(B70,Remittance_Data!A:A,Remittance_Data!B:B,"CHECK")</f>
        <v>CHECK</v>
      </c>
      <c r="O70" t="str">
        <f>_xlfn.XLOOKUP(B70,Remittance_Data!A:A,Remittance_Data!C:C,"CHECK")</f>
        <v>CHECK</v>
      </c>
      <c r="P70" t="str">
        <f>_xlfn.XLOOKUP(B70,Remittance_Data!A:A,Remittance_Data!D:D,"CHECK")</f>
        <v>CHECK</v>
      </c>
    </row>
    <row r="71" spans="1:16">
      <c r="A71" t="s">
        <v>992</v>
      </c>
      <c r="B71" t="str">
        <f>SUBSTITUTE(SUBSTITUTE(SUBSTITUTE(SUBSTITUTE(TRIM(Table6[[#This Row],[Constituency]]),"Barisal","Barishal"),"Jessore","Jashore"),"Bogra","Bogura"),"Chapai Nawabganj","Chapainawabganj")</f>
        <v>Bogura-3</v>
      </c>
      <c r="C71" t="s">
        <v>993</v>
      </c>
      <c r="D71" t="s">
        <v>988</v>
      </c>
      <c r="E71">
        <f>_xlfn.XLOOKUP(C71,Population_data!B:B,Population_data!C:C,"")</f>
        <v>286.22000000000003</v>
      </c>
      <c r="F71">
        <f>_xlfn.XLOOKUP(C71,Population_data!B:B,Population_data!D:D,"")</f>
        <v>657688</v>
      </c>
      <c r="G71">
        <f>_xlfn.XLOOKUP(C71,Population_data!B:B,Population_data!E:E,"")</f>
        <v>2297.84</v>
      </c>
      <c r="H71">
        <f>_xlfn.XLOOKUP(C71,Population_data!B:B,Population_data!F:F,"")</f>
        <v>3.67</v>
      </c>
      <c r="I71">
        <f>_xlfn.XLOOKUP(C71,Population_data!B:B,Population_data!G:G,"")</f>
        <v>83.63</v>
      </c>
      <c r="J71" t="str">
        <f>_xlfn.XLOOKUP(D71,District_Crime_Unit_Map!A:A,District_Crime_Unit_Map!B:B,"")</f>
        <v>Rajshahi Range</v>
      </c>
      <c r="K71">
        <f>_xlfn.XLOOKUP(J71,Crime_Data!A:A,Crime_Data!V:V,"")</f>
        <v>112.81411131450233</v>
      </c>
      <c r="L71">
        <f>_xlfn.XLOOKUP(J71,Crime_Data!A:A,Crime_Data!W:W,"")</f>
        <v>14.272851259111949</v>
      </c>
      <c r="M71" t="str">
        <f>TRIM(Table6[[#This Row],[District]])&amp;"|"&amp;TRIM(Table6[[#This Row],[Upazila]])</f>
        <v>Bogura|Bogura Sadar</v>
      </c>
      <c r="N71" t="str">
        <f>_xlfn.XLOOKUP(B71,Remittance_Data!A:A,Remittance_Data!B:B,"CHECK")</f>
        <v>CHECK</v>
      </c>
      <c r="O71" t="str">
        <f>_xlfn.XLOOKUP(B71,Remittance_Data!A:A,Remittance_Data!C:C,"CHECK")</f>
        <v>CHECK</v>
      </c>
      <c r="P71" t="str">
        <f>_xlfn.XLOOKUP(B71,Remittance_Data!A:A,Remittance_Data!D:D,"CHECK")</f>
        <v>CHECK</v>
      </c>
    </row>
    <row r="72" spans="1:16">
      <c r="A72" t="s">
        <v>994</v>
      </c>
      <c r="B72" t="str">
        <f>SUBSTITUTE(SUBSTITUTE(SUBSTITUTE(SUBSTITUTE(TRIM(Table6[[#This Row],[Constituency]]),"Barisal","Barishal"),"Jessore","Jashore"),"Bogra","Bogura"),"Chapai Nawabganj","Chapainawabganj")</f>
        <v>Bogura-4</v>
      </c>
      <c r="C72" t="s">
        <v>995</v>
      </c>
      <c r="D72" t="s">
        <v>988</v>
      </c>
      <c r="E72">
        <f>_xlfn.XLOOKUP(C72,Population_data!B:B,Population_data!C:C,"")</f>
        <v>257.42</v>
      </c>
      <c r="F72">
        <f>_xlfn.XLOOKUP(C72,Population_data!B:B,Population_data!D:D,"")</f>
        <v>234555</v>
      </c>
      <c r="G72">
        <f>_xlfn.XLOOKUP(C72,Population_data!B:B,Population_data!E:E,"")</f>
        <v>911.18</v>
      </c>
      <c r="H72">
        <f>_xlfn.XLOOKUP(C72,Population_data!B:B,Population_data!F:F,"")</f>
        <v>3.57</v>
      </c>
      <c r="I72">
        <f>_xlfn.XLOOKUP(C72,Population_data!B:B,Population_data!G:G,"")</f>
        <v>74.959999999999994</v>
      </c>
      <c r="J72" t="str">
        <f>_xlfn.XLOOKUP(D72,District_Crime_Unit_Map!A:A,District_Crime_Unit_Map!B:B,"")</f>
        <v>Rajshahi Range</v>
      </c>
      <c r="K72">
        <f>_xlfn.XLOOKUP(J72,Crime_Data!A:A,Crime_Data!V:V,"")</f>
        <v>112.81411131450233</v>
      </c>
      <c r="L72">
        <f>_xlfn.XLOOKUP(J72,Crime_Data!A:A,Crime_Data!W:W,"")</f>
        <v>14.272851259111949</v>
      </c>
      <c r="M72" t="str">
        <f>TRIM(Table6[[#This Row],[District]])&amp;"|"&amp;TRIM(Table6[[#This Row],[Upazila]])</f>
        <v>Bogura|Kahalu</v>
      </c>
      <c r="N72" t="str">
        <f>_xlfn.XLOOKUP(B72,Remittance_Data!A:A,Remittance_Data!B:B,"CHECK")</f>
        <v>CHECK</v>
      </c>
      <c r="O72" t="str">
        <f>_xlfn.XLOOKUP(B72,Remittance_Data!A:A,Remittance_Data!C:C,"CHECK")</f>
        <v>CHECK</v>
      </c>
      <c r="P72" t="str">
        <f>_xlfn.XLOOKUP(B72,Remittance_Data!A:A,Remittance_Data!D:D,"CHECK")</f>
        <v>CHECK</v>
      </c>
    </row>
    <row r="73" spans="1:16">
      <c r="A73" t="s">
        <v>994</v>
      </c>
      <c r="B73" t="str">
        <f>SUBSTITUTE(SUBSTITUTE(SUBSTITUTE(SUBSTITUTE(TRIM(Table6[[#This Row],[Constituency]]),"Barisal","Barishal"),"Jessore","Jashore"),"Bogra","Bogura"),"Chapai Nawabganj","Chapainawabganj")</f>
        <v>Bogura-4</v>
      </c>
      <c r="C73" t="s">
        <v>996</v>
      </c>
      <c r="D73" t="s">
        <v>988</v>
      </c>
      <c r="E73">
        <f>_xlfn.XLOOKUP(C73,Population_data!B:B,Population_data!C:C,"")</f>
        <v>265.22000000000003</v>
      </c>
      <c r="F73">
        <f>_xlfn.XLOOKUP(C73,Population_data!B:B,Population_data!D:D,"")</f>
        <v>200280</v>
      </c>
      <c r="G73">
        <f>_xlfn.XLOOKUP(C73,Population_data!B:B,Population_data!E:E,"")</f>
        <v>755.15</v>
      </c>
      <c r="H73">
        <f>_xlfn.XLOOKUP(C73,Population_data!B:B,Population_data!F:F,"")</f>
        <v>3.68</v>
      </c>
      <c r="I73">
        <f>_xlfn.XLOOKUP(C73,Population_data!B:B,Population_data!G:G,"")</f>
        <v>72.02</v>
      </c>
      <c r="J73" t="str">
        <f>_xlfn.XLOOKUP(D73,District_Crime_Unit_Map!A:A,District_Crime_Unit_Map!B:B,"")</f>
        <v>Rajshahi Range</v>
      </c>
      <c r="K73">
        <f>_xlfn.XLOOKUP(J73,Crime_Data!A:A,Crime_Data!V:V,"")</f>
        <v>112.81411131450233</v>
      </c>
      <c r="L73">
        <f>_xlfn.XLOOKUP(J73,Crime_Data!A:A,Crime_Data!W:W,"")</f>
        <v>14.272851259111949</v>
      </c>
      <c r="M73" t="str">
        <f>TRIM(Table6[[#This Row],[District]])&amp;"|"&amp;TRIM(Table6[[#This Row],[Upazila]])</f>
        <v>Bogura|Nandigram</v>
      </c>
      <c r="N73" t="str">
        <f>_xlfn.XLOOKUP(B73,Remittance_Data!A:A,Remittance_Data!B:B,"CHECK")</f>
        <v>CHECK</v>
      </c>
      <c r="O73" t="str">
        <f>_xlfn.XLOOKUP(B73,Remittance_Data!A:A,Remittance_Data!C:C,"CHECK")</f>
        <v>CHECK</v>
      </c>
      <c r="P73" t="str">
        <f>_xlfn.XLOOKUP(B73,Remittance_Data!A:A,Remittance_Data!D:D,"CHECK")</f>
        <v>CHECK</v>
      </c>
    </row>
    <row r="74" spans="1:16">
      <c r="A74" t="s">
        <v>997</v>
      </c>
      <c r="B74" t="str">
        <f>SUBSTITUTE(SUBSTITUTE(SUBSTITUTE(SUBSTITUTE(TRIM(Table6[[#This Row],[Constituency]]),"Barisal","Barishal"),"Jessore","Jashore"),"Bogra","Bogura"),"Chapai Nawabganj","Chapainawabganj")</f>
        <v>Bogura-5</v>
      </c>
      <c r="C74" t="s">
        <v>998</v>
      </c>
      <c r="D74" t="s">
        <v>988</v>
      </c>
      <c r="E74">
        <f>_xlfn.XLOOKUP(C74,Population_data!B:B,Population_data!C:C,"")</f>
        <v>247.29</v>
      </c>
      <c r="F74">
        <f>_xlfn.XLOOKUP(C74,Population_data!B:B,Population_data!D:D,"")</f>
        <v>307512</v>
      </c>
      <c r="G74">
        <f>_xlfn.XLOOKUP(C74,Population_data!B:B,Population_data!E:E,"")</f>
        <v>1243.53</v>
      </c>
      <c r="H74">
        <f>_xlfn.XLOOKUP(C74,Population_data!B:B,Population_data!F:F,"")</f>
        <v>3.62</v>
      </c>
      <c r="I74">
        <f>_xlfn.XLOOKUP(C74,Population_data!B:B,Population_data!G:G,"")</f>
        <v>62.48</v>
      </c>
      <c r="J74" t="str">
        <f>_xlfn.XLOOKUP(D74,District_Crime_Unit_Map!A:A,District_Crime_Unit_Map!B:B,"")</f>
        <v>Rajshahi Range</v>
      </c>
      <c r="K74">
        <f>_xlfn.XLOOKUP(J74,Crime_Data!A:A,Crime_Data!V:V,"")</f>
        <v>112.81411131450233</v>
      </c>
      <c r="L74">
        <f>_xlfn.XLOOKUP(J74,Crime_Data!A:A,Crime_Data!W:W,"")</f>
        <v>14.272851259111949</v>
      </c>
      <c r="M74" t="str">
        <f>TRIM(Table6[[#This Row],[District]])&amp;"|"&amp;TRIM(Table6[[#This Row],[Upazila]])</f>
        <v>Bogura|Dhunat</v>
      </c>
      <c r="N74" t="str">
        <f>_xlfn.XLOOKUP(B74,Remittance_Data!A:A,Remittance_Data!B:B,"CHECK")</f>
        <v>CHECK</v>
      </c>
      <c r="O74" t="str">
        <f>_xlfn.XLOOKUP(B74,Remittance_Data!A:A,Remittance_Data!C:C,"CHECK")</f>
        <v>CHECK</v>
      </c>
      <c r="P74" t="str">
        <f>_xlfn.XLOOKUP(B74,Remittance_Data!A:A,Remittance_Data!D:D,"CHECK")</f>
        <v>CHECK</v>
      </c>
    </row>
    <row r="75" spans="1:16">
      <c r="A75" t="s">
        <v>997</v>
      </c>
      <c r="B75" t="str">
        <f>SUBSTITUTE(SUBSTITUTE(SUBSTITUTE(SUBSTITUTE(TRIM(Table6[[#This Row],[Constituency]]),"Barisal","Barishal"),"Jessore","Jashore"),"Bogra","Bogura"),"Chapai Nawabganj","Chapainawabganj")</f>
        <v>Bogura-5</v>
      </c>
      <c r="C75" t="s">
        <v>999</v>
      </c>
      <c r="D75" t="s">
        <v>988</v>
      </c>
      <c r="E75">
        <f>_xlfn.XLOOKUP(C75,Population_data!B:B,Population_data!C:C,"")</f>
        <v>334.14</v>
      </c>
      <c r="F75">
        <f>_xlfn.XLOOKUP(C75,Population_data!B:B,Population_data!D:D,"")</f>
        <v>383507</v>
      </c>
      <c r="G75">
        <f>_xlfn.XLOOKUP(C75,Population_data!B:B,Population_data!E:E,"")</f>
        <v>1147.74</v>
      </c>
      <c r="H75">
        <f>_xlfn.XLOOKUP(C75,Population_data!B:B,Population_data!F:F,"")</f>
        <v>3.65</v>
      </c>
      <c r="I75">
        <f>_xlfn.XLOOKUP(C75,Population_data!B:B,Population_data!G:G,"")</f>
        <v>68.040000000000006</v>
      </c>
      <c r="J75" t="str">
        <f>_xlfn.XLOOKUP(D75,District_Crime_Unit_Map!A:A,District_Crime_Unit_Map!B:B,"")</f>
        <v>Rajshahi Range</v>
      </c>
      <c r="K75">
        <f>_xlfn.XLOOKUP(J75,Crime_Data!A:A,Crime_Data!V:V,"")</f>
        <v>112.81411131450233</v>
      </c>
      <c r="L75">
        <f>_xlfn.XLOOKUP(J75,Crime_Data!A:A,Crime_Data!W:W,"")</f>
        <v>14.272851259111949</v>
      </c>
      <c r="M75" t="str">
        <f>TRIM(Table6[[#This Row],[District]])&amp;"|"&amp;TRIM(Table6[[#This Row],[Upazila]])</f>
        <v>Bogura|Sherpur</v>
      </c>
      <c r="N75" t="str">
        <f>_xlfn.XLOOKUP(B75,Remittance_Data!A:A,Remittance_Data!B:B,"CHECK")</f>
        <v>CHECK</v>
      </c>
      <c r="O75" t="str">
        <f>_xlfn.XLOOKUP(B75,Remittance_Data!A:A,Remittance_Data!C:C,"CHECK")</f>
        <v>CHECK</v>
      </c>
      <c r="P75" t="str">
        <f>_xlfn.XLOOKUP(B75,Remittance_Data!A:A,Remittance_Data!D:D,"CHECK")</f>
        <v>CHECK</v>
      </c>
    </row>
    <row r="76" spans="1:16">
      <c r="A76" t="s">
        <v>1000</v>
      </c>
      <c r="B76" t="str">
        <f>SUBSTITUTE(SUBSTITUTE(SUBSTITUTE(SUBSTITUTE(TRIM(Table6[[#This Row],[Constituency]]),"Barisal","Barishal"),"Jessore","Jashore"),"Bogra","Bogura"),"Chapai Nawabganj","Chapainawabganj")</f>
        <v>Bogura-6</v>
      </c>
      <c r="C76" t="s">
        <v>1001</v>
      </c>
      <c r="D76" t="s">
        <v>988</v>
      </c>
      <c r="E76">
        <f>_xlfn.XLOOKUP(C76,Population_data!B:B,Population_data!C:C,"")</f>
        <v>310.75</v>
      </c>
      <c r="F76">
        <f>_xlfn.XLOOKUP(C76,Population_data!B:B,Population_data!D:D,"")</f>
        <v>333653</v>
      </c>
      <c r="G76">
        <f>_xlfn.XLOOKUP(C76,Population_data!B:B,Population_data!E:E,"")</f>
        <v>1073.7</v>
      </c>
      <c r="H76">
        <f>_xlfn.XLOOKUP(C76,Population_data!B:B,Population_data!F:F,"")</f>
        <v>3.65</v>
      </c>
      <c r="I76">
        <f>_xlfn.XLOOKUP(C76,Population_data!B:B,Population_data!G:G,"")</f>
        <v>78.849999999999994</v>
      </c>
      <c r="J76" t="str">
        <f>_xlfn.XLOOKUP(D76,District_Crime_Unit_Map!A:A,District_Crime_Unit_Map!B:B,"")</f>
        <v>Rajshahi Range</v>
      </c>
      <c r="K76">
        <f>_xlfn.XLOOKUP(J76,Crime_Data!A:A,Crime_Data!V:V,"")</f>
        <v>112.81411131450233</v>
      </c>
      <c r="L76">
        <f>_xlfn.XLOOKUP(J76,Crime_Data!A:A,Crime_Data!W:W,"")</f>
        <v>14.272851259111949</v>
      </c>
      <c r="M76" t="str">
        <f>TRIM(Table6[[#This Row],[District]])&amp;"|"&amp;TRIM(Table6[[#This Row],[Upazila]])</f>
        <v>Bogura|Shajahanpur</v>
      </c>
      <c r="N76" t="str">
        <f>_xlfn.XLOOKUP(B76,Remittance_Data!A:A,Remittance_Data!B:B,"CHECK")</f>
        <v>CHECK</v>
      </c>
      <c r="O76" t="str">
        <f>_xlfn.XLOOKUP(B76,Remittance_Data!A:A,Remittance_Data!C:C,"CHECK")</f>
        <v>CHECK</v>
      </c>
      <c r="P76" t="str">
        <f>_xlfn.XLOOKUP(B76,Remittance_Data!A:A,Remittance_Data!D:D,"CHECK")</f>
        <v>CHECK</v>
      </c>
    </row>
    <row r="77" spans="1:16">
      <c r="A77" t="s">
        <v>1002</v>
      </c>
      <c r="B77" t="str">
        <f>SUBSTITUTE(SUBSTITUTE(SUBSTITUTE(SUBSTITUTE(TRIM(Table6[[#This Row],[Constituency]]),"Barisal","Barishal"),"Jessore","Jashore"),"Bogra","Bogura"),"Chapai Nawabganj","Chapainawabganj")</f>
        <v>Bogura-7</v>
      </c>
      <c r="C77" t="s">
        <v>1003</v>
      </c>
      <c r="D77" t="s">
        <v>988</v>
      </c>
      <c r="E77">
        <f>_xlfn.XLOOKUP(C77,Population_data!B:B,Population_data!C:C,"")</f>
        <v>325.55</v>
      </c>
      <c r="F77">
        <f>_xlfn.XLOOKUP(C77,Population_data!B:B,Population_data!D:D,"")</f>
        <v>344883</v>
      </c>
      <c r="G77">
        <f>_xlfn.XLOOKUP(C77,Population_data!B:B,Population_data!E:E,"")</f>
        <v>1059.3900000000001</v>
      </c>
      <c r="H77">
        <f>_xlfn.XLOOKUP(C77,Population_data!B:B,Population_data!F:F,"")</f>
        <v>3.66</v>
      </c>
      <c r="I77">
        <f>_xlfn.XLOOKUP(C77,Population_data!B:B,Population_data!G:G,"")</f>
        <v>69.48</v>
      </c>
      <c r="J77" t="str">
        <f>_xlfn.XLOOKUP(D77,District_Crime_Unit_Map!A:A,District_Crime_Unit_Map!B:B,"")</f>
        <v>Rajshahi Range</v>
      </c>
      <c r="K77">
        <f>_xlfn.XLOOKUP(J77,Crime_Data!A:A,Crime_Data!V:V,"")</f>
        <v>112.81411131450233</v>
      </c>
      <c r="L77">
        <f>_xlfn.XLOOKUP(J77,Crime_Data!A:A,Crime_Data!W:W,"")</f>
        <v>14.272851259111949</v>
      </c>
      <c r="M77" t="str">
        <f>TRIM(Table6[[#This Row],[District]])&amp;"|"&amp;TRIM(Table6[[#This Row],[Upazila]])</f>
        <v>Bogura|Gabtali</v>
      </c>
      <c r="N77" t="str">
        <f>_xlfn.XLOOKUP(B77,Remittance_Data!A:A,Remittance_Data!B:B,"CHECK")</f>
        <v>CHECK</v>
      </c>
      <c r="O77" t="str">
        <f>_xlfn.XLOOKUP(B77,Remittance_Data!A:A,Remittance_Data!C:C,"CHECK")</f>
        <v>CHECK</v>
      </c>
      <c r="P77" t="str">
        <f>_xlfn.XLOOKUP(B77,Remittance_Data!A:A,Remittance_Data!D:D,"CHECK")</f>
        <v>CHECK</v>
      </c>
    </row>
    <row r="78" spans="1:16">
      <c r="A78" t="s">
        <v>1002</v>
      </c>
      <c r="B78" t="str">
        <f>SUBSTITUTE(SUBSTITUTE(SUBSTITUTE(SUBSTITUTE(TRIM(Table6[[#This Row],[Constituency]]),"Barisal","Barishal"),"Jessore","Jashore"),"Bogra","Bogura"),"Chapai Nawabganj","Chapainawabganj")</f>
        <v>Bogura-7</v>
      </c>
      <c r="C78" t="s">
        <v>1001</v>
      </c>
      <c r="D78" t="s">
        <v>988</v>
      </c>
      <c r="E78">
        <f>_xlfn.XLOOKUP(C78,Population_data!B:B,Population_data!C:C,"")</f>
        <v>310.75</v>
      </c>
      <c r="F78">
        <f>_xlfn.XLOOKUP(C78,Population_data!B:B,Population_data!D:D,"")</f>
        <v>333653</v>
      </c>
      <c r="G78">
        <f>_xlfn.XLOOKUP(C78,Population_data!B:B,Population_data!E:E,"")</f>
        <v>1073.7</v>
      </c>
      <c r="H78">
        <f>_xlfn.XLOOKUP(C78,Population_data!B:B,Population_data!F:F,"")</f>
        <v>3.65</v>
      </c>
      <c r="I78">
        <f>_xlfn.XLOOKUP(C78,Population_data!B:B,Population_data!G:G,"")</f>
        <v>78.849999999999994</v>
      </c>
      <c r="J78" t="str">
        <f>_xlfn.XLOOKUP(D78,District_Crime_Unit_Map!A:A,District_Crime_Unit_Map!B:B,"")</f>
        <v>Rajshahi Range</v>
      </c>
      <c r="K78">
        <f>_xlfn.XLOOKUP(J78,Crime_Data!A:A,Crime_Data!V:V,"")</f>
        <v>112.81411131450233</v>
      </c>
      <c r="L78">
        <f>_xlfn.XLOOKUP(J78,Crime_Data!A:A,Crime_Data!W:W,"")</f>
        <v>14.272851259111949</v>
      </c>
      <c r="M78" t="str">
        <f>TRIM(Table6[[#This Row],[District]])&amp;"|"&amp;TRIM(Table6[[#This Row],[Upazila]])</f>
        <v>Bogura|Shajahanpur</v>
      </c>
      <c r="N78" t="str">
        <f>_xlfn.XLOOKUP(B78,Remittance_Data!A:A,Remittance_Data!B:B,"CHECK")</f>
        <v>CHECK</v>
      </c>
      <c r="O78" t="str">
        <f>_xlfn.XLOOKUP(B78,Remittance_Data!A:A,Remittance_Data!C:C,"CHECK")</f>
        <v>CHECK</v>
      </c>
      <c r="P78" t="str">
        <f>_xlfn.XLOOKUP(B78,Remittance_Data!A:A,Remittance_Data!D:D,"CHECK")</f>
        <v>CHECK</v>
      </c>
    </row>
    <row r="79" spans="1:16">
      <c r="A79" t="s">
        <v>1004</v>
      </c>
      <c r="B79" t="str">
        <f>SUBSTITUTE(SUBSTITUTE(SUBSTITUTE(SUBSTITUTE(TRIM(Table6[[#This Row],[Constituency]]),"Barisal","Barishal"),"Jessore","Jashore"),"Bogra","Bogura"),"Chapai Nawabganj","Chapainawabganj")</f>
        <v>Chapainawabganj-1</v>
      </c>
      <c r="C79" t="s">
        <v>991</v>
      </c>
      <c r="D79" t="s">
        <v>1005</v>
      </c>
      <c r="E79">
        <f>_xlfn.XLOOKUP(C79,Population_data!B:B,Population_data!C:C,"")</f>
        <v>516.70000000000005</v>
      </c>
      <c r="F79">
        <f>_xlfn.XLOOKUP(C79,Population_data!B:B,Population_data!D:D,"")</f>
        <v>400407</v>
      </c>
      <c r="G79">
        <f>_xlfn.XLOOKUP(C79,Population_data!B:B,Population_data!E:E,"")</f>
        <v>774.93</v>
      </c>
      <c r="H79">
        <f>_xlfn.XLOOKUP(C79,Population_data!B:B,Population_data!F:F,"")</f>
        <v>3.46</v>
      </c>
      <c r="I79">
        <f>_xlfn.XLOOKUP(C79,Population_data!B:B,Population_data!G:G,"")</f>
        <v>67.760000000000005</v>
      </c>
      <c r="J79" t="str">
        <f>_xlfn.XLOOKUP(D79,District_Crime_Unit_Map!A:A,District_Crime_Unit_Map!B:B,"")</f>
        <v>Rajshahi Range</v>
      </c>
      <c r="K79">
        <f>_xlfn.XLOOKUP(J79,Crime_Data!A:A,Crime_Data!V:V,"")</f>
        <v>112.81411131450233</v>
      </c>
      <c r="L79">
        <f>_xlfn.XLOOKUP(J79,Crime_Data!A:A,Crime_Data!W:W,"")</f>
        <v>14.272851259111949</v>
      </c>
      <c r="M79" t="str">
        <f>TRIM(Table6[[#This Row],[District]])&amp;"|"&amp;TRIM(Table6[[#This Row],[Upazila]])</f>
        <v>Chapainawabganj|Shibganj</v>
      </c>
      <c r="N79" t="str">
        <f>_xlfn.XLOOKUP(B79,Remittance_Data!A:A,Remittance_Data!B:B,"CHECK")</f>
        <v>CHECK</v>
      </c>
      <c r="O79" t="str">
        <f>_xlfn.XLOOKUP(B79,Remittance_Data!A:A,Remittance_Data!C:C,"CHECK")</f>
        <v>CHECK</v>
      </c>
      <c r="P79" t="str">
        <f>_xlfn.XLOOKUP(B79,Remittance_Data!A:A,Remittance_Data!D:D,"CHECK")</f>
        <v>CHECK</v>
      </c>
    </row>
    <row r="80" spans="1:16">
      <c r="A80" t="s">
        <v>1006</v>
      </c>
      <c r="B80" t="str">
        <f>SUBSTITUTE(SUBSTITUTE(SUBSTITUTE(SUBSTITUTE(TRIM(Table6[[#This Row],[Constituency]]),"Barisal","Barishal"),"Jessore","Jashore"),"Bogra","Bogura"),"Chapai Nawabganj","Chapainawabganj")</f>
        <v>Chapainawabganj-2</v>
      </c>
      <c r="C80" t="s">
        <v>1007</v>
      </c>
      <c r="D80" t="s">
        <v>1005</v>
      </c>
      <c r="E80">
        <f>_xlfn.XLOOKUP(C80,Population_data!B:B,Population_data!C:C,"")</f>
        <v>414.01</v>
      </c>
      <c r="F80">
        <f>_xlfn.XLOOKUP(C80,Population_data!B:B,Population_data!D:D,"")</f>
        <v>167672</v>
      </c>
      <c r="G80">
        <f>_xlfn.XLOOKUP(C80,Population_data!B:B,Population_data!E:E,"")</f>
        <v>405</v>
      </c>
      <c r="H80">
        <f>_xlfn.XLOOKUP(C80,Population_data!B:B,Population_data!F:F,"")</f>
        <v>3.9</v>
      </c>
      <c r="I80">
        <f>_xlfn.XLOOKUP(C80,Population_data!B:B,Population_data!G:G,"")</f>
        <v>73.58</v>
      </c>
      <c r="J80" t="str">
        <f>_xlfn.XLOOKUP(D80,District_Crime_Unit_Map!A:A,District_Crime_Unit_Map!B:B,"")</f>
        <v>Rajshahi Range</v>
      </c>
      <c r="K80">
        <f>_xlfn.XLOOKUP(J80,Crime_Data!A:A,Crime_Data!V:V,"")</f>
        <v>112.81411131450233</v>
      </c>
      <c r="L80">
        <f>_xlfn.XLOOKUP(J80,Crime_Data!A:A,Crime_Data!W:W,"")</f>
        <v>14.272851259111949</v>
      </c>
      <c r="M80" t="str">
        <f>TRIM(Table6[[#This Row],[District]])&amp;"|"&amp;TRIM(Table6[[#This Row],[Upazila]])</f>
        <v>Chapainawabganj|Nachole</v>
      </c>
      <c r="N80" t="str">
        <f>_xlfn.XLOOKUP(B80,Remittance_Data!A:A,Remittance_Data!B:B,"CHECK")</f>
        <v>CHECK</v>
      </c>
      <c r="O80" t="str">
        <f>_xlfn.XLOOKUP(B80,Remittance_Data!A:A,Remittance_Data!C:C,"CHECK")</f>
        <v>CHECK</v>
      </c>
      <c r="P80" t="str">
        <f>_xlfn.XLOOKUP(B80,Remittance_Data!A:A,Remittance_Data!D:D,"CHECK")</f>
        <v>CHECK</v>
      </c>
    </row>
    <row r="81" spans="1:16">
      <c r="A81" t="s">
        <v>1006</v>
      </c>
      <c r="B81" t="str">
        <f>SUBSTITUTE(SUBSTITUTE(SUBSTITUTE(SUBSTITUTE(TRIM(Table6[[#This Row],[Constituency]]),"Barisal","Barishal"),"Jessore","Jashore"),"Bogra","Bogura"),"Chapai Nawabganj","Chapainawabganj")</f>
        <v>Chapainawabganj-2</v>
      </c>
      <c r="C81" t="s">
        <v>1008</v>
      </c>
      <c r="D81" t="s">
        <v>1005</v>
      </c>
      <c r="E81">
        <f>_xlfn.XLOOKUP(C81,Population_data!B:B,Population_data!C:C,"")</f>
        <v>373.15</v>
      </c>
      <c r="F81">
        <f>_xlfn.XLOOKUP(C81,Population_data!B:B,Population_data!D:D,"")</f>
        <v>304174</v>
      </c>
      <c r="G81">
        <f>_xlfn.XLOOKUP(C81,Population_data!B:B,Population_data!E:E,"")</f>
        <v>815.15</v>
      </c>
      <c r="H81">
        <f>_xlfn.XLOOKUP(C81,Population_data!B:B,Population_data!F:F,"")</f>
        <v>3.95</v>
      </c>
      <c r="I81">
        <f>_xlfn.XLOOKUP(C81,Population_data!B:B,Population_data!G:G,"")</f>
        <v>70.47</v>
      </c>
      <c r="J81" t="str">
        <f>_xlfn.XLOOKUP(D81,District_Crime_Unit_Map!A:A,District_Crime_Unit_Map!B:B,"")</f>
        <v>Rajshahi Range</v>
      </c>
      <c r="K81">
        <f>_xlfn.XLOOKUP(J81,Crime_Data!A:A,Crime_Data!V:V,"")</f>
        <v>112.81411131450233</v>
      </c>
      <c r="L81">
        <f>_xlfn.XLOOKUP(J81,Crime_Data!A:A,Crime_Data!W:W,"")</f>
        <v>14.272851259111949</v>
      </c>
      <c r="M81" t="str">
        <f>TRIM(Table6[[#This Row],[District]])&amp;"|"&amp;TRIM(Table6[[#This Row],[Upazila]])</f>
        <v>Chapainawabganj|Gomastapur</v>
      </c>
      <c r="N81" t="str">
        <f>_xlfn.XLOOKUP(B81,Remittance_Data!A:A,Remittance_Data!B:B,"CHECK")</f>
        <v>CHECK</v>
      </c>
      <c r="O81" t="str">
        <f>_xlfn.XLOOKUP(B81,Remittance_Data!A:A,Remittance_Data!C:C,"CHECK")</f>
        <v>CHECK</v>
      </c>
      <c r="P81" t="str">
        <f>_xlfn.XLOOKUP(B81,Remittance_Data!A:A,Remittance_Data!D:D,"CHECK")</f>
        <v>CHECK</v>
      </c>
    </row>
    <row r="82" spans="1:16">
      <c r="A82" t="s">
        <v>1006</v>
      </c>
      <c r="B82" t="str">
        <f>SUBSTITUTE(SUBSTITUTE(SUBSTITUTE(SUBSTITUTE(TRIM(Table6[[#This Row],[Constituency]]),"Barisal","Barishal"),"Jessore","Jashore"),"Bogra","Bogura"),"Chapai Nawabganj","Chapainawabganj")</f>
        <v>Chapainawabganj-2</v>
      </c>
      <c r="C82" t="s">
        <v>1009</v>
      </c>
      <c r="D82" t="s">
        <v>1005</v>
      </c>
      <c r="E82">
        <f>_xlfn.XLOOKUP(C82,Population_data!B:B,Population_data!C:C,"")</f>
        <v>193.28</v>
      </c>
      <c r="F82">
        <f>_xlfn.XLOOKUP(C82,Population_data!B:B,Population_data!D:D,"")</f>
        <v>113314</v>
      </c>
      <c r="G82">
        <f>_xlfn.XLOOKUP(C82,Population_data!B:B,Population_data!E:E,"")</f>
        <v>586.27</v>
      </c>
      <c r="H82">
        <f>_xlfn.XLOOKUP(C82,Population_data!B:B,Population_data!F:F,"")</f>
        <v>3.9</v>
      </c>
      <c r="I82">
        <f>_xlfn.XLOOKUP(C82,Population_data!B:B,Population_data!G:G,"")</f>
        <v>74.17</v>
      </c>
      <c r="J82" t="str">
        <f>_xlfn.XLOOKUP(D82,District_Crime_Unit_Map!A:A,District_Crime_Unit_Map!B:B,"")</f>
        <v>Rajshahi Range</v>
      </c>
      <c r="K82">
        <f>_xlfn.XLOOKUP(J82,Crime_Data!A:A,Crime_Data!V:V,"")</f>
        <v>112.81411131450233</v>
      </c>
      <c r="L82">
        <f>_xlfn.XLOOKUP(J82,Crime_Data!A:A,Crime_Data!W:W,"")</f>
        <v>14.272851259111949</v>
      </c>
      <c r="M82" t="str">
        <f>TRIM(Table6[[#This Row],[District]])&amp;"|"&amp;TRIM(Table6[[#This Row],[Upazila]])</f>
        <v>Chapainawabganj|Bholahat</v>
      </c>
      <c r="N82" t="str">
        <f>_xlfn.XLOOKUP(B82,Remittance_Data!A:A,Remittance_Data!B:B,"CHECK")</f>
        <v>CHECK</v>
      </c>
      <c r="O82" t="str">
        <f>_xlfn.XLOOKUP(B82,Remittance_Data!A:A,Remittance_Data!C:C,"CHECK")</f>
        <v>CHECK</v>
      </c>
      <c r="P82" t="str">
        <f>_xlfn.XLOOKUP(B82,Remittance_Data!A:A,Remittance_Data!D:D,"CHECK")</f>
        <v>CHECK</v>
      </c>
    </row>
    <row r="83" spans="1:16">
      <c r="A83" t="s">
        <v>1010</v>
      </c>
      <c r="B83" t="str">
        <f>SUBSTITUTE(SUBSTITUTE(SUBSTITUTE(SUBSTITUTE(TRIM(Table6[[#This Row],[Constituency]]),"Barisal","Barishal"),"Jessore","Jashore"),"Bogra","Bogura"),"Chapai Nawabganj","Chapainawabganj")</f>
        <v>Chapainawabganj-3</v>
      </c>
      <c r="C83" t="s">
        <v>1011</v>
      </c>
      <c r="D83" t="s">
        <v>1005</v>
      </c>
      <c r="E83">
        <f>_xlfn.XLOOKUP(C83,Population_data!B:B,Population_data!C:C,"")</f>
        <v>472.13</v>
      </c>
      <c r="F83">
        <f>_xlfn.XLOOKUP(C83,Population_data!B:B,Population_data!D:D,"")</f>
        <v>583423</v>
      </c>
      <c r="G83">
        <f>_xlfn.XLOOKUP(C83,Population_data!B:B,Population_data!E:E,"")</f>
        <v>1235.73</v>
      </c>
      <c r="H83">
        <f>_xlfn.XLOOKUP(C83,Population_data!B:B,Population_data!F:F,"")</f>
        <v>4.09</v>
      </c>
      <c r="I83">
        <f>_xlfn.XLOOKUP(C83,Population_data!B:B,Population_data!G:G,"")</f>
        <v>74.23</v>
      </c>
      <c r="J83" t="str">
        <f>_xlfn.XLOOKUP(D83,District_Crime_Unit_Map!A:A,District_Crime_Unit_Map!B:B,"")</f>
        <v>Rajshahi Range</v>
      </c>
      <c r="K83">
        <f>_xlfn.XLOOKUP(J83,Crime_Data!A:A,Crime_Data!V:V,"")</f>
        <v>112.81411131450233</v>
      </c>
      <c r="L83">
        <f>_xlfn.XLOOKUP(J83,Crime_Data!A:A,Crime_Data!W:W,"")</f>
        <v>14.272851259111949</v>
      </c>
      <c r="M83" t="str">
        <f>TRIM(Table6[[#This Row],[District]])&amp;"|"&amp;TRIM(Table6[[#This Row],[Upazila]])</f>
        <v>Chapainawabganj|Chapainawabganj Sadar</v>
      </c>
      <c r="N83" t="str">
        <f>_xlfn.XLOOKUP(B83,Remittance_Data!A:A,Remittance_Data!B:B,"CHECK")</f>
        <v>CHECK</v>
      </c>
      <c r="O83" t="str">
        <f>_xlfn.XLOOKUP(B83,Remittance_Data!A:A,Remittance_Data!C:C,"CHECK")</f>
        <v>CHECK</v>
      </c>
      <c r="P83" t="str">
        <f>_xlfn.XLOOKUP(B83,Remittance_Data!A:A,Remittance_Data!D:D,"CHECK")</f>
        <v>CHECK</v>
      </c>
    </row>
    <row r="84" spans="1:16">
      <c r="A84" t="s">
        <v>148</v>
      </c>
      <c r="B84" t="str">
        <f>SUBSTITUTE(SUBSTITUTE(SUBSTITUTE(SUBSTITUTE(TRIM(Table6[[#This Row],[Constituency]]),"Barisal","Barishal"),"Jessore","Jashore"),"Bogra","Bogura"),"Chapai Nawabganj","Chapainawabganj")</f>
        <v>Naogaon-1</v>
      </c>
      <c r="C84" t="s">
        <v>1012</v>
      </c>
      <c r="D84" t="s">
        <v>1013</v>
      </c>
      <c r="E84">
        <f>_xlfn.XLOOKUP(C84,Population_data!B:B,Population_data!C:C,"")</f>
        <v>289.08</v>
      </c>
      <c r="F84">
        <f>_xlfn.XLOOKUP(C84,Population_data!B:B,Population_data!D:D,"")</f>
        <v>184805</v>
      </c>
      <c r="G84">
        <f>_xlfn.XLOOKUP(C84,Population_data!B:B,Population_data!E:E,"")</f>
        <v>639.29</v>
      </c>
      <c r="H84">
        <f>_xlfn.XLOOKUP(C84,Population_data!B:B,Population_data!F:F,"")</f>
        <v>3.78</v>
      </c>
      <c r="I84">
        <f>_xlfn.XLOOKUP(C84,Population_data!B:B,Population_data!G:G,"")</f>
        <v>73.11</v>
      </c>
      <c r="J84" t="str">
        <f>_xlfn.XLOOKUP(D84,District_Crime_Unit_Map!A:A,District_Crime_Unit_Map!B:B,"")</f>
        <v>Rajshahi Range</v>
      </c>
      <c r="K84">
        <f>_xlfn.XLOOKUP(J84,Crime_Data!A:A,Crime_Data!V:V,"")</f>
        <v>112.81411131450233</v>
      </c>
      <c r="L84">
        <f>_xlfn.XLOOKUP(J84,Crime_Data!A:A,Crime_Data!W:W,"")</f>
        <v>14.272851259111949</v>
      </c>
      <c r="M84" t="str">
        <f>TRIM(Table6[[#This Row],[District]])&amp;"|"&amp;TRIM(Table6[[#This Row],[Upazila]])</f>
        <v>Naogaon|Sapahar</v>
      </c>
      <c r="N84" t="str">
        <f>_xlfn.XLOOKUP(B84,Remittance_Data!A:A,Remittance_Data!B:B,"CHECK")</f>
        <v>CHECK</v>
      </c>
      <c r="O84" t="str">
        <f>_xlfn.XLOOKUP(B84,Remittance_Data!A:A,Remittance_Data!C:C,"CHECK")</f>
        <v>CHECK</v>
      </c>
      <c r="P84" t="str">
        <f>_xlfn.XLOOKUP(B84,Remittance_Data!A:A,Remittance_Data!D:D,"CHECK")</f>
        <v>CHECK</v>
      </c>
    </row>
    <row r="85" spans="1:16">
      <c r="A85" t="s">
        <v>148</v>
      </c>
      <c r="B85" t="str">
        <f>SUBSTITUTE(SUBSTITUTE(SUBSTITUTE(SUBSTITUTE(TRIM(Table6[[#This Row],[Constituency]]),"Barisal","Barishal"),"Jessore","Jashore"),"Bogra","Bogura"),"Chapai Nawabganj","Chapainawabganj")</f>
        <v>Naogaon-1</v>
      </c>
      <c r="C85" t="s">
        <v>1014</v>
      </c>
      <c r="D85" t="s">
        <v>1013</v>
      </c>
      <c r="E85">
        <f>_xlfn.XLOOKUP(C85,Population_data!B:B,Population_data!C:C,"")</f>
        <v>252.33</v>
      </c>
      <c r="F85">
        <f>_xlfn.XLOOKUP(C85,Population_data!B:B,Population_data!D:D,"")</f>
        <v>147016</v>
      </c>
      <c r="G85">
        <f>_xlfn.XLOOKUP(C85,Population_data!B:B,Population_data!E:E,"")</f>
        <v>582.63</v>
      </c>
      <c r="H85">
        <f>_xlfn.XLOOKUP(C85,Population_data!B:B,Population_data!F:F,"")</f>
        <v>3.83</v>
      </c>
      <c r="I85">
        <f>_xlfn.XLOOKUP(C85,Population_data!B:B,Population_data!G:G,"")</f>
        <v>74</v>
      </c>
      <c r="J85" t="str">
        <f>_xlfn.XLOOKUP(D85,District_Crime_Unit_Map!A:A,District_Crime_Unit_Map!B:B,"")</f>
        <v>Rajshahi Range</v>
      </c>
      <c r="K85">
        <f>_xlfn.XLOOKUP(J85,Crime_Data!A:A,Crime_Data!V:V,"")</f>
        <v>112.81411131450233</v>
      </c>
      <c r="L85">
        <f>_xlfn.XLOOKUP(J85,Crime_Data!A:A,Crime_Data!W:W,"")</f>
        <v>14.272851259111949</v>
      </c>
      <c r="M85" t="str">
        <f>TRIM(Table6[[#This Row],[District]])&amp;"|"&amp;TRIM(Table6[[#This Row],[Upazila]])</f>
        <v>Naogaon|Porsha</v>
      </c>
      <c r="N85" t="str">
        <f>_xlfn.XLOOKUP(B85,Remittance_Data!A:A,Remittance_Data!B:B,"CHECK")</f>
        <v>CHECK</v>
      </c>
      <c r="O85" t="str">
        <f>_xlfn.XLOOKUP(B85,Remittance_Data!A:A,Remittance_Data!C:C,"CHECK")</f>
        <v>CHECK</v>
      </c>
      <c r="P85" t="str">
        <f>_xlfn.XLOOKUP(B85,Remittance_Data!A:A,Remittance_Data!D:D,"CHECK")</f>
        <v>CHECK</v>
      </c>
    </row>
    <row r="86" spans="1:16">
      <c r="A86" t="s">
        <v>148</v>
      </c>
      <c r="B86" t="str">
        <f>SUBSTITUTE(SUBSTITUTE(SUBSTITUTE(SUBSTITUTE(TRIM(Table6[[#This Row],[Constituency]]),"Barisal","Barishal"),"Jessore","Jashore"),"Bogra","Bogura"),"Chapai Nawabganj","Chapainawabganj")</f>
        <v>Naogaon-1</v>
      </c>
      <c r="C86" t="s">
        <v>1015</v>
      </c>
      <c r="D86" t="s">
        <v>1013</v>
      </c>
      <c r="E86">
        <f>_xlfn.XLOOKUP(C86,Population_data!B:B,Population_data!C:C,"")</f>
        <v>449.09</v>
      </c>
      <c r="F86">
        <f>_xlfn.XLOOKUP(C86,Population_data!B:B,Population_data!D:D,"")</f>
        <v>270432</v>
      </c>
      <c r="G86">
        <f>_xlfn.XLOOKUP(C86,Population_data!B:B,Population_data!E:E,"")</f>
        <v>602.17999999999995</v>
      </c>
      <c r="H86">
        <f>_xlfn.XLOOKUP(C86,Population_data!B:B,Population_data!F:F,"")</f>
        <v>3.65</v>
      </c>
      <c r="I86">
        <f>_xlfn.XLOOKUP(C86,Population_data!B:B,Population_data!G:G,"")</f>
        <v>72.63</v>
      </c>
      <c r="J86" t="str">
        <f>_xlfn.XLOOKUP(D86,District_Crime_Unit_Map!A:A,District_Crime_Unit_Map!B:B,"")</f>
        <v>Rajshahi Range</v>
      </c>
      <c r="K86">
        <f>_xlfn.XLOOKUP(J86,Crime_Data!A:A,Crime_Data!V:V,"")</f>
        <v>112.81411131450233</v>
      </c>
      <c r="L86">
        <f>_xlfn.XLOOKUP(J86,Crime_Data!A:A,Crime_Data!W:W,"")</f>
        <v>14.272851259111949</v>
      </c>
      <c r="M86" t="str">
        <f>TRIM(Table6[[#This Row],[District]])&amp;"|"&amp;TRIM(Table6[[#This Row],[Upazila]])</f>
        <v>Naogaon|Niamatpur</v>
      </c>
      <c r="N86" t="str">
        <f>_xlfn.XLOOKUP(B86,Remittance_Data!A:A,Remittance_Data!B:B,"CHECK")</f>
        <v>CHECK</v>
      </c>
      <c r="O86" t="str">
        <f>_xlfn.XLOOKUP(B86,Remittance_Data!A:A,Remittance_Data!C:C,"CHECK")</f>
        <v>CHECK</v>
      </c>
      <c r="P86" t="str">
        <f>_xlfn.XLOOKUP(B86,Remittance_Data!A:A,Remittance_Data!D:D,"CHECK")</f>
        <v>CHECK</v>
      </c>
    </row>
    <row r="87" spans="1:16">
      <c r="A87" t="s">
        <v>149</v>
      </c>
      <c r="B87" t="str">
        <f>SUBSTITUTE(SUBSTITUTE(SUBSTITUTE(SUBSTITUTE(TRIM(Table6[[#This Row],[Constituency]]),"Barisal","Barishal"),"Jessore","Jashore"),"Bogra","Bogura"),"Chapai Nawabganj","Chapainawabganj")</f>
        <v>Naogaon-2</v>
      </c>
      <c r="C87" t="s">
        <v>1016</v>
      </c>
      <c r="D87" t="s">
        <v>1013</v>
      </c>
      <c r="E87">
        <f>_xlfn.XLOOKUP(C87,Population_data!B:B,Population_data!C:C,"")</f>
        <v>382.65</v>
      </c>
      <c r="F87">
        <f>_xlfn.XLOOKUP(C87,Population_data!B:B,Population_data!D:D,"")</f>
        <v>250717</v>
      </c>
      <c r="G87">
        <f>_xlfn.XLOOKUP(C87,Population_data!B:B,Population_data!E:E,"")</f>
        <v>655.21</v>
      </c>
      <c r="H87">
        <f>_xlfn.XLOOKUP(C87,Population_data!B:B,Population_data!F:F,"")</f>
        <v>3.58</v>
      </c>
      <c r="I87">
        <f>_xlfn.XLOOKUP(C87,Population_data!B:B,Population_data!G:G,"")</f>
        <v>76.180000000000007</v>
      </c>
      <c r="J87" t="str">
        <f>_xlfn.XLOOKUP(D87,District_Crime_Unit_Map!A:A,District_Crime_Unit_Map!B:B,"")</f>
        <v>Rajshahi Range</v>
      </c>
      <c r="K87">
        <f>_xlfn.XLOOKUP(J87,Crime_Data!A:A,Crime_Data!V:V,"")</f>
        <v>112.81411131450233</v>
      </c>
      <c r="L87">
        <f>_xlfn.XLOOKUP(J87,Crime_Data!A:A,Crime_Data!W:W,"")</f>
        <v>14.272851259111949</v>
      </c>
      <c r="M87" t="str">
        <f>TRIM(Table6[[#This Row],[District]])&amp;"|"&amp;TRIM(Table6[[#This Row],[Upazila]])</f>
        <v>Naogaon|Patnitala</v>
      </c>
      <c r="N87" t="str">
        <f>_xlfn.XLOOKUP(B87,Remittance_Data!A:A,Remittance_Data!B:B,"CHECK")</f>
        <v>CHECK</v>
      </c>
      <c r="O87" t="str">
        <f>_xlfn.XLOOKUP(B87,Remittance_Data!A:A,Remittance_Data!C:C,"CHECK")</f>
        <v>CHECK</v>
      </c>
      <c r="P87" t="str">
        <f>_xlfn.XLOOKUP(B87,Remittance_Data!A:A,Remittance_Data!D:D,"CHECK")</f>
        <v>CHECK</v>
      </c>
    </row>
    <row r="88" spans="1:16">
      <c r="A88" t="s">
        <v>149</v>
      </c>
      <c r="B88" t="str">
        <f>SUBSTITUTE(SUBSTITUTE(SUBSTITUTE(SUBSTITUTE(TRIM(Table6[[#This Row],[Constituency]]),"Barisal","Barishal"),"Jessore","Jashore"),"Bogra","Bogura"),"Chapai Nawabganj","Chapainawabganj")</f>
        <v>Naogaon-2</v>
      </c>
      <c r="C88" t="s">
        <v>1017</v>
      </c>
      <c r="D88" t="s">
        <v>1013</v>
      </c>
      <c r="E88">
        <f>_xlfn.XLOOKUP(C88,Population_data!B:B,Population_data!C:C,"")</f>
        <v>299.13</v>
      </c>
      <c r="F88">
        <f>_xlfn.XLOOKUP(C88,Population_data!B:B,Population_data!D:D,"")</f>
        <v>194175</v>
      </c>
      <c r="G88">
        <f>_xlfn.XLOOKUP(C88,Population_data!B:B,Population_data!E:E,"")</f>
        <v>649.13</v>
      </c>
      <c r="H88">
        <f>_xlfn.XLOOKUP(C88,Population_data!B:B,Population_data!F:F,"")</f>
        <v>3.52</v>
      </c>
      <c r="I88">
        <f>_xlfn.XLOOKUP(C88,Population_data!B:B,Population_data!G:G,"")</f>
        <v>72.95</v>
      </c>
      <c r="J88" t="str">
        <f>_xlfn.XLOOKUP(D88,District_Crime_Unit_Map!A:A,District_Crime_Unit_Map!B:B,"")</f>
        <v>Rajshahi Range</v>
      </c>
      <c r="K88">
        <f>_xlfn.XLOOKUP(J88,Crime_Data!A:A,Crime_Data!V:V,"")</f>
        <v>112.81411131450233</v>
      </c>
      <c r="L88">
        <f>_xlfn.XLOOKUP(J88,Crime_Data!A:A,Crime_Data!W:W,"")</f>
        <v>14.272851259111949</v>
      </c>
      <c r="M88" t="str">
        <f>TRIM(Table6[[#This Row],[District]])&amp;"|"&amp;TRIM(Table6[[#This Row],[Upazila]])</f>
        <v>Naogaon|Dhamoirhat</v>
      </c>
      <c r="N88" t="str">
        <f>_xlfn.XLOOKUP(B88,Remittance_Data!A:A,Remittance_Data!B:B,"CHECK")</f>
        <v>CHECK</v>
      </c>
      <c r="O88" t="str">
        <f>_xlfn.XLOOKUP(B88,Remittance_Data!A:A,Remittance_Data!C:C,"CHECK")</f>
        <v>CHECK</v>
      </c>
      <c r="P88" t="str">
        <f>_xlfn.XLOOKUP(B88,Remittance_Data!A:A,Remittance_Data!D:D,"CHECK")</f>
        <v>CHECK</v>
      </c>
    </row>
    <row r="89" spans="1:16">
      <c r="A89" t="s">
        <v>152</v>
      </c>
      <c r="B89" t="str">
        <f>SUBSTITUTE(SUBSTITUTE(SUBSTITUTE(SUBSTITUTE(TRIM(Table6[[#This Row],[Constituency]]),"Barisal","Barishal"),"Jessore","Jashore"),"Bogra","Bogura"),"Chapai Nawabganj","Chapainawabganj")</f>
        <v>Naogaon-3</v>
      </c>
      <c r="C89" t="s">
        <v>1018</v>
      </c>
      <c r="D89" t="s">
        <v>1013</v>
      </c>
      <c r="E89">
        <f>_xlfn.XLOOKUP(C89,Population_data!B:B,Population_data!C:C,"")</f>
        <v>397.67</v>
      </c>
      <c r="F89">
        <f>_xlfn.XLOOKUP(C89,Population_data!B:B,Population_data!D:D,"")</f>
        <v>308655</v>
      </c>
      <c r="G89">
        <f>_xlfn.XLOOKUP(C89,Population_data!B:B,Population_data!E:E,"")</f>
        <v>776.16</v>
      </c>
      <c r="H89">
        <f>_xlfn.XLOOKUP(C89,Population_data!B:B,Population_data!F:F,"")</f>
        <v>3.52</v>
      </c>
      <c r="I89">
        <f>_xlfn.XLOOKUP(C89,Population_data!B:B,Population_data!G:G,"")</f>
        <v>73.12</v>
      </c>
      <c r="J89" t="str">
        <f>_xlfn.XLOOKUP(D89,District_Crime_Unit_Map!A:A,District_Crime_Unit_Map!B:B,"")</f>
        <v>Rajshahi Range</v>
      </c>
      <c r="K89">
        <f>_xlfn.XLOOKUP(J89,Crime_Data!A:A,Crime_Data!V:V,"")</f>
        <v>112.81411131450233</v>
      </c>
      <c r="L89">
        <f>_xlfn.XLOOKUP(J89,Crime_Data!A:A,Crime_Data!W:W,"")</f>
        <v>14.272851259111949</v>
      </c>
      <c r="M89" t="str">
        <f>TRIM(Table6[[#This Row],[District]])&amp;"|"&amp;TRIM(Table6[[#This Row],[Upazila]])</f>
        <v>Naogaon|Mahadebpur</v>
      </c>
      <c r="N89" t="str">
        <f>_xlfn.XLOOKUP(B89,Remittance_Data!A:A,Remittance_Data!B:B,"CHECK")</f>
        <v>CHECK</v>
      </c>
      <c r="O89" t="str">
        <f>_xlfn.XLOOKUP(B89,Remittance_Data!A:A,Remittance_Data!C:C,"CHECK")</f>
        <v>CHECK</v>
      </c>
      <c r="P89" t="str">
        <f>_xlfn.XLOOKUP(B89,Remittance_Data!A:A,Remittance_Data!D:D,"CHECK")</f>
        <v>CHECK</v>
      </c>
    </row>
    <row r="90" spans="1:16">
      <c r="A90" t="s">
        <v>152</v>
      </c>
      <c r="B90" t="str">
        <f>SUBSTITUTE(SUBSTITUTE(SUBSTITUTE(SUBSTITUTE(TRIM(Table6[[#This Row],[Constituency]]),"Barisal","Barishal"),"Jessore","Jashore"),"Bogra","Bogura"),"Chapai Nawabganj","Chapainawabganj")</f>
        <v>Naogaon-3</v>
      </c>
      <c r="C90" t="s">
        <v>1019</v>
      </c>
      <c r="D90" t="s">
        <v>1013</v>
      </c>
      <c r="E90">
        <f>_xlfn.XLOOKUP(C90,Population_data!B:B,Population_data!C:C,"")</f>
        <v>295.98</v>
      </c>
      <c r="F90">
        <f>_xlfn.XLOOKUP(C90,Population_data!B:B,Population_data!D:D,"")</f>
        <v>206547</v>
      </c>
      <c r="G90">
        <f>_xlfn.XLOOKUP(C90,Population_data!B:B,Population_data!E:E,"")</f>
        <v>697.84</v>
      </c>
      <c r="H90">
        <f>_xlfn.XLOOKUP(C90,Population_data!B:B,Population_data!F:F,"")</f>
        <v>3.47</v>
      </c>
      <c r="I90">
        <f>_xlfn.XLOOKUP(C90,Population_data!B:B,Population_data!G:G,"")</f>
        <v>69.819999999999993</v>
      </c>
      <c r="J90" t="str">
        <f>_xlfn.XLOOKUP(D90,District_Crime_Unit_Map!A:A,District_Crime_Unit_Map!B:B,"")</f>
        <v>Rajshahi Range</v>
      </c>
      <c r="K90">
        <f>_xlfn.XLOOKUP(J90,Crime_Data!A:A,Crime_Data!V:V,"")</f>
        <v>112.81411131450233</v>
      </c>
      <c r="L90">
        <f>_xlfn.XLOOKUP(J90,Crime_Data!A:A,Crime_Data!W:W,"")</f>
        <v>14.272851259111949</v>
      </c>
      <c r="M90" t="str">
        <f>TRIM(Table6[[#This Row],[District]])&amp;"|"&amp;TRIM(Table6[[#This Row],[Upazila]])</f>
        <v>Naogaon|Badalgachhi</v>
      </c>
      <c r="N90" t="str">
        <f>_xlfn.XLOOKUP(B90,Remittance_Data!A:A,Remittance_Data!B:B,"CHECK")</f>
        <v>CHECK</v>
      </c>
      <c r="O90" t="str">
        <f>_xlfn.XLOOKUP(B90,Remittance_Data!A:A,Remittance_Data!C:C,"CHECK")</f>
        <v>CHECK</v>
      </c>
      <c r="P90" t="str">
        <f>_xlfn.XLOOKUP(B90,Remittance_Data!A:A,Remittance_Data!D:D,"CHECK")</f>
        <v>CHECK</v>
      </c>
    </row>
    <row r="91" spans="1:16">
      <c r="A91" t="s">
        <v>155</v>
      </c>
      <c r="B91" t="str">
        <f>SUBSTITUTE(SUBSTITUTE(SUBSTITUTE(SUBSTITUTE(TRIM(Table6[[#This Row],[Constituency]]),"Barisal","Barishal"),"Jessore","Jashore"),"Bogra","Bogura"),"Chapai Nawabganj","Chapainawabganj")</f>
        <v>Naogaon-4</v>
      </c>
      <c r="C91" t="s">
        <v>1020</v>
      </c>
      <c r="D91" t="s">
        <v>1013</v>
      </c>
      <c r="E91">
        <f>_xlfn.XLOOKUP(C91,Population_data!B:B,Population_data!C:C,"")</f>
        <v>483.29</v>
      </c>
      <c r="F91">
        <f>_xlfn.XLOOKUP(C91,Population_data!B:B,Population_data!D:D,"")</f>
        <v>380571</v>
      </c>
      <c r="G91">
        <f>_xlfn.XLOOKUP(C91,Population_data!B:B,Population_data!E:E,"")</f>
        <v>787.46</v>
      </c>
      <c r="H91">
        <f>_xlfn.XLOOKUP(C91,Population_data!B:B,Population_data!F:F,"")</f>
        <v>3.44</v>
      </c>
      <c r="I91">
        <f>_xlfn.XLOOKUP(C91,Population_data!B:B,Population_data!G:G,"")</f>
        <v>68.3</v>
      </c>
      <c r="J91" t="str">
        <f>_xlfn.XLOOKUP(D91,District_Crime_Unit_Map!A:A,District_Crime_Unit_Map!B:B,"")</f>
        <v>Rajshahi Range</v>
      </c>
      <c r="K91">
        <f>_xlfn.XLOOKUP(J91,Crime_Data!A:A,Crime_Data!V:V,"")</f>
        <v>112.81411131450233</v>
      </c>
      <c r="L91">
        <f>_xlfn.XLOOKUP(J91,Crime_Data!A:A,Crime_Data!W:W,"")</f>
        <v>14.272851259111949</v>
      </c>
      <c r="M91" t="str">
        <f>TRIM(Table6[[#This Row],[District]])&amp;"|"&amp;TRIM(Table6[[#This Row],[Upazila]])</f>
        <v>Naogaon|Manda</v>
      </c>
      <c r="N91" t="str">
        <f>_xlfn.XLOOKUP(B91,Remittance_Data!A:A,Remittance_Data!B:B,"CHECK")</f>
        <v>CHECK</v>
      </c>
      <c r="O91" t="str">
        <f>_xlfn.XLOOKUP(B91,Remittance_Data!A:A,Remittance_Data!C:C,"CHECK")</f>
        <v>CHECK</v>
      </c>
      <c r="P91" t="str">
        <f>_xlfn.XLOOKUP(B91,Remittance_Data!A:A,Remittance_Data!D:D,"CHECK")</f>
        <v>CHECK</v>
      </c>
    </row>
    <row r="92" spans="1:16">
      <c r="A92" t="s">
        <v>158</v>
      </c>
      <c r="B92" t="str">
        <f>SUBSTITUTE(SUBSTITUTE(SUBSTITUTE(SUBSTITUTE(TRIM(Table6[[#This Row],[Constituency]]),"Barisal","Barishal"),"Jessore","Jashore"),"Bogra","Bogura"),"Chapai Nawabganj","Chapainawabganj")</f>
        <v>Naogaon-5</v>
      </c>
      <c r="C92" t="s">
        <v>1021</v>
      </c>
      <c r="D92" t="s">
        <v>1013</v>
      </c>
      <c r="E92">
        <f>_xlfn.XLOOKUP(C92,Population_data!B:B,Population_data!C:C,"")</f>
        <v>275.73</v>
      </c>
      <c r="F92">
        <f>_xlfn.XLOOKUP(C92,Population_data!B:B,Population_data!D:D,"")</f>
        <v>447877</v>
      </c>
      <c r="G92">
        <f>_xlfn.XLOOKUP(C92,Population_data!B:B,Population_data!E:E,"")</f>
        <v>1624.33</v>
      </c>
      <c r="H92">
        <f>_xlfn.XLOOKUP(C92,Population_data!B:B,Population_data!F:F,"")</f>
        <v>3.67</v>
      </c>
      <c r="I92">
        <f>_xlfn.XLOOKUP(C92,Population_data!B:B,Population_data!G:G,"")</f>
        <v>75.36</v>
      </c>
      <c r="J92" t="str">
        <f>_xlfn.XLOOKUP(D92,District_Crime_Unit_Map!A:A,District_Crime_Unit_Map!B:B,"")</f>
        <v>Rajshahi Range</v>
      </c>
      <c r="K92">
        <f>_xlfn.XLOOKUP(J92,Crime_Data!A:A,Crime_Data!V:V,"")</f>
        <v>112.81411131450233</v>
      </c>
      <c r="L92">
        <f>_xlfn.XLOOKUP(J92,Crime_Data!A:A,Crime_Data!W:W,"")</f>
        <v>14.272851259111949</v>
      </c>
      <c r="M92" t="str">
        <f>TRIM(Table6[[#This Row],[District]])&amp;"|"&amp;TRIM(Table6[[#This Row],[Upazila]])</f>
        <v>Naogaon|Naogaon Sadar</v>
      </c>
      <c r="N92" t="str">
        <f>_xlfn.XLOOKUP(B92,Remittance_Data!A:A,Remittance_Data!B:B,"CHECK")</f>
        <v>CHECK</v>
      </c>
      <c r="O92" t="str">
        <f>_xlfn.XLOOKUP(B92,Remittance_Data!A:A,Remittance_Data!C:C,"CHECK")</f>
        <v>CHECK</v>
      </c>
      <c r="P92" t="str">
        <f>_xlfn.XLOOKUP(B92,Remittance_Data!A:A,Remittance_Data!D:D,"CHECK")</f>
        <v>CHECK</v>
      </c>
    </row>
    <row r="93" spans="1:16">
      <c r="A93" t="s">
        <v>161</v>
      </c>
      <c r="B93" t="str">
        <f>SUBSTITUTE(SUBSTITUTE(SUBSTITUTE(SUBSTITUTE(TRIM(Table6[[#This Row],[Constituency]]),"Barisal","Barishal"),"Jessore","Jashore"),"Bogra","Bogura"),"Chapai Nawabganj","Chapainawabganj")</f>
        <v>Naogaon-6</v>
      </c>
      <c r="C93" t="s">
        <v>1022</v>
      </c>
      <c r="D93" t="s">
        <v>1013</v>
      </c>
      <c r="E93">
        <f>_xlfn.XLOOKUP(C93,Population_data!B:B,Population_data!C:C,"")</f>
        <v>258.31</v>
      </c>
      <c r="F93">
        <f>_xlfn.XLOOKUP(C93,Population_data!B:B,Population_data!D:D,"")</f>
        <v>192214</v>
      </c>
      <c r="G93">
        <f>_xlfn.XLOOKUP(C93,Population_data!B:B,Population_data!E:E,"")</f>
        <v>744.12</v>
      </c>
      <c r="H93">
        <f>_xlfn.XLOOKUP(C93,Population_data!B:B,Population_data!F:F,"")</f>
        <v>3.63</v>
      </c>
      <c r="I93">
        <f>_xlfn.XLOOKUP(C93,Population_data!B:B,Population_data!G:G,"")</f>
        <v>70.44</v>
      </c>
      <c r="J93" t="str">
        <f>_xlfn.XLOOKUP(D93,District_Crime_Unit_Map!A:A,District_Crime_Unit_Map!B:B,"")</f>
        <v>Rajshahi Range</v>
      </c>
      <c r="K93">
        <f>_xlfn.XLOOKUP(J93,Crime_Data!A:A,Crime_Data!V:V,"")</f>
        <v>112.81411131450233</v>
      </c>
      <c r="L93">
        <f>_xlfn.XLOOKUP(J93,Crime_Data!A:A,Crime_Data!W:W,"")</f>
        <v>14.272851259111949</v>
      </c>
      <c r="M93" t="str">
        <f>TRIM(Table6[[#This Row],[District]])&amp;"|"&amp;TRIM(Table6[[#This Row],[Upazila]])</f>
        <v>Naogaon|Raninagar</v>
      </c>
      <c r="N93" t="str">
        <f>_xlfn.XLOOKUP(B93,Remittance_Data!A:A,Remittance_Data!B:B,"CHECK")</f>
        <v>CHECK</v>
      </c>
      <c r="O93" t="str">
        <f>_xlfn.XLOOKUP(B93,Remittance_Data!A:A,Remittance_Data!C:C,"CHECK")</f>
        <v>CHECK</v>
      </c>
      <c r="P93" t="str">
        <f>_xlfn.XLOOKUP(B93,Remittance_Data!A:A,Remittance_Data!D:D,"CHECK")</f>
        <v>CHECK</v>
      </c>
    </row>
    <row r="94" spans="1:16">
      <c r="A94" t="s">
        <v>161</v>
      </c>
      <c r="B94" t="str">
        <f>SUBSTITUTE(SUBSTITUTE(SUBSTITUTE(SUBSTITUTE(TRIM(Table6[[#This Row],[Constituency]]),"Barisal","Barishal"),"Jessore","Jashore"),"Bogra","Bogura"),"Chapai Nawabganj","Chapainawabganj")</f>
        <v>Naogaon-6</v>
      </c>
      <c r="C94" t="s">
        <v>1023</v>
      </c>
      <c r="D94" t="s">
        <v>1013</v>
      </c>
      <c r="E94">
        <f>_xlfn.XLOOKUP(C94,Population_data!B:B,Population_data!C:C,"")</f>
        <v>284.64</v>
      </c>
      <c r="F94">
        <f>_xlfn.XLOOKUP(C94,Population_data!B:B,Population_data!D:D,"")</f>
        <v>201452</v>
      </c>
      <c r="G94">
        <f>_xlfn.XLOOKUP(C94,Population_data!B:B,Population_data!E:E,"")</f>
        <v>707.74</v>
      </c>
      <c r="H94">
        <f>_xlfn.XLOOKUP(C94,Population_data!B:B,Population_data!F:F,"")</f>
        <v>3.57</v>
      </c>
      <c r="I94">
        <f>_xlfn.XLOOKUP(C94,Population_data!B:B,Population_data!G:G,"")</f>
        <v>67.47</v>
      </c>
      <c r="J94" t="str">
        <f>_xlfn.XLOOKUP(D94,District_Crime_Unit_Map!A:A,District_Crime_Unit_Map!B:B,"")</f>
        <v>Rajshahi Range</v>
      </c>
      <c r="K94">
        <f>_xlfn.XLOOKUP(J94,Crime_Data!A:A,Crime_Data!V:V,"")</f>
        <v>112.81411131450233</v>
      </c>
      <c r="L94">
        <f>_xlfn.XLOOKUP(J94,Crime_Data!A:A,Crime_Data!W:W,"")</f>
        <v>14.272851259111949</v>
      </c>
      <c r="M94" t="str">
        <f>TRIM(Table6[[#This Row],[District]])&amp;"|"&amp;TRIM(Table6[[#This Row],[Upazila]])</f>
        <v>Naogaon|Atrai</v>
      </c>
      <c r="N94" t="str">
        <f>_xlfn.XLOOKUP(B94,Remittance_Data!A:A,Remittance_Data!B:B,"CHECK")</f>
        <v>CHECK</v>
      </c>
      <c r="O94" t="str">
        <f>_xlfn.XLOOKUP(B94,Remittance_Data!A:A,Remittance_Data!C:C,"CHECK")</f>
        <v>CHECK</v>
      </c>
      <c r="P94" t="str">
        <f>_xlfn.XLOOKUP(B94,Remittance_Data!A:A,Remittance_Data!D:D,"CHECK")</f>
        <v>CHECK</v>
      </c>
    </row>
    <row r="95" spans="1:16">
      <c r="A95" t="s">
        <v>164</v>
      </c>
      <c r="B95" t="str">
        <f>SUBSTITUTE(SUBSTITUTE(SUBSTITUTE(SUBSTITUTE(TRIM(Table6[[#This Row],[Constituency]]),"Barisal","Barishal"),"Jessore","Jashore"),"Bogra","Bogura"),"Chapai Nawabganj","Chapainawabganj")</f>
        <v>Rajshahi-1</v>
      </c>
      <c r="C95" t="s">
        <v>1024</v>
      </c>
      <c r="D95" t="s">
        <v>113</v>
      </c>
      <c r="E95">
        <f>_xlfn.XLOOKUP(C95,Population_data!B:B,Population_data!C:C,"")</f>
        <v>472.13</v>
      </c>
      <c r="F95">
        <f>_xlfn.XLOOKUP(C95,Population_data!B:B,Population_data!D:D,"")</f>
        <v>376376</v>
      </c>
      <c r="G95">
        <f>_xlfn.XLOOKUP(C95,Population_data!B:B,Population_data!E:E,"")</f>
        <v>797.19</v>
      </c>
      <c r="H95">
        <f>_xlfn.XLOOKUP(C95,Population_data!B:B,Population_data!F:F,"")</f>
        <v>4.04</v>
      </c>
      <c r="I95">
        <f>_xlfn.XLOOKUP(C95,Population_data!B:B,Population_data!G:G,"")</f>
        <v>73.5</v>
      </c>
      <c r="J95" t="str">
        <f>_xlfn.XLOOKUP(D95,District_Crime_Unit_Map!A:A,District_Crime_Unit_Map!B:B,"")</f>
        <v>Rajshahi Range</v>
      </c>
      <c r="K95">
        <f>_xlfn.XLOOKUP(J95,Crime_Data!A:A,Crime_Data!V:V,"")</f>
        <v>112.81411131450233</v>
      </c>
      <c r="L95">
        <f>_xlfn.XLOOKUP(J95,Crime_Data!A:A,Crime_Data!W:W,"")</f>
        <v>14.272851259111949</v>
      </c>
      <c r="M95" t="str">
        <f>TRIM(Table6[[#This Row],[District]])&amp;"|"&amp;TRIM(Table6[[#This Row],[Upazila]])</f>
        <v>Rajshahi|Godagari</v>
      </c>
      <c r="N95" t="str">
        <f>_xlfn.XLOOKUP(B95,Remittance_Data!A:A,Remittance_Data!B:B,"CHECK")</f>
        <v>CHECK</v>
      </c>
      <c r="O95" t="str">
        <f>_xlfn.XLOOKUP(B95,Remittance_Data!A:A,Remittance_Data!C:C,"CHECK")</f>
        <v>CHECK</v>
      </c>
      <c r="P95" t="str">
        <f>_xlfn.XLOOKUP(B95,Remittance_Data!A:A,Remittance_Data!D:D,"CHECK")</f>
        <v>CHECK</v>
      </c>
    </row>
    <row r="96" spans="1:16">
      <c r="A96" t="s">
        <v>164</v>
      </c>
      <c r="B96" t="str">
        <f>SUBSTITUTE(SUBSTITUTE(SUBSTITUTE(SUBSTITUTE(TRIM(Table6[[#This Row],[Constituency]]),"Barisal","Barishal"),"Jessore","Jashore"),"Bogra","Bogura"),"Chapai Nawabganj","Chapainawabganj")</f>
        <v>Rajshahi-1</v>
      </c>
      <c r="C96" t="s">
        <v>1025</v>
      </c>
      <c r="D96" t="s">
        <v>113</v>
      </c>
      <c r="E96">
        <f>_xlfn.XLOOKUP(C96,Population_data!B:B,Population_data!C:C,"")</f>
        <v>280.42</v>
      </c>
      <c r="F96">
        <f>_xlfn.XLOOKUP(C96,Population_data!B:B,Population_data!D:D,"")</f>
        <v>212968</v>
      </c>
      <c r="G96">
        <f>_xlfn.XLOOKUP(C96,Population_data!B:B,Population_data!E:E,"")</f>
        <v>759.46</v>
      </c>
      <c r="H96">
        <f>_xlfn.XLOOKUP(C96,Population_data!B:B,Population_data!F:F,"")</f>
        <v>3.61</v>
      </c>
      <c r="I96">
        <f>_xlfn.XLOOKUP(C96,Population_data!B:B,Population_data!G:G,"")</f>
        <v>72.31</v>
      </c>
      <c r="J96" t="str">
        <f>_xlfn.XLOOKUP(D96,District_Crime_Unit_Map!A:A,District_Crime_Unit_Map!B:B,"")</f>
        <v>Rajshahi Range</v>
      </c>
      <c r="K96">
        <f>_xlfn.XLOOKUP(J96,Crime_Data!A:A,Crime_Data!V:V,"")</f>
        <v>112.81411131450233</v>
      </c>
      <c r="L96">
        <f>_xlfn.XLOOKUP(J96,Crime_Data!A:A,Crime_Data!W:W,"")</f>
        <v>14.272851259111949</v>
      </c>
      <c r="M96" t="str">
        <f>TRIM(Table6[[#This Row],[District]])&amp;"|"&amp;TRIM(Table6[[#This Row],[Upazila]])</f>
        <v>Rajshahi|Tanor</v>
      </c>
      <c r="N96" t="str">
        <f>_xlfn.XLOOKUP(B96,Remittance_Data!A:A,Remittance_Data!B:B,"CHECK")</f>
        <v>CHECK</v>
      </c>
      <c r="O96" t="str">
        <f>_xlfn.XLOOKUP(B96,Remittance_Data!A:A,Remittance_Data!C:C,"CHECK")</f>
        <v>CHECK</v>
      </c>
      <c r="P96" t="str">
        <f>_xlfn.XLOOKUP(B96,Remittance_Data!A:A,Remittance_Data!D:D,"CHECK")</f>
        <v>CHECK</v>
      </c>
    </row>
    <row r="97" spans="1:16">
      <c r="A97" t="s">
        <v>167</v>
      </c>
      <c r="B97" t="str">
        <f>SUBSTITUTE(SUBSTITUTE(SUBSTITUTE(SUBSTITUTE(TRIM(Table6[[#This Row],[Constituency]]),"Barisal","Barishal"),"Jessore","Jashore"),"Bogra","Bogura"),"Chapai Nawabganj","Chapainawabganj")</f>
        <v>Rajshahi-2</v>
      </c>
      <c r="C97" t="s">
        <v>1026</v>
      </c>
      <c r="D97" t="s">
        <v>113</v>
      </c>
      <c r="E97">
        <v>96.72</v>
      </c>
      <c r="F97">
        <v>550599</v>
      </c>
      <c r="G97">
        <v>5693</v>
      </c>
      <c r="H97">
        <v>3.75</v>
      </c>
      <c r="I97">
        <v>88.83</v>
      </c>
      <c r="J97" t="str">
        <f>_xlfn.XLOOKUP(D97,District_Crime_Unit_Map!A:A,District_Crime_Unit_Map!B:B,"")</f>
        <v>Rajshahi Range</v>
      </c>
      <c r="K97">
        <f>_xlfn.XLOOKUP(J97,Crime_Data!A:A,Crime_Data!V:V,"")</f>
        <v>112.81411131450233</v>
      </c>
      <c r="L97">
        <f>_xlfn.XLOOKUP(J97,Crime_Data!A:A,Crime_Data!W:W,"")</f>
        <v>14.272851259111949</v>
      </c>
      <c r="M97" t="str">
        <f>TRIM(Table6[[#This Row],[District]])&amp;"|"&amp;TRIM(Table6[[#This Row],[Upazila]])</f>
        <v>Rajshahi|Rajshahi City Corporation</v>
      </c>
      <c r="N97" t="str">
        <f>_xlfn.XLOOKUP(B97,Remittance_Data!A:A,Remittance_Data!B:B,"CHECK")</f>
        <v>CHECK</v>
      </c>
      <c r="O97" t="str">
        <f>_xlfn.XLOOKUP(B97,Remittance_Data!A:A,Remittance_Data!C:C,"CHECK")</f>
        <v>CHECK</v>
      </c>
      <c r="P97" t="str">
        <f>_xlfn.XLOOKUP(B97,Remittance_Data!A:A,Remittance_Data!D:D,"CHECK")</f>
        <v>CHECK</v>
      </c>
    </row>
    <row r="98" spans="1:16">
      <c r="A98" t="s">
        <v>170</v>
      </c>
      <c r="B98" t="str">
        <f>SUBSTITUTE(SUBSTITUTE(SUBSTITUTE(SUBSTITUTE(TRIM(Table6[[#This Row],[Constituency]]),"Barisal","Barishal"),"Jessore","Jashore"),"Bogra","Bogura"),"Chapai Nawabganj","Chapainawabganj")</f>
        <v>Rajshahi-3</v>
      </c>
      <c r="C98" t="s">
        <v>1027</v>
      </c>
      <c r="D98" t="s">
        <v>113</v>
      </c>
      <c r="E98">
        <f>_xlfn.XLOOKUP(C98,Population_data!B:B,Population_data!C:C,"")</f>
        <v>189.9</v>
      </c>
      <c r="F98">
        <f>_xlfn.XLOOKUP(C98,Population_data!B:B,Population_data!D:D,"")</f>
        <v>368857</v>
      </c>
      <c r="G98">
        <f>_xlfn.XLOOKUP(C98,Population_data!B:B,Population_data!E:E,"")</f>
        <v>1942.37</v>
      </c>
      <c r="H98">
        <f>_xlfn.XLOOKUP(C98,Population_data!B:B,Population_data!F:F,"")</f>
        <v>3.74</v>
      </c>
      <c r="I98">
        <f>_xlfn.XLOOKUP(C98,Population_data!B:B,Population_data!G:G,"")</f>
        <v>74.72</v>
      </c>
      <c r="J98" t="str">
        <f>_xlfn.XLOOKUP(D98,District_Crime_Unit_Map!A:A,District_Crime_Unit_Map!B:B,"")</f>
        <v>Rajshahi Range</v>
      </c>
      <c r="K98">
        <f>_xlfn.XLOOKUP(J98,Crime_Data!A:A,Crime_Data!V:V,"")</f>
        <v>112.81411131450233</v>
      </c>
      <c r="L98">
        <f>_xlfn.XLOOKUP(J98,Crime_Data!A:A,Crime_Data!W:W,"")</f>
        <v>14.272851259111949</v>
      </c>
      <c r="M98" t="str">
        <f>TRIM(Table6[[#This Row],[District]])&amp;"|"&amp;TRIM(Table6[[#This Row],[Upazila]])</f>
        <v>Rajshahi|Paba</v>
      </c>
      <c r="N98" t="str">
        <f>_xlfn.XLOOKUP(B98,Remittance_Data!A:A,Remittance_Data!B:B,"CHECK")</f>
        <v>CHECK</v>
      </c>
      <c r="O98" t="str">
        <f>_xlfn.XLOOKUP(B98,Remittance_Data!A:A,Remittance_Data!C:C,"CHECK")</f>
        <v>CHECK</v>
      </c>
      <c r="P98" t="str">
        <f>_xlfn.XLOOKUP(B98,Remittance_Data!A:A,Remittance_Data!D:D,"CHECK")</f>
        <v>CHECK</v>
      </c>
    </row>
    <row r="99" spans="1:16">
      <c r="A99" t="s">
        <v>170</v>
      </c>
      <c r="B99" t="str">
        <f>SUBSTITUTE(SUBSTITUTE(SUBSTITUTE(SUBSTITUTE(TRIM(Table6[[#This Row],[Constituency]]),"Barisal","Barishal"),"Jessore","Jashore"),"Bogra","Bogura"),"Chapai Nawabganj","Chapainawabganj")</f>
        <v>Rajshahi-3</v>
      </c>
      <c r="C99" t="s">
        <v>1028</v>
      </c>
      <c r="D99" t="s">
        <v>113</v>
      </c>
      <c r="E99">
        <f>_xlfn.XLOOKUP(C99,Population_data!B:B,Population_data!C:C,"")</f>
        <v>163.49</v>
      </c>
      <c r="F99">
        <f>_xlfn.XLOOKUP(C99,Population_data!B:B,Population_data!D:D,"")</f>
        <v>186883</v>
      </c>
      <c r="G99">
        <f>_xlfn.XLOOKUP(C99,Population_data!B:B,Population_data!E:E,"")</f>
        <v>1143.0899999999999</v>
      </c>
      <c r="H99">
        <f>_xlfn.XLOOKUP(C99,Population_data!B:B,Population_data!F:F,"")</f>
        <v>3.52</v>
      </c>
      <c r="I99">
        <f>_xlfn.XLOOKUP(C99,Population_data!B:B,Population_data!G:G,"")</f>
        <v>73.88</v>
      </c>
      <c r="J99" t="str">
        <f>_xlfn.XLOOKUP(D99,District_Crime_Unit_Map!A:A,District_Crime_Unit_Map!B:B,"")</f>
        <v>Rajshahi Range</v>
      </c>
      <c r="K99">
        <f>_xlfn.XLOOKUP(J99,Crime_Data!A:A,Crime_Data!V:V,"")</f>
        <v>112.81411131450233</v>
      </c>
      <c r="L99">
        <f>_xlfn.XLOOKUP(J99,Crime_Data!A:A,Crime_Data!W:W,"")</f>
        <v>14.272851259111949</v>
      </c>
      <c r="M99" t="str">
        <f>TRIM(Table6[[#This Row],[District]])&amp;"|"&amp;TRIM(Table6[[#This Row],[Upazila]])</f>
        <v>Rajshahi|Mohanpur</v>
      </c>
      <c r="N99" t="str">
        <f>_xlfn.XLOOKUP(B99,Remittance_Data!A:A,Remittance_Data!B:B,"CHECK")</f>
        <v>CHECK</v>
      </c>
      <c r="O99" t="str">
        <f>_xlfn.XLOOKUP(B99,Remittance_Data!A:A,Remittance_Data!C:C,"CHECK")</f>
        <v>CHECK</v>
      </c>
      <c r="P99" t="str">
        <f>_xlfn.XLOOKUP(B99,Remittance_Data!A:A,Remittance_Data!D:D,"CHECK")</f>
        <v>CHECK</v>
      </c>
    </row>
    <row r="100" spans="1:16">
      <c r="A100" t="s">
        <v>173</v>
      </c>
      <c r="B100" t="str">
        <f>SUBSTITUTE(SUBSTITUTE(SUBSTITUTE(SUBSTITUTE(TRIM(Table6[[#This Row],[Constituency]]),"Barisal","Barishal"),"Jessore","Jashore"),"Bogra","Bogura"),"Chapai Nawabganj","Chapainawabganj")</f>
        <v>Rajshahi-4</v>
      </c>
      <c r="C100" t="s">
        <v>1029</v>
      </c>
      <c r="D100" t="s">
        <v>113</v>
      </c>
      <c r="E100">
        <f>_xlfn.XLOOKUP(C100,Population_data!B:B,Population_data!C:C,"")</f>
        <v>363.56</v>
      </c>
      <c r="F100">
        <f>_xlfn.XLOOKUP(C100,Population_data!B:B,Population_data!D:D,"")</f>
        <v>373945</v>
      </c>
      <c r="G100">
        <f>_xlfn.XLOOKUP(C100,Population_data!B:B,Population_data!E:E,"")</f>
        <v>1028.56</v>
      </c>
      <c r="H100">
        <f>_xlfn.XLOOKUP(C100,Population_data!B:B,Population_data!F:F,"")</f>
        <v>3.5</v>
      </c>
      <c r="I100">
        <f>_xlfn.XLOOKUP(C100,Population_data!B:B,Population_data!G:G,"")</f>
        <v>69.209999999999994</v>
      </c>
      <c r="J100" t="str">
        <f>_xlfn.XLOOKUP(D100,District_Crime_Unit_Map!A:A,District_Crime_Unit_Map!B:B,"")</f>
        <v>Rajshahi Range</v>
      </c>
      <c r="K100">
        <f>_xlfn.XLOOKUP(J100,Crime_Data!A:A,Crime_Data!V:V,"")</f>
        <v>112.81411131450233</v>
      </c>
      <c r="L100">
        <f>_xlfn.XLOOKUP(J100,Crime_Data!A:A,Crime_Data!W:W,"")</f>
        <v>14.272851259111949</v>
      </c>
      <c r="M100" t="str">
        <f>TRIM(Table6[[#This Row],[District]])&amp;"|"&amp;TRIM(Table6[[#This Row],[Upazila]])</f>
        <v>Rajshahi|Bagmara</v>
      </c>
      <c r="N100" t="str">
        <f>_xlfn.XLOOKUP(B100,Remittance_Data!A:A,Remittance_Data!B:B,"CHECK")</f>
        <v>CHECK</v>
      </c>
      <c r="O100" t="str">
        <f>_xlfn.XLOOKUP(B100,Remittance_Data!A:A,Remittance_Data!C:C,"CHECK")</f>
        <v>CHECK</v>
      </c>
      <c r="P100" t="str">
        <f>_xlfn.XLOOKUP(B100,Remittance_Data!A:A,Remittance_Data!D:D,"CHECK")</f>
        <v>CHECK</v>
      </c>
    </row>
    <row r="101" spans="1:16">
      <c r="A101" t="s">
        <v>175</v>
      </c>
      <c r="B101" t="str">
        <f>SUBSTITUTE(SUBSTITUTE(SUBSTITUTE(SUBSTITUTE(TRIM(Table6[[#This Row],[Constituency]]),"Barisal","Barishal"),"Jessore","Jashore"),"Bogra","Bogura"),"Chapai Nawabganj","Chapainawabganj")</f>
        <v>Rajshahi-5</v>
      </c>
      <c r="C101" t="s">
        <v>1030</v>
      </c>
      <c r="D101" t="s">
        <v>113</v>
      </c>
      <c r="E101">
        <f>_xlfn.XLOOKUP(C101,Population_data!B:B,Population_data!C:C,"")</f>
        <v>335.46</v>
      </c>
      <c r="F101">
        <f>_xlfn.XLOOKUP(C101,Population_data!B:B,Population_data!D:D,"")</f>
        <v>242445</v>
      </c>
      <c r="G101">
        <f>_xlfn.XLOOKUP(C101,Population_data!B:B,Population_data!E:E,"")</f>
        <v>722.72</v>
      </c>
      <c r="H101">
        <f>_xlfn.XLOOKUP(C101,Population_data!B:B,Population_data!F:F,"")</f>
        <v>4.08</v>
      </c>
      <c r="I101">
        <f>_xlfn.XLOOKUP(C101,Population_data!B:B,Population_data!G:G,"")</f>
        <v>66.760000000000005</v>
      </c>
      <c r="J101" t="str">
        <f>_xlfn.XLOOKUP(D101,District_Crime_Unit_Map!A:A,District_Crime_Unit_Map!B:B,"")</f>
        <v>Rajshahi Range</v>
      </c>
      <c r="K101">
        <f>_xlfn.XLOOKUP(J101,Crime_Data!A:A,Crime_Data!V:V,"")</f>
        <v>112.81411131450233</v>
      </c>
      <c r="L101">
        <f>_xlfn.XLOOKUP(J101,Crime_Data!A:A,Crime_Data!W:W,"")</f>
        <v>14.272851259111949</v>
      </c>
      <c r="M101" t="str">
        <f>TRIM(Table6[[#This Row],[District]])&amp;"|"&amp;TRIM(Table6[[#This Row],[Upazila]])</f>
        <v>Rajshahi|Durgapur</v>
      </c>
      <c r="N101" t="str">
        <f>_xlfn.XLOOKUP(B101,Remittance_Data!A:A,Remittance_Data!B:B,"CHECK")</f>
        <v>CHECK</v>
      </c>
      <c r="O101" t="str">
        <f>_xlfn.XLOOKUP(B101,Remittance_Data!A:A,Remittance_Data!C:C,"CHECK")</f>
        <v>CHECK</v>
      </c>
      <c r="P101" t="str">
        <f>_xlfn.XLOOKUP(B101,Remittance_Data!A:A,Remittance_Data!D:D,"CHECK")</f>
        <v>CHECK</v>
      </c>
    </row>
    <row r="102" spans="1:16">
      <c r="A102" t="s">
        <v>175</v>
      </c>
      <c r="B102" t="str">
        <f>SUBSTITUTE(SUBSTITUTE(SUBSTITUTE(SUBSTITUTE(TRIM(Table6[[#This Row],[Constituency]]),"Barisal","Barishal"),"Jessore","Jashore"),"Bogra","Bogura"),"Chapai Nawabganj","Chapainawabganj")</f>
        <v>Rajshahi-5</v>
      </c>
      <c r="C102" t="s">
        <v>1031</v>
      </c>
      <c r="D102" t="s">
        <v>113</v>
      </c>
      <c r="E102">
        <f>_xlfn.XLOOKUP(C102,Population_data!B:B,Population_data!C:C,"")</f>
        <v>192.3</v>
      </c>
      <c r="F102">
        <f>_xlfn.XLOOKUP(C102,Population_data!B:B,Population_data!D:D,"")</f>
        <v>224131</v>
      </c>
      <c r="G102">
        <f>_xlfn.XLOOKUP(C102,Population_data!B:B,Population_data!E:E,"")</f>
        <v>1165.53</v>
      </c>
      <c r="H102">
        <f>_xlfn.XLOOKUP(C102,Population_data!B:B,Population_data!F:F,"")</f>
        <v>3.57</v>
      </c>
      <c r="I102">
        <f>_xlfn.XLOOKUP(C102,Population_data!B:B,Population_data!G:G,"")</f>
        <v>71.53</v>
      </c>
      <c r="J102" t="str">
        <f>_xlfn.XLOOKUP(D102,District_Crime_Unit_Map!A:A,District_Crime_Unit_Map!B:B,"")</f>
        <v>Rajshahi Range</v>
      </c>
      <c r="K102">
        <f>_xlfn.XLOOKUP(J102,Crime_Data!A:A,Crime_Data!V:V,"")</f>
        <v>112.81411131450233</v>
      </c>
      <c r="L102">
        <f>_xlfn.XLOOKUP(J102,Crime_Data!A:A,Crime_Data!W:W,"")</f>
        <v>14.272851259111949</v>
      </c>
      <c r="M102" t="str">
        <f>TRIM(Table6[[#This Row],[District]])&amp;"|"&amp;TRIM(Table6[[#This Row],[Upazila]])</f>
        <v>Rajshahi|Puthia</v>
      </c>
      <c r="N102" t="str">
        <f>_xlfn.XLOOKUP(B102,Remittance_Data!A:A,Remittance_Data!B:B,"CHECK")</f>
        <v>CHECK</v>
      </c>
      <c r="O102" t="str">
        <f>_xlfn.XLOOKUP(B102,Remittance_Data!A:A,Remittance_Data!C:C,"CHECK")</f>
        <v>CHECK</v>
      </c>
      <c r="P102" t="str">
        <f>_xlfn.XLOOKUP(B102,Remittance_Data!A:A,Remittance_Data!D:D,"CHECK")</f>
        <v>CHECK</v>
      </c>
    </row>
    <row r="103" spans="1:16">
      <c r="A103" t="s">
        <v>178</v>
      </c>
      <c r="B103" t="str">
        <f>SUBSTITUTE(SUBSTITUTE(SUBSTITUTE(SUBSTITUTE(TRIM(Table6[[#This Row],[Constituency]]),"Barisal","Barishal"),"Jessore","Jashore"),"Bogra","Bogura"),"Chapai Nawabganj","Chapainawabganj")</f>
        <v>Rajshahi-6</v>
      </c>
      <c r="C103" t="s">
        <v>1032</v>
      </c>
      <c r="D103" t="s">
        <v>113</v>
      </c>
      <c r="E103">
        <f>_xlfn.XLOOKUP(C103,Population_data!B:B,Population_data!C:C,"")</f>
        <v>272.67</v>
      </c>
      <c r="F103">
        <f>_xlfn.XLOOKUP(C103,Population_data!B:B,Population_data!D:D,"")</f>
        <v>195886</v>
      </c>
      <c r="G103">
        <f>_xlfn.XLOOKUP(C103,Population_data!B:B,Population_data!E:E,"")</f>
        <v>718.4</v>
      </c>
      <c r="H103">
        <f>_xlfn.XLOOKUP(C103,Population_data!B:B,Population_data!F:F,"")</f>
        <v>3.63</v>
      </c>
      <c r="I103">
        <f>_xlfn.XLOOKUP(C103,Population_data!B:B,Population_data!G:G,"")</f>
        <v>70.06</v>
      </c>
      <c r="J103" t="str">
        <f>_xlfn.XLOOKUP(D103,District_Crime_Unit_Map!A:A,District_Crime_Unit_Map!B:B,"")</f>
        <v>Rajshahi Range</v>
      </c>
      <c r="K103">
        <f>_xlfn.XLOOKUP(J103,Crime_Data!A:A,Crime_Data!V:V,"")</f>
        <v>112.81411131450233</v>
      </c>
      <c r="L103">
        <f>_xlfn.XLOOKUP(J103,Crime_Data!A:A,Crime_Data!W:W,"")</f>
        <v>14.272851259111949</v>
      </c>
      <c r="M103" t="str">
        <f>TRIM(Table6[[#This Row],[District]])&amp;"|"&amp;TRIM(Table6[[#This Row],[Upazila]])</f>
        <v>Rajshahi|Bagha</v>
      </c>
      <c r="N103" t="str">
        <f>_xlfn.XLOOKUP(B103,Remittance_Data!A:A,Remittance_Data!B:B,"CHECK")</f>
        <v>CHECK</v>
      </c>
      <c r="O103" t="str">
        <f>_xlfn.XLOOKUP(B103,Remittance_Data!A:A,Remittance_Data!C:C,"CHECK")</f>
        <v>CHECK</v>
      </c>
      <c r="P103" t="str">
        <f>_xlfn.XLOOKUP(B103,Remittance_Data!A:A,Remittance_Data!D:D,"CHECK")</f>
        <v>CHECK</v>
      </c>
    </row>
    <row r="104" spans="1:16">
      <c r="A104" t="s">
        <v>178</v>
      </c>
      <c r="B104" t="str">
        <f>SUBSTITUTE(SUBSTITUTE(SUBSTITUTE(SUBSTITUTE(TRIM(Table6[[#This Row],[Constituency]]),"Barisal","Barishal"),"Jessore","Jashore"),"Bogra","Bogura"),"Chapai Nawabganj","Chapainawabganj")</f>
        <v>Rajshahi-6</v>
      </c>
      <c r="C104" t="s">
        <v>1033</v>
      </c>
      <c r="D104" t="s">
        <v>113</v>
      </c>
      <c r="E104">
        <f>_xlfn.XLOOKUP(C104,Population_data!B:B,Population_data!C:C,"")</f>
        <v>133.32</v>
      </c>
      <c r="F104">
        <f>_xlfn.XLOOKUP(C104,Population_data!B:B,Population_data!D:D,"")</f>
        <v>224833</v>
      </c>
      <c r="G104">
        <f>_xlfn.XLOOKUP(C104,Population_data!B:B,Population_data!E:E,"")</f>
        <v>1686.42</v>
      </c>
      <c r="H104">
        <f>_xlfn.XLOOKUP(C104,Population_data!B:B,Population_data!F:F,"")</f>
        <v>3.65</v>
      </c>
      <c r="I104">
        <f>_xlfn.XLOOKUP(C104,Population_data!B:B,Population_data!G:G,"")</f>
        <v>70.989999999999995</v>
      </c>
      <c r="J104" t="str">
        <f>_xlfn.XLOOKUP(D104,District_Crime_Unit_Map!A:A,District_Crime_Unit_Map!B:B,"")</f>
        <v>Rajshahi Range</v>
      </c>
      <c r="K104">
        <f>_xlfn.XLOOKUP(J104,Crime_Data!A:A,Crime_Data!V:V,"")</f>
        <v>112.81411131450233</v>
      </c>
      <c r="L104">
        <f>_xlfn.XLOOKUP(J104,Crime_Data!A:A,Crime_Data!W:W,"")</f>
        <v>14.272851259111949</v>
      </c>
      <c r="M104" t="str">
        <f>TRIM(Table6[[#This Row],[District]])&amp;"|"&amp;TRIM(Table6[[#This Row],[Upazila]])</f>
        <v>Rajshahi|Charghat</v>
      </c>
      <c r="N104" t="str">
        <f>_xlfn.XLOOKUP(B104,Remittance_Data!A:A,Remittance_Data!B:B,"CHECK")</f>
        <v>CHECK</v>
      </c>
      <c r="O104" t="str">
        <f>_xlfn.XLOOKUP(B104,Remittance_Data!A:A,Remittance_Data!C:C,"CHECK")</f>
        <v>CHECK</v>
      </c>
      <c r="P104" t="str">
        <f>_xlfn.XLOOKUP(B104,Remittance_Data!A:A,Remittance_Data!D:D,"CHECK")</f>
        <v>CHECK</v>
      </c>
    </row>
    <row r="105" spans="1:16">
      <c r="A105" t="s">
        <v>181</v>
      </c>
      <c r="B105" t="str">
        <f>SUBSTITUTE(SUBSTITUTE(SUBSTITUTE(SUBSTITUTE(TRIM(Table6[[#This Row],[Constituency]]),"Barisal","Barishal"),"Jessore","Jashore"),"Bogra","Bogura"),"Chapai Nawabganj","Chapainawabganj")</f>
        <v>Natore-1</v>
      </c>
      <c r="C105" t="s">
        <v>1034</v>
      </c>
      <c r="D105" t="s">
        <v>1035</v>
      </c>
      <c r="E105">
        <f>_xlfn.XLOOKUP(C105,Population_data!B:B,Population_data!C:C,"")</f>
        <v>468.39</v>
      </c>
      <c r="F105">
        <f>_xlfn.XLOOKUP(C105,Population_data!B:B,Population_data!D:D,"")</f>
        <v>306333</v>
      </c>
      <c r="G105">
        <f>_xlfn.XLOOKUP(C105,Population_data!B:B,Population_data!E:E,"")</f>
        <v>654.01</v>
      </c>
      <c r="H105">
        <f>_xlfn.XLOOKUP(C105,Population_data!B:B,Population_data!F:F,"")</f>
        <v>3.71</v>
      </c>
      <c r="I105">
        <f>_xlfn.XLOOKUP(C105,Population_data!B:B,Population_data!G:G,"")</f>
        <v>72.599999999999994</v>
      </c>
      <c r="J105" t="str">
        <f>_xlfn.XLOOKUP(D105,District_Crime_Unit_Map!A:A,District_Crime_Unit_Map!B:B,"")</f>
        <v>Rajshahi Range</v>
      </c>
      <c r="K105">
        <f>_xlfn.XLOOKUP(J105,Crime_Data!A:A,Crime_Data!V:V,"")</f>
        <v>112.81411131450233</v>
      </c>
      <c r="L105">
        <f>_xlfn.XLOOKUP(J105,Crime_Data!A:A,Crime_Data!W:W,"")</f>
        <v>14.272851259111949</v>
      </c>
      <c r="M105" t="str">
        <f>TRIM(Table6[[#This Row],[District]])&amp;"|"&amp;TRIM(Table6[[#This Row],[Upazila]])</f>
        <v>Natore|Lalpur</v>
      </c>
      <c r="N105" t="str">
        <f>_xlfn.XLOOKUP(B105,Remittance_Data!A:A,Remittance_Data!B:B,"CHECK")</f>
        <v>CHECK</v>
      </c>
      <c r="O105" t="str">
        <f>_xlfn.XLOOKUP(B105,Remittance_Data!A:A,Remittance_Data!C:C,"CHECK")</f>
        <v>CHECK</v>
      </c>
      <c r="P105" t="str">
        <f>_xlfn.XLOOKUP(B105,Remittance_Data!A:A,Remittance_Data!D:D,"CHECK")</f>
        <v>CHECK</v>
      </c>
    </row>
    <row r="106" spans="1:16">
      <c r="A106" t="s">
        <v>181</v>
      </c>
      <c r="B106" t="str">
        <f>SUBSTITUTE(SUBSTITUTE(SUBSTITUTE(SUBSTITUTE(TRIM(Table6[[#This Row],[Constituency]]),"Barisal","Barishal"),"Jessore","Jashore"),"Bogra","Bogura"),"Chapai Nawabganj","Chapainawabganj")</f>
        <v>Natore-1</v>
      </c>
      <c r="C106" t="s">
        <v>1036</v>
      </c>
      <c r="D106" t="s">
        <v>1035</v>
      </c>
      <c r="E106">
        <f>_xlfn.XLOOKUP(C106,Population_data!B:B,Population_data!C:C,"")</f>
        <v>205.7</v>
      </c>
      <c r="F106">
        <f>_xlfn.XLOOKUP(C106,Population_data!B:B,Population_data!D:D,"")</f>
        <v>140691</v>
      </c>
      <c r="G106">
        <f>_xlfn.XLOOKUP(C106,Population_data!B:B,Population_data!E:E,"")</f>
        <v>683.96</v>
      </c>
      <c r="H106">
        <f>_xlfn.XLOOKUP(C106,Population_data!B:B,Population_data!F:F,"")</f>
        <v>3.58</v>
      </c>
      <c r="I106">
        <f>_xlfn.XLOOKUP(C106,Population_data!B:B,Population_data!G:G,"")</f>
        <v>75.25</v>
      </c>
      <c r="J106" t="str">
        <f>_xlfn.XLOOKUP(D106,District_Crime_Unit_Map!A:A,District_Crime_Unit_Map!B:B,"")</f>
        <v>Rajshahi Range</v>
      </c>
      <c r="K106">
        <f>_xlfn.XLOOKUP(J106,Crime_Data!A:A,Crime_Data!V:V,"")</f>
        <v>112.81411131450233</v>
      </c>
      <c r="L106">
        <f>_xlfn.XLOOKUP(J106,Crime_Data!A:A,Crime_Data!W:W,"")</f>
        <v>14.272851259111949</v>
      </c>
      <c r="M106" t="str">
        <f>TRIM(Table6[[#This Row],[District]])&amp;"|"&amp;TRIM(Table6[[#This Row],[Upazila]])</f>
        <v>Natore|Bagatipara</v>
      </c>
      <c r="N106" t="str">
        <f>_xlfn.XLOOKUP(B106,Remittance_Data!A:A,Remittance_Data!B:B,"CHECK")</f>
        <v>CHECK</v>
      </c>
      <c r="O106" t="str">
        <f>_xlfn.XLOOKUP(B106,Remittance_Data!A:A,Remittance_Data!C:C,"CHECK")</f>
        <v>CHECK</v>
      </c>
      <c r="P106" t="str">
        <f>_xlfn.XLOOKUP(B106,Remittance_Data!A:A,Remittance_Data!D:D,"CHECK")</f>
        <v>CHECK</v>
      </c>
    </row>
    <row r="107" spans="1:16">
      <c r="A107" t="s">
        <v>183</v>
      </c>
      <c r="B107" t="str">
        <f>SUBSTITUTE(SUBSTITUTE(SUBSTITUTE(SUBSTITUTE(TRIM(Table6[[#This Row],[Constituency]]),"Barisal","Barishal"),"Jessore","Jashore"),"Bogra","Bogura"),"Chapai Nawabganj","Chapainawabganj")</f>
        <v>Natore-2</v>
      </c>
      <c r="C107" t="s">
        <v>1037</v>
      </c>
      <c r="D107" t="s">
        <v>1035</v>
      </c>
      <c r="E107">
        <f>_xlfn.XLOOKUP(C107,Population_data!B:B,Population_data!C:C,"")</f>
        <v>278.33</v>
      </c>
      <c r="F107">
        <f>_xlfn.XLOOKUP(C107,Population_data!B:B,Population_data!D:D,"")</f>
        <v>352967</v>
      </c>
      <c r="G107">
        <f>_xlfn.XLOOKUP(C107,Population_data!B:B,Population_data!E:E,"")</f>
        <v>1268.1600000000001</v>
      </c>
      <c r="H107">
        <f>_xlfn.XLOOKUP(C107,Population_data!B:B,Population_data!F:F,"")</f>
        <v>3.67</v>
      </c>
      <c r="I107">
        <f>_xlfn.XLOOKUP(C107,Population_data!B:B,Population_data!G:G,"")</f>
        <v>75.2</v>
      </c>
      <c r="J107" t="str">
        <f>_xlfn.XLOOKUP(D107,District_Crime_Unit_Map!A:A,District_Crime_Unit_Map!B:B,"")</f>
        <v>Rajshahi Range</v>
      </c>
      <c r="K107">
        <f>_xlfn.XLOOKUP(J107,Crime_Data!A:A,Crime_Data!V:V,"")</f>
        <v>112.81411131450233</v>
      </c>
      <c r="L107">
        <f>_xlfn.XLOOKUP(J107,Crime_Data!A:A,Crime_Data!W:W,"")</f>
        <v>14.272851259111949</v>
      </c>
      <c r="M107" t="str">
        <f>TRIM(Table6[[#This Row],[District]])&amp;"|"&amp;TRIM(Table6[[#This Row],[Upazila]])</f>
        <v>Natore|Natore Sadar</v>
      </c>
      <c r="N107" t="str">
        <f>_xlfn.XLOOKUP(B107,Remittance_Data!A:A,Remittance_Data!B:B,"CHECK")</f>
        <v>CHECK</v>
      </c>
      <c r="O107" t="str">
        <f>_xlfn.XLOOKUP(B107,Remittance_Data!A:A,Remittance_Data!C:C,"CHECK")</f>
        <v>CHECK</v>
      </c>
      <c r="P107" t="str">
        <f>_xlfn.XLOOKUP(B107,Remittance_Data!A:A,Remittance_Data!D:D,"CHECK")</f>
        <v>CHECK</v>
      </c>
    </row>
    <row r="108" spans="1:16">
      <c r="A108" t="s">
        <v>186</v>
      </c>
      <c r="B108" t="str">
        <f>SUBSTITUTE(SUBSTITUTE(SUBSTITUTE(SUBSTITUTE(TRIM(Table6[[#This Row],[Constituency]]),"Barisal","Barishal"),"Jessore","Jashore"),"Bogra","Bogura"),"Chapai Nawabganj","Chapainawabganj")</f>
        <v>Natore-3</v>
      </c>
      <c r="C108" t="s">
        <v>1038</v>
      </c>
      <c r="D108" t="s">
        <v>1035</v>
      </c>
      <c r="E108">
        <f>_xlfn.XLOOKUP(C108,Population_data!B:B,Population_data!C:C,"")</f>
        <v>279.14</v>
      </c>
      <c r="F108">
        <f>_xlfn.XLOOKUP(C108,Population_data!B:B,Population_data!D:D,"")</f>
        <v>381301</v>
      </c>
      <c r="G108">
        <f>_xlfn.XLOOKUP(C108,Population_data!B:B,Population_data!E:E,"")</f>
        <v>1365.98</v>
      </c>
      <c r="H108">
        <f>_xlfn.XLOOKUP(C108,Population_data!B:B,Population_data!F:F,"")</f>
        <v>3.72</v>
      </c>
      <c r="I108">
        <f>_xlfn.XLOOKUP(C108,Population_data!B:B,Population_data!G:G,"")</f>
        <v>66.95</v>
      </c>
      <c r="J108" t="str">
        <f>_xlfn.XLOOKUP(D108,District_Crime_Unit_Map!A:A,District_Crime_Unit_Map!B:B,"")</f>
        <v>Rajshahi Range</v>
      </c>
      <c r="K108">
        <f>_xlfn.XLOOKUP(J108,Crime_Data!A:A,Crime_Data!V:V,"")</f>
        <v>112.81411131450233</v>
      </c>
      <c r="L108">
        <f>_xlfn.XLOOKUP(J108,Crime_Data!A:A,Crime_Data!W:W,"")</f>
        <v>14.272851259111949</v>
      </c>
      <c r="M108" t="str">
        <f>TRIM(Table6[[#This Row],[District]])&amp;"|"&amp;TRIM(Table6[[#This Row],[Upazila]])</f>
        <v>Natore|Singra</v>
      </c>
      <c r="N108" t="str">
        <f>_xlfn.XLOOKUP(B108,Remittance_Data!A:A,Remittance_Data!B:B,"CHECK")</f>
        <v>CHECK</v>
      </c>
      <c r="O108" t="str">
        <f>_xlfn.XLOOKUP(B108,Remittance_Data!A:A,Remittance_Data!C:C,"CHECK")</f>
        <v>CHECK</v>
      </c>
      <c r="P108" t="str">
        <f>_xlfn.XLOOKUP(B108,Remittance_Data!A:A,Remittance_Data!D:D,"CHECK")</f>
        <v>CHECK</v>
      </c>
    </row>
    <row r="109" spans="1:16">
      <c r="A109" t="s">
        <v>186</v>
      </c>
      <c r="B109" t="str">
        <f>SUBSTITUTE(SUBSTITUTE(SUBSTITUTE(SUBSTITUTE(TRIM(Table6[[#This Row],[Constituency]]),"Barisal","Barishal"),"Jessore","Jashore"),"Bogra","Bogura"),"Chapai Nawabganj","Chapainawabganj")</f>
        <v>Natore-3</v>
      </c>
      <c r="C109" t="s">
        <v>1039</v>
      </c>
      <c r="D109" t="s">
        <v>1035</v>
      </c>
      <c r="E109">
        <f>_xlfn.XLOOKUP(C109,Population_data!B:B,Population_data!C:C,"")</f>
        <v>327.92</v>
      </c>
      <c r="F109">
        <f>_xlfn.XLOOKUP(C109,Population_data!B:B,Population_data!D:D,"")</f>
        <v>234328</v>
      </c>
      <c r="G109">
        <f>_xlfn.XLOOKUP(C109,Population_data!B:B,Population_data!E:E,"")</f>
        <v>714.59</v>
      </c>
      <c r="H109">
        <f>_xlfn.XLOOKUP(C109,Population_data!B:B,Population_data!F:F,"")</f>
        <v>3.6</v>
      </c>
      <c r="I109">
        <f>_xlfn.XLOOKUP(C109,Population_data!B:B,Population_data!G:G,"")</f>
        <v>68.97</v>
      </c>
      <c r="J109" t="str">
        <f>_xlfn.XLOOKUP(D109,District_Crime_Unit_Map!A:A,District_Crime_Unit_Map!B:B,"")</f>
        <v>Rajshahi Range</v>
      </c>
      <c r="K109">
        <f>_xlfn.XLOOKUP(J109,Crime_Data!A:A,Crime_Data!V:V,"")</f>
        <v>112.81411131450233</v>
      </c>
      <c r="L109">
        <f>_xlfn.XLOOKUP(J109,Crime_Data!A:A,Crime_Data!W:W,"")</f>
        <v>14.272851259111949</v>
      </c>
      <c r="M109" t="str">
        <f>TRIM(Table6[[#This Row],[District]])&amp;"|"&amp;TRIM(Table6[[#This Row],[Upazila]])</f>
        <v>Natore|Gurudaspur</v>
      </c>
      <c r="N109" t="str">
        <f>_xlfn.XLOOKUP(B109,Remittance_Data!A:A,Remittance_Data!B:B,"CHECK")</f>
        <v>CHECK</v>
      </c>
      <c r="O109" t="str">
        <f>_xlfn.XLOOKUP(B109,Remittance_Data!A:A,Remittance_Data!C:C,"CHECK")</f>
        <v>CHECK</v>
      </c>
      <c r="P109" t="str">
        <f>_xlfn.XLOOKUP(B109,Remittance_Data!A:A,Remittance_Data!D:D,"CHECK")</f>
        <v>CHECK</v>
      </c>
    </row>
    <row r="110" spans="1:16">
      <c r="A110" t="s">
        <v>188</v>
      </c>
      <c r="B110" t="str">
        <f>SUBSTITUTE(SUBSTITUTE(SUBSTITUTE(SUBSTITUTE(TRIM(Table6[[#This Row],[Constituency]]),"Barisal","Barishal"),"Jessore","Jashore"),"Bogra","Bogura"),"Chapai Nawabganj","Chapainawabganj")</f>
        <v>Natore-4</v>
      </c>
      <c r="C110" t="s">
        <v>1040</v>
      </c>
      <c r="D110" t="s">
        <v>1035</v>
      </c>
      <c r="E110">
        <f>_xlfn.XLOOKUP(C110,Population_data!B:B,Population_data!C:C,"")</f>
        <v>299.63</v>
      </c>
      <c r="F110">
        <f>_xlfn.XLOOKUP(C110,Population_data!B:B,Population_data!D:D,"")</f>
        <v>308917</v>
      </c>
      <c r="G110">
        <f>_xlfn.XLOOKUP(C110,Population_data!B:B,Population_data!E:E,"")</f>
        <v>1030.99</v>
      </c>
      <c r="H110">
        <f>_xlfn.XLOOKUP(C110,Population_data!B:B,Population_data!F:F,"")</f>
        <v>3.64</v>
      </c>
      <c r="I110">
        <f>_xlfn.XLOOKUP(C110,Population_data!B:B,Population_data!G:G,"")</f>
        <v>72.38</v>
      </c>
      <c r="J110" t="str">
        <f>_xlfn.XLOOKUP(D110,District_Crime_Unit_Map!A:A,District_Crime_Unit_Map!B:B,"")</f>
        <v>Rajshahi Range</v>
      </c>
      <c r="K110">
        <f>_xlfn.XLOOKUP(J110,Crime_Data!A:A,Crime_Data!V:V,"")</f>
        <v>112.81411131450233</v>
      </c>
      <c r="L110">
        <f>_xlfn.XLOOKUP(J110,Crime_Data!A:A,Crime_Data!W:W,"")</f>
        <v>14.272851259111949</v>
      </c>
      <c r="M110" t="str">
        <f>TRIM(Table6[[#This Row],[District]])&amp;"|"&amp;TRIM(Table6[[#This Row],[Upazila]])</f>
        <v>Natore|Baraigram</v>
      </c>
      <c r="N110" t="str">
        <f>_xlfn.XLOOKUP(B110,Remittance_Data!A:A,Remittance_Data!B:B,"CHECK")</f>
        <v>CHECK</v>
      </c>
      <c r="O110" t="str">
        <f>_xlfn.XLOOKUP(B110,Remittance_Data!A:A,Remittance_Data!C:C,"CHECK")</f>
        <v>CHECK</v>
      </c>
      <c r="P110" t="str">
        <f>_xlfn.XLOOKUP(B110,Remittance_Data!A:A,Remittance_Data!D:D,"CHECK")</f>
        <v>CHECK</v>
      </c>
    </row>
    <row r="111" spans="1:16">
      <c r="A111" t="s">
        <v>190</v>
      </c>
      <c r="B111" t="str">
        <f>SUBSTITUTE(SUBSTITUTE(SUBSTITUTE(SUBSTITUTE(TRIM(Table6[[#This Row],[Constituency]]),"Barisal","Barishal"),"Jessore","Jashore"),"Bogra","Bogura"),"Chapai Nawabganj","Chapainawabganj")</f>
        <v>Sirajganj-1</v>
      </c>
      <c r="C111" t="s">
        <v>1041</v>
      </c>
      <c r="D111" t="s">
        <v>1042</v>
      </c>
      <c r="E111">
        <f>_xlfn.XLOOKUP(C111,Population_data!B:B,Population_data!C:C,"")</f>
        <v>368.63</v>
      </c>
      <c r="F111">
        <f>_xlfn.XLOOKUP(C111,Population_data!B:B,Population_data!D:D,"")</f>
        <v>281429</v>
      </c>
      <c r="G111">
        <f>_xlfn.XLOOKUP(C111,Population_data!B:B,Population_data!E:E,"")</f>
        <v>763.45</v>
      </c>
      <c r="H111">
        <f>_xlfn.XLOOKUP(C111,Population_data!B:B,Population_data!F:F,"")</f>
        <v>3.73</v>
      </c>
      <c r="I111">
        <f>_xlfn.XLOOKUP(C111,Population_data!B:B,Population_data!G:G,"")</f>
        <v>63.95</v>
      </c>
      <c r="J111" t="str">
        <f>_xlfn.XLOOKUP(D111,District_Crime_Unit_Map!A:A,District_Crime_Unit_Map!B:B,"")</f>
        <v>Rajshahi Range</v>
      </c>
      <c r="K111">
        <f>_xlfn.XLOOKUP(J111,Crime_Data!A:A,Crime_Data!V:V,"")</f>
        <v>112.81411131450233</v>
      </c>
      <c r="L111">
        <f>_xlfn.XLOOKUP(J111,Crime_Data!A:A,Crime_Data!W:W,"")</f>
        <v>14.272851259111949</v>
      </c>
      <c r="M111" t="str">
        <f>TRIM(Table6[[#This Row],[District]])&amp;"|"&amp;TRIM(Table6[[#This Row],[Upazila]])</f>
        <v>Sirajganj|Kazipur</v>
      </c>
      <c r="N111" t="str">
        <f>_xlfn.XLOOKUP(B111,Remittance_Data!A:A,Remittance_Data!B:B,"CHECK")</f>
        <v>CHECK</v>
      </c>
      <c r="O111" t="str">
        <f>_xlfn.XLOOKUP(B111,Remittance_Data!A:A,Remittance_Data!C:C,"CHECK")</f>
        <v>CHECK</v>
      </c>
      <c r="P111" t="str">
        <f>_xlfn.XLOOKUP(B111,Remittance_Data!A:A,Remittance_Data!D:D,"CHECK")</f>
        <v>CHECK</v>
      </c>
    </row>
    <row r="112" spans="1:16">
      <c r="A112" t="s">
        <v>193</v>
      </c>
      <c r="B112" t="str">
        <f>SUBSTITUTE(SUBSTITUTE(SUBSTITUTE(SUBSTITUTE(TRIM(Table6[[#This Row],[Constituency]]),"Barisal","Barishal"),"Jessore","Jashore"),"Bogra","Bogura"),"Chapai Nawabganj","Chapainawabganj")</f>
        <v>Sirajganj-2</v>
      </c>
      <c r="C112" t="s">
        <v>1043</v>
      </c>
      <c r="D112" t="s">
        <v>1042</v>
      </c>
      <c r="E112">
        <f>_xlfn.XLOOKUP(C112,Population_data!B:B,Population_data!C:C,"")</f>
        <v>318.61</v>
      </c>
      <c r="F112">
        <f>_xlfn.XLOOKUP(C112,Population_data!B:B,Population_data!D:D,"")</f>
        <v>631877</v>
      </c>
      <c r="G112">
        <f>_xlfn.XLOOKUP(C112,Population_data!B:B,Population_data!E:E,"")</f>
        <v>1983.23</v>
      </c>
      <c r="H112">
        <f>_xlfn.XLOOKUP(C112,Population_data!B:B,Population_data!F:F,"")</f>
        <v>3.96</v>
      </c>
      <c r="I112">
        <f>_xlfn.XLOOKUP(C112,Population_data!B:B,Population_data!G:G,"")</f>
        <v>73.63</v>
      </c>
      <c r="J112" t="str">
        <f>_xlfn.XLOOKUP(D112,District_Crime_Unit_Map!A:A,District_Crime_Unit_Map!B:B,"")</f>
        <v>Rajshahi Range</v>
      </c>
      <c r="K112">
        <f>_xlfn.XLOOKUP(J112,Crime_Data!A:A,Crime_Data!V:V,"")</f>
        <v>112.81411131450233</v>
      </c>
      <c r="L112">
        <f>_xlfn.XLOOKUP(J112,Crime_Data!A:A,Crime_Data!W:W,"")</f>
        <v>14.272851259111949</v>
      </c>
      <c r="M112" t="str">
        <f>TRIM(Table6[[#This Row],[District]])&amp;"|"&amp;TRIM(Table6[[#This Row],[Upazila]])</f>
        <v>Sirajganj|Sirajganj Sadar</v>
      </c>
      <c r="N112" t="str">
        <f>_xlfn.XLOOKUP(B112,Remittance_Data!A:A,Remittance_Data!B:B,"CHECK")</f>
        <v>CHECK</v>
      </c>
      <c r="O112" t="str">
        <f>_xlfn.XLOOKUP(B112,Remittance_Data!A:A,Remittance_Data!C:C,"CHECK")</f>
        <v>CHECK</v>
      </c>
      <c r="P112" t="str">
        <f>_xlfn.XLOOKUP(B112,Remittance_Data!A:A,Remittance_Data!D:D,"CHECK")</f>
        <v>CHECK</v>
      </c>
    </row>
    <row r="113" spans="1:16">
      <c r="A113" t="s">
        <v>193</v>
      </c>
      <c r="B113" t="str">
        <f>SUBSTITUTE(SUBSTITUTE(SUBSTITUTE(SUBSTITUTE(TRIM(Table6[[#This Row],[Constituency]]),"Barisal","Barishal"),"Jessore","Jashore"),"Bogra","Bogura"),"Chapai Nawabganj","Chapainawabganj")</f>
        <v>Sirajganj-2</v>
      </c>
      <c r="C113" t="s">
        <v>1044</v>
      </c>
      <c r="D113" t="s">
        <v>1042</v>
      </c>
      <c r="E113">
        <f>_xlfn.XLOOKUP(C113,Population_data!B:B,Population_data!C:C,"")</f>
        <v>245.92</v>
      </c>
      <c r="F113">
        <f>_xlfn.XLOOKUP(C113,Population_data!B:B,Population_data!D:D,"")</f>
        <v>154385</v>
      </c>
      <c r="G113">
        <f>_xlfn.XLOOKUP(C113,Population_data!B:B,Population_data!E:E,"")</f>
        <v>627.79</v>
      </c>
      <c r="H113">
        <f>_xlfn.XLOOKUP(C113,Population_data!B:B,Population_data!F:F,"")</f>
        <v>3.95</v>
      </c>
      <c r="I113">
        <f>_xlfn.XLOOKUP(C113,Population_data!B:B,Population_data!G:G,"")</f>
        <v>73.17</v>
      </c>
      <c r="J113" t="str">
        <f>_xlfn.XLOOKUP(D113,District_Crime_Unit_Map!A:A,District_Crime_Unit_Map!B:B,"")</f>
        <v>Rajshahi Range</v>
      </c>
      <c r="K113">
        <f>_xlfn.XLOOKUP(J113,Crime_Data!A:A,Crime_Data!V:V,"")</f>
        <v>112.81411131450233</v>
      </c>
      <c r="L113">
        <f>_xlfn.XLOOKUP(J113,Crime_Data!A:A,Crime_Data!W:W,"")</f>
        <v>14.272851259111949</v>
      </c>
      <c r="M113" t="str">
        <f>TRIM(Table6[[#This Row],[District]])&amp;"|"&amp;TRIM(Table6[[#This Row],[Upazila]])</f>
        <v>Sirajganj|Kamarkhanda</v>
      </c>
      <c r="N113" t="str">
        <f>_xlfn.XLOOKUP(B113,Remittance_Data!A:A,Remittance_Data!B:B,"CHECK")</f>
        <v>CHECK</v>
      </c>
      <c r="O113" t="str">
        <f>_xlfn.XLOOKUP(B113,Remittance_Data!A:A,Remittance_Data!C:C,"CHECK")</f>
        <v>CHECK</v>
      </c>
      <c r="P113" t="str">
        <f>_xlfn.XLOOKUP(B113,Remittance_Data!A:A,Remittance_Data!D:D,"CHECK")</f>
        <v>CHECK</v>
      </c>
    </row>
    <row r="114" spans="1:16">
      <c r="A114" t="s">
        <v>196</v>
      </c>
      <c r="B114" t="str">
        <f>SUBSTITUTE(SUBSTITUTE(SUBSTITUTE(SUBSTITUTE(TRIM(Table6[[#This Row],[Constituency]]),"Barisal","Barishal"),"Jessore","Jashore"),"Bogra","Bogura"),"Chapai Nawabganj","Chapainawabganj")</f>
        <v>Sirajganj-3</v>
      </c>
      <c r="C114" t="s">
        <v>1509</v>
      </c>
      <c r="D114" t="s">
        <v>1042</v>
      </c>
      <c r="E114">
        <f>_xlfn.XLOOKUP(C114,Population_data!B:B,Population_data!C:C,"")</f>
        <v>325.92</v>
      </c>
      <c r="F114">
        <f>_xlfn.XLOOKUP(C114,Population_data!B:B,Population_data!D:D,"")</f>
        <v>348142</v>
      </c>
      <c r="G114">
        <f>_xlfn.XLOOKUP(C114,Population_data!B:B,Population_data!E:E,"")</f>
        <v>1068.18</v>
      </c>
      <c r="H114">
        <f>_xlfn.XLOOKUP(C114,Population_data!B:B,Population_data!F:F,"")</f>
        <v>3.8</v>
      </c>
      <c r="I114">
        <f>_xlfn.XLOOKUP(C114,Population_data!B:B,Population_data!G:G,"")</f>
        <v>68.569999999999993</v>
      </c>
      <c r="J114" t="str">
        <f>_xlfn.XLOOKUP(D114,District_Crime_Unit_Map!A:A,District_Crime_Unit_Map!B:B,"")</f>
        <v>Rajshahi Range</v>
      </c>
      <c r="K114">
        <f>_xlfn.XLOOKUP(J114,Crime_Data!A:A,Crime_Data!V:V,"")</f>
        <v>112.81411131450233</v>
      </c>
      <c r="L114">
        <f>_xlfn.XLOOKUP(J114,Crime_Data!A:A,Crime_Data!W:W,"")</f>
        <v>14.272851259111949</v>
      </c>
      <c r="M114" t="str">
        <f>TRIM(Table6[[#This Row],[District]])&amp;"|"&amp;TRIM(Table6[[#This Row],[Upazila]])</f>
        <v>Sirajganj|Rayganj</v>
      </c>
      <c r="N114" t="str">
        <f>_xlfn.XLOOKUP(B114,Remittance_Data!A:A,Remittance_Data!B:B,"CHECK")</f>
        <v>CHECK</v>
      </c>
      <c r="O114" t="str">
        <f>_xlfn.XLOOKUP(B114,Remittance_Data!A:A,Remittance_Data!C:C,"CHECK")</f>
        <v>CHECK</v>
      </c>
      <c r="P114" t="str">
        <f>_xlfn.XLOOKUP(B114,Remittance_Data!A:A,Remittance_Data!D:D,"CHECK")</f>
        <v>CHECK</v>
      </c>
    </row>
    <row r="115" spans="1:16">
      <c r="A115" t="s">
        <v>196</v>
      </c>
      <c r="B115" t="str">
        <f>SUBSTITUTE(SUBSTITUTE(SUBSTITUTE(SUBSTITUTE(TRIM(Table6[[#This Row],[Constituency]]),"Barisal","Barishal"),"Jessore","Jashore"),"Bogra","Bogura"),"Chapai Nawabganj","Chapainawabganj")</f>
        <v>Sirajganj-3</v>
      </c>
      <c r="C115" t="s">
        <v>1046</v>
      </c>
      <c r="D115" t="s">
        <v>1042</v>
      </c>
      <c r="E115">
        <f>_xlfn.XLOOKUP(C115,Population_data!B:B,Population_data!C:C,"")</f>
        <v>414.78</v>
      </c>
      <c r="F115">
        <f>_xlfn.XLOOKUP(C115,Population_data!B:B,Population_data!D:D,"")</f>
        <v>211840</v>
      </c>
      <c r="G115">
        <f>_xlfn.XLOOKUP(C115,Population_data!B:B,Population_data!E:E,"")</f>
        <v>510.73</v>
      </c>
      <c r="H115">
        <f>_xlfn.XLOOKUP(C115,Population_data!B:B,Population_data!F:F,"")</f>
        <v>3.71</v>
      </c>
      <c r="I115">
        <f>_xlfn.XLOOKUP(C115,Population_data!B:B,Population_data!G:G,"")</f>
        <v>71.87</v>
      </c>
      <c r="J115" t="str">
        <f>_xlfn.XLOOKUP(D115,District_Crime_Unit_Map!A:A,District_Crime_Unit_Map!B:B,"")</f>
        <v>Rajshahi Range</v>
      </c>
      <c r="K115">
        <f>_xlfn.XLOOKUP(J115,Crime_Data!A:A,Crime_Data!V:V,"")</f>
        <v>112.81411131450233</v>
      </c>
      <c r="L115">
        <f>_xlfn.XLOOKUP(J115,Crime_Data!A:A,Crime_Data!W:W,"")</f>
        <v>14.272851259111949</v>
      </c>
      <c r="M115" t="str">
        <f>TRIM(Table6[[#This Row],[District]])&amp;"|"&amp;TRIM(Table6[[#This Row],[Upazila]])</f>
        <v>Sirajganj|Tarash</v>
      </c>
      <c r="N115" t="str">
        <f>_xlfn.XLOOKUP(B115,Remittance_Data!A:A,Remittance_Data!B:B,"CHECK")</f>
        <v>CHECK</v>
      </c>
      <c r="O115" t="str">
        <f>_xlfn.XLOOKUP(B115,Remittance_Data!A:A,Remittance_Data!C:C,"CHECK")</f>
        <v>CHECK</v>
      </c>
      <c r="P115" t="str">
        <f>_xlfn.XLOOKUP(B115,Remittance_Data!A:A,Remittance_Data!D:D,"CHECK")</f>
        <v>CHECK</v>
      </c>
    </row>
    <row r="116" spans="1:16">
      <c r="A116" t="s">
        <v>200</v>
      </c>
      <c r="B116" t="str">
        <f>SUBSTITUTE(SUBSTITUTE(SUBSTITUTE(SUBSTITUTE(TRIM(Table6[[#This Row],[Constituency]]),"Barisal","Barishal"),"Jessore","Jashore"),"Bogra","Bogura"),"Chapai Nawabganj","Chapainawabganj")</f>
        <v>Sirajganj-4</v>
      </c>
      <c r="C116" t="s">
        <v>1510</v>
      </c>
      <c r="D116" t="s">
        <v>1042</v>
      </c>
      <c r="E116">
        <f>_xlfn.XLOOKUP(C116,Population_data!B:B,Population_data!C:C,"")</f>
        <v>127.74</v>
      </c>
      <c r="F116">
        <f>_xlfn.XLOOKUP(C116,Population_data!B:B,Population_data!D:D,"")</f>
        <v>588977</v>
      </c>
      <c r="G116">
        <f>_xlfn.XLOOKUP(C116,Population_data!B:B,Population_data!E:E,"")</f>
        <v>4610.75</v>
      </c>
      <c r="H116">
        <f>_xlfn.XLOOKUP(C116,Population_data!B:B,Population_data!F:F,"")</f>
        <v>3.93</v>
      </c>
      <c r="I116">
        <f>_xlfn.XLOOKUP(C116,Population_data!B:B,Population_data!G:G,"")</f>
        <v>70.010000000000005</v>
      </c>
      <c r="J116" t="str">
        <f>_xlfn.XLOOKUP(D116,District_Crime_Unit_Map!A:A,District_Crime_Unit_Map!B:B,"")</f>
        <v>Rajshahi Range</v>
      </c>
      <c r="K116">
        <f>_xlfn.XLOOKUP(J116,Crime_Data!A:A,Crime_Data!V:V,"")</f>
        <v>112.81411131450233</v>
      </c>
      <c r="L116">
        <f>_xlfn.XLOOKUP(J116,Crime_Data!A:A,Crime_Data!W:W,"")</f>
        <v>14.272851259111949</v>
      </c>
      <c r="M116" t="str">
        <f>TRIM(Table6[[#This Row],[District]])&amp;"|"&amp;TRIM(Table6[[#This Row],[Upazila]])</f>
        <v>Sirajganj|Ullapara</v>
      </c>
      <c r="N116" t="str">
        <f>_xlfn.XLOOKUP(B116,Remittance_Data!A:A,Remittance_Data!B:B,"CHECK")</f>
        <v>CHECK</v>
      </c>
      <c r="O116" t="str">
        <f>_xlfn.XLOOKUP(B116,Remittance_Data!A:A,Remittance_Data!C:C,"CHECK")</f>
        <v>CHECK</v>
      </c>
      <c r="P116" t="str">
        <f>_xlfn.XLOOKUP(B116,Remittance_Data!A:A,Remittance_Data!D:D,"CHECK")</f>
        <v>CHECK</v>
      </c>
    </row>
    <row r="117" spans="1:16">
      <c r="A117" t="s">
        <v>203</v>
      </c>
      <c r="B117" t="str">
        <f>SUBSTITUTE(SUBSTITUTE(SUBSTITUTE(SUBSTITUTE(TRIM(Table6[[#This Row],[Constituency]]),"Barisal","Barishal"),"Jessore","Jashore"),"Bogra","Bogura"),"Chapai Nawabganj","Chapainawabganj")</f>
        <v>Sirajganj-5</v>
      </c>
      <c r="C117" t="s">
        <v>1048</v>
      </c>
      <c r="D117" t="s">
        <v>1042</v>
      </c>
      <c r="E117">
        <f>_xlfn.XLOOKUP(C117,Population_data!B:B,Population_data!C:C,"")</f>
        <v>117</v>
      </c>
      <c r="F117">
        <f>_xlfn.XLOOKUP(C117,Population_data!B:B,Population_data!D:D,"")</f>
        <v>401152</v>
      </c>
      <c r="G117">
        <f>_xlfn.XLOOKUP(C117,Population_data!B:B,Population_data!E:E,"")</f>
        <v>3428.65</v>
      </c>
      <c r="H117">
        <f>_xlfn.XLOOKUP(C117,Population_data!B:B,Population_data!F:F,"")</f>
        <v>4.0999999999999996</v>
      </c>
      <c r="I117">
        <f>_xlfn.XLOOKUP(C117,Population_data!B:B,Population_data!G:G,"")</f>
        <v>72.680000000000007</v>
      </c>
      <c r="J117" t="str">
        <f>_xlfn.XLOOKUP(D117,District_Crime_Unit_Map!A:A,District_Crime_Unit_Map!B:B,"")</f>
        <v>Rajshahi Range</v>
      </c>
      <c r="K117">
        <f>_xlfn.XLOOKUP(J117,Crime_Data!A:A,Crime_Data!V:V,"")</f>
        <v>112.81411131450233</v>
      </c>
      <c r="L117">
        <f>_xlfn.XLOOKUP(J117,Crime_Data!A:A,Crime_Data!W:W,"")</f>
        <v>14.272851259111949</v>
      </c>
      <c r="M117" t="str">
        <f>TRIM(Table6[[#This Row],[District]])&amp;"|"&amp;TRIM(Table6[[#This Row],[Upazila]])</f>
        <v>Sirajganj|Belkuchi</v>
      </c>
      <c r="N117" t="str">
        <f>_xlfn.XLOOKUP(B117,Remittance_Data!A:A,Remittance_Data!B:B,"CHECK")</f>
        <v>CHECK</v>
      </c>
      <c r="O117" t="str">
        <f>_xlfn.XLOOKUP(B117,Remittance_Data!A:A,Remittance_Data!C:C,"CHECK")</f>
        <v>CHECK</v>
      </c>
      <c r="P117" t="str">
        <f>_xlfn.XLOOKUP(B117,Remittance_Data!A:A,Remittance_Data!D:D,"CHECK")</f>
        <v>CHECK</v>
      </c>
    </row>
    <row r="118" spans="1:16">
      <c r="A118" t="s">
        <v>203</v>
      </c>
      <c r="B118" t="str">
        <f>SUBSTITUTE(SUBSTITUTE(SUBSTITUTE(SUBSTITUTE(TRIM(Table6[[#This Row],[Constituency]]),"Barisal","Barishal"),"Jessore","Jashore"),"Bogra","Bogura"),"Chapai Nawabganj","Chapainawabganj")</f>
        <v>Sirajganj-5</v>
      </c>
      <c r="C118" t="s">
        <v>1508</v>
      </c>
      <c r="D118" t="s">
        <v>1042</v>
      </c>
      <c r="E118">
        <f>_xlfn.XLOOKUP(C118,Population_data!B:B,Population_data!C:C,"")</f>
        <v>160.79</v>
      </c>
      <c r="F118">
        <f>_xlfn.XLOOKUP(C118,Population_data!B:B,Population_data!D:D,"")</f>
        <v>138054</v>
      </c>
      <c r="G118">
        <f>_xlfn.XLOOKUP(C118,Population_data!B:B,Population_data!E:E,"")</f>
        <v>858.6</v>
      </c>
      <c r="H118">
        <f>_xlfn.XLOOKUP(C118,Population_data!B:B,Population_data!F:F,"")</f>
        <v>3.98</v>
      </c>
      <c r="I118">
        <f>_xlfn.XLOOKUP(C118,Population_data!B:B,Population_data!G:G,"")</f>
        <v>62.72</v>
      </c>
      <c r="J118" t="str">
        <f>_xlfn.XLOOKUP(D118,District_Crime_Unit_Map!A:A,District_Crime_Unit_Map!B:B,"")</f>
        <v>Rajshahi Range</v>
      </c>
      <c r="K118">
        <f>_xlfn.XLOOKUP(J118,Crime_Data!A:A,Crime_Data!V:V,"")</f>
        <v>112.81411131450233</v>
      </c>
      <c r="L118">
        <f>_xlfn.XLOOKUP(J118,Crime_Data!A:A,Crime_Data!W:W,"")</f>
        <v>14.272851259111949</v>
      </c>
      <c r="M118" t="str">
        <f>TRIM(Table6[[#This Row],[District]])&amp;"|"&amp;TRIM(Table6[[#This Row],[Upazila]])</f>
        <v>Sirajganj|Chouhali</v>
      </c>
      <c r="N118" t="str">
        <f>_xlfn.XLOOKUP(B118,Remittance_Data!A:A,Remittance_Data!B:B,"CHECK")</f>
        <v>CHECK</v>
      </c>
      <c r="O118" t="str">
        <f>_xlfn.XLOOKUP(B118,Remittance_Data!A:A,Remittance_Data!C:C,"CHECK")</f>
        <v>CHECK</v>
      </c>
      <c r="P118" t="str">
        <f>_xlfn.XLOOKUP(B118,Remittance_Data!A:A,Remittance_Data!D:D,"CHECK")</f>
        <v>CHECK</v>
      </c>
    </row>
    <row r="119" spans="1:16">
      <c r="A119" t="s">
        <v>206</v>
      </c>
      <c r="B119" t="str">
        <f>SUBSTITUTE(SUBSTITUTE(SUBSTITUTE(SUBSTITUTE(TRIM(Table6[[#This Row],[Constituency]]),"Barisal","Barishal"),"Jessore","Jashore"),"Bogra","Bogura"),"Chapai Nawabganj","Chapainawabganj")</f>
        <v>Sirajganj-6</v>
      </c>
      <c r="C119" t="s">
        <v>1051</v>
      </c>
      <c r="D119" t="s">
        <v>1042</v>
      </c>
      <c r="E119">
        <f>_xlfn.XLOOKUP(C119,Population_data!B:B,Population_data!C:C,"")</f>
        <v>356.67</v>
      </c>
      <c r="F119">
        <f>_xlfn.XLOOKUP(C119,Population_data!B:B,Population_data!D:D,"")</f>
        <v>601613</v>
      </c>
      <c r="G119">
        <f>_xlfn.XLOOKUP(C119,Population_data!B:B,Population_data!E:E,"")</f>
        <v>1686.75</v>
      </c>
      <c r="H119">
        <f>_xlfn.XLOOKUP(C119,Population_data!B:B,Population_data!F:F,"")</f>
        <v>4.04</v>
      </c>
      <c r="I119">
        <f>_xlfn.XLOOKUP(C119,Population_data!B:B,Population_data!G:G,"")</f>
        <v>65.3</v>
      </c>
      <c r="J119" t="str">
        <f>_xlfn.XLOOKUP(D119,District_Crime_Unit_Map!A:A,District_Crime_Unit_Map!B:B,"")</f>
        <v>Rajshahi Range</v>
      </c>
      <c r="K119">
        <f>_xlfn.XLOOKUP(J119,Crime_Data!A:A,Crime_Data!V:V,"")</f>
        <v>112.81411131450233</v>
      </c>
      <c r="L119">
        <f>_xlfn.XLOOKUP(J119,Crime_Data!A:A,Crime_Data!W:W,"")</f>
        <v>14.272851259111949</v>
      </c>
      <c r="M119" t="str">
        <f>TRIM(Table6[[#This Row],[District]])&amp;"|"&amp;TRIM(Table6[[#This Row],[Upazila]])</f>
        <v>Sirajganj|Shahjadpur</v>
      </c>
      <c r="N119" t="str">
        <f>_xlfn.XLOOKUP(B119,Remittance_Data!A:A,Remittance_Data!B:B,"CHECK")</f>
        <v>CHECK</v>
      </c>
      <c r="O119" t="str">
        <f>_xlfn.XLOOKUP(B119,Remittance_Data!A:A,Remittance_Data!C:C,"CHECK")</f>
        <v>CHECK</v>
      </c>
      <c r="P119" t="str">
        <f>_xlfn.XLOOKUP(B119,Remittance_Data!A:A,Remittance_Data!D:D,"CHECK")</f>
        <v>CHECK</v>
      </c>
    </row>
    <row r="120" spans="1:16">
      <c r="A120" t="s">
        <v>209</v>
      </c>
      <c r="B120" t="str">
        <f>SUBSTITUTE(SUBSTITUTE(SUBSTITUTE(SUBSTITUTE(TRIM(Table6[[#This Row],[Constituency]]),"Barisal","Barishal"),"Jessore","Jashore"),"Bogra","Bogura"),"Chapai Nawabganj","Chapainawabganj")</f>
        <v>Pabna-1</v>
      </c>
      <c r="C120" t="s">
        <v>1052</v>
      </c>
      <c r="D120" t="s">
        <v>1053</v>
      </c>
      <c r="E120">
        <f>_xlfn.XLOOKUP(C120,Population_data!B:B,Population_data!C:C,"")</f>
        <v>152.43</v>
      </c>
      <c r="F120">
        <f>_xlfn.XLOOKUP(C120,Population_data!B:B,Population_data!D:D,"")</f>
        <v>410760</v>
      </c>
      <c r="G120">
        <f>_xlfn.XLOOKUP(C120,Population_data!B:B,Population_data!E:E,"")</f>
        <v>2694.75</v>
      </c>
      <c r="H120">
        <f>_xlfn.XLOOKUP(C120,Population_data!B:B,Population_data!F:F,"")</f>
        <v>3.86</v>
      </c>
      <c r="I120">
        <f>_xlfn.XLOOKUP(C120,Population_data!B:B,Population_data!G:G,"")</f>
        <v>67.37</v>
      </c>
      <c r="J120" t="str">
        <f>_xlfn.XLOOKUP(D120,District_Crime_Unit_Map!A:A,District_Crime_Unit_Map!B:B,"")</f>
        <v>Rajshahi Range</v>
      </c>
      <c r="K120">
        <f>_xlfn.XLOOKUP(J120,Crime_Data!A:A,Crime_Data!V:V,"")</f>
        <v>112.81411131450233</v>
      </c>
      <c r="L120">
        <f>_xlfn.XLOOKUP(J120,Crime_Data!A:A,Crime_Data!W:W,"")</f>
        <v>14.272851259111949</v>
      </c>
      <c r="M120" t="str">
        <f>TRIM(Table6[[#This Row],[District]])&amp;"|"&amp;TRIM(Table6[[#This Row],[Upazila]])</f>
        <v>Pabna|Santhia</v>
      </c>
      <c r="N120" t="str">
        <f>_xlfn.XLOOKUP(B120,Remittance_Data!A:A,Remittance_Data!B:B,"CHECK")</f>
        <v>CHECK</v>
      </c>
      <c r="O120" t="str">
        <f>_xlfn.XLOOKUP(B120,Remittance_Data!A:A,Remittance_Data!C:C,"CHECK")</f>
        <v>CHECK</v>
      </c>
      <c r="P120" t="str">
        <f>_xlfn.XLOOKUP(B120,Remittance_Data!A:A,Remittance_Data!D:D,"CHECK")</f>
        <v>CHECK</v>
      </c>
    </row>
    <row r="121" spans="1:16">
      <c r="A121" t="s">
        <v>209</v>
      </c>
      <c r="B121" t="str">
        <f>SUBSTITUTE(SUBSTITUTE(SUBSTITUTE(SUBSTITUTE(TRIM(Table6[[#This Row],[Constituency]]),"Barisal","Barishal"),"Jessore","Jashore"),"Bogra","Bogura"),"Chapai Nawabganj","Chapainawabganj")</f>
        <v>Pabna-1</v>
      </c>
      <c r="C121" t="s">
        <v>1054</v>
      </c>
      <c r="D121" t="s">
        <v>1053</v>
      </c>
      <c r="E121">
        <f>_xlfn.XLOOKUP(C121,Population_data!B:B,Population_data!C:C,"")</f>
        <v>193.72</v>
      </c>
      <c r="F121">
        <f>_xlfn.XLOOKUP(C121,Population_data!B:B,Population_data!D:D,"")</f>
        <v>301476</v>
      </c>
      <c r="G121">
        <f>_xlfn.XLOOKUP(C121,Population_data!B:B,Population_data!E:E,"")</f>
        <v>1556.25</v>
      </c>
      <c r="H121">
        <f>_xlfn.XLOOKUP(C121,Population_data!B:B,Population_data!F:F,"")</f>
        <v>4.0999999999999996</v>
      </c>
      <c r="I121">
        <f>_xlfn.XLOOKUP(C121,Population_data!B:B,Population_data!G:G,"")</f>
        <v>66.86</v>
      </c>
      <c r="J121" t="str">
        <f>_xlfn.XLOOKUP(D121,District_Crime_Unit_Map!A:A,District_Crime_Unit_Map!B:B,"")</f>
        <v>Rajshahi Range</v>
      </c>
      <c r="K121">
        <f>_xlfn.XLOOKUP(J121,Crime_Data!A:A,Crime_Data!V:V,"")</f>
        <v>112.81411131450233</v>
      </c>
      <c r="L121">
        <f>_xlfn.XLOOKUP(J121,Crime_Data!A:A,Crime_Data!W:W,"")</f>
        <v>14.272851259111949</v>
      </c>
      <c r="M121" t="str">
        <f>TRIM(Table6[[#This Row],[District]])&amp;"|"&amp;TRIM(Table6[[#This Row],[Upazila]])</f>
        <v>Pabna|Bera</v>
      </c>
      <c r="N121" t="str">
        <f>_xlfn.XLOOKUP(B121,Remittance_Data!A:A,Remittance_Data!B:B,"CHECK")</f>
        <v>CHECK</v>
      </c>
      <c r="O121" t="str">
        <f>_xlfn.XLOOKUP(B121,Remittance_Data!A:A,Remittance_Data!C:C,"CHECK")</f>
        <v>CHECK</v>
      </c>
      <c r="P121" t="str">
        <f>_xlfn.XLOOKUP(B121,Remittance_Data!A:A,Remittance_Data!D:D,"CHECK")</f>
        <v>CHECK</v>
      </c>
    </row>
    <row r="122" spans="1:16">
      <c r="A122" t="s">
        <v>212</v>
      </c>
      <c r="B122" t="str">
        <f>SUBSTITUTE(SUBSTITUTE(SUBSTITUTE(SUBSTITUTE(TRIM(Table6[[#This Row],[Constituency]]),"Barisal","Barishal"),"Jessore","Jashore"),"Bogra","Bogura"),"Chapai Nawabganj","Chapainawabganj")</f>
        <v>Pabna-2</v>
      </c>
      <c r="C122" t="s">
        <v>1055</v>
      </c>
      <c r="D122" t="s">
        <v>1053</v>
      </c>
      <c r="E122">
        <f>_xlfn.XLOOKUP(C122,Population_data!B:B,Population_data!C:C,"")</f>
        <v>334.28</v>
      </c>
      <c r="F122">
        <f>_xlfn.XLOOKUP(C122,Population_data!B:B,Population_data!D:D,"")</f>
        <v>305563</v>
      </c>
      <c r="G122">
        <f>_xlfn.XLOOKUP(C122,Population_data!B:B,Population_data!E:E,"")</f>
        <v>914.09</v>
      </c>
      <c r="H122">
        <f>_xlfn.XLOOKUP(C122,Population_data!B:B,Population_data!F:F,"")</f>
        <v>3.91</v>
      </c>
      <c r="I122">
        <f>_xlfn.XLOOKUP(C122,Population_data!B:B,Population_data!G:G,"")</f>
        <v>66.98</v>
      </c>
      <c r="J122" t="str">
        <f>_xlfn.XLOOKUP(D122,District_Crime_Unit_Map!A:A,District_Crime_Unit_Map!B:B,"")</f>
        <v>Rajshahi Range</v>
      </c>
      <c r="K122">
        <f>_xlfn.XLOOKUP(J122,Crime_Data!A:A,Crime_Data!V:V,"")</f>
        <v>112.81411131450233</v>
      </c>
      <c r="L122">
        <f>_xlfn.XLOOKUP(J122,Crime_Data!A:A,Crime_Data!W:W,"")</f>
        <v>14.272851259111949</v>
      </c>
      <c r="M122" t="str">
        <f>TRIM(Table6[[#This Row],[District]])&amp;"|"&amp;TRIM(Table6[[#This Row],[Upazila]])</f>
        <v>Pabna|Sujanagar</v>
      </c>
      <c r="N122" t="str">
        <f>_xlfn.XLOOKUP(B122,Remittance_Data!A:A,Remittance_Data!B:B,"CHECK")</f>
        <v>CHECK</v>
      </c>
      <c r="O122" t="str">
        <f>_xlfn.XLOOKUP(B122,Remittance_Data!A:A,Remittance_Data!C:C,"CHECK")</f>
        <v>CHECK</v>
      </c>
      <c r="P122" t="str">
        <f>_xlfn.XLOOKUP(B122,Remittance_Data!A:A,Remittance_Data!D:D,"CHECK")</f>
        <v>CHECK</v>
      </c>
    </row>
    <row r="123" spans="1:16">
      <c r="A123" t="s">
        <v>212</v>
      </c>
      <c r="B123" t="str">
        <f>SUBSTITUTE(SUBSTITUTE(SUBSTITUTE(SUBSTITUTE(TRIM(Table6[[#This Row],[Constituency]]),"Barisal","Barishal"),"Jessore","Jashore"),"Bogra","Bogura"),"Chapai Nawabganj","Chapainawabganj")</f>
        <v>Pabna-2</v>
      </c>
      <c r="C123" t="s">
        <v>1056</v>
      </c>
      <c r="D123" t="s">
        <v>1053</v>
      </c>
      <c r="E123">
        <f>_xlfn.XLOOKUP(C123,Population_data!B:B,Population_data!C:C,"")</f>
        <v>325.77</v>
      </c>
      <c r="F123">
        <f>_xlfn.XLOOKUP(C123,Population_data!B:B,Population_data!D:D,"")</f>
        <v>711549</v>
      </c>
      <c r="G123">
        <f>_xlfn.XLOOKUP(C123,Population_data!B:B,Population_data!E:E,"")</f>
        <v>2184.21</v>
      </c>
      <c r="H123">
        <f>_xlfn.XLOOKUP(C123,Population_data!B:B,Population_data!F:F,"")</f>
        <v>3.84</v>
      </c>
      <c r="I123">
        <f>_xlfn.XLOOKUP(C123,Population_data!B:B,Population_data!G:G,"")</f>
        <v>72.739999999999995</v>
      </c>
      <c r="J123" t="str">
        <f>_xlfn.XLOOKUP(D123,District_Crime_Unit_Map!A:A,District_Crime_Unit_Map!B:B,"")</f>
        <v>Rajshahi Range</v>
      </c>
      <c r="K123">
        <f>_xlfn.XLOOKUP(J123,Crime_Data!A:A,Crime_Data!V:V,"")</f>
        <v>112.81411131450233</v>
      </c>
      <c r="L123">
        <f>_xlfn.XLOOKUP(J123,Crime_Data!A:A,Crime_Data!W:W,"")</f>
        <v>14.272851259111949</v>
      </c>
      <c r="M123" t="str">
        <f>TRIM(Table6[[#This Row],[District]])&amp;"|"&amp;TRIM(Table6[[#This Row],[Upazila]])</f>
        <v>Pabna|Pabna Sadar</v>
      </c>
      <c r="N123" t="str">
        <f>_xlfn.XLOOKUP(B123,Remittance_Data!A:A,Remittance_Data!B:B,"CHECK")</f>
        <v>CHECK</v>
      </c>
      <c r="O123" t="str">
        <f>_xlfn.XLOOKUP(B123,Remittance_Data!A:A,Remittance_Data!C:C,"CHECK")</f>
        <v>CHECK</v>
      </c>
      <c r="P123" t="str">
        <f>_xlfn.XLOOKUP(B123,Remittance_Data!A:A,Remittance_Data!D:D,"CHECK")</f>
        <v>CHECK</v>
      </c>
    </row>
    <row r="124" spans="1:16">
      <c r="A124" t="s">
        <v>215</v>
      </c>
      <c r="B124" t="str">
        <f>SUBSTITUTE(SUBSTITUTE(SUBSTITUTE(SUBSTITUTE(TRIM(Table6[[#This Row],[Constituency]]),"Barisal","Barishal"),"Jessore","Jashore"),"Bogra","Bogura"),"Chapai Nawabganj","Chapainawabganj")</f>
        <v>Pabna-3</v>
      </c>
      <c r="C124" t="s">
        <v>1057</v>
      </c>
      <c r="D124" t="s">
        <v>1053</v>
      </c>
      <c r="E124">
        <f>_xlfn.XLOOKUP(C124,Population_data!B:B,Population_data!C:C,"")</f>
        <v>248.5</v>
      </c>
      <c r="F124">
        <f>_xlfn.XLOOKUP(C124,Population_data!B:B,Population_data!D:D,"")</f>
        <v>334223</v>
      </c>
      <c r="G124">
        <f>_xlfn.XLOOKUP(C124,Population_data!B:B,Population_data!E:E,"")</f>
        <v>1344.96</v>
      </c>
      <c r="H124">
        <f>_xlfn.XLOOKUP(C124,Population_data!B:B,Population_data!F:F,"")</f>
        <v>3.64</v>
      </c>
      <c r="I124">
        <f>_xlfn.XLOOKUP(C124,Population_data!B:B,Population_data!G:G,"")</f>
        <v>70.12</v>
      </c>
      <c r="J124" t="str">
        <f>_xlfn.XLOOKUP(D124,District_Crime_Unit_Map!A:A,District_Crime_Unit_Map!B:B,"")</f>
        <v>Rajshahi Range</v>
      </c>
      <c r="K124">
        <f>_xlfn.XLOOKUP(J124,Crime_Data!A:A,Crime_Data!V:V,"")</f>
        <v>112.81411131450233</v>
      </c>
      <c r="L124">
        <f>_xlfn.XLOOKUP(J124,Crime_Data!A:A,Crime_Data!W:W,"")</f>
        <v>14.272851259111949</v>
      </c>
      <c r="M124" t="str">
        <f>TRIM(Table6[[#This Row],[District]])&amp;"|"&amp;TRIM(Table6[[#This Row],[Upazila]])</f>
        <v>Pabna|Chatmohar</v>
      </c>
      <c r="N124" t="str">
        <f>_xlfn.XLOOKUP(B124,Remittance_Data!A:A,Remittance_Data!B:B,"CHECK")</f>
        <v>CHECK</v>
      </c>
      <c r="O124" t="str">
        <f>_xlfn.XLOOKUP(B124,Remittance_Data!A:A,Remittance_Data!C:C,"CHECK")</f>
        <v>CHECK</v>
      </c>
      <c r="P124" t="str">
        <f>_xlfn.XLOOKUP(B124,Remittance_Data!A:A,Remittance_Data!D:D,"CHECK")</f>
        <v>CHECK</v>
      </c>
    </row>
    <row r="125" spans="1:16">
      <c r="A125" t="s">
        <v>215</v>
      </c>
      <c r="B125" t="str">
        <f>SUBSTITUTE(SUBSTITUTE(SUBSTITUTE(SUBSTITUTE(TRIM(Table6[[#This Row],[Constituency]]),"Barisal","Barishal"),"Jessore","Jashore"),"Bogra","Bogura"),"Chapai Nawabganj","Chapainawabganj")</f>
        <v>Pabna-3</v>
      </c>
      <c r="C125" t="s">
        <v>1058</v>
      </c>
      <c r="D125" t="s">
        <v>1053</v>
      </c>
      <c r="E125">
        <f>_xlfn.XLOOKUP(C125,Population_data!B:B,Population_data!C:C,"")</f>
        <v>378.12</v>
      </c>
      <c r="F125">
        <f>_xlfn.XLOOKUP(C125,Population_data!B:B,Population_data!D:D,"")</f>
        <v>140398</v>
      </c>
      <c r="G125">
        <f>_xlfn.XLOOKUP(C125,Population_data!B:B,Population_data!E:E,"")</f>
        <v>371.31</v>
      </c>
      <c r="H125">
        <f>_xlfn.XLOOKUP(C125,Population_data!B:B,Population_data!F:F,"")</f>
        <v>3.94</v>
      </c>
      <c r="I125">
        <f>_xlfn.XLOOKUP(C125,Population_data!B:B,Population_data!G:G,"")</f>
        <v>67.59</v>
      </c>
      <c r="J125" t="str">
        <f>_xlfn.XLOOKUP(D125,District_Crime_Unit_Map!A:A,District_Crime_Unit_Map!B:B,"")</f>
        <v>Rajshahi Range</v>
      </c>
      <c r="K125">
        <f>_xlfn.XLOOKUP(J125,Crime_Data!A:A,Crime_Data!V:V,"")</f>
        <v>112.81411131450233</v>
      </c>
      <c r="L125">
        <f>_xlfn.XLOOKUP(J125,Crime_Data!A:A,Crime_Data!W:W,"")</f>
        <v>14.272851259111949</v>
      </c>
      <c r="M125" t="str">
        <f>TRIM(Table6[[#This Row],[District]])&amp;"|"&amp;TRIM(Table6[[#This Row],[Upazila]])</f>
        <v>Pabna|Faridpur</v>
      </c>
      <c r="N125" t="str">
        <f>_xlfn.XLOOKUP(B125,Remittance_Data!A:A,Remittance_Data!B:B,"CHECK")</f>
        <v>CHECK</v>
      </c>
      <c r="O125" t="str">
        <f>_xlfn.XLOOKUP(B125,Remittance_Data!A:A,Remittance_Data!C:C,"CHECK")</f>
        <v>CHECK</v>
      </c>
      <c r="P125" t="str">
        <f>_xlfn.XLOOKUP(B125,Remittance_Data!A:A,Remittance_Data!D:D,"CHECK")</f>
        <v>CHECK</v>
      </c>
    </row>
    <row r="126" spans="1:16">
      <c r="A126" t="s">
        <v>215</v>
      </c>
      <c r="B126" t="str">
        <f>SUBSTITUTE(SUBSTITUTE(SUBSTITUTE(SUBSTITUTE(TRIM(Table6[[#This Row],[Constituency]]),"Barisal","Barishal"),"Jessore","Jashore"),"Bogra","Bogura"),"Chapai Nawabganj","Chapainawabganj")</f>
        <v>Pabna-3</v>
      </c>
      <c r="C126" t="s">
        <v>1059</v>
      </c>
      <c r="D126" t="s">
        <v>1053</v>
      </c>
      <c r="E126">
        <f>_xlfn.XLOOKUP(C126,Population_data!B:B,Population_data!C:C,"")</f>
        <v>336.3</v>
      </c>
      <c r="F126">
        <f>_xlfn.XLOOKUP(C126,Population_data!B:B,Population_data!D:D,"")</f>
        <v>136570</v>
      </c>
      <c r="G126">
        <f>_xlfn.XLOOKUP(C126,Population_data!B:B,Population_data!E:E,"")</f>
        <v>406.1</v>
      </c>
      <c r="H126">
        <f>_xlfn.XLOOKUP(C126,Population_data!B:B,Population_data!F:F,"")</f>
        <v>3.99</v>
      </c>
      <c r="I126">
        <f>_xlfn.XLOOKUP(C126,Population_data!B:B,Population_data!G:G,"")</f>
        <v>67.88</v>
      </c>
      <c r="J126" t="str">
        <f>_xlfn.XLOOKUP(D126,District_Crime_Unit_Map!A:A,District_Crime_Unit_Map!B:B,"")</f>
        <v>Rajshahi Range</v>
      </c>
      <c r="K126">
        <f>_xlfn.XLOOKUP(J126,Crime_Data!A:A,Crime_Data!V:V,"")</f>
        <v>112.81411131450233</v>
      </c>
      <c r="L126">
        <f>_xlfn.XLOOKUP(J126,Crime_Data!A:A,Crime_Data!W:W,"")</f>
        <v>14.272851259111949</v>
      </c>
      <c r="M126" t="str">
        <f>TRIM(Table6[[#This Row],[District]])&amp;"|"&amp;TRIM(Table6[[#This Row],[Upazila]])</f>
        <v>Pabna|Bhangura</v>
      </c>
      <c r="N126" t="str">
        <f>_xlfn.XLOOKUP(B126,Remittance_Data!A:A,Remittance_Data!B:B,"CHECK")</f>
        <v>CHECK</v>
      </c>
      <c r="O126" t="str">
        <f>_xlfn.XLOOKUP(B126,Remittance_Data!A:A,Remittance_Data!C:C,"CHECK")</f>
        <v>CHECK</v>
      </c>
      <c r="P126" t="str">
        <f>_xlfn.XLOOKUP(B126,Remittance_Data!A:A,Remittance_Data!D:D,"CHECK")</f>
        <v>CHECK</v>
      </c>
    </row>
    <row r="127" spans="1:16">
      <c r="A127" t="s">
        <v>218</v>
      </c>
      <c r="B127" t="str">
        <f>SUBSTITUTE(SUBSTITUTE(SUBSTITUTE(SUBSTITUTE(TRIM(Table6[[#This Row],[Constituency]]),"Barisal","Barishal"),"Jessore","Jashore"),"Bogra","Bogura"),"Chapai Nawabganj","Chapainawabganj")</f>
        <v>Pabna-4</v>
      </c>
      <c r="C127" t="s">
        <v>1060</v>
      </c>
      <c r="D127" t="s">
        <v>1053</v>
      </c>
      <c r="E127">
        <f>_xlfn.XLOOKUP(C127,Population_data!B:B,Population_data!C:C,"")</f>
        <v>443.92</v>
      </c>
      <c r="F127">
        <f>_xlfn.XLOOKUP(C127,Population_data!B:B,Population_data!D:D,"")</f>
        <v>390393</v>
      </c>
      <c r="G127">
        <f>_xlfn.XLOOKUP(C127,Population_data!B:B,Population_data!E:E,"")</f>
        <v>879.42</v>
      </c>
      <c r="H127">
        <f>_xlfn.XLOOKUP(C127,Population_data!B:B,Population_data!F:F,"")</f>
        <v>3.85</v>
      </c>
      <c r="I127">
        <f>_xlfn.XLOOKUP(C127,Population_data!B:B,Population_data!G:G,"")</f>
        <v>78.14</v>
      </c>
      <c r="J127" t="str">
        <f>_xlfn.XLOOKUP(D127,District_Crime_Unit_Map!A:A,District_Crime_Unit_Map!B:B,"")</f>
        <v>Rajshahi Range</v>
      </c>
      <c r="K127">
        <f>_xlfn.XLOOKUP(J127,Crime_Data!A:A,Crime_Data!V:V,"")</f>
        <v>112.81411131450233</v>
      </c>
      <c r="L127">
        <f>_xlfn.XLOOKUP(J127,Crime_Data!A:A,Crime_Data!W:W,"")</f>
        <v>14.272851259111949</v>
      </c>
      <c r="M127" t="str">
        <f>TRIM(Table6[[#This Row],[District]])&amp;"|"&amp;TRIM(Table6[[#This Row],[Upazila]])</f>
        <v>Pabna|Ishwardi</v>
      </c>
      <c r="N127" t="str">
        <f>_xlfn.XLOOKUP(B127,Remittance_Data!A:A,Remittance_Data!B:B,"CHECK")</f>
        <v>CHECK</v>
      </c>
      <c r="O127" t="str">
        <f>_xlfn.XLOOKUP(B127,Remittance_Data!A:A,Remittance_Data!C:C,"CHECK")</f>
        <v>CHECK</v>
      </c>
      <c r="P127" t="str">
        <f>_xlfn.XLOOKUP(B127,Remittance_Data!A:A,Remittance_Data!D:D,"CHECK")</f>
        <v>CHECK</v>
      </c>
    </row>
    <row r="128" spans="1:16">
      <c r="A128" t="s">
        <v>218</v>
      </c>
      <c r="B128" t="str">
        <f>SUBSTITUTE(SUBSTITUTE(SUBSTITUTE(SUBSTITUTE(TRIM(Table6[[#This Row],[Constituency]]),"Barisal","Barishal"),"Jessore","Jashore"),"Bogra","Bogura"),"Chapai Nawabganj","Chapainawabganj")</f>
        <v>Pabna-4</v>
      </c>
      <c r="C128" t="s">
        <v>1061</v>
      </c>
      <c r="D128" t="s">
        <v>1053</v>
      </c>
      <c r="E128">
        <f>_xlfn.XLOOKUP(C128,Population_data!B:B,Population_data!C:C,"")</f>
        <v>253.92</v>
      </c>
      <c r="F128">
        <f>_xlfn.XLOOKUP(C128,Population_data!B:B,Population_data!D:D,"")</f>
        <v>178577</v>
      </c>
      <c r="G128">
        <f>_xlfn.XLOOKUP(C128,Population_data!B:B,Population_data!E:E,"")</f>
        <v>703.28</v>
      </c>
      <c r="H128">
        <f>_xlfn.XLOOKUP(C128,Population_data!B:B,Population_data!F:F,"")</f>
        <v>3.82</v>
      </c>
      <c r="I128">
        <f>_xlfn.XLOOKUP(C128,Population_data!B:B,Population_data!G:G,"")</f>
        <v>68.790000000000006</v>
      </c>
      <c r="J128" t="str">
        <f>_xlfn.XLOOKUP(D128,District_Crime_Unit_Map!A:A,District_Crime_Unit_Map!B:B,"")</f>
        <v>Rajshahi Range</v>
      </c>
      <c r="K128">
        <f>_xlfn.XLOOKUP(J128,Crime_Data!A:A,Crime_Data!V:V,"")</f>
        <v>112.81411131450233</v>
      </c>
      <c r="L128">
        <f>_xlfn.XLOOKUP(J128,Crime_Data!A:A,Crime_Data!W:W,"")</f>
        <v>14.272851259111949</v>
      </c>
      <c r="M128" t="str">
        <f>TRIM(Table6[[#This Row],[District]])&amp;"|"&amp;TRIM(Table6[[#This Row],[Upazila]])</f>
        <v>Pabna|Atgharia</v>
      </c>
      <c r="N128" t="str">
        <f>_xlfn.XLOOKUP(B128,Remittance_Data!A:A,Remittance_Data!B:B,"CHECK")</f>
        <v>CHECK</v>
      </c>
      <c r="O128" t="str">
        <f>_xlfn.XLOOKUP(B128,Remittance_Data!A:A,Remittance_Data!C:C,"CHECK")</f>
        <v>CHECK</v>
      </c>
      <c r="P128" t="str">
        <f>_xlfn.XLOOKUP(B128,Remittance_Data!A:A,Remittance_Data!D:D,"CHECK")</f>
        <v>CHECK</v>
      </c>
    </row>
    <row r="129" spans="1:16">
      <c r="A129" t="s">
        <v>221</v>
      </c>
      <c r="B129" t="str">
        <f>SUBSTITUTE(SUBSTITUTE(SUBSTITUTE(SUBSTITUTE(TRIM(Table6[[#This Row],[Constituency]]),"Barisal","Barishal"),"Jessore","Jashore"),"Bogra","Bogura"),"Chapai Nawabganj","Chapainawabganj")</f>
        <v>Pabna-5</v>
      </c>
      <c r="C129" t="s">
        <v>1051</v>
      </c>
      <c r="D129" t="s">
        <v>1053</v>
      </c>
      <c r="E129">
        <f>_xlfn.XLOOKUP(C129,Population_data!B:B,Population_data!C:C,"")</f>
        <v>356.67</v>
      </c>
      <c r="F129">
        <f>_xlfn.XLOOKUP(C129,Population_data!B:B,Population_data!D:D,"")</f>
        <v>601613</v>
      </c>
      <c r="G129">
        <f>_xlfn.XLOOKUP(C129,Population_data!B:B,Population_data!E:E,"")</f>
        <v>1686.75</v>
      </c>
      <c r="H129">
        <f>_xlfn.XLOOKUP(C129,Population_data!B:B,Population_data!F:F,"")</f>
        <v>4.04</v>
      </c>
      <c r="I129">
        <f>_xlfn.XLOOKUP(C129,Population_data!B:B,Population_data!G:G,"")</f>
        <v>65.3</v>
      </c>
      <c r="J129" t="str">
        <f>_xlfn.XLOOKUP(D129,District_Crime_Unit_Map!A:A,District_Crime_Unit_Map!B:B,"")</f>
        <v>Rajshahi Range</v>
      </c>
      <c r="K129">
        <f>_xlfn.XLOOKUP(J129,Crime_Data!A:A,Crime_Data!V:V,"")</f>
        <v>112.81411131450233</v>
      </c>
      <c r="L129">
        <f>_xlfn.XLOOKUP(J129,Crime_Data!A:A,Crime_Data!W:W,"")</f>
        <v>14.272851259111949</v>
      </c>
      <c r="M129" t="str">
        <f>TRIM(Table6[[#This Row],[District]])&amp;"|"&amp;TRIM(Table6[[#This Row],[Upazila]])</f>
        <v>Pabna|Shahjadpur</v>
      </c>
      <c r="N129" t="str">
        <f>_xlfn.XLOOKUP(B129,Remittance_Data!A:A,Remittance_Data!B:B,"CHECK")</f>
        <v>CHECK</v>
      </c>
      <c r="O129" t="str">
        <f>_xlfn.XLOOKUP(B129,Remittance_Data!A:A,Remittance_Data!C:C,"CHECK")</f>
        <v>CHECK</v>
      </c>
      <c r="P129" t="str">
        <f>_xlfn.XLOOKUP(B129,Remittance_Data!A:A,Remittance_Data!D:D,"CHECK")</f>
        <v>CHECK</v>
      </c>
    </row>
    <row r="130" spans="1:16">
      <c r="A130" t="s">
        <v>225</v>
      </c>
      <c r="B130" t="str">
        <f>SUBSTITUTE(SUBSTITUTE(SUBSTITUTE(SUBSTITUTE(TRIM(Table6[[#This Row],[Constituency]]),"Barisal","Barishal"),"Jessore","Jashore"),"Bogra","Bogura"),"Chapai Nawabganj","Chapainawabganj")</f>
        <v>Meherpur-1</v>
      </c>
      <c r="C130" t="s">
        <v>1062</v>
      </c>
      <c r="D130" t="s">
        <v>1063</v>
      </c>
      <c r="E130">
        <f>_xlfn.XLOOKUP(C130,Population_data!B:B,Population_data!C:C,"")</f>
        <v>278.33999999999997</v>
      </c>
      <c r="F130">
        <f>_xlfn.XLOOKUP(C130,Population_data!B:B,Population_data!D:D,"")</f>
        <v>276894</v>
      </c>
      <c r="G130">
        <f>_xlfn.XLOOKUP(C130,Population_data!B:B,Population_data!E:E,"")</f>
        <v>994.8</v>
      </c>
      <c r="H130">
        <f>_xlfn.XLOOKUP(C130,Population_data!B:B,Population_data!F:F,"")</f>
        <v>3.68</v>
      </c>
      <c r="I130">
        <f>_xlfn.XLOOKUP(C130,Population_data!B:B,Population_data!G:G,"")</f>
        <v>70.63</v>
      </c>
      <c r="J130" t="str">
        <f>_xlfn.XLOOKUP(D130,District_Crime_Unit_Map!A:A,District_Crime_Unit_Map!B:B,"")</f>
        <v>Khulna Range</v>
      </c>
      <c r="K130">
        <f>_xlfn.XLOOKUP(J130,Crime_Data!A:A,Crime_Data!V:V,"")</f>
        <v>102.32166075410298</v>
      </c>
      <c r="L130">
        <f>_xlfn.XLOOKUP(J130,Crime_Data!A:A,Crime_Data!W:W,"")</f>
        <v>12.212237548443923</v>
      </c>
      <c r="M130" t="str">
        <f>TRIM(Table6[[#This Row],[District]])&amp;"|"&amp;TRIM(Table6[[#This Row],[Upazila]])</f>
        <v>Meherpur|Meherpur Sadar</v>
      </c>
      <c r="N130" t="str">
        <f>_xlfn.XLOOKUP(B130,Remittance_Data!A:A,Remittance_Data!B:B,"CHECK")</f>
        <v>CHECK</v>
      </c>
      <c r="O130" t="str">
        <f>_xlfn.XLOOKUP(B130,Remittance_Data!A:A,Remittance_Data!C:C,"CHECK")</f>
        <v>CHECK</v>
      </c>
      <c r="P130" t="str">
        <f>_xlfn.XLOOKUP(B130,Remittance_Data!A:A,Remittance_Data!D:D,"CHECK")</f>
        <v>CHECK</v>
      </c>
    </row>
    <row r="131" spans="1:16">
      <c r="A131" t="s">
        <v>225</v>
      </c>
      <c r="B131" t="str">
        <f>SUBSTITUTE(SUBSTITUTE(SUBSTITUTE(SUBSTITUTE(TRIM(Table6[[#This Row],[Constituency]]),"Barisal","Barishal"),"Jessore","Jashore"),"Bogra","Bogura"),"Chapai Nawabganj","Chapainawabganj")</f>
        <v>Meherpur-1</v>
      </c>
      <c r="C131" t="s">
        <v>1064</v>
      </c>
      <c r="D131" t="s">
        <v>1063</v>
      </c>
      <c r="E131">
        <f>_xlfn.XLOOKUP(C131,Population_data!B:B,Population_data!C:C,"")</f>
        <v>219.85</v>
      </c>
      <c r="F131">
        <f>_xlfn.XLOOKUP(C131,Population_data!B:B,Population_data!D:D,"")</f>
        <v>322690</v>
      </c>
      <c r="G131">
        <f>_xlfn.XLOOKUP(C131,Population_data!B:B,Population_data!E:E,"")</f>
        <v>1467.77</v>
      </c>
      <c r="H131">
        <f>_xlfn.XLOOKUP(C131,Population_data!B:B,Population_data!F:F,"")</f>
        <v>3.46</v>
      </c>
      <c r="I131">
        <f>_xlfn.XLOOKUP(C131,Population_data!B:B,Population_data!G:G,"")</f>
        <v>65.459999999999994</v>
      </c>
      <c r="J131" t="str">
        <f>_xlfn.XLOOKUP(D131,District_Crime_Unit_Map!A:A,District_Crime_Unit_Map!B:B,"")</f>
        <v>Khulna Range</v>
      </c>
      <c r="K131">
        <f>_xlfn.XLOOKUP(J131,Crime_Data!A:A,Crime_Data!V:V,"")</f>
        <v>102.32166075410298</v>
      </c>
      <c r="L131">
        <f>_xlfn.XLOOKUP(J131,Crime_Data!A:A,Crime_Data!W:W,"")</f>
        <v>12.212237548443923</v>
      </c>
      <c r="M131" t="str">
        <f>TRIM(Table6[[#This Row],[District]])&amp;"|"&amp;TRIM(Table6[[#This Row],[Upazila]])</f>
        <v>Meherpur|Gangni</v>
      </c>
      <c r="N131" t="str">
        <f>_xlfn.XLOOKUP(B131,Remittance_Data!A:A,Remittance_Data!B:B,"CHECK")</f>
        <v>CHECK</v>
      </c>
      <c r="O131" t="str">
        <f>_xlfn.XLOOKUP(B131,Remittance_Data!A:A,Remittance_Data!C:C,"CHECK")</f>
        <v>CHECK</v>
      </c>
      <c r="P131" t="str">
        <f>_xlfn.XLOOKUP(B131,Remittance_Data!A:A,Remittance_Data!D:D,"CHECK")</f>
        <v>CHECK</v>
      </c>
    </row>
    <row r="132" spans="1:16">
      <c r="A132" t="s">
        <v>228</v>
      </c>
      <c r="B132" t="str">
        <f>SUBSTITUTE(SUBSTITUTE(SUBSTITUTE(SUBSTITUTE(TRIM(Table6[[#This Row],[Constituency]]),"Barisal","Barishal"),"Jessore","Jashore"),"Bogra","Bogura"),"Chapai Nawabganj","Chapainawabganj")</f>
        <v>Meherpur-2</v>
      </c>
      <c r="C132" t="s">
        <v>1065</v>
      </c>
      <c r="D132" t="s">
        <v>1063</v>
      </c>
      <c r="E132">
        <f>_xlfn.XLOOKUP(C132,Population_data!B:B,Population_data!C:C,"")</f>
        <v>347.67</v>
      </c>
      <c r="F132">
        <f>_xlfn.XLOOKUP(C132,Population_data!B:B,Population_data!D:D,"")</f>
        <v>105746</v>
      </c>
      <c r="G132">
        <f>_xlfn.XLOOKUP(C132,Population_data!B:B,Population_data!E:E,"")</f>
        <v>304.16000000000003</v>
      </c>
      <c r="H132">
        <f>_xlfn.XLOOKUP(C132,Population_data!B:B,Population_data!F:F,"")</f>
        <v>3.78</v>
      </c>
      <c r="I132">
        <f>_xlfn.XLOOKUP(C132,Population_data!B:B,Population_data!G:G,"")</f>
        <v>69.75</v>
      </c>
      <c r="J132" t="str">
        <f>_xlfn.XLOOKUP(D132,District_Crime_Unit_Map!A:A,District_Crime_Unit_Map!B:B,"")</f>
        <v>Khulna Range</v>
      </c>
      <c r="K132">
        <f>_xlfn.XLOOKUP(J132,Crime_Data!A:A,Crime_Data!V:V,"")</f>
        <v>102.32166075410298</v>
      </c>
      <c r="L132">
        <f>_xlfn.XLOOKUP(J132,Crime_Data!A:A,Crime_Data!W:W,"")</f>
        <v>12.212237548443923</v>
      </c>
      <c r="M132" t="str">
        <f>TRIM(Table6[[#This Row],[District]])&amp;"|"&amp;TRIM(Table6[[#This Row],[Upazila]])</f>
        <v>Meherpur|Mujibnagar</v>
      </c>
      <c r="N132" t="str">
        <f>_xlfn.XLOOKUP(B132,Remittance_Data!A:A,Remittance_Data!B:B,"CHECK")</f>
        <v>CHECK</v>
      </c>
      <c r="O132" t="str">
        <f>_xlfn.XLOOKUP(B132,Remittance_Data!A:A,Remittance_Data!C:C,"CHECK")</f>
        <v>CHECK</v>
      </c>
      <c r="P132" t="str">
        <f>_xlfn.XLOOKUP(B132,Remittance_Data!A:A,Remittance_Data!D:D,"CHECK")</f>
        <v>CHECK</v>
      </c>
    </row>
    <row r="133" spans="1:16">
      <c r="A133" t="s">
        <v>231</v>
      </c>
      <c r="B133" t="str">
        <f>SUBSTITUTE(SUBSTITUTE(SUBSTITUTE(SUBSTITUTE(TRIM(Table6[[#This Row],[Constituency]]),"Barisal","Barishal"),"Jessore","Jashore"),"Bogra","Bogura"),"Chapai Nawabganj","Chapainawabganj")</f>
        <v>Kushtia-1</v>
      </c>
      <c r="C133" t="s">
        <v>1066</v>
      </c>
      <c r="D133" t="s">
        <v>1067</v>
      </c>
      <c r="E133">
        <f>_xlfn.XLOOKUP(C133,Population_data!B:B,Population_data!C:C,"")</f>
        <v>166.82</v>
      </c>
      <c r="F133">
        <f>_xlfn.XLOOKUP(C133,Population_data!B:B,Population_data!D:D,"")</f>
        <v>167420</v>
      </c>
      <c r="G133">
        <f>_xlfn.XLOOKUP(C133,Population_data!B:B,Population_data!E:E,"")</f>
        <v>1003.6</v>
      </c>
      <c r="H133">
        <f>_xlfn.XLOOKUP(C133,Population_data!B:B,Population_data!F:F,"")</f>
        <v>3.94</v>
      </c>
      <c r="I133">
        <f>_xlfn.XLOOKUP(C133,Population_data!B:B,Population_data!G:G,"")</f>
        <v>61.13</v>
      </c>
      <c r="J133" t="str">
        <f>_xlfn.XLOOKUP(D133,District_Crime_Unit_Map!A:A,District_Crime_Unit_Map!B:B,"")</f>
        <v>Khulna Range</v>
      </c>
      <c r="K133">
        <f>_xlfn.XLOOKUP(J133,Crime_Data!A:A,Crime_Data!V:V,"")</f>
        <v>102.32166075410298</v>
      </c>
      <c r="L133">
        <f>_xlfn.XLOOKUP(J133,Crime_Data!A:A,Crime_Data!W:W,"")</f>
        <v>12.212237548443923</v>
      </c>
      <c r="M133" t="str">
        <f>TRIM(Table6[[#This Row],[District]])&amp;"|"&amp;TRIM(Table6[[#This Row],[Upazila]])</f>
        <v>Kushtia|Daulatpur</v>
      </c>
      <c r="N133" t="str">
        <f>_xlfn.XLOOKUP(B133,Remittance_Data!A:A,Remittance_Data!B:B,"CHECK")</f>
        <v>CHECK</v>
      </c>
      <c r="O133" t="str">
        <f>_xlfn.XLOOKUP(B133,Remittance_Data!A:A,Remittance_Data!C:C,"CHECK")</f>
        <v>CHECK</v>
      </c>
      <c r="P133" t="str">
        <f>_xlfn.XLOOKUP(B133,Remittance_Data!A:A,Remittance_Data!D:D,"CHECK")</f>
        <v>CHECK</v>
      </c>
    </row>
    <row r="134" spans="1:16">
      <c r="A134" t="s">
        <v>231</v>
      </c>
      <c r="B134" t="str">
        <f>SUBSTITUTE(SUBSTITUTE(SUBSTITUTE(SUBSTITUTE(TRIM(Table6[[#This Row],[Constituency]]),"Barisal","Barishal"),"Jessore","Jashore"),"Bogra","Bogura"),"Chapai Nawabganj","Chapainawabganj")</f>
        <v>Kushtia-1</v>
      </c>
      <c r="C134" t="s">
        <v>1068</v>
      </c>
      <c r="D134" t="s">
        <v>1067</v>
      </c>
      <c r="E134">
        <f>_xlfn.XLOOKUP(C134,Population_data!B:B,Population_data!C:C,"")</f>
        <v>334.48</v>
      </c>
      <c r="F134">
        <f>_xlfn.XLOOKUP(C134,Population_data!B:B,Population_data!D:D,"")</f>
        <v>363080</v>
      </c>
      <c r="G134">
        <f>_xlfn.XLOOKUP(C134,Population_data!B:B,Population_data!E:E,"")</f>
        <v>1085.51</v>
      </c>
      <c r="H134">
        <f>_xlfn.XLOOKUP(C134,Population_data!B:B,Population_data!F:F,"")</f>
        <v>3.7</v>
      </c>
      <c r="I134">
        <f>_xlfn.XLOOKUP(C134,Population_data!B:B,Population_data!G:G,"")</f>
        <v>65.77</v>
      </c>
      <c r="J134" t="str">
        <f>_xlfn.XLOOKUP(D134,District_Crime_Unit_Map!A:A,District_Crime_Unit_Map!B:B,"")</f>
        <v>Khulna Range</v>
      </c>
      <c r="K134">
        <f>_xlfn.XLOOKUP(J134,Crime_Data!A:A,Crime_Data!V:V,"")</f>
        <v>102.32166075410298</v>
      </c>
      <c r="L134">
        <f>_xlfn.XLOOKUP(J134,Crime_Data!A:A,Crime_Data!W:W,"")</f>
        <v>12.212237548443923</v>
      </c>
      <c r="M134" t="str">
        <f>TRIM(Table6[[#This Row],[District]])&amp;"|"&amp;TRIM(Table6[[#This Row],[Upazila]])</f>
        <v>Kushtia|Mirpur</v>
      </c>
      <c r="N134" t="str">
        <f>_xlfn.XLOOKUP(B134,Remittance_Data!A:A,Remittance_Data!B:B,"CHECK")</f>
        <v>CHECK</v>
      </c>
      <c r="O134" t="str">
        <f>_xlfn.XLOOKUP(B134,Remittance_Data!A:A,Remittance_Data!C:C,"CHECK")</f>
        <v>CHECK</v>
      </c>
      <c r="P134" t="str">
        <f>_xlfn.XLOOKUP(B134,Remittance_Data!A:A,Remittance_Data!D:D,"CHECK")</f>
        <v>CHECK</v>
      </c>
    </row>
    <row r="135" spans="1:16">
      <c r="A135" t="s">
        <v>234</v>
      </c>
      <c r="B135" t="str">
        <f>SUBSTITUTE(SUBSTITUTE(SUBSTITUTE(SUBSTITUTE(TRIM(Table6[[#This Row],[Constituency]]),"Barisal","Barishal"),"Jessore","Jashore"),"Bogra","Bogura"),"Chapai Nawabganj","Chapainawabganj")</f>
        <v>Kushtia-2</v>
      </c>
      <c r="C135" t="s">
        <v>1069</v>
      </c>
      <c r="D135" t="s">
        <v>1067</v>
      </c>
      <c r="E135">
        <f>_xlfn.XLOOKUP(C135,Population_data!B:B,Population_data!C:C,"")</f>
        <v>153.72</v>
      </c>
      <c r="F135">
        <f>_xlfn.XLOOKUP(C135,Population_data!B:B,Population_data!D:D,"")</f>
        <v>225041</v>
      </c>
      <c r="G135">
        <f>_xlfn.XLOOKUP(C135,Population_data!B:B,Population_data!E:E,"")</f>
        <v>1463.97</v>
      </c>
      <c r="H135">
        <f>_xlfn.XLOOKUP(C135,Population_data!B:B,Population_data!F:F,"")</f>
        <v>3.88</v>
      </c>
      <c r="I135">
        <f>_xlfn.XLOOKUP(C135,Population_data!B:B,Population_data!G:G,"")</f>
        <v>71.239999999999995</v>
      </c>
      <c r="J135" t="str">
        <f>_xlfn.XLOOKUP(D135,District_Crime_Unit_Map!A:A,District_Crime_Unit_Map!B:B,"")</f>
        <v>Khulna Range</v>
      </c>
      <c r="K135">
        <f>_xlfn.XLOOKUP(J135,Crime_Data!A:A,Crime_Data!V:V,"")</f>
        <v>102.32166075410298</v>
      </c>
      <c r="L135">
        <f>_xlfn.XLOOKUP(J135,Crime_Data!A:A,Crime_Data!W:W,"")</f>
        <v>12.212237548443923</v>
      </c>
      <c r="M135" t="str">
        <f>TRIM(Table6[[#This Row],[District]])&amp;"|"&amp;TRIM(Table6[[#This Row],[Upazila]])</f>
        <v>Kushtia|Bheramara</v>
      </c>
      <c r="N135" t="str">
        <f>_xlfn.XLOOKUP(B135,Remittance_Data!A:A,Remittance_Data!B:B,"CHECK")</f>
        <v>CHECK</v>
      </c>
      <c r="O135" t="str">
        <f>_xlfn.XLOOKUP(B135,Remittance_Data!A:A,Remittance_Data!C:C,"CHECK")</f>
        <v>CHECK</v>
      </c>
      <c r="P135" t="str">
        <f>_xlfn.XLOOKUP(B135,Remittance_Data!A:A,Remittance_Data!D:D,"CHECK")</f>
        <v>CHECK</v>
      </c>
    </row>
    <row r="136" spans="1:16">
      <c r="A136" t="s">
        <v>234</v>
      </c>
      <c r="B136" t="str">
        <f>SUBSTITUTE(SUBSTITUTE(SUBSTITUTE(SUBSTITUTE(TRIM(Table6[[#This Row],[Constituency]]),"Barisal","Barishal"),"Jessore","Jashore"),"Bogra","Bogura"),"Chapai Nawabganj","Chapainawabganj")</f>
        <v>Kushtia-2</v>
      </c>
      <c r="C136" t="s">
        <v>1070</v>
      </c>
      <c r="D136" t="s">
        <v>1067</v>
      </c>
      <c r="E136">
        <f>_xlfn.XLOOKUP(C136,Population_data!B:B,Population_data!C:C,"")</f>
        <v>238.79</v>
      </c>
      <c r="F136">
        <f>_xlfn.XLOOKUP(C136,Population_data!B:B,Population_data!D:D,"")</f>
        <v>373734</v>
      </c>
      <c r="G136">
        <f>_xlfn.XLOOKUP(C136,Population_data!B:B,Population_data!E:E,"")</f>
        <v>1565.12</v>
      </c>
      <c r="H136">
        <f>_xlfn.XLOOKUP(C136,Population_data!B:B,Population_data!F:F,"")</f>
        <v>3.92</v>
      </c>
      <c r="I136">
        <f>_xlfn.XLOOKUP(C136,Population_data!B:B,Population_data!G:G,"")</f>
        <v>68.180000000000007</v>
      </c>
      <c r="J136" t="str">
        <f>_xlfn.XLOOKUP(D136,District_Crime_Unit_Map!A:A,District_Crime_Unit_Map!B:B,"")</f>
        <v>Khulna Range</v>
      </c>
      <c r="K136">
        <f>_xlfn.XLOOKUP(J136,Crime_Data!A:A,Crime_Data!V:V,"")</f>
        <v>102.32166075410298</v>
      </c>
      <c r="L136">
        <f>_xlfn.XLOOKUP(J136,Crime_Data!A:A,Crime_Data!W:W,"")</f>
        <v>12.212237548443923</v>
      </c>
      <c r="M136" t="str">
        <f>TRIM(Table6[[#This Row],[District]])&amp;"|"&amp;TRIM(Table6[[#This Row],[Upazila]])</f>
        <v>Kushtia|Kumarkhali</v>
      </c>
      <c r="N136" t="str">
        <f>_xlfn.XLOOKUP(B136,Remittance_Data!A:A,Remittance_Data!B:B,"CHECK")</f>
        <v>CHECK</v>
      </c>
      <c r="O136" t="str">
        <f>_xlfn.XLOOKUP(B136,Remittance_Data!A:A,Remittance_Data!C:C,"CHECK")</f>
        <v>CHECK</v>
      </c>
      <c r="P136" t="str">
        <f>_xlfn.XLOOKUP(B136,Remittance_Data!A:A,Remittance_Data!D:D,"CHECK")</f>
        <v>CHECK</v>
      </c>
    </row>
    <row r="137" spans="1:16">
      <c r="A137" t="s">
        <v>237</v>
      </c>
      <c r="B137" t="str">
        <f>SUBSTITUTE(SUBSTITUTE(SUBSTITUTE(SUBSTITUTE(TRIM(Table6[[#This Row],[Constituency]]),"Barisal","Barishal"),"Jessore","Jashore"),"Bogra","Bogura"),"Chapai Nawabganj","Chapainawabganj")</f>
        <v>Kushtia-3</v>
      </c>
      <c r="C137" t="s">
        <v>1071</v>
      </c>
      <c r="D137" t="s">
        <v>1067</v>
      </c>
      <c r="E137">
        <f>_xlfn.XLOOKUP(C137,Population_data!B:B,Population_data!C:C,"")</f>
        <v>336.11</v>
      </c>
      <c r="F137">
        <f>_xlfn.XLOOKUP(C137,Population_data!B:B,Population_data!D:D,"")</f>
        <v>560952</v>
      </c>
      <c r="G137">
        <f>_xlfn.XLOOKUP(C137,Population_data!B:B,Population_data!E:E,"")</f>
        <v>1668.95</v>
      </c>
      <c r="H137">
        <f>_xlfn.XLOOKUP(C137,Population_data!B:B,Population_data!F:F,"")</f>
        <v>3.78</v>
      </c>
      <c r="I137">
        <f>_xlfn.XLOOKUP(C137,Population_data!B:B,Population_data!G:G,"")</f>
        <v>74.48</v>
      </c>
      <c r="J137" t="str">
        <f>_xlfn.XLOOKUP(D137,District_Crime_Unit_Map!A:A,District_Crime_Unit_Map!B:B,"")</f>
        <v>Khulna Range</v>
      </c>
      <c r="K137">
        <f>_xlfn.XLOOKUP(J137,Crime_Data!A:A,Crime_Data!V:V,"")</f>
        <v>102.32166075410298</v>
      </c>
      <c r="L137">
        <f>_xlfn.XLOOKUP(J137,Crime_Data!A:A,Crime_Data!W:W,"")</f>
        <v>12.212237548443923</v>
      </c>
      <c r="M137" t="str">
        <f>TRIM(Table6[[#This Row],[District]])&amp;"|"&amp;TRIM(Table6[[#This Row],[Upazila]])</f>
        <v>Kushtia|Kushtia Sadar</v>
      </c>
      <c r="N137" t="str">
        <f>_xlfn.XLOOKUP(B137,Remittance_Data!A:A,Remittance_Data!B:B,"CHECK")</f>
        <v>CHECK</v>
      </c>
      <c r="O137" t="str">
        <f>_xlfn.XLOOKUP(B137,Remittance_Data!A:A,Remittance_Data!C:C,"CHECK")</f>
        <v>CHECK</v>
      </c>
      <c r="P137" t="str">
        <f>_xlfn.XLOOKUP(B137,Remittance_Data!A:A,Remittance_Data!D:D,"CHECK")</f>
        <v>CHECK</v>
      </c>
    </row>
    <row r="138" spans="1:16">
      <c r="A138" t="s">
        <v>240</v>
      </c>
      <c r="B138" t="str">
        <f>SUBSTITUTE(SUBSTITUTE(SUBSTITUTE(SUBSTITUTE(TRIM(Table6[[#This Row],[Constituency]]),"Barisal","Barishal"),"Jessore","Jashore"),"Bogra","Bogura"),"Chapai Nawabganj","Chapainawabganj")</f>
        <v>Kushtia-4</v>
      </c>
      <c r="C138" t="s">
        <v>1072</v>
      </c>
      <c r="D138" t="s">
        <v>1067</v>
      </c>
      <c r="E138">
        <f>_xlfn.XLOOKUP(C138,Population_data!B:B,Population_data!C:C,"")</f>
        <v>100.66</v>
      </c>
      <c r="F138">
        <f>_xlfn.XLOOKUP(C138,Population_data!B:B,Population_data!D:D,"")</f>
        <v>143827</v>
      </c>
      <c r="G138">
        <f>_xlfn.XLOOKUP(C138,Population_data!B:B,Population_data!E:E,"")</f>
        <v>1428.84</v>
      </c>
      <c r="H138">
        <f>_xlfn.XLOOKUP(C138,Population_data!B:B,Population_data!F:F,"")</f>
        <v>3.83</v>
      </c>
      <c r="I138">
        <f>_xlfn.XLOOKUP(C138,Population_data!B:B,Population_data!G:G,"")</f>
        <v>68.180000000000007</v>
      </c>
      <c r="J138" t="str">
        <f>_xlfn.XLOOKUP(D138,District_Crime_Unit_Map!A:A,District_Crime_Unit_Map!B:B,"")</f>
        <v>Khulna Range</v>
      </c>
      <c r="K138">
        <f>_xlfn.XLOOKUP(J138,Crime_Data!A:A,Crime_Data!V:V,"")</f>
        <v>102.32166075410298</v>
      </c>
      <c r="L138">
        <f>_xlfn.XLOOKUP(J138,Crime_Data!A:A,Crime_Data!W:W,"")</f>
        <v>12.212237548443923</v>
      </c>
      <c r="M138" t="str">
        <f>TRIM(Table6[[#This Row],[District]])&amp;"|"&amp;TRIM(Table6[[#This Row],[Upazila]])</f>
        <v>Kushtia|Khoksa</v>
      </c>
      <c r="N138" t="str">
        <f>_xlfn.XLOOKUP(B138,Remittance_Data!A:A,Remittance_Data!B:B,"CHECK")</f>
        <v>CHECK</v>
      </c>
      <c r="O138" t="str">
        <f>_xlfn.XLOOKUP(B138,Remittance_Data!A:A,Remittance_Data!C:C,"CHECK")</f>
        <v>CHECK</v>
      </c>
      <c r="P138" t="str">
        <f>_xlfn.XLOOKUP(B138,Remittance_Data!A:A,Remittance_Data!D:D,"CHECK")</f>
        <v>CHECK</v>
      </c>
    </row>
    <row r="139" spans="1:16">
      <c r="A139" t="s">
        <v>243</v>
      </c>
      <c r="B139" t="str">
        <f>SUBSTITUTE(SUBSTITUTE(SUBSTITUTE(SUBSTITUTE(TRIM(Table6[[#This Row],[Constituency]]),"Barisal","Barishal"),"Jessore","Jashore"),"Bogra","Bogura"),"Chapai Nawabganj","Chapainawabganj")</f>
        <v>Chuadanga-1</v>
      </c>
      <c r="C139" t="s">
        <v>1073</v>
      </c>
      <c r="D139" t="s">
        <v>1074</v>
      </c>
      <c r="E139">
        <f>_xlfn.XLOOKUP(C139,Population_data!B:B,Population_data!C:C,"")</f>
        <v>300.10000000000002</v>
      </c>
      <c r="F139">
        <f>_xlfn.XLOOKUP(C139,Population_data!B:B,Population_data!D:D,"")</f>
        <v>350504</v>
      </c>
      <c r="G139">
        <f>_xlfn.XLOOKUP(C139,Population_data!B:B,Population_data!E:E,"")</f>
        <v>1167.96</v>
      </c>
      <c r="H139">
        <f>_xlfn.XLOOKUP(C139,Population_data!B:B,Population_data!F:F,"")</f>
        <v>3.75</v>
      </c>
      <c r="I139">
        <f>_xlfn.XLOOKUP(C139,Population_data!B:B,Population_data!G:G,"")</f>
        <v>72.48</v>
      </c>
      <c r="J139" t="str">
        <f>_xlfn.XLOOKUP(D139,District_Crime_Unit_Map!A:A,District_Crime_Unit_Map!B:B,"")</f>
        <v>Khulna Range</v>
      </c>
      <c r="K139">
        <f>_xlfn.XLOOKUP(J139,Crime_Data!A:A,Crime_Data!V:V,"")</f>
        <v>102.32166075410298</v>
      </c>
      <c r="L139">
        <f>_xlfn.XLOOKUP(J139,Crime_Data!A:A,Crime_Data!W:W,"")</f>
        <v>12.212237548443923</v>
      </c>
      <c r="M139" t="str">
        <f>TRIM(Table6[[#This Row],[District]])&amp;"|"&amp;TRIM(Table6[[#This Row],[Upazila]])</f>
        <v>Chuadanga|Chuadanga Sadar</v>
      </c>
      <c r="N139" t="str">
        <f>_xlfn.XLOOKUP(B139,Remittance_Data!A:A,Remittance_Data!B:B,"CHECK")</f>
        <v>CHECK</v>
      </c>
      <c r="O139" t="str">
        <f>_xlfn.XLOOKUP(B139,Remittance_Data!A:A,Remittance_Data!C:C,"CHECK")</f>
        <v>CHECK</v>
      </c>
      <c r="P139" t="str">
        <f>_xlfn.XLOOKUP(B139,Remittance_Data!A:A,Remittance_Data!D:D,"CHECK")</f>
        <v>CHECK</v>
      </c>
    </row>
    <row r="140" spans="1:16">
      <c r="A140" t="s">
        <v>243</v>
      </c>
      <c r="B140" t="str">
        <f>SUBSTITUTE(SUBSTITUTE(SUBSTITUTE(SUBSTITUTE(TRIM(Table6[[#This Row],[Constituency]]),"Barisal","Barishal"),"Jessore","Jashore"),"Bogra","Bogura"),"Chapai Nawabganj","Chapainawabganj")</f>
        <v>Chuadanga-1</v>
      </c>
      <c r="C140" t="s">
        <v>1075</v>
      </c>
      <c r="D140" t="s">
        <v>1074</v>
      </c>
      <c r="E140">
        <f>_xlfn.XLOOKUP(C140,Population_data!B:B,Population_data!C:C,"")</f>
        <v>386.53</v>
      </c>
      <c r="F140">
        <f>_xlfn.XLOOKUP(C140,Population_data!B:B,Population_data!D:D,"")</f>
        <v>368160</v>
      </c>
      <c r="G140">
        <f>_xlfn.XLOOKUP(C140,Population_data!B:B,Population_data!E:E,"")</f>
        <v>952.47</v>
      </c>
      <c r="H140">
        <f>_xlfn.XLOOKUP(C140,Population_data!B:B,Population_data!F:F,"")</f>
        <v>3.67</v>
      </c>
      <c r="I140">
        <f>_xlfn.XLOOKUP(C140,Population_data!B:B,Population_data!G:G,"")</f>
        <v>68.7</v>
      </c>
      <c r="J140" t="str">
        <f>_xlfn.XLOOKUP(D140,District_Crime_Unit_Map!A:A,District_Crime_Unit_Map!B:B,"")</f>
        <v>Khulna Range</v>
      </c>
      <c r="K140">
        <f>_xlfn.XLOOKUP(J140,Crime_Data!A:A,Crime_Data!V:V,"")</f>
        <v>102.32166075410298</v>
      </c>
      <c r="L140">
        <f>_xlfn.XLOOKUP(J140,Crime_Data!A:A,Crime_Data!W:W,"")</f>
        <v>12.212237548443923</v>
      </c>
      <c r="M140" t="str">
        <f>TRIM(Table6[[#This Row],[District]])&amp;"|"&amp;TRIM(Table6[[#This Row],[Upazila]])</f>
        <v>Chuadanga|Alamdanga</v>
      </c>
      <c r="N140" t="str">
        <f>_xlfn.XLOOKUP(B140,Remittance_Data!A:A,Remittance_Data!B:B,"CHECK")</f>
        <v>CHECK</v>
      </c>
      <c r="O140" t="str">
        <f>_xlfn.XLOOKUP(B140,Remittance_Data!A:A,Remittance_Data!C:C,"CHECK")</f>
        <v>CHECK</v>
      </c>
      <c r="P140" t="str">
        <f>_xlfn.XLOOKUP(B140,Remittance_Data!A:A,Remittance_Data!D:D,"CHECK")</f>
        <v>CHECK</v>
      </c>
    </row>
    <row r="141" spans="1:16">
      <c r="A141" t="s">
        <v>246</v>
      </c>
      <c r="B141" t="str">
        <f>SUBSTITUTE(SUBSTITUTE(SUBSTITUTE(SUBSTITUTE(TRIM(Table6[[#This Row],[Constituency]]),"Barisal","Barishal"),"Jessore","Jashore"),"Bogra","Bogura"),"Chapai Nawabganj","Chapainawabganj")</f>
        <v>Chuadanga-2</v>
      </c>
      <c r="C141" t="s">
        <v>1076</v>
      </c>
      <c r="D141" t="s">
        <v>1074</v>
      </c>
      <c r="E141">
        <f>_xlfn.XLOOKUP(C141,Population_data!B:B,Population_data!C:C,"")</f>
        <v>174.7</v>
      </c>
      <c r="F141">
        <f>_xlfn.XLOOKUP(C141,Population_data!B:B,Population_data!D:D,"")</f>
        <v>317552</v>
      </c>
      <c r="G141">
        <f>_xlfn.XLOOKUP(C141,Population_data!B:B,Population_data!E:E,"")</f>
        <v>1817.7</v>
      </c>
      <c r="H141">
        <f>_xlfn.XLOOKUP(C141,Population_data!B:B,Population_data!F:F,"")</f>
        <v>3.84</v>
      </c>
      <c r="I141">
        <f>_xlfn.XLOOKUP(C141,Population_data!B:B,Population_data!G:G,"")</f>
        <v>71.34</v>
      </c>
      <c r="J141" t="str">
        <f>_xlfn.XLOOKUP(D141,District_Crime_Unit_Map!A:A,District_Crime_Unit_Map!B:B,"")</f>
        <v>Khulna Range</v>
      </c>
      <c r="K141">
        <f>_xlfn.XLOOKUP(J141,Crime_Data!A:A,Crime_Data!V:V,"")</f>
        <v>102.32166075410298</v>
      </c>
      <c r="L141">
        <f>_xlfn.XLOOKUP(J141,Crime_Data!A:A,Crime_Data!W:W,"")</f>
        <v>12.212237548443923</v>
      </c>
      <c r="M141" t="str">
        <f>TRIM(Table6[[#This Row],[District]])&amp;"|"&amp;TRIM(Table6[[#This Row],[Upazila]])</f>
        <v>Chuadanga|Damurhuda</v>
      </c>
      <c r="N141" t="str">
        <f>_xlfn.XLOOKUP(B141,Remittance_Data!A:A,Remittance_Data!B:B,"CHECK")</f>
        <v>CHECK</v>
      </c>
      <c r="O141" t="str">
        <f>_xlfn.XLOOKUP(B141,Remittance_Data!A:A,Remittance_Data!C:C,"CHECK")</f>
        <v>CHECK</v>
      </c>
      <c r="P141" t="str">
        <f>_xlfn.XLOOKUP(B141,Remittance_Data!A:A,Remittance_Data!D:D,"CHECK")</f>
        <v>CHECK</v>
      </c>
    </row>
    <row r="142" spans="1:16">
      <c r="A142" t="s">
        <v>246</v>
      </c>
      <c r="B142" t="str">
        <f>SUBSTITUTE(SUBSTITUTE(SUBSTITUTE(SUBSTITUTE(TRIM(Table6[[#This Row],[Constituency]]),"Barisal","Barishal"),"Jessore","Jashore"),"Bogra","Bogura"),"Chapai Nawabganj","Chapainawabganj")</f>
        <v>Chuadanga-2</v>
      </c>
      <c r="C142" t="s">
        <v>1077</v>
      </c>
      <c r="D142" t="s">
        <v>1074</v>
      </c>
      <c r="E142">
        <f>_xlfn.XLOOKUP(C142,Population_data!B:B,Population_data!C:C,"")</f>
        <v>309</v>
      </c>
      <c r="F142">
        <f>_xlfn.XLOOKUP(C142,Population_data!B:B,Population_data!D:D,"")</f>
        <v>197775</v>
      </c>
      <c r="G142">
        <f>_xlfn.XLOOKUP(C142,Population_data!B:B,Population_data!E:E,"")</f>
        <v>640.04999999999995</v>
      </c>
      <c r="H142">
        <f>_xlfn.XLOOKUP(C142,Population_data!B:B,Population_data!F:F,"")</f>
        <v>3.73</v>
      </c>
      <c r="I142">
        <f>_xlfn.XLOOKUP(C142,Population_data!B:B,Population_data!G:G,"")</f>
        <v>73.400000000000006</v>
      </c>
      <c r="J142" t="str">
        <f>_xlfn.XLOOKUP(D142,District_Crime_Unit_Map!A:A,District_Crime_Unit_Map!B:B,"")</f>
        <v>Khulna Range</v>
      </c>
      <c r="K142">
        <f>_xlfn.XLOOKUP(J142,Crime_Data!A:A,Crime_Data!V:V,"")</f>
        <v>102.32166075410298</v>
      </c>
      <c r="L142">
        <f>_xlfn.XLOOKUP(J142,Crime_Data!A:A,Crime_Data!W:W,"")</f>
        <v>12.212237548443923</v>
      </c>
      <c r="M142" t="str">
        <f>TRIM(Table6[[#This Row],[District]])&amp;"|"&amp;TRIM(Table6[[#This Row],[Upazila]])</f>
        <v>Chuadanga|Jibannagar</v>
      </c>
      <c r="N142" t="str">
        <f>_xlfn.XLOOKUP(B142,Remittance_Data!A:A,Remittance_Data!B:B,"CHECK")</f>
        <v>CHECK</v>
      </c>
      <c r="O142" t="str">
        <f>_xlfn.XLOOKUP(B142,Remittance_Data!A:A,Remittance_Data!C:C,"CHECK")</f>
        <v>CHECK</v>
      </c>
      <c r="P142" t="str">
        <f>_xlfn.XLOOKUP(B142,Remittance_Data!A:A,Remittance_Data!D:D,"CHECK")</f>
        <v>CHECK</v>
      </c>
    </row>
    <row r="143" spans="1:16">
      <c r="A143" t="s">
        <v>249</v>
      </c>
      <c r="B143" t="str">
        <f>SUBSTITUTE(SUBSTITUTE(SUBSTITUTE(SUBSTITUTE(TRIM(Table6[[#This Row],[Constituency]]),"Barisal","Barishal"),"Jessore","Jashore"),"Bogra","Bogura"),"Chapai Nawabganj","Chapainawabganj")</f>
        <v>Jhenaidah-1</v>
      </c>
      <c r="C143" t="s">
        <v>1078</v>
      </c>
      <c r="D143" t="s">
        <v>1079</v>
      </c>
      <c r="E143">
        <f>_xlfn.XLOOKUP(C143,Population_data!B:B,Population_data!C:C,"")</f>
        <v>248.36</v>
      </c>
      <c r="F143">
        <f>_xlfn.XLOOKUP(C143,Population_data!B:B,Population_data!D:D,"")</f>
        <v>406735</v>
      </c>
      <c r="G143">
        <f>_xlfn.XLOOKUP(C143,Population_data!B:B,Population_data!E:E,"")</f>
        <v>1637.68</v>
      </c>
      <c r="H143">
        <f>_xlfn.XLOOKUP(C143,Population_data!B:B,Population_data!F:F,"")</f>
        <v>3.95</v>
      </c>
      <c r="I143">
        <f>_xlfn.XLOOKUP(C143,Population_data!B:B,Population_data!G:G,"")</f>
        <v>71.63</v>
      </c>
      <c r="J143" t="str">
        <f>_xlfn.XLOOKUP(D143,District_Crime_Unit_Map!A:A,District_Crime_Unit_Map!B:B,"")</f>
        <v>Khulna Range</v>
      </c>
      <c r="K143">
        <f>_xlfn.XLOOKUP(J143,Crime_Data!A:A,Crime_Data!V:V,"")</f>
        <v>102.32166075410298</v>
      </c>
      <c r="L143">
        <f>_xlfn.XLOOKUP(J143,Crime_Data!A:A,Crime_Data!W:W,"")</f>
        <v>12.212237548443923</v>
      </c>
      <c r="M143" t="str">
        <f>TRIM(Table6[[#This Row],[District]])&amp;"|"&amp;TRIM(Table6[[#This Row],[Upazila]])</f>
        <v>Jhenaidah|Shailkupa</v>
      </c>
      <c r="N143" t="str">
        <f>_xlfn.XLOOKUP(B143,Remittance_Data!A:A,Remittance_Data!B:B,"CHECK")</f>
        <v>CHECK</v>
      </c>
      <c r="O143" t="str">
        <f>_xlfn.XLOOKUP(B143,Remittance_Data!A:A,Remittance_Data!C:C,"CHECK")</f>
        <v>CHECK</v>
      </c>
      <c r="P143" t="str">
        <f>_xlfn.XLOOKUP(B143,Remittance_Data!A:A,Remittance_Data!D:D,"CHECK")</f>
        <v>CHECK</v>
      </c>
    </row>
    <row r="144" spans="1:16">
      <c r="A144" t="s">
        <v>252</v>
      </c>
      <c r="B144" t="str">
        <f>SUBSTITUTE(SUBSTITUTE(SUBSTITUTE(SUBSTITUTE(TRIM(Table6[[#This Row],[Constituency]]),"Barisal","Barishal"),"Jessore","Jashore"),"Bogra","Bogura"),"Chapai Nawabganj","Chapainawabganj")</f>
        <v>Jhenaidah-2</v>
      </c>
      <c r="C144" t="s">
        <v>1080</v>
      </c>
      <c r="D144" t="s">
        <v>1079</v>
      </c>
      <c r="E144">
        <f>_xlfn.XLOOKUP(C144,Population_data!B:B,Population_data!C:C,"")</f>
        <v>170.67</v>
      </c>
      <c r="F144">
        <f>_xlfn.XLOOKUP(C144,Population_data!B:B,Population_data!D:D,"")</f>
        <v>218844</v>
      </c>
      <c r="G144">
        <f>_xlfn.XLOOKUP(C144,Population_data!B:B,Population_data!E:E,"")</f>
        <v>1282.26</v>
      </c>
      <c r="H144">
        <f>_xlfn.XLOOKUP(C144,Population_data!B:B,Population_data!F:F,"")</f>
        <v>3.82</v>
      </c>
      <c r="I144">
        <f>_xlfn.XLOOKUP(C144,Population_data!B:B,Population_data!G:G,"")</f>
        <v>68.33</v>
      </c>
      <c r="J144" t="str">
        <f>_xlfn.XLOOKUP(D144,District_Crime_Unit_Map!A:A,District_Crime_Unit_Map!B:B,"")</f>
        <v>Khulna Range</v>
      </c>
      <c r="K144">
        <f>_xlfn.XLOOKUP(J144,Crime_Data!A:A,Crime_Data!V:V,"")</f>
        <v>102.32166075410298</v>
      </c>
      <c r="L144">
        <f>_xlfn.XLOOKUP(J144,Crime_Data!A:A,Crime_Data!W:W,"")</f>
        <v>12.212237548443923</v>
      </c>
      <c r="M144" t="str">
        <f>TRIM(Table6[[#This Row],[District]])&amp;"|"&amp;TRIM(Table6[[#This Row],[Upazila]])</f>
        <v>Jhenaidah|Harinakunda</v>
      </c>
      <c r="N144" t="str">
        <f>_xlfn.XLOOKUP(B144,Remittance_Data!A:A,Remittance_Data!B:B,"CHECK")</f>
        <v>CHECK</v>
      </c>
      <c r="O144" t="str">
        <f>_xlfn.XLOOKUP(B144,Remittance_Data!A:A,Remittance_Data!C:C,"CHECK")</f>
        <v>CHECK</v>
      </c>
      <c r="P144" t="str">
        <f>_xlfn.XLOOKUP(B144,Remittance_Data!A:A,Remittance_Data!D:D,"CHECK")</f>
        <v>CHECK</v>
      </c>
    </row>
    <row r="145" spans="1:16">
      <c r="A145" t="s">
        <v>252</v>
      </c>
      <c r="B145" t="str">
        <f>SUBSTITUTE(SUBSTITUTE(SUBSTITUTE(SUBSTITUTE(TRIM(Table6[[#This Row],[Constituency]]),"Barisal","Barishal"),"Jessore","Jashore"),"Bogra","Bogura"),"Chapai Nawabganj","Chapainawabganj")</f>
        <v>Jhenaidah-2</v>
      </c>
      <c r="C145" t="s">
        <v>1081</v>
      </c>
      <c r="D145" t="s">
        <v>1079</v>
      </c>
      <c r="E145">
        <f>_xlfn.XLOOKUP(C145,Population_data!B:B,Population_data!C:C,"")</f>
        <v>464.12</v>
      </c>
      <c r="F145">
        <f>_xlfn.XLOOKUP(C145,Population_data!B:B,Population_data!D:D,"")</f>
        <v>543872</v>
      </c>
      <c r="G145">
        <f>_xlfn.XLOOKUP(C145,Population_data!B:B,Population_data!E:E,"")</f>
        <v>1171.83</v>
      </c>
      <c r="H145">
        <f>_xlfn.XLOOKUP(C145,Population_data!B:B,Population_data!F:F,"")</f>
        <v>3.78</v>
      </c>
      <c r="I145">
        <f>_xlfn.XLOOKUP(C145,Population_data!B:B,Population_data!G:G,"")</f>
        <v>75.180000000000007</v>
      </c>
      <c r="J145" t="str">
        <f>_xlfn.XLOOKUP(D145,District_Crime_Unit_Map!A:A,District_Crime_Unit_Map!B:B,"")</f>
        <v>Khulna Range</v>
      </c>
      <c r="K145">
        <f>_xlfn.XLOOKUP(J145,Crime_Data!A:A,Crime_Data!V:V,"")</f>
        <v>102.32166075410298</v>
      </c>
      <c r="L145">
        <f>_xlfn.XLOOKUP(J145,Crime_Data!A:A,Crime_Data!W:W,"")</f>
        <v>12.212237548443923</v>
      </c>
      <c r="M145" t="str">
        <f>TRIM(Table6[[#This Row],[District]])&amp;"|"&amp;TRIM(Table6[[#This Row],[Upazila]])</f>
        <v>Jhenaidah|Jhenaidah Sadar</v>
      </c>
      <c r="N145" t="str">
        <f>_xlfn.XLOOKUP(B145,Remittance_Data!A:A,Remittance_Data!B:B,"CHECK")</f>
        <v>CHECK</v>
      </c>
      <c r="O145" t="str">
        <f>_xlfn.XLOOKUP(B145,Remittance_Data!A:A,Remittance_Data!C:C,"CHECK")</f>
        <v>CHECK</v>
      </c>
      <c r="P145" t="str">
        <f>_xlfn.XLOOKUP(B145,Remittance_Data!A:A,Remittance_Data!D:D,"CHECK")</f>
        <v>CHECK</v>
      </c>
    </row>
    <row r="146" spans="1:16">
      <c r="A146" t="s">
        <v>255</v>
      </c>
      <c r="B146" t="str">
        <f>SUBSTITUTE(SUBSTITUTE(SUBSTITUTE(SUBSTITUTE(TRIM(Table6[[#This Row],[Constituency]]),"Barisal","Barishal"),"Jessore","Jashore"),"Bogra","Bogura"),"Chapai Nawabganj","Chapainawabganj")</f>
        <v>Jhenaidah-3</v>
      </c>
      <c r="C146" t="s">
        <v>1082</v>
      </c>
      <c r="D146" t="s">
        <v>1079</v>
      </c>
      <c r="E146">
        <f>_xlfn.XLOOKUP(C146,Population_data!B:B,Population_data!C:C,"")</f>
        <v>396.11</v>
      </c>
      <c r="F146">
        <f>_xlfn.XLOOKUP(C146,Population_data!B:B,Population_data!D:D,"")</f>
        <v>156540</v>
      </c>
      <c r="G146">
        <f>_xlfn.XLOOKUP(C146,Population_data!B:B,Population_data!E:E,"")</f>
        <v>395.19</v>
      </c>
      <c r="H146">
        <f>_xlfn.XLOOKUP(C146,Population_data!B:B,Population_data!F:F,"")</f>
        <v>3.82</v>
      </c>
      <c r="I146">
        <f>_xlfn.XLOOKUP(C146,Population_data!B:B,Population_data!G:G,"")</f>
        <v>74.81</v>
      </c>
      <c r="J146" t="str">
        <f>_xlfn.XLOOKUP(D146,District_Crime_Unit_Map!A:A,District_Crime_Unit_Map!B:B,"")</f>
        <v>Khulna Range</v>
      </c>
      <c r="K146">
        <f>_xlfn.XLOOKUP(J146,Crime_Data!A:A,Crime_Data!V:V,"")</f>
        <v>102.32166075410298</v>
      </c>
      <c r="L146">
        <f>_xlfn.XLOOKUP(J146,Crime_Data!A:A,Crime_Data!W:W,"")</f>
        <v>12.212237548443923</v>
      </c>
      <c r="M146" t="str">
        <f>TRIM(Table6[[#This Row],[District]])&amp;"|"&amp;TRIM(Table6[[#This Row],[Upazila]])</f>
        <v>Jhenaidah|Kotchandpur</v>
      </c>
      <c r="N146" t="str">
        <f>_xlfn.XLOOKUP(B146,Remittance_Data!A:A,Remittance_Data!B:B,"CHECK")</f>
        <v>CHECK</v>
      </c>
      <c r="O146" t="str">
        <f>_xlfn.XLOOKUP(B146,Remittance_Data!A:A,Remittance_Data!C:C,"CHECK")</f>
        <v>CHECK</v>
      </c>
      <c r="P146" t="str">
        <f>_xlfn.XLOOKUP(B146,Remittance_Data!A:A,Remittance_Data!D:D,"CHECK")</f>
        <v>CHECK</v>
      </c>
    </row>
    <row r="147" spans="1:16">
      <c r="A147" t="s">
        <v>255</v>
      </c>
      <c r="B147" t="str">
        <f>SUBSTITUTE(SUBSTITUTE(SUBSTITUTE(SUBSTITUTE(TRIM(Table6[[#This Row],[Constituency]]),"Barisal","Barishal"),"Jessore","Jashore"),"Bogra","Bogura"),"Chapai Nawabganj","Chapainawabganj")</f>
        <v>Jhenaidah-3</v>
      </c>
      <c r="C147" t="s">
        <v>1083</v>
      </c>
      <c r="D147" t="s">
        <v>1079</v>
      </c>
      <c r="E147">
        <f>_xlfn.XLOOKUP(C147,Population_data!B:B,Population_data!C:C,"")</f>
        <v>362.45</v>
      </c>
      <c r="F147">
        <f>_xlfn.XLOOKUP(C147,Population_data!B:B,Population_data!D:D,"")</f>
        <v>371269</v>
      </c>
      <c r="G147">
        <f>_xlfn.XLOOKUP(C147,Population_data!B:B,Population_data!E:E,"")</f>
        <v>1024.33</v>
      </c>
      <c r="H147">
        <f>_xlfn.XLOOKUP(C147,Population_data!B:B,Population_data!F:F,"")</f>
        <v>3.75</v>
      </c>
      <c r="I147">
        <f>_xlfn.XLOOKUP(C147,Population_data!B:B,Population_data!G:G,"")</f>
        <v>70.760000000000005</v>
      </c>
      <c r="J147" t="str">
        <f>_xlfn.XLOOKUP(D147,District_Crime_Unit_Map!A:A,District_Crime_Unit_Map!B:B,"")</f>
        <v>Khulna Range</v>
      </c>
      <c r="K147">
        <f>_xlfn.XLOOKUP(J147,Crime_Data!A:A,Crime_Data!V:V,"")</f>
        <v>102.32166075410298</v>
      </c>
      <c r="L147">
        <f>_xlfn.XLOOKUP(J147,Crime_Data!A:A,Crime_Data!W:W,"")</f>
        <v>12.212237548443923</v>
      </c>
      <c r="M147" t="str">
        <f>TRIM(Table6[[#This Row],[District]])&amp;"|"&amp;TRIM(Table6[[#This Row],[Upazila]])</f>
        <v>Jhenaidah|Maheshpur</v>
      </c>
      <c r="N147" t="str">
        <f>_xlfn.XLOOKUP(B147,Remittance_Data!A:A,Remittance_Data!B:B,"CHECK")</f>
        <v>CHECK</v>
      </c>
      <c r="O147" t="str">
        <f>_xlfn.XLOOKUP(B147,Remittance_Data!A:A,Remittance_Data!C:C,"CHECK")</f>
        <v>CHECK</v>
      </c>
      <c r="P147" t="str">
        <f>_xlfn.XLOOKUP(B147,Remittance_Data!A:A,Remittance_Data!D:D,"CHECK")</f>
        <v>CHECK</v>
      </c>
    </row>
    <row r="148" spans="1:16">
      <c r="A148" t="s">
        <v>258</v>
      </c>
      <c r="B148" t="str">
        <f>SUBSTITUTE(SUBSTITUTE(SUBSTITUTE(SUBSTITUTE(TRIM(Table6[[#This Row],[Constituency]]),"Barisal","Barishal"),"Jessore","Jashore"),"Bogra","Bogura"),"Chapai Nawabganj","Chapainawabganj")</f>
        <v>Jhenaidah-4</v>
      </c>
      <c r="C148" t="s">
        <v>952</v>
      </c>
      <c r="D148" t="s">
        <v>1079</v>
      </c>
      <c r="E148">
        <f>_xlfn.XLOOKUP(C148,Population_data!B:B,Population_data!C:C,"")</f>
        <v>236.67</v>
      </c>
      <c r="F148">
        <f>_xlfn.XLOOKUP(C148,Population_data!B:B,Population_data!D:D,"")</f>
        <v>310943</v>
      </c>
      <c r="G148">
        <f>_xlfn.XLOOKUP(C148,Population_data!B:B,Population_data!E:E,"")</f>
        <v>1313.83</v>
      </c>
      <c r="H148">
        <f>_xlfn.XLOOKUP(C148,Population_data!B:B,Population_data!F:F,"")</f>
        <v>3.97</v>
      </c>
      <c r="I148">
        <f>_xlfn.XLOOKUP(C148,Population_data!B:B,Population_data!G:G,"")</f>
        <v>79.58</v>
      </c>
      <c r="J148" t="str">
        <f>_xlfn.XLOOKUP(D148,District_Crime_Unit_Map!A:A,District_Crime_Unit_Map!B:B,"")</f>
        <v>Khulna Range</v>
      </c>
      <c r="K148">
        <f>_xlfn.XLOOKUP(J148,Crime_Data!A:A,Crime_Data!V:V,"")</f>
        <v>102.32166075410298</v>
      </c>
      <c r="L148">
        <f>_xlfn.XLOOKUP(J148,Crime_Data!A:A,Crime_Data!W:W,"")</f>
        <v>12.212237548443923</v>
      </c>
      <c r="M148" t="str">
        <f>TRIM(Table6[[#This Row],[District]])&amp;"|"&amp;TRIM(Table6[[#This Row],[Upazila]])</f>
        <v>Jhenaidah|Kaliganj</v>
      </c>
      <c r="N148" t="str">
        <f>_xlfn.XLOOKUP(B148,Remittance_Data!A:A,Remittance_Data!B:B,"CHECK")</f>
        <v>CHECK</v>
      </c>
      <c r="O148" t="str">
        <f>_xlfn.XLOOKUP(B148,Remittance_Data!A:A,Remittance_Data!C:C,"CHECK")</f>
        <v>CHECK</v>
      </c>
      <c r="P148" t="str">
        <f>_xlfn.XLOOKUP(B148,Remittance_Data!A:A,Remittance_Data!D:D,"CHECK")</f>
        <v>CHECK</v>
      </c>
    </row>
    <row r="149" spans="1:16">
      <c r="A149" t="s">
        <v>261</v>
      </c>
      <c r="B149" t="str">
        <f>SUBSTITUTE(SUBSTITUTE(SUBSTITUTE(SUBSTITUTE(TRIM(Table6[[#This Row],[Constituency]]),"Barisal","Barishal"),"Jessore","Jashore"),"Bogra","Bogura"),"Chapai Nawabganj","Chapainawabganj")</f>
        <v>Jashore-1</v>
      </c>
      <c r="C149" t="s">
        <v>1084</v>
      </c>
      <c r="D149" t="s">
        <v>1085</v>
      </c>
      <c r="E149">
        <f>_xlfn.XLOOKUP(C149,Population_data!B:B,Population_data!C:C,"")</f>
        <v>336.28</v>
      </c>
      <c r="F149">
        <f>_xlfn.XLOOKUP(C149,Population_data!B:B,Population_data!D:D,"")</f>
        <v>387631</v>
      </c>
      <c r="G149">
        <f>_xlfn.XLOOKUP(C149,Population_data!B:B,Population_data!E:E,"")</f>
        <v>1152.7</v>
      </c>
      <c r="H149">
        <f>_xlfn.XLOOKUP(C149,Population_data!B:B,Population_data!F:F,"")</f>
        <v>3.75</v>
      </c>
      <c r="I149">
        <f>_xlfn.XLOOKUP(C149,Population_data!B:B,Population_data!G:G,"")</f>
        <v>76.709999999999994</v>
      </c>
      <c r="J149" t="str">
        <f>_xlfn.XLOOKUP(D149,District_Crime_Unit_Map!A:A,District_Crime_Unit_Map!B:B,"")</f>
        <v>Khulna Range</v>
      </c>
      <c r="K149">
        <f>_xlfn.XLOOKUP(J149,Crime_Data!A:A,Crime_Data!V:V,"")</f>
        <v>102.32166075410298</v>
      </c>
      <c r="L149">
        <f>_xlfn.XLOOKUP(J149,Crime_Data!A:A,Crime_Data!W:W,"")</f>
        <v>12.212237548443923</v>
      </c>
      <c r="M149" t="str">
        <f>TRIM(Table6[[#This Row],[District]])&amp;"|"&amp;TRIM(Table6[[#This Row],[Upazila]])</f>
        <v>Jessore|Sharsha</v>
      </c>
      <c r="N149" t="str">
        <f>_xlfn.XLOOKUP(B149,Remittance_Data!A:A,Remittance_Data!B:B,"CHECK")</f>
        <v>CHECK</v>
      </c>
      <c r="O149" t="str">
        <f>_xlfn.XLOOKUP(B149,Remittance_Data!A:A,Remittance_Data!C:C,"CHECK")</f>
        <v>CHECK</v>
      </c>
      <c r="P149" t="str">
        <f>_xlfn.XLOOKUP(B149,Remittance_Data!A:A,Remittance_Data!D:D,"CHECK")</f>
        <v>CHECK</v>
      </c>
    </row>
    <row r="150" spans="1:16">
      <c r="A150" t="s">
        <v>261</v>
      </c>
      <c r="B150" t="str">
        <f>SUBSTITUTE(SUBSTITUTE(SUBSTITUTE(SUBSTITUTE(TRIM(Table6[[#This Row],[Constituency]]),"Barisal","Barishal"),"Jessore","Jashore"),"Bogra","Bogura"),"Chapai Nawabganj","Chapainawabganj")</f>
        <v>Jashore-1</v>
      </c>
      <c r="C150" t="s">
        <v>1086</v>
      </c>
      <c r="D150" t="s">
        <v>1085</v>
      </c>
      <c r="E150">
        <f>_xlfn.XLOOKUP(C150,Population_data!B:B,Population_data!C:C,"")</f>
        <v>308.29000000000002</v>
      </c>
      <c r="F150">
        <f>_xlfn.XLOOKUP(C150,Population_data!B:B,Population_data!D:D,"")</f>
        <v>238092</v>
      </c>
      <c r="G150">
        <f>_xlfn.XLOOKUP(C150,Population_data!B:B,Population_data!E:E,"")</f>
        <v>772.3</v>
      </c>
      <c r="H150">
        <f>_xlfn.XLOOKUP(C150,Population_data!B:B,Population_data!F:F,"")</f>
        <v>3.93</v>
      </c>
      <c r="I150">
        <f>_xlfn.XLOOKUP(C150,Population_data!B:B,Population_data!G:G,"")</f>
        <v>74.180000000000007</v>
      </c>
      <c r="J150" t="str">
        <f>_xlfn.XLOOKUP(D150,District_Crime_Unit_Map!A:A,District_Crime_Unit_Map!B:B,"")</f>
        <v>Khulna Range</v>
      </c>
      <c r="K150">
        <f>_xlfn.XLOOKUP(J150,Crime_Data!A:A,Crime_Data!V:V,"")</f>
        <v>102.32166075410298</v>
      </c>
      <c r="L150">
        <f>_xlfn.XLOOKUP(J150,Crime_Data!A:A,Crime_Data!W:W,"")</f>
        <v>12.212237548443923</v>
      </c>
      <c r="M150" t="str">
        <f>TRIM(Table6[[#This Row],[District]])&amp;"|"&amp;TRIM(Table6[[#This Row],[Upazila]])</f>
        <v>Jessore|Bagherpara</v>
      </c>
      <c r="N150" t="str">
        <f>_xlfn.XLOOKUP(B150,Remittance_Data!A:A,Remittance_Data!B:B,"CHECK")</f>
        <v>CHECK</v>
      </c>
      <c r="O150" t="str">
        <f>_xlfn.XLOOKUP(B150,Remittance_Data!A:A,Remittance_Data!C:C,"CHECK")</f>
        <v>CHECK</v>
      </c>
      <c r="P150" t="str">
        <f>_xlfn.XLOOKUP(B150,Remittance_Data!A:A,Remittance_Data!D:D,"CHECK")</f>
        <v>CHECK</v>
      </c>
    </row>
    <row r="151" spans="1:16">
      <c r="A151" t="s">
        <v>264</v>
      </c>
      <c r="B151" t="str">
        <f>SUBSTITUTE(SUBSTITUTE(SUBSTITUTE(SUBSTITUTE(TRIM(Table6[[#This Row],[Constituency]]),"Barisal","Barishal"),"Jessore","Jashore"),"Bogra","Bogura"),"Chapai Nawabganj","Chapainawabganj")</f>
        <v>Jashore-2</v>
      </c>
      <c r="C151" t="s">
        <v>1087</v>
      </c>
      <c r="D151" t="s">
        <v>1085</v>
      </c>
      <c r="E151">
        <f>_xlfn.XLOOKUP(C151,Population_data!B:B,Population_data!C:C,"")</f>
        <v>165.56</v>
      </c>
      <c r="F151">
        <f>_xlfn.XLOOKUP(C151,Population_data!B:B,Population_data!D:D,"")</f>
        <v>249271</v>
      </c>
      <c r="G151">
        <f>_xlfn.XLOOKUP(C151,Population_data!B:B,Population_data!E:E,"")</f>
        <v>1505.62</v>
      </c>
      <c r="H151">
        <f>_xlfn.XLOOKUP(C151,Population_data!B:B,Population_data!F:F,"")</f>
        <v>3.67</v>
      </c>
      <c r="I151">
        <f>_xlfn.XLOOKUP(C151,Population_data!B:B,Population_data!G:G,"")</f>
        <v>73.44</v>
      </c>
      <c r="J151" t="str">
        <f>_xlfn.XLOOKUP(D151,District_Crime_Unit_Map!A:A,District_Crime_Unit_Map!B:B,"")</f>
        <v>Khulna Range</v>
      </c>
      <c r="K151">
        <f>_xlfn.XLOOKUP(J151,Crime_Data!A:A,Crime_Data!V:V,"")</f>
        <v>102.32166075410298</v>
      </c>
      <c r="L151">
        <f>_xlfn.XLOOKUP(J151,Crime_Data!A:A,Crime_Data!W:W,"")</f>
        <v>12.212237548443923</v>
      </c>
      <c r="M151" t="str">
        <f>TRIM(Table6[[#This Row],[District]])&amp;"|"&amp;TRIM(Table6[[#This Row],[Upazila]])</f>
        <v>Jessore|Chaugachha</v>
      </c>
      <c r="N151" t="str">
        <f>_xlfn.XLOOKUP(B151,Remittance_Data!A:A,Remittance_Data!B:B,"CHECK")</f>
        <v>CHECK</v>
      </c>
      <c r="O151" t="str">
        <f>_xlfn.XLOOKUP(B151,Remittance_Data!A:A,Remittance_Data!C:C,"CHECK")</f>
        <v>CHECK</v>
      </c>
      <c r="P151" t="str">
        <f>_xlfn.XLOOKUP(B151,Remittance_Data!A:A,Remittance_Data!D:D,"CHECK")</f>
        <v>CHECK</v>
      </c>
    </row>
    <row r="152" spans="1:16">
      <c r="A152" t="s">
        <v>264</v>
      </c>
      <c r="B152" t="str">
        <f>SUBSTITUTE(SUBSTITUTE(SUBSTITUTE(SUBSTITUTE(TRIM(Table6[[#This Row],[Constituency]]),"Barisal","Barishal"),"Jessore","Jashore"),"Bogra","Bogura"),"Chapai Nawabganj","Chapainawabganj")</f>
        <v>Jashore-2</v>
      </c>
      <c r="C152" t="s">
        <v>1088</v>
      </c>
      <c r="D152" t="s">
        <v>1085</v>
      </c>
      <c r="E152">
        <f>_xlfn.XLOOKUP(C152,Population_data!B:B,Population_data!C:C,"")</f>
        <v>307.95999999999998</v>
      </c>
      <c r="F152">
        <f>_xlfn.XLOOKUP(C152,Population_data!B:B,Population_data!D:D,"")</f>
        <v>331123</v>
      </c>
      <c r="G152">
        <f>_xlfn.XLOOKUP(C152,Population_data!B:B,Population_data!E:E,"")</f>
        <v>1075.21</v>
      </c>
      <c r="H152">
        <f>_xlfn.XLOOKUP(C152,Population_data!B:B,Population_data!F:F,"")</f>
        <v>3.73</v>
      </c>
      <c r="I152">
        <f>_xlfn.XLOOKUP(C152,Population_data!B:B,Population_data!G:G,"")</f>
        <v>76.349999999999994</v>
      </c>
      <c r="J152" t="str">
        <f>_xlfn.XLOOKUP(D152,District_Crime_Unit_Map!A:A,District_Crime_Unit_Map!B:B,"")</f>
        <v>Khulna Range</v>
      </c>
      <c r="K152">
        <f>_xlfn.XLOOKUP(J152,Crime_Data!A:A,Crime_Data!V:V,"")</f>
        <v>102.32166075410298</v>
      </c>
      <c r="L152">
        <f>_xlfn.XLOOKUP(J152,Crime_Data!A:A,Crime_Data!W:W,"")</f>
        <v>12.212237548443923</v>
      </c>
      <c r="M152" t="str">
        <f>TRIM(Table6[[#This Row],[District]])&amp;"|"&amp;TRIM(Table6[[#This Row],[Upazila]])</f>
        <v>Jessore|Jhikargacha</v>
      </c>
      <c r="N152" t="str">
        <f>_xlfn.XLOOKUP(B152,Remittance_Data!A:A,Remittance_Data!B:B,"CHECK")</f>
        <v>CHECK</v>
      </c>
      <c r="O152" t="str">
        <f>_xlfn.XLOOKUP(B152,Remittance_Data!A:A,Remittance_Data!C:C,"CHECK")</f>
        <v>CHECK</v>
      </c>
      <c r="P152" t="str">
        <f>_xlfn.XLOOKUP(B152,Remittance_Data!A:A,Remittance_Data!D:D,"CHECK")</f>
        <v>CHECK</v>
      </c>
    </row>
    <row r="153" spans="1:16">
      <c r="A153" t="s">
        <v>267</v>
      </c>
      <c r="B153" t="str">
        <f>SUBSTITUTE(SUBSTITUTE(SUBSTITUTE(SUBSTITUTE(TRIM(Table6[[#This Row],[Constituency]]),"Barisal","Barishal"),"Jessore","Jashore"),"Bogra","Bogura"),"Chapai Nawabganj","Chapainawabganj")</f>
        <v>Jashore-3</v>
      </c>
      <c r="C153" t="s">
        <v>1089</v>
      </c>
      <c r="D153" t="s">
        <v>1085</v>
      </c>
      <c r="E153">
        <f>_xlfn.XLOOKUP(C153,Population_data!B:B,Population_data!C:C,"")</f>
        <v>444.72</v>
      </c>
      <c r="F153">
        <f>_xlfn.XLOOKUP(C153,Population_data!B:B,Population_data!D:D,"")</f>
        <v>844323</v>
      </c>
      <c r="G153">
        <f>_xlfn.XLOOKUP(C153,Population_data!B:B,Population_data!E:E,"")</f>
        <v>1898.55</v>
      </c>
      <c r="H153">
        <f>_xlfn.XLOOKUP(C153,Population_data!B:B,Population_data!F:F,"")</f>
        <v>3.83</v>
      </c>
      <c r="I153">
        <f>_xlfn.XLOOKUP(C153,Population_data!B:B,Population_data!G:G,"")</f>
        <v>81.739999999999995</v>
      </c>
      <c r="J153" t="str">
        <f>_xlfn.XLOOKUP(D153,District_Crime_Unit_Map!A:A,District_Crime_Unit_Map!B:B,"")</f>
        <v>Khulna Range</v>
      </c>
      <c r="K153">
        <f>_xlfn.XLOOKUP(J153,Crime_Data!A:A,Crime_Data!V:V,"")</f>
        <v>102.32166075410298</v>
      </c>
      <c r="L153">
        <f>_xlfn.XLOOKUP(J153,Crime_Data!A:A,Crime_Data!W:W,"")</f>
        <v>12.212237548443923</v>
      </c>
      <c r="M153" t="str">
        <f>TRIM(Table6[[#This Row],[District]])&amp;"|"&amp;TRIM(Table6[[#This Row],[Upazila]])</f>
        <v>Jessore|Jessore Sadar</v>
      </c>
      <c r="N153" t="str">
        <f>_xlfn.XLOOKUP(B153,Remittance_Data!A:A,Remittance_Data!B:B,"CHECK")</f>
        <v>CHECK</v>
      </c>
      <c r="O153" t="str">
        <f>_xlfn.XLOOKUP(B153,Remittance_Data!A:A,Remittance_Data!C:C,"CHECK")</f>
        <v>CHECK</v>
      </c>
      <c r="P153" t="str">
        <f>_xlfn.XLOOKUP(B153,Remittance_Data!A:A,Remittance_Data!D:D,"CHECK")</f>
        <v>CHECK</v>
      </c>
    </row>
    <row r="154" spans="1:16">
      <c r="A154" t="s">
        <v>270</v>
      </c>
      <c r="B154" t="str">
        <f>SUBSTITUTE(SUBSTITUTE(SUBSTITUTE(SUBSTITUTE(TRIM(Table6[[#This Row],[Constituency]]),"Barisal","Barishal"),"Jessore","Jashore"),"Bogra","Bogura"),"Chapai Nawabganj","Chapainawabganj")</f>
        <v>Jashore-4</v>
      </c>
      <c r="C154" t="s">
        <v>1090</v>
      </c>
      <c r="D154" t="s">
        <v>1085</v>
      </c>
      <c r="E154">
        <f>_xlfn.XLOOKUP(C154,Population_data!B:B,Population_data!C:C,"")</f>
        <v>216</v>
      </c>
      <c r="F154">
        <f>_xlfn.XLOOKUP(C154,Population_data!B:B,Population_data!D:D,"")</f>
        <v>290136</v>
      </c>
      <c r="G154">
        <f>_xlfn.XLOOKUP(C154,Population_data!B:B,Population_data!E:E,"")</f>
        <v>1343.22</v>
      </c>
      <c r="H154">
        <f>_xlfn.XLOOKUP(C154,Population_data!B:B,Population_data!F:F,"")</f>
        <v>3.86</v>
      </c>
      <c r="I154">
        <f>_xlfn.XLOOKUP(C154,Population_data!B:B,Population_data!G:G,"")</f>
        <v>77.760000000000005</v>
      </c>
      <c r="J154" t="str">
        <f>_xlfn.XLOOKUP(D154,District_Crime_Unit_Map!A:A,District_Crime_Unit_Map!B:B,"")</f>
        <v>Khulna Range</v>
      </c>
      <c r="K154">
        <f>_xlfn.XLOOKUP(J154,Crime_Data!A:A,Crime_Data!V:V,"")</f>
        <v>102.32166075410298</v>
      </c>
      <c r="L154">
        <f>_xlfn.XLOOKUP(J154,Crime_Data!A:A,Crime_Data!W:W,"")</f>
        <v>12.212237548443923</v>
      </c>
      <c r="M154" t="str">
        <f>TRIM(Table6[[#This Row],[District]])&amp;"|"&amp;TRIM(Table6[[#This Row],[Upazila]])</f>
        <v>Jessore|Abhaynagar</v>
      </c>
      <c r="N154" t="str">
        <f>_xlfn.XLOOKUP(B154,Remittance_Data!A:A,Remittance_Data!B:B,"CHECK")</f>
        <v>CHECK</v>
      </c>
      <c r="O154" t="str">
        <f>_xlfn.XLOOKUP(B154,Remittance_Data!A:A,Remittance_Data!C:C,"CHECK")</f>
        <v>CHECK</v>
      </c>
      <c r="P154" t="str">
        <f>_xlfn.XLOOKUP(B154,Remittance_Data!A:A,Remittance_Data!D:D,"CHECK")</f>
        <v>CHECK</v>
      </c>
    </row>
    <row r="155" spans="1:16">
      <c r="A155" t="s">
        <v>273</v>
      </c>
      <c r="B155" t="str">
        <f>SUBSTITUTE(SUBSTITUTE(SUBSTITUTE(SUBSTITUTE(TRIM(Table6[[#This Row],[Constituency]]),"Barisal","Barishal"),"Jessore","Jashore"),"Bogra","Bogura"),"Chapai Nawabganj","Chapainawabganj")</f>
        <v>Jashore-5</v>
      </c>
      <c r="C155" t="s">
        <v>1091</v>
      </c>
      <c r="D155" t="s">
        <v>1085</v>
      </c>
      <c r="E155">
        <f>_xlfn.XLOOKUP(C155,Population_data!B:B,Population_data!C:C,"")</f>
        <v>240.17</v>
      </c>
      <c r="F155">
        <f>_xlfn.XLOOKUP(C155,Population_data!B:B,Population_data!D:D,"")</f>
        <v>454516</v>
      </c>
      <c r="G155">
        <f>_xlfn.XLOOKUP(C155,Population_data!B:B,Population_data!E:E,"")</f>
        <v>1892.48</v>
      </c>
      <c r="H155">
        <f>_xlfn.XLOOKUP(C155,Population_data!B:B,Population_data!F:F,"")</f>
        <v>3.78</v>
      </c>
      <c r="I155">
        <f>_xlfn.XLOOKUP(C155,Population_data!B:B,Population_data!G:G,"")</f>
        <v>74.19</v>
      </c>
      <c r="J155" t="str">
        <f>_xlfn.XLOOKUP(D155,District_Crime_Unit_Map!A:A,District_Crime_Unit_Map!B:B,"")</f>
        <v>Khulna Range</v>
      </c>
      <c r="K155">
        <f>_xlfn.XLOOKUP(J155,Crime_Data!A:A,Crime_Data!V:V,"")</f>
        <v>102.32166075410298</v>
      </c>
      <c r="L155">
        <f>_xlfn.XLOOKUP(J155,Crime_Data!A:A,Crime_Data!W:W,"")</f>
        <v>12.212237548443923</v>
      </c>
      <c r="M155" t="str">
        <f>TRIM(Table6[[#This Row],[District]])&amp;"|"&amp;TRIM(Table6[[#This Row],[Upazila]])</f>
        <v>Jessore|Monirampur</v>
      </c>
      <c r="N155" t="str">
        <f>_xlfn.XLOOKUP(B155,Remittance_Data!A:A,Remittance_Data!B:B,"CHECK")</f>
        <v>CHECK</v>
      </c>
      <c r="O155" t="str">
        <f>_xlfn.XLOOKUP(B155,Remittance_Data!A:A,Remittance_Data!C:C,"CHECK")</f>
        <v>CHECK</v>
      </c>
      <c r="P155" t="str">
        <f>_xlfn.XLOOKUP(B155,Remittance_Data!A:A,Remittance_Data!D:D,"CHECK")</f>
        <v>CHECK</v>
      </c>
    </row>
    <row r="156" spans="1:16">
      <c r="A156" t="s">
        <v>276</v>
      </c>
      <c r="B156" t="str">
        <f>SUBSTITUTE(SUBSTITUTE(SUBSTITUTE(SUBSTITUTE(TRIM(Table6[[#This Row],[Constituency]]),"Barisal","Barishal"),"Jessore","Jashore"),"Bogra","Bogura"),"Chapai Nawabganj","Chapainawabganj")</f>
        <v>Jashore-6</v>
      </c>
      <c r="C156" t="s">
        <v>1092</v>
      </c>
      <c r="D156" t="s">
        <v>1085</v>
      </c>
      <c r="E156">
        <f>_xlfn.XLOOKUP(C156,Population_data!B:B,Population_data!C:C,"")</f>
        <v>258.69</v>
      </c>
      <c r="F156">
        <f>_xlfn.XLOOKUP(C156,Population_data!B:B,Population_data!D:D,"")</f>
        <v>280924</v>
      </c>
      <c r="G156">
        <f>_xlfn.XLOOKUP(C156,Population_data!B:B,Population_data!E:E,"")</f>
        <v>1085.95</v>
      </c>
      <c r="H156">
        <f>_xlfn.XLOOKUP(C156,Population_data!B:B,Population_data!F:F,"")</f>
        <v>3.75</v>
      </c>
      <c r="I156">
        <f>_xlfn.XLOOKUP(C156,Population_data!B:B,Population_data!G:G,"")</f>
        <v>74.05</v>
      </c>
      <c r="J156" t="str">
        <f>_xlfn.XLOOKUP(D156,District_Crime_Unit_Map!A:A,District_Crime_Unit_Map!B:B,"")</f>
        <v>Khulna Range</v>
      </c>
      <c r="K156">
        <f>_xlfn.XLOOKUP(J156,Crime_Data!A:A,Crime_Data!V:V,"")</f>
        <v>102.32166075410298</v>
      </c>
      <c r="L156">
        <f>_xlfn.XLOOKUP(J156,Crime_Data!A:A,Crime_Data!W:W,"")</f>
        <v>12.212237548443923</v>
      </c>
      <c r="M156" t="str">
        <f>TRIM(Table6[[#This Row],[District]])&amp;"|"&amp;TRIM(Table6[[#This Row],[Upazila]])</f>
        <v>Jessore|Keshabpur</v>
      </c>
      <c r="N156" t="str">
        <f>_xlfn.XLOOKUP(B156,Remittance_Data!A:A,Remittance_Data!B:B,"CHECK")</f>
        <v>CHECK</v>
      </c>
      <c r="O156" t="str">
        <f>_xlfn.XLOOKUP(B156,Remittance_Data!A:A,Remittance_Data!C:C,"CHECK")</f>
        <v>CHECK</v>
      </c>
      <c r="P156" t="str">
        <f>_xlfn.XLOOKUP(B156,Remittance_Data!A:A,Remittance_Data!D:D,"CHECK")</f>
        <v>CHECK</v>
      </c>
    </row>
    <row r="157" spans="1:16">
      <c r="A157" t="s">
        <v>279</v>
      </c>
      <c r="B157" t="str">
        <f>SUBSTITUTE(SUBSTITUTE(SUBSTITUTE(SUBSTITUTE(TRIM(Table6[[#This Row],[Constituency]]),"Barisal","Barishal"),"Jessore","Jashore"),"Bogra","Bogura"),"Chapai Nawabganj","Chapainawabganj")</f>
        <v>Magura-1</v>
      </c>
      <c r="C157" t="s">
        <v>1093</v>
      </c>
      <c r="D157" t="s">
        <v>1094</v>
      </c>
      <c r="E157">
        <f>_xlfn.XLOOKUP(C157,Population_data!B:B,Population_data!C:C,"")</f>
        <v>406.37</v>
      </c>
      <c r="F157">
        <f>_xlfn.XLOOKUP(C157,Population_data!B:B,Population_data!D:D,"")</f>
        <v>426377</v>
      </c>
      <c r="G157">
        <f>_xlfn.XLOOKUP(C157,Population_data!B:B,Population_data!E:E,"")</f>
        <v>1049.23</v>
      </c>
      <c r="H157">
        <f>_xlfn.XLOOKUP(C157,Population_data!B:B,Population_data!F:F,"")</f>
        <v>3.98</v>
      </c>
      <c r="I157">
        <f>_xlfn.XLOOKUP(C157,Population_data!B:B,Population_data!G:G,"")</f>
        <v>73.680000000000007</v>
      </c>
      <c r="J157" t="str">
        <f>_xlfn.XLOOKUP(D157,District_Crime_Unit_Map!A:A,District_Crime_Unit_Map!B:B,"")</f>
        <v>Khulna Range</v>
      </c>
      <c r="K157">
        <f>_xlfn.XLOOKUP(J157,Crime_Data!A:A,Crime_Data!V:V,"")</f>
        <v>102.32166075410298</v>
      </c>
      <c r="L157">
        <f>_xlfn.XLOOKUP(J157,Crime_Data!A:A,Crime_Data!W:W,"")</f>
        <v>12.212237548443923</v>
      </c>
      <c r="M157" t="str">
        <f>TRIM(Table6[[#This Row],[District]])&amp;"|"&amp;TRIM(Table6[[#This Row],[Upazila]])</f>
        <v>Magura|Magura Sadar</v>
      </c>
      <c r="N157" t="str">
        <f>_xlfn.XLOOKUP(B157,Remittance_Data!A:A,Remittance_Data!B:B,"CHECK")</f>
        <v>CHECK</v>
      </c>
      <c r="O157" t="str">
        <f>_xlfn.XLOOKUP(B157,Remittance_Data!A:A,Remittance_Data!C:C,"CHECK")</f>
        <v>CHECK</v>
      </c>
      <c r="P157" t="str">
        <f>_xlfn.XLOOKUP(B157,Remittance_Data!A:A,Remittance_Data!D:D,"CHECK")</f>
        <v>CHECK</v>
      </c>
    </row>
    <row r="158" spans="1:16">
      <c r="A158" t="s">
        <v>279</v>
      </c>
      <c r="B158" t="str">
        <f>SUBSTITUTE(SUBSTITUTE(SUBSTITUTE(SUBSTITUTE(TRIM(Table6[[#This Row],[Constituency]]),"Barisal","Barishal"),"Jessore","Jashore"),"Bogra","Bogura"),"Chapai Nawabganj","Chapainawabganj")</f>
        <v>Magura-1</v>
      </c>
      <c r="C158" t="s">
        <v>1095</v>
      </c>
      <c r="D158" t="s">
        <v>1094</v>
      </c>
      <c r="E158">
        <f>_xlfn.XLOOKUP(C158,Population_data!B:B,Population_data!C:C,"")</f>
        <v>353.67</v>
      </c>
      <c r="F158">
        <f>_xlfn.XLOOKUP(C158,Population_data!B:B,Population_data!D:D,"")</f>
        <v>855204</v>
      </c>
      <c r="G158">
        <f>_xlfn.XLOOKUP(C158,Population_data!B:B,Population_data!E:E,"")</f>
        <v>2418.08</v>
      </c>
      <c r="H158">
        <f>_xlfn.XLOOKUP(C158,Population_data!B:B,Population_data!F:F,"")</f>
        <v>3.34</v>
      </c>
      <c r="I158">
        <f>_xlfn.XLOOKUP(C158,Population_data!B:B,Population_data!G:G,"")</f>
        <v>78.150000000000006</v>
      </c>
      <c r="J158" t="str">
        <f>_xlfn.XLOOKUP(D158,District_Crime_Unit_Map!A:A,District_Crime_Unit_Map!B:B,"")</f>
        <v>Khulna Range</v>
      </c>
      <c r="K158">
        <f>_xlfn.XLOOKUP(J158,Crime_Data!A:A,Crime_Data!V:V,"")</f>
        <v>102.32166075410298</v>
      </c>
      <c r="L158">
        <f>_xlfn.XLOOKUP(J158,Crime_Data!A:A,Crime_Data!W:W,"")</f>
        <v>12.212237548443923</v>
      </c>
      <c r="M158" t="str">
        <f>TRIM(Table6[[#This Row],[District]])&amp;"|"&amp;TRIM(Table6[[#This Row],[Upazila]])</f>
        <v>Magura|Sreepur</v>
      </c>
      <c r="N158" t="str">
        <f>_xlfn.XLOOKUP(B158,Remittance_Data!A:A,Remittance_Data!B:B,"CHECK")</f>
        <v>CHECK</v>
      </c>
      <c r="O158" t="str">
        <f>_xlfn.XLOOKUP(B158,Remittance_Data!A:A,Remittance_Data!C:C,"CHECK")</f>
        <v>CHECK</v>
      </c>
      <c r="P158" t="str">
        <f>_xlfn.XLOOKUP(B158,Remittance_Data!A:A,Remittance_Data!D:D,"CHECK")</f>
        <v>CHECK</v>
      </c>
    </row>
    <row r="159" spans="1:16">
      <c r="A159" t="s">
        <v>282</v>
      </c>
      <c r="B159" t="str">
        <f>SUBSTITUTE(SUBSTITUTE(SUBSTITUTE(SUBSTITUTE(TRIM(Table6[[#This Row],[Constituency]]),"Barisal","Barishal"),"Jessore","Jashore"),"Bogra","Bogura"),"Chapai Nawabganj","Chapainawabganj")</f>
        <v>Magura-2</v>
      </c>
      <c r="C159" t="s">
        <v>1096</v>
      </c>
      <c r="D159" t="s">
        <v>1094</v>
      </c>
      <c r="E159">
        <f>_xlfn.XLOOKUP(C159,Population_data!B:B,Population_data!C:C,"")</f>
        <v>234.29</v>
      </c>
      <c r="F159">
        <f>_xlfn.XLOOKUP(C159,Population_data!B:B,Population_data!D:D,"")</f>
        <v>242802</v>
      </c>
      <c r="G159">
        <f>_xlfn.XLOOKUP(C159,Population_data!B:B,Population_data!E:E,"")</f>
        <v>1036.33</v>
      </c>
      <c r="H159">
        <f>_xlfn.XLOOKUP(C159,Population_data!B:B,Population_data!F:F,"")</f>
        <v>4.18</v>
      </c>
      <c r="I159">
        <f>_xlfn.XLOOKUP(C159,Population_data!B:B,Population_data!G:G,"")</f>
        <v>72.28</v>
      </c>
      <c r="J159" t="str">
        <f>_xlfn.XLOOKUP(D159,District_Crime_Unit_Map!A:A,District_Crime_Unit_Map!B:B,"")</f>
        <v>Khulna Range</v>
      </c>
      <c r="K159">
        <f>_xlfn.XLOOKUP(J159,Crime_Data!A:A,Crime_Data!V:V,"")</f>
        <v>102.32166075410298</v>
      </c>
      <c r="L159">
        <f>_xlfn.XLOOKUP(J159,Crime_Data!A:A,Crime_Data!W:W,"")</f>
        <v>12.212237548443923</v>
      </c>
      <c r="M159" t="str">
        <f>TRIM(Table6[[#This Row],[District]])&amp;"|"&amp;TRIM(Table6[[#This Row],[Upazila]])</f>
        <v>Magura|Mohammadpur</v>
      </c>
      <c r="N159" t="str">
        <f>_xlfn.XLOOKUP(B159,Remittance_Data!A:A,Remittance_Data!B:B,"CHECK")</f>
        <v>CHECK</v>
      </c>
      <c r="O159" t="str">
        <f>_xlfn.XLOOKUP(B159,Remittance_Data!A:A,Remittance_Data!C:C,"CHECK")</f>
        <v>CHECK</v>
      </c>
      <c r="P159" t="str">
        <f>_xlfn.XLOOKUP(B159,Remittance_Data!A:A,Remittance_Data!D:D,"CHECK")</f>
        <v>CHECK</v>
      </c>
    </row>
    <row r="160" spans="1:16">
      <c r="A160" t="s">
        <v>282</v>
      </c>
      <c r="B160" t="str">
        <f>SUBSTITUTE(SUBSTITUTE(SUBSTITUTE(SUBSTITUTE(TRIM(Table6[[#This Row],[Constituency]]),"Barisal","Barishal"),"Jessore","Jashore"),"Bogra","Bogura"),"Chapai Nawabganj","Chapainawabganj")</f>
        <v>Magura-2</v>
      </c>
      <c r="C160" t="s">
        <v>1097</v>
      </c>
      <c r="D160" t="s">
        <v>1094</v>
      </c>
      <c r="E160">
        <f>_xlfn.XLOOKUP(C160,Population_data!B:B,Population_data!C:C,"")</f>
        <v>180.18</v>
      </c>
      <c r="F160">
        <f>_xlfn.XLOOKUP(C160,Population_data!B:B,Population_data!D:D,"")</f>
        <v>179654</v>
      </c>
      <c r="G160">
        <f>_xlfn.XLOOKUP(C160,Population_data!B:B,Population_data!E:E,"")</f>
        <v>997.08</v>
      </c>
      <c r="H160">
        <f>_xlfn.XLOOKUP(C160,Population_data!B:B,Population_data!F:F,"")</f>
        <v>3.9</v>
      </c>
      <c r="I160">
        <f>_xlfn.XLOOKUP(C160,Population_data!B:B,Population_data!G:G,"")</f>
        <v>72.56</v>
      </c>
      <c r="J160" t="str">
        <f>_xlfn.XLOOKUP(D160,District_Crime_Unit_Map!A:A,District_Crime_Unit_Map!B:B,"")</f>
        <v>Khulna Range</v>
      </c>
      <c r="K160">
        <f>_xlfn.XLOOKUP(J160,Crime_Data!A:A,Crime_Data!V:V,"")</f>
        <v>102.32166075410298</v>
      </c>
      <c r="L160">
        <f>_xlfn.XLOOKUP(J160,Crime_Data!A:A,Crime_Data!W:W,"")</f>
        <v>12.212237548443923</v>
      </c>
      <c r="M160" t="str">
        <f>TRIM(Table6[[#This Row],[District]])&amp;"|"&amp;TRIM(Table6[[#This Row],[Upazila]])</f>
        <v>Magura|Shalikha</v>
      </c>
      <c r="N160" t="str">
        <f>_xlfn.XLOOKUP(B160,Remittance_Data!A:A,Remittance_Data!B:B,"CHECK")</f>
        <v>CHECK</v>
      </c>
      <c r="O160" t="str">
        <f>_xlfn.XLOOKUP(B160,Remittance_Data!A:A,Remittance_Data!C:C,"CHECK")</f>
        <v>CHECK</v>
      </c>
      <c r="P160" t="str">
        <f>_xlfn.XLOOKUP(B160,Remittance_Data!A:A,Remittance_Data!D:D,"CHECK")</f>
        <v>CHECK</v>
      </c>
    </row>
    <row r="161" spans="1:16">
      <c r="A161" t="s">
        <v>285</v>
      </c>
      <c r="B161" t="str">
        <f>SUBSTITUTE(SUBSTITUTE(SUBSTITUTE(SUBSTITUTE(TRIM(Table6[[#This Row],[Constituency]]),"Barisal","Barishal"),"Jessore","Jashore"),"Bogra","Bogura"),"Chapai Nawabganj","Chapainawabganj")</f>
        <v>Narail-1</v>
      </c>
      <c r="C161" t="s">
        <v>1098</v>
      </c>
      <c r="D161" t="s">
        <v>1099</v>
      </c>
      <c r="E161">
        <f>_xlfn.XLOOKUP(C161,Population_data!B:B,Population_data!C:C,"")</f>
        <v>311.66000000000003</v>
      </c>
      <c r="F161">
        <f>_xlfn.XLOOKUP(C161,Population_data!B:B,Population_data!D:D,"")</f>
        <v>297063</v>
      </c>
      <c r="G161">
        <f>_xlfn.XLOOKUP(C161,Population_data!B:B,Population_data!E:E,"")</f>
        <v>953.16</v>
      </c>
      <c r="H161">
        <f>_xlfn.XLOOKUP(C161,Population_data!B:B,Population_data!F:F,"")</f>
        <v>3.93</v>
      </c>
      <c r="I161">
        <f>_xlfn.XLOOKUP(C161,Population_data!B:B,Population_data!G:G,"")</f>
        <v>75.95</v>
      </c>
      <c r="J161" t="str">
        <f>_xlfn.XLOOKUP(D161,District_Crime_Unit_Map!A:A,District_Crime_Unit_Map!B:B,"")</f>
        <v>Khulna Range</v>
      </c>
      <c r="K161">
        <f>_xlfn.XLOOKUP(J161,Crime_Data!A:A,Crime_Data!V:V,"")</f>
        <v>102.32166075410298</v>
      </c>
      <c r="L161">
        <f>_xlfn.XLOOKUP(J161,Crime_Data!A:A,Crime_Data!W:W,"")</f>
        <v>12.212237548443923</v>
      </c>
      <c r="M161" t="str">
        <f>TRIM(Table6[[#This Row],[District]])&amp;"|"&amp;TRIM(Table6[[#This Row],[Upazila]])</f>
        <v>Narail|Narail Sadar</v>
      </c>
      <c r="N161" t="str">
        <f>_xlfn.XLOOKUP(B161,Remittance_Data!A:A,Remittance_Data!B:B,"CHECK")</f>
        <v>CHECK</v>
      </c>
      <c r="O161" t="str">
        <f>_xlfn.XLOOKUP(B161,Remittance_Data!A:A,Remittance_Data!C:C,"CHECK")</f>
        <v>CHECK</v>
      </c>
      <c r="P161" t="str">
        <f>_xlfn.XLOOKUP(B161,Remittance_Data!A:A,Remittance_Data!D:D,"CHECK")</f>
        <v>CHECK</v>
      </c>
    </row>
    <row r="162" spans="1:16">
      <c r="A162" t="s">
        <v>285</v>
      </c>
      <c r="B162" t="str">
        <f>SUBSTITUTE(SUBSTITUTE(SUBSTITUTE(SUBSTITUTE(TRIM(Table6[[#This Row],[Constituency]]),"Barisal","Barishal"),"Jessore","Jashore"),"Bogra","Bogura"),"Chapai Nawabganj","Chapainawabganj")</f>
        <v>Narail-1</v>
      </c>
      <c r="C162" t="s">
        <v>1100</v>
      </c>
      <c r="D162" t="s">
        <v>1099</v>
      </c>
      <c r="E162">
        <f>_xlfn.XLOOKUP(C162,Population_data!B:B,Population_data!C:C,"")</f>
        <v>186.2</v>
      </c>
      <c r="F162">
        <f>_xlfn.XLOOKUP(C162,Population_data!B:B,Population_data!D:D,"")</f>
        <v>243151</v>
      </c>
      <c r="G162">
        <f>_xlfn.XLOOKUP(C162,Population_data!B:B,Population_data!E:E,"")</f>
        <v>1305.8599999999999</v>
      </c>
      <c r="H162">
        <f>_xlfn.XLOOKUP(C162,Population_data!B:B,Population_data!F:F,"")</f>
        <v>4.05</v>
      </c>
      <c r="I162">
        <f>_xlfn.XLOOKUP(C162,Population_data!B:B,Population_data!G:G,"")</f>
        <v>73.17</v>
      </c>
      <c r="J162" t="str">
        <f>_xlfn.XLOOKUP(D162,District_Crime_Unit_Map!A:A,District_Crime_Unit_Map!B:B,"")</f>
        <v>Khulna Range</v>
      </c>
      <c r="K162">
        <f>_xlfn.XLOOKUP(J162,Crime_Data!A:A,Crime_Data!V:V,"")</f>
        <v>102.32166075410298</v>
      </c>
      <c r="L162">
        <f>_xlfn.XLOOKUP(J162,Crime_Data!A:A,Crime_Data!W:W,"")</f>
        <v>12.212237548443923</v>
      </c>
      <c r="M162" t="str">
        <f>TRIM(Table6[[#This Row],[District]])&amp;"|"&amp;TRIM(Table6[[#This Row],[Upazila]])</f>
        <v>Narail|Kalia</v>
      </c>
      <c r="N162" t="str">
        <f>_xlfn.XLOOKUP(B162,Remittance_Data!A:A,Remittance_Data!B:B,"CHECK")</f>
        <v>CHECK</v>
      </c>
      <c r="O162" t="str">
        <f>_xlfn.XLOOKUP(B162,Remittance_Data!A:A,Remittance_Data!C:C,"CHECK")</f>
        <v>CHECK</v>
      </c>
      <c r="P162" t="str">
        <f>_xlfn.XLOOKUP(B162,Remittance_Data!A:A,Remittance_Data!D:D,"CHECK")</f>
        <v>CHECK</v>
      </c>
    </row>
    <row r="163" spans="1:16">
      <c r="A163" t="s">
        <v>288</v>
      </c>
      <c r="B163" t="str">
        <f>SUBSTITUTE(SUBSTITUTE(SUBSTITUTE(SUBSTITUTE(TRIM(Table6[[#This Row],[Constituency]]),"Barisal","Barishal"),"Jessore","Jashore"),"Bogra","Bogura"),"Chapai Nawabganj","Chapainawabganj")</f>
        <v>Narail-2</v>
      </c>
      <c r="C163" t="s">
        <v>1101</v>
      </c>
      <c r="D163" t="s">
        <v>1099</v>
      </c>
      <c r="E163">
        <f>_xlfn.XLOOKUP(C163,Population_data!B:B,Population_data!C:C,"")</f>
        <v>258.87</v>
      </c>
      <c r="F163">
        <f>_xlfn.XLOOKUP(C163,Population_data!B:B,Population_data!D:D,"")</f>
        <v>328206</v>
      </c>
      <c r="G163">
        <f>_xlfn.XLOOKUP(C163,Population_data!B:B,Population_data!E:E,"")</f>
        <v>1267.8399999999999</v>
      </c>
      <c r="H163">
        <f>_xlfn.XLOOKUP(C163,Population_data!B:B,Population_data!F:F,"")</f>
        <v>4.5</v>
      </c>
      <c r="I163">
        <f>_xlfn.XLOOKUP(C163,Population_data!B:B,Population_data!G:G,"")</f>
        <v>82.41</v>
      </c>
      <c r="J163" t="str">
        <f>_xlfn.XLOOKUP(D163,District_Crime_Unit_Map!A:A,District_Crime_Unit_Map!B:B,"")</f>
        <v>Khulna Range</v>
      </c>
      <c r="K163">
        <f>_xlfn.XLOOKUP(J163,Crime_Data!A:A,Crime_Data!V:V,"")</f>
        <v>102.32166075410298</v>
      </c>
      <c r="L163">
        <f>_xlfn.XLOOKUP(J163,Crime_Data!A:A,Crime_Data!W:W,"")</f>
        <v>12.212237548443923</v>
      </c>
      <c r="M163" t="str">
        <f>TRIM(Table6[[#This Row],[District]])&amp;"|"&amp;TRIM(Table6[[#This Row],[Upazila]])</f>
        <v>Narail|Lohagara</v>
      </c>
      <c r="N163" t="str">
        <f>_xlfn.XLOOKUP(B163,Remittance_Data!A:A,Remittance_Data!B:B,"CHECK")</f>
        <v>CHECK</v>
      </c>
      <c r="O163" t="str">
        <f>_xlfn.XLOOKUP(B163,Remittance_Data!A:A,Remittance_Data!C:C,"CHECK")</f>
        <v>CHECK</v>
      </c>
      <c r="P163" t="str">
        <f>_xlfn.XLOOKUP(B163,Remittance_Data!A:A,Remittance_Data!D:D,"CHECK")</f>
        <v>CHECK</v>
      </c>
    </row>
    <row r="164" spans="1:16">
      <c r="A164" t="s">
        <v>291</v>
      </c>
      <c r="B164" t="str">
        <f>SUBSTITUTE(SUBSTITUTE(SUBSTITUTE(SUBSTITUTE(TRIM(Table6[[#This Row],[Constituency]]),"Barisal","Barishal"),"Jessore","Jashore"),"Bogra","Bogura"),"Chapai Nawabganj","Chapainawabganj")</f>
        <v>Bagerhat-1</v>
      </c>
      <c r="C164" t="s">
        <v>1102</v>
      </c>
      <c r="D164" t="s">
        <v>1103</v>
      </c>
      <c r="E164">
        <f>_xlfn.XLOOKUP(C164,Population_data!B:B,Population_data!C:C,"")</f>
        <v>318.52999999999997</v>
      </c>
      <c r="F164">
        <f>_xlfn.XLOOKUP(C164,Population_data!B:B,Population_data!D:D,"")</f>
        <v>159013</v>
      </c>
      <c r="G164">
        <f>_xlfn.XLOOKUP(C164,Population_data!B:B,Population_data!E:E,"")</f>
        <v>499.21</v>
      </c>
      <c r="H164">
        <f>_xlfn.XLOOKUP(C164,Population_data!B:B,Population_data!F:F,"")</f>
        <v>3.84</v>
      </c>
      <c r="I164">
        <f>_xlfn.XLOOKUP(C164,Population_data!B:B,Population_data!G:G,"")</f>
        <v>82.2</v>
      </c>
      <c r="J164" t="str">
        <f>_xlfn.XLOOKUP(D164,District_Crime_Unit_Map!A:A,District_Crime_Unit_Map!B:B,"")</f>
        <v>Khulna Range</v>
      </c>
      <c r="K164">
        <f>_xlfn.XLOOKUP(J164,Crime_Data!A:A,Crime_Data!V:V,"")</f>
        <v>102.32166075410298</v>
      </c>
      <c r="L164">
        <f>_xlfn.XLOOKUP(J164,Crime_Data!A:A,Crime_Data!W:W,"")</f>
        <v>12.212237548443923</v>
      </c>
      <c r="M164" t="str">
        <f>TRIM(Table6[[#This Row],[District]])&amp;"|"&amp;TRIM(Table6[[#This Row],[Upazila]])</f>
        <v>Bagerhat|Fakirhat</v>
      </c>
      <c r="N164" t="str">
        <f>_xlfn.XLOOKUP(B164,Remittance_Data!A:A,Remittance_Data!B:B,"CHECK")</f>
        <v>CHECK</v>
      </c>
      <c r="O164" t="str">
        <f>_xlfn.XLOOKUP(B164,Remittance_Data!A:A,Remittance_Data!C:C,"CHECK")</f>
        <v>CHECK</v>
      </c>
      <c r="P164" t="str">
        <f>_xlfn.XLOOKUP(B164,Remittance_Data!A:A,Remittance_Data!D:D,"CHECK")</f>
        <v>CHECK</v>
      </c>
    </row>
    <row r="165" spans="1:16">
      <c r="A165" t="s">
        <v>291</v>
      </c>
      <c r="B165" t="str">
        <f>SUBSTITUTE(SUBSTITUTE(SUBSTITUTE(SUBSTITUTE(TRIM(Table6[[#This Row],[Constituency]]),"Barisal","Barishal"),"Jessore","Jashore"),"Bogra","Bogura"),"Chapai Nawabganj","Chapainawabganj")</f>
        <v>Bagerhat-1</v>
      </c>
      <c r="C165" t="s">
        <v>1104</v>
      </c>
      <c r="D165" t="s">
        <v>1103</v>
      </c>
      <c r="E165">
        <f>_xlfn.XLOOKUP(C165,Population_data!B:B,Population_data!C:C,"")</f>
        <v>301.61</v>
      </c>
      <c r="F165">
        <f>_xlfn.XLOOKUP(C165,Population_data!B:B,Population_data!D:D,"")</f>
        <v>144613</v>
      </c>
      <c r="G165">
        <f>_xlfn.XLOOKUP(C165,Population_data!B:B,Population_data!E:E,"")</f>
        <v>479.47</v>
      </c>
      <c r="H165">
        <f>_xlfn.XLOOKUP(C165,Population_data!B:B,Population_data!F:F,"")</f>
        <v>4.13</v>
      </c>
      <c r="I165">
        <f>_xlfn.XLOOKUP(C165,Population_data!B:B,Population_data!G:G,"")</f>
        <v>77.760000000000005</v>
      </c>
      <c r="J165" t="str">
        <f>_xlfn.XLOOKUP(D165,District_Crime_Unit_Map!A:A,District_Crime_Unit_Map!B:B,"")</f>
        <v>Khulna Range</v>
      </c>
      <c r="K165">
        <f>_xlfn.XLOOKUP(J165,Crime_Data!A:A,Crime_Data!V:V,"")</f>
        <v>102.32166075410298</v>
      </c>
      <c r="L165">
        <f>_xlfn.XLOOKUP(J165,Crime_Data!A:A,Crime_Data!W:W,"")</f>
        <v>12.212237548443923</v>
      </c>
      <c r="M165" t="str">
        <f>TRIM(Table6[[#This Row],[District]])&amp;"|"&amp;TRIM(Table6[[#This Row],[Upazila]])</f>
        <v>Bagerhat|Mollahat</v>
      </c>
      <c r="N165" t="str">
        <f>_xlfn.XLOOKUP(B165,Remittance_Data!A:A,Remittance_Data!B:B,"CHECK")</f>
        <v>CHECK</v>
      </c>
      <c r="O165" t="str">
        <f>_xlfn.XLOOKUP(B165,Remittance_Data!A:A,Remittance_Data!C:C,"CHECK")</f>
        <v>CHECK</v>
      </c>
      <c r="P165" t="str">
        <f>_xlfn.XLOOKUP(B165,Remittance_Data!A:A,Remittance_Data!D:D,"CHECK")</f>
        <v>CHECK</v>
      </c>
    </row>
    <row r="166" spans="1:16">
      <c r="A166" t="s">
        <v>291</v>
      </c>
      <c r="B166" t="str">
        <f>SUBSTITUTE(SUBSTITUTE(SUBSTITUTE(SUBSTITUTE(TRIM(Table6[[#This Row],[Constituency]]),"Barisal","Barishal"),"Jessore","Jashore"),"Bogra","Bogura"),"Chapai Nawabganj","Chapainawabganj")</f>
        <v>Bagerhat-1</v>
      </c>
      <c r="C166" t="s">
        <v>1105</v>
      </c>
      <c r="D166" t="s">
        <v>1103</v>
      </c>
      <c r="E166">
        <f>_xlfn.XLOOKUP(C166,Population_data!B:B,Population_data!C:C,"")</f>
        <v>193.39</v>
      </c>
      <c r="F166">
        <f>_xlfn.XLOOKUP(C166,Population_data!B:B,Population_data!D:D,"")</f>
        <v>153033</v>
      </c>
      <c r="G166">
        <f>_xlfn.XLOOKUP(C166,Population_data!B:B,Population_data!E:E,"")</f>
        <v>791.32</v>
      </c>
      <c r="H166">
        <f>_xlfn.XLOOKUP(C166,Population_data!B:B,Population_data!F:F,"")</f>
        <v>4.26</v>
      </c>
      <c r="I166">
        <f>_xlfn.XLOOKUP(C166,Population_data!B:B,Population_data!G:G,"")</f>
        <v>79.52</v>
      </c>
      <c r="J166" t="str">
        <f>_xlfn.XLOOKUP(D166,District_Crime_Unit_Map!A:A,District_Crime_Unit_Map!B:B,"")</f>
        <v>Khulna Range</v>
      </c>
      <c r="K166">
        <f>_xlfn.XLOOKUP(J166,Crime_Data!A:A,Crime_Data!V:V,"")</f>
        <v>102.32166075410298</v>
      </c>
      <c r="L166">
        <f>_xlfn.XLOOKUP(J166,Crime_Data!A:A,Crime_Data!W:W,"")</f>
        <v>12.212237548443923</v>
      </c>
      <c r="M166" t="str">
        <f>TRIM(Table6[[#This Row],[District]])&amp;"|"&amp;TRIM(Table6[[#This Row],[Upazila]])</f>
        <v>Bagerhat|Chitalmari</v>
      </c>
      <c r="N166" t="str">
        <f>_xlfn.XLOOKUP(B166,Remittance_Data!A:A,Remittance_Data!B:B,"CHECK")</f>
        <v>CHECK</v>
      </c>
      <c r="O166" t="str">
        <f>_xlfn.XLOOKUP(B166,Remittance_Data!A:A,Remittance_Data!C:C,"CHECK")</f>
        <v>CHECK</v>
      </c>
      <c r="P166" t="str">
        <f>_xlfn.XLOOKUP(B166,Remittance_Data!A:A,Remittance_Data!D:D,"CHECK")</f>
        <v>CHECK</v>
      </c>
    </row>
    <row r="167" spans="1:16">
      <c r="A167" t="s">
        <v>294</v>
      </c>
      <c r="B167" t="str">
        <f>SUBSTITUTE(SUBSTITUTE(SUBSTITUTE(SUBSTITUTE(TRIM(Table6[[#This Row],[Constituency]]),"Barisal","Barishal"),"Jessore","Jashore"),"Bogra","Bogura"),"Chapai Nawabganj","Chapainawabganj")</f>
        <v>Bagerhat-2</v>
      </c>
      <c r="C167" t="s">
        <v>1106</v>
      </c>
      <c r="D167" t="s">
        <v>1103</v>
      </c>
      <c r="E167">
        <f>_xlfn.XLOOKUP(C167,Population_data!B:B,Population_data!C:C,"")</f>
        <v>395.18</v>
      </c>
      <c r="F167">
        <f>_xlfn.XLOOKUP(C167,Population_data!B:B,Population_data!D:D,"")</f>
        <v>288649</v>
      </c>
      <c r="G167">
        <f>_xlfn.XLOOKUP(C167,Population_data!B:B,Population_data!E:E,"")</f>
        <v>730.42</v>
      </c>
      <c r="H167">
        <f>_xlfn.XLOOKUP(C167,Population_data!B:B,Population_data!F:F,"")</f>
        <v>3.89</v>
      </c>
      <c r="I167">
        <f>_xlfn.XLOOKUP(C167,Population_data!B:B,Population_data!G:G,"")</f>
        <v>82.6</v>
      </c>
      <c r="J167" t="str">
        <f>_xlfn.XLOOKUP(D167,District_Crime_Unit_Map!A:A,District_Crime_Unit_Map!B:B,"")</f>
        <v>Khulna Range</v>
      </c>
      <c r="K167">
        <f>_xlfn.XLOOKUP(J167,Crime_Data!A:A,Crime_Data!V:V,"")</f>
        <v>102.32166075410298</v>
      </c>
      <c r="L167">
        <f>_xlfn.XLOOKUP(J167,Crime_Data!A:A,Crime_Data!W:W,"")</f>
        <v>12.212237548443923</v>
      </c>
      <c r="M167" t="str">
        <f>TRIM(Table6[[#This Row],[District]])&amp;"|"&amp;TRIM(Table6[[#This Row],[Upazila]])</f>
        <v>Bagerhat|Bagerhat Sadar</v>
      </c>
      <c r="N167" t="str">
        <f>_xlfn.XLOOKUP(B167,Remittance_Data!A:A,Remittance_Data!B:B,"CHECK")</f>
        <v>CHECK</v>
      </c>
      <c r="O167" t="str">
        <f>_xlfn.XLOOKUP(B167,Remittance_Data!A:A,Remittance_Data!C:C,"CHECK")</f>
        <v>CHECK</v>
      </c>
      <c r="P167" t="str">
        <f>_xlfn.XLOOKUP(B167,Remittance_Data!A:A,Remittance_Data!D:D,"CHECK")</f>
        <v>CHECK</v>
      </c>
    </row>
    <row r="168" spans="1:16">
      <c r="A168" t="s">
        <v>294</v>
      </c>
      <c r="B168" t="str">
        <f>SUBSTITUTE(SUBSTITUTE(SUBSTITUTE(SUBSTITUTE(TRIM(Table6[[#This Row],[Constituency]]),"Barisal","Barishal"),"Jessore","Jashore"),"Bogra","Bogura"),"Chapai Nawabganj","Chapainawabganj")</f>
        <v>Bagerhat-2</v>
      </c>
      <c r="C168" t="s">
        <v>1107</v>
      </c>
      <c r="D168" t="s">
        <v>1103</v>
      </c>
      <c r="E168">
        <f>_xlfn.XLOOKUP(C168,Population_data!B:B,Population_data!C:C,"")</f>
        <v>235.82</v>
      </c>
      <c r="F168">
        <f>_xlfn.XLOOKUP(C168,Population_data!B:B,Population_data!D:D,"")</f>
        <v>405483</v>
      </c>
      <c r="G168">
        <f>_xlfn.XLOOKUP(C168,Population_data!B:B,Population_data!E:E,"")</f>
        <v>1719.46</v>
      </c>
      <c r="H168">
        <f>_xlfn.XLOOKUP(C168,Population_data!B:B,Population_data!F:F,"")</f>
        <v>4.17</v>
      </c>
      <c r="I168">
        <f>_xlfn.XLOOKUP(C168,Population_data!B:B,Population_data!G:G,"")</f>
        <v>75.02</v>
      </c>
      <c r="J168" t="str">
        <f>_xlfn.XLOOKUP(D168,District_Crime_Unit_Map!A:A,District_Crime_Unit_Map!B:B,"")</f>
        <v>Khulna Range</v>
      </c>
      <c r="K168">
        <f>_xlfn.XLOOKUP(J168,Crime_Data!A:A,Crime_Data!V:V,"")</f>
        <v>102.32166075410298</v>
      </c>
      <c r="L168">
        <f>_xlfn.XLOOKUP(J168,Crime_Data!A:A,Crime_Data!W:W,"")</f>
        <v>12.212237548443923</v>
      </c>
      <c r="M168" t="str">
        <f>TRIM(Table6[[#This Row],[District]])&amp;"|"&amp;TRIM(Table6[[#This Row],[Upazila]])</f>
        <v>Bagerhat|Kachua</v>
      </c>
      <c r="N168" t="str">
        <f>_xlfn.XLOOKUP(B168,Remittance_Data!A:A,Remittance_Data!B:B,"CHECK")</f>
        <v>CHECK</v>
      </c>
      <c r="O168" t="str">
        <f>_xlfn.XLOOKUP(B168,Remittance_Data!A:A,Remittance_Data!C:C,"CHECK")</f>
        <v>CHECK</v>
      </c>
      <c r="P168" t="str">
        <f>_xlfn.XLOOKUP(B168,Remittance_Data!A:A,Remittance_Data!D:D,"CHECK")</f>
        <v>CHECK</v>
      </c>
    </row>
    <row r="169" spans="1:16">
      <c r="A169" t="s">
        <v>297</v>
      </c>
      <c r="B169" t="str">
        <f>SUBSTITUTE(SUBSTITUTE(SUBSTITUTE(SUBSTITUTE(TRIM(Table6[[#This Row],[Constituency]]),"Barisal","Barishal"),"Jessore","Jashore"),"Bogra","Bogura"),"Chapai Nawabganj","Chapainawabganj")</f>
        <v>Bagerhat-3</v>
      </c>
      <c r="C169" t="s">
        <v>1108</v>
      </c>
      <c r="D169" t="s">
        <v>1103</v>
      </c>
      <c r="E169">
        <f>_xlfn.XLOOKUP(C169,Population_data!B:B,Population_data!C:C,"")</f>
        <v>292.12</v>
      </c>
      <c r="F169">
        <f>_xlfn.XLOOKUP(C169,Population_data!B:B,Population_data!D:D,"")</f>
        <v>176048</v>
      </c>
      <c r="G169">
        <f>_xlfn.XLOOKUP(C169,Population_data!B:B,Population_data!E:E,"")</f>
        <v>602.66</v>
      </c>
      <c r="H169">
        <f>_xlfn.XLOOKUP(C169,Population_data!B:B,Population_data!F:F,"")</f>
        <v>3.83</v>
      </c>
      <c r="I169">
        <f>_xlfn.XLOOKUP(C169,Population_data!B:B,Population_data!G:G,"")</f>
        <v>80.95</v>
      </c>
      <c r="J169" t="str">
        <f>_xlfn.XLOOKUP(D169,District_Crime_Unit_Map!A:A,District_Crime_Unit_Map!B:B,"")</f>
        <v>Khulna Range</v>
      </c>
      <c r="K169">
        <f>_xlfn.XLOOKUP(J169,Crime_Data!A:A,Crime_Data!V:V,"")</f>
        <v>102.32166075410298</v>
      </c>
      <c r="L169">
        <f>_xlfn.XLOOKUP(J169,Crime_Data!A:A,Crime_Data!W:W,"")</f>
        <v>12.212237548443923</v>
      </c>
      <c r="M169" t="str">
        <f>TRIM(Table6[[#This Row],[District]])&amp;"|"&amp;TRIM(Table6[[#This Row],[Upazila]])</f>
        <v>Bagerhat|Rampal</v>
      </c>
      <c r="N169" t="str">
        <f>_xlfn.XLOOKUP(B169,Remittance_Data!A:A,Remittance_Data!B:B,"CHECK")</f>
        <v>CHECK</v>
      </c>
      <c r="O169" t="str">
        <f>_xlfn.XLOOKUP(B169,Remittance_Data!A:A,Remittance_Data!C:C,"CHECK")</f>
        <v>CHECK</v>
      </c>
      <c r="P169" t="str">
        <f>_xlfn.XLOOKUP(B169,Remittance_Data!A:A,Remittance_Data!D:D,"CHECK")</f>
        <v>CHECK</v>
      </c>
    </row>
    <row r="170" spans="1:16">
      <c r="A170" t="s">
        <v>297</v>
      </c>
      <c r="B170" t="str">
        <f>SUBSTITUTE(SUBSTITUTE(SUBSTITUTE(SUBSTITUTE(TRIM(Table6[[#This Row],[Constituency]]),"Barisal","Barishal"),"Jessore","Jashore"),"Bogra","Bogura"),"Chapai Nawabganj","Chapainawabganj")</f>
        <v>Bagerhat-3</v>
      </c>
      <c r="C170" t="s">
        <v>1109</v>
      </c>
      <c r="D170" t="s">
        <v>1103</v>
      </c>
      <c r="E170">
        <f>_xlfn.XLOOKUP(C170,Population_data!B:B,Population_data!C:C,"")</f>
        <v>1461.22</v>
      </c>
      <c r="F170">
        <f>_xlfn.XLOOKUP(C170,Population_data!B:B,Population_data!D:D,"")</f>
        <v>158460</v>
      </c>
      <c r="G170">
        <f>_xlfn.XLOOKUP(C170,Population_data!B:B,Population_data!E:E,"")</f>
        <v>108.44</v>
      </c>
      <c r="H170">
        <f>_xlfn.XLOOKUP(C170,Population_data!B:B,Population_data!F:F,"")</f>
        <v>3.75</v>
      </c>
      <c r="I170">
        <f>_xlfn.XLOOKUP(C170,Population_data!B:B,Population_data!G:G,"")</f>
        <v>81.209999999999994</v>
      </c>
      <c r="J170" t="str">
        <f>_xlfn.XLOOKUP(D170,District_Crime_Unit_Map!A:A,District_Crime_Unit_Map!B:B,"")</f>
        <v>Khulna Range</v>
      </c>
      <c r="K170">
        <f>_xlfn.XLOOKUP(J170,Crime_Data!A:A,Crime_Data!V:V,"")</f>
        <v>102.32166075410298</v>
      </c>
      <c r="L170">
        <f>_xlfn.XLOOKUP(J170,Crime_Data!A:A,Crime_Data!W:W,"")</f>
        <v>12.212237548443923</v>
      </c>
      <c r="M170" t="str">
        <f>TRIM(Table6[[#This Row],[District]])&amp;"|"&amp;TRIM(Table6[[#This Row],[Upazila]])</f>
        <v>Bagerhat|Mongla</v>
      </c>
      <c r="N170" t="str">
        <f>_xlfn.XLOOKUP(B170,Remittance_Data!A:A,Remittance_Data!B:B,"CHECK")</f>
        <v>CHECK</v>
      </c>
      <c r="O170" t="str">
        <f>_xlfn.XLOOKUP(B170,Remittance_Data!A:A,Remittance_Data!C:C,"CHECK")</f>
        <v>CHECK</v>
      </c>
      <c r="P170" t="str">
        <f>_xlfn.XLOOKUP(B170,Remittance_Data!A:A,Remittance_Data!D:D,"CHECK")</f>
        <v>CHECK</v>
      </c>
    </row>
    <row r="171" spans="1:16">
      <c r="A171" t="s">
        <v>300</v>
      </c>
      <c r="B171" t="str">
        <f>SUBSTITUTE(SUBSTITUTE(SUBSTITUTE(SUBSTITUTE(TRIM(Table6[[#This Row],[Constituency]]),"Barisal","Barishal"),"Jessore","Jashore"),"Bogra","Bogura"),"Chapai Nawabganj","Chapainawabganj")</f>
        <v>Bagerhat-4</v>
      </c>
      <c r="C171" t="s">
        <v>1493</v>
      </c>
      <c r="D171" t="s">
        <v>1103</v>
      </c>
      <c r="E171">
        <f>_xlfn.XLOOKUP(C171,Population_data!B:B,Population_data!C:C,"")</f>
        <v>419.62</v>
      </c>
      <c r="F171">
        <f>_xlfn.XLOOKUP(C171,Population_data!B:B,Population_data!D:D,"")</f>
        <v>304852</v>
      </c>
      <c r="G171">
        <f>_xlfn.XLOOKUP(C171,Population_data!B:B,Population_data!E:E,"")</f>
        <v>726.5</v>
      </c>
      <c r="H171">
        <f>_xlfn.XLOOKUP(C171,Population_data!B:B,Population_data!F:F,"")</f>
        <v>3.77</v>
      </c>
      <c r="I171">
        <f>_xlfn.XLOOKUP(C171,Population_data!B:B,Population_data!G:G,"")</f>
        <v>81.73</v>
      </c>
      <c r="J171" t="str">
        <f>_xlfn.XLOOKUP(D171,District_Crime_Unit_Map!A:A,District_Crime_Unit_Map!B:B,"")</f>
        <v>Khulna Range</v>
      </c>
      <c r="K171">
        <f>_xlfn.XLOOKUP(J171,Crime_Data!A:A,Crime_Data!V:V,"")</f>
        <v>102.32166075410298</v>
      </c>
      <c r="L171">
        <f>_xlfn.XLOOKUP(J171,Crime_Data!A:A,Crime_Data!W:W,"")</f>
        <v>12.212237548443923</v>
      </c>
      <c r="M171" t="str">
        <f>TRIM(Table6[[#This Row],[District]])&amp;"|"&amp;TRIM(Table6[[#This Row],[Upazila]])</f>
        <v>Bagerhat|Morelganj</v>
      </c>
      <c r="N171" t="str">
        <f>_xlfn.XLOOKUP(B171,Remittance_Data!A:A,Remittance_Data!B:B,"CHECK")</f>
        <v>CHECK</v>
      </c>
      <c r="O171" t="str">
        <f>_xlfn.XLOOKUP(B171,Remittance_Data!A:A,Remittance_Data!C:C,"CHECK")</f>
        <v>CHECK</v>
      </c>
      <c r="P171" t="str">
        <f>_xlfn.XLOOKUP(B171,Remittance_Data!A:A,Remittance_Data!D:D,"CHECK")</f>
        <v>CHECK</v>
      </c>
    </row>
    <row r="172" spans="1:16">
      <c r="A172" t="s">
        <v>300</v>
      </c>
      <c r="B172" t="str">
        <f>SUBSTITUTE(SUBSTITUTE(SUBSTITUTE(SUBSTITUTE(TRIM(Table6[[#This Row],[Constituency]]),"Barisal","Barishal"),"Jessore","Jashore"),"Bogra","Bogura"),"Chapai Nawabganj","Chapainawabganj")</f>
        <v>Bagerhat-4</v>
      </c>
      <c r="C172" t="s">
        <v>1111</v>
      </c>
      <c r="D172" t="s">
        <v>1103</v>
      </c>
      <c r="E172">
        <f>_xlfn.XLOOKUP(C172,Population_data!B:B,Population_data!C:C,"")</f>
        <v>205.18</v>
      </c>
      <c r="F172">
        <f>_xlfn.XLOOKUP(C172,Population_data!B:B,Population_data!D:D,"")</f>
        <v>120917</v>
      </c>
      <c r="G172">
        <f>_xlfn.XLOOKUP(C172,Population_data!B:B,Population_data!E:E,"")</f>
        <v>589.32000000000005</v>
      </c>
      <c r="H172">
        <f>_xlfn.XLOOKUP(C172,Population_data!B:B,Population_data!F:F,"")</f>
        <v>3.88</v>
      </c>
      <c r="I172">
        <f>_xlfn.XLOOKUP(C172,Population_data!B:B,Population_data!G:G,"")</f>
        <v>84.16</v>
      </c>
      <c r="J172" t="str">
        <f>_xlfn.XLOOKUP(D172,District_Crime_Unit_Map!A:A,District_Crime_Unit_Map!B:B,"")</f>
        <v>Khulna Range</v>
      </c>
      <c r="K172">
        <f>_xlfn.XLOOKUP(J172,Crime_Data!A:A,Crime_Data!V:V,"")</f>
        <v>102.32166075410298</v>
      </c>
      <c r="L172">
        <f>_xlfn.XLOOKUP(J172,Crime_Data!A:A,Crime_Data!W:W,"")</f>
        <v>12.212237548443923</v>
      </c>
      <c r="M172" t="str">
        <f>TRIM(Table6[[#This Row],[District]])&amp;"|"&amp;TRIM(Table6[[#This Row],[Upazila]])</f>
        <v>Bagerhat|Sharankhola</v>
      </c>
      <c r="N172" t="str">
        <f>_xlfn.XLOOKUP(B172,Remittance_Data!A:A,Remittance_Data!B:B,"CHECK")</f>
        <v>CHECK</v>
      </c>
      <c r="O172" t="str">
        <f>_xlfn.XLOOKUP(B172,Remittance_Data!A:A,Remittance_Data!C:C,"CHECK")</f>
        <v>CHECK</v>
      </c>
      <c r="P172" t="str">
        <f>_xlfn.XLOOKUP(B172,Remittance_Data!A:A,Remittance_Data!D:D,"CHECK")</f>
        <v>CHECK</v>
      </c>
    </row>
    <row r="173" spans="1:16">
      <c r="A173" t="s">
        <v>303</v>
      </c>
      <c r="B173" t="str">
        <f>SUBSTITUTE(SUBSTITUTE(SUBSTITUTE(SUBSTITUTE(TRIM(Table6[[#This Row],[Constituency]]),"Barisal","Barishal"),"Jessore","Jashore"),"Bogra","Bogura"),"Chapai Nawabganj","Chapainawabganj")</f>
        <v>Khulna-1</v>
      </c>
      <c r="C173" t="s">
        <v>1112</v>
      </c>
      <c r="D173" t="s">
        <v>224</v>
      </c>
      <c r="E173">
        <f>_xlfn.XLOOKUP(C173,Population_data!B:B,Population_data!C:C,"")</f>
        <v>454.23</v>
      </c>
      <c r="F173">
        <f>_xlfn.XLOOKUP(C173,Population_data!B:B,Population_data!D:D,"")</f>
        <v>159362</v>
      </c>
      <c r="G173">
        <f>_xlfn.XLOOKUP(C173,Population_data!B:B,Population_data!E:E,"")</f>
        <v>350.84</v>
      </c>
      <c r="H173">
        <f>_xlfn.XLOOKUP(C173,Population_data!B:B,Population_data!F:F,"")</f>
        <v>3.76</v>
      </c>
      <c r="I173">
        <f>_xlfn.XLOOKUP(C173,Population_data!B:B,Population_data!G:G,"")</f>
        <v>78.040000000000006</v>
      </c>
      <c r="J173" t="str">
        <f>_xlfn.XLOOKUP(D173,District_Crime_Unit_Map!A:A,District_Crime_Unit_Map!B:B,"")</f>
        <v>Khulna Range</v>
      </c>
      <c r="K173">
        <f>_xlfn.XLOOKUP(J173,Crime_Data!A:A,Crime_Data!V:V,"")</f>
        <v>102.32166075410298</v>
      </c>
      <c r="L173">
        <f>_xlfn.XLOOKUP(J173,Crime_Data!A:A,Crime_Data!W:W,"")</f>
        <v>12.212237548443923</v>
      </c>
      <c r="M173" t="str">
        <f>TRIM(Table6[[#This Row],[District]])&amp;"|"&amp;TRIM(Table6[[#This Row],[Upazila]])</f>
        <v>Khulna|Dacope</v>
      </c>
      <c r="N173" t="str">
        <f>_xlfn.XLOOKUP(B173,Remittance_Data!A:A,Remittance_Data!B:B,"CHECK")</f>
        <v>CHECK</v>
      </c>
      <c r="O173" t="str">
        <f>_xlfn.XLOOKUP(B173,Remittance_Data!A:A,Remittance_Data!C:C,"CHECK")</f>
        <v>CHECK</v>
      </c>
      <c r="P173" t="str">
        <f>_xlfn.XLOOKUP(B173,Remittance_Data!A:A,Remittance_Data!D:D,"CHECK")</f>
        <v>CHECK</v>
      </c>
    </row>
    <row r="174" spans="1:16">
      <c r="A174" t="s">
        <v>319</v>
      </c>
      <c r="B174" t="str">
        <f>SUBSTITUTE(SUBSTITUTE(SUBSTITUTE(SUBSTITUTE(TRIM(Table6[[#This Row],[Constituency]]),"Barisal","Barishal"),"Jessore","Jashore"),"Bogra","Bogura"),"Chapai Nawabganj","Chapainawabganj")</f>
        <v>Khulna-6</v>
      </c>
      <c r="C174" t="s">
        <v>1113</v>
      </c>
      <c r="D174" t="s">
        <v>224</v>
      </c>
      <c r="E174">
        <f>_xlfn.XLOOKUP(C174,Population_data!B:B,Population_data!C:C,"")</f>
        <v>411.79</v>
      </c>
      <c r="F174">
        <f>_xlfn.XLOOKUP(C174,Population_data!B:B,Population_data!D:D,"")</f>
        <v>286192</v>
      </c>
      <c r="G174">
        <f>_xlfn.XLOOKUP(C174,Population_data!B:B,Population_data!E:E,"")</f>
        <v>695</v>
      </c>
      <c r="H174">
        <f>_xlfn.XLOOKUP(C174,Population_data!B:B,Population_data!F:F,"")</f>
        <v>3.85</v>
      </c>
      <c r="I174">
        <f>_xlfn.XLOOKUP(C174,Population_data!B:B,Population_data!G:G,"")</f>
        <v>75.17</v>
      </c>
      <c r="J174" t="str">
        <f>_xlfn.XLOOKUP(D174,District_Crime_Unit_Map!A:A,District_Crime_Unit_Map!B:B,"")</f>
        <v>Khulna Range</v>
      </c>
      <c r="K174">
        <f>_xlfn.XLOOKUP(J174,Crime_Data!A:A,Crime_Data!V:V,"")</f>
        <v>102.32166075410298</v>
      </c>
      <c r="L174">
        <f>_xlfn.XLOOKUP(J174,Crime_Data!A:A,Crime_Data!W:W,"")</f>
        <v>12.212237548443923</v>
      </c>
      <c r="M174" t="str">
        <f>TRIM(Table6[[#This Row],[District]])&amp;"|"&amp;TRIM(Table6[[#This Row],[Upazila]])</f>
        <v>Khulna|Paikgachha</v>
      </c>
      <c r="N174" t="str">
        <f>_xlfn.XLOOKUP(B174,Remittance_Data!A:A,Remittance_Data!B:B,"CHECK")</f>
        <v>CHECK</v>
      </c>
      <c r="O174" t="str">
        <f>_xlfn.XLOOKUP(B174,Remittance_Data!A:A,Remittance_Data!C:C,"CHECK")</f>
        <v>CHECK</v>
      </c>
      <c r="P174" t="str">
        <f>_xlfn.XLOOKUP(B174,Remittance_Data!A:A,Remittance_Data!D:D,"CHECK")</f>
        <v>CHECK</v>
      </c>
    </row>
    <row r="175" spans="1:16">
      <c r="A175" t="s">
        <v>319</v>
      </c>
      <c r="B175" t="str">
        <f>SUBSTITUTE(SUBSTITUTE(SUBSTITUTE(SUBSTITUTE(TRIM(Table6[[#This Row],[Constituency]]),"Barisal","Barishal"),"Jessore","Jashore"),"Bogra","Bogura"),"Chapai Nawabganj","Chapainawabganj")</f>
        <v>Khulna-6</v>
      </c>
      <c r="C175" t="s">
        <v>1114</v>
      </c>
      <c r="D175" t="s">
        <v>224</v>
      </c>
      <c r="E175">
        <f>_xlfn.XLOOKUP(C175,Population_data!B:B,Population_data!C:C,"")</f>
        <v>1775.41</v>
      </c>
      <c r="F175">
        <f>_xlfn.XLOOKUP(C175,Population_data!B:B,Population_data!D:D,"")</f>
        <v>220092</v>
      </c>
      <c r="G175">
        <f>_xlfn.XLOOKUP(C175,Population_data!B:B,Population_data!E:E,"")</f>
        <v>123.97</v>
      </c>
      <c r="H175">
        <f>_xlfn.XLOOKUP(C175,Population_data!B:B,Population_data!F:F,"")</f>
        <v>3.96</v>
      </c>
      <c r="I175">
        <f>_xlfn.XLOOKUP(C175,Population_data!B:B,Population_data!G:G,"")</f>
        <v>76.09</v>
      </c>
      <c r="J175" t="str">
        <f>_xlfn.XLOOKUP(D175,District_Crime_Unit_Map!A:A,District_Crime_Unit_Map!B:B,"")</f>
        <v>Khulna Range</v>
      </c>
      <c r="K175">
        <f>_xlfn.XLOOKUP(J175,Crime_Data!A:A,Crime_Data!V:V,"")</f>
        <v>102.32166075410298</v>
      </c>
      <c r="L175">
        <f>_xlfn.XLOOKUP(J175,Crime_Data!A:A,Crime_Data!W:W,"")</f>
        <v>12.212237548443923</v>
      </c>
      <c r="M175" t="str">
        <f>TRIM(Table6[[#This Row],[District]])&amp;"|"&amp;TRIM(Table6[[#This Row],[Upazila]])</f>
        <v>Khulna|Koyra</v>
      </c>
      <c r="N175" t="str">
        <f>_xlfn.XLOOKUP(B175,Remittance_Data!A:A,Remittance_Data!B:B,"CHECK")</f>
        <v>CHECK</v>
      </c>
      <c r="O175" t="str">
        <f>_xlfn.XLOOKUP(B175,Remittance_Data!A:A,Remittance_Data!C:C,"CHECK")</f>
        <v>CHECK</v>
      </c>
      <c r="P175" t="str">
        <f>_xlfn.XLOOKUP(B175,Remittance_Data!A:A,Remittance_Data!D:D,"CHECK")</f>
        <v>CHECK</v>
      </c>
    </row>
    <row r="176" spans="1:16">
      <c r="A176" t="s">
        <v>306</v>
      </c>
      <c r="B176" t="str">
        <f>SUBSTITUTE(SUBSTITUTE(SUBSTITUTE(SUBSTITUTE(TRIM(Table6[[#This Row],[Constituency]]),"Barisal","Barishal"),"Jessore","Jashore"),"Bogra","Bogura"),"Chapai Nawabganj","Chapainawabganj")</f>
        <v>Khulna-2</v>
      </c>
      <c r="C176" t="s">
        <v>1117</v>
      </c>
      <c r="D176" t="s">
        <v>224</v>
      </c>
      <c r="E176">
        <v>22.83</v>
      </c>
      <c r="F176">
        <v>359779</v>
      </c>
      <c r="G176">
        <v>15762</v>
      </c>
      <c r="H176">
        <v>3.75</v>
      </c>
      <c r="I176">
        <v>88.07</v>
      </c>
      <c r="J176" t="str">
        <f>_xlfn.XLOOKUP(D176,District_Crime_Unit_Map!A:A,District_Crime_Unit_Map!B:B,"")</f>
        <v>Khulna Range</v>
      </c>
      <c r="K176">
        <f>_xlfn.XLOOKUP(J176,Crime_Data!A:A,Crime_Data!V:V,"")</f>
        <v>102.32166075410298</v>
      </c>
      <c r="L176">
        <f>_xlfn.XLOOKUP(J176,Crime_Data!A:A,Crime_Data!W:W,"")</f>
        <v>12.212237548443923</v>
      </c>
      <c r="M176" t="str">
        <f>TRIM(Table6[[#This Row],[District]])&amp;"|"&amp;TRIM(Table6[[#This Row],[Upazila]])</f>
        <v>Khulna|Khulna City Corporation</v>
      </c>
      <c r="N176" t="str">
        <f>_xlfn.XLOOKUP(B176,Remittance_Data!A:A,Remittance_Data!B:B,"CHECK")</f>
        <v>CHECK</v>
      </c>
      <c r="O176" t="str">
        <f>_xlfn.XLOOKUP(B176,Remittance_Data!A:A,Remittance_Data!C:C,"CHECK")</f>
        <v>CHECK</v>
      </c>
      <c r="P176" t="str">
        <f>_xlfn.XLOOKUP(B176,Remittance_Data!A:A,Remittance_Data!D:D,"CHECK")</f>
        <v>CHECK</v>
      </c>
    </row>
    <row r="177" spans="1:16">
      <c r="A177" t="s">
        <v>312</v>
      </c>
      <c r="B177" t="str">
        <f>SUBSTITUTE(SUBSTITUTE(SUBSTITUTE(SUBSTITUTE(TRIM(Table6[[#This Row],[Constituency]]),"Barisal","Barishal"),"Jessore","Jashore"),"Bogra","Bogura"),"Chapai Nawabganj","Chapainawabganj")</f>
        <v>Khulna-4</v>
      </c>
      <c r="C177" t="s">
        <v>1116</v>
      </c>
      <c r="D177" t="s">
        <v>224</v>
      </c>
      <c r="E177">
        <f>_xlfn.XLOOKUP(C177,Population_data!B:B,Population_data!C:C,"")</f>
        <v>189.48</v>
      </c>
      <c r="F177">
        <f>_xlfn.XLOOKUP(C177,Population_data!B:B,Population_data!D:D,"")</f>
        <v>128922</v>
      </c>
      <c r="G177">
        <f>_xlfn.XLOOKUP(C177,Population_data!B:B,Population_data!E:E,"")</f>
        <v>680.4</v>
      </c>
      <c r="H177">
        <f>_xlfn.XLOOKUP(C177,Population_data!B:B,Population_data!F:F,"")</f>
        <v>3.97</v>
      </c>
      <c r="I177">
        <f>_xlfn.XLOOKUP(C177,Population_data!B:B,Population_data!G:G,"")</f>
        <v>73.19</v>
      </c>
      <c r="J177" t="str">
        <f>_xlfn.XLOOKUP(D177,District_Crime_Unit_Map!A:A,District_Crime_Unit_Map!B:B,"")</f>
        <v>Khulna Range</v>
      </c>
      <c r="K177">
        <f>_xlfn.XLOOKUP(J177,Crime_Data!A:A,Crime_Data!V:V,"")</f>
        <v>102.32166075410298</v>
      </c>
      <c r="L177">
        <f>_xlfn.XLOOKUP(J177,Crime_Data!A:A,Crime_Data!W:W,"")</f>
        <v>12.212237548443923</v>
      </c>
      <c r="M177" t="str">
        <f>TRIM(Table6[[#This Row],[District]])&amp;"|"&amp;TRIM(Table6[[#This Row],[Upazila]])</f>
        <v>Khulna|Terokhada</v>
      </c>
      <c r="N177" t="str">
        <f>_xlfn.XLOOKUP(B177,Remittance_Data!A:A,Remittance_Data!B:B,"CHECK")</f>
        <v>CHECK</v>
      </c>
      <c r="O177" t="str">
        <f>_xlfn.XLOOKUP(B177,Remittance_Data!A:A,Remittance_Data!C:C,"CHECK")</f>
        <v>CHECK</v>
      </c>
      <c r="P177" t="str">
        <f>_xlfn.XLOOKUP(B177,Remittance_Data!A:A,Remittance_Data!D:D,"CHECK")</f>
        <v>CHECK</v>
      </c>
    </row>
    <row r="178" spans="1:16">
      <c r="A178" t="s">
        <v>309</v>
      </c>
      <c r="B178" t="str">
        <f>SUBSTITUTE(SUBSTITUTE(SUBSTITUTE(SUBSTITUTE(TRIM(Table6[[#This Row],[Constituency]]),"Barisal","Barishal"),"Jessore","Jashore"),"Bogra","Bogura"),"Chapai Nawabganj","Chapainawabganj")</f>
        <v>Khulna-3</v>
      </c>
      <c r="C178" t="s">
        <v>1117</v>
      </c>
      <c r="D178" t="s">
        <v>224</v>
      </c>
      <c r="E178">
        <v>22.83</v>
      </c>
      <c r="F178">
        <v>359779</v>
      </c>
      <c r="G178">
        <v>15762</v>
      </c>
      <c r="H178">
        <v>3.75</v>
      </c>
      <c r="I178">
        <v>88.07</v>
      </c>
      <c r="J178" t="str">
        <f>_xlfn.XLOOKUP(D178,District_Crime_Unit_Map!A:A,District_Crime_Unit_Map!B:B,"")</f>
        <v>Khulna Range</v>
      </c>
      <c r="K178">
        <f>_xlfn.XLOOKUP(J178,Crime_Data!A:A,Crime_Data!V:V,"")</f>
        <v>102.32166075410298</v>
      </c>
      <c r="L178">
        <f>_xlfn.XLOOKUP(J178,Crime_Data!A:A,Crime_Data!W:W,"")</f>
        <v>12.212237548443923</v>
      </c>
      <c r="M178" t="str">
        <f>TRIM(Table6[[#This Row],[District]])&amp;"|"&amp;TRIM(Table6[[#This Row],[Upazila]])</f>
        <v>Khulna|Khulna City Corporation</v>
      </c>
      <c r="N178" t="str">
        <f>_xlfn.XLOOKUP(B178,Remittance_Data!A:A,Remittance_Data!B:B,"CHECK")</f>
        <v>CHECK</v>
      </c>
      <c r="O178" t="str">
        <f>_xlfn.XLOOKUP(B178,Remittance_Data!A:A,Remittance_Data!C:C,"CHECK")</f>
        <v>CHECK</v>
      </c>
      <c r="P178" t="str">
        <f>_xlfn.XLOOKUP(B178,Remittance_Data!A:A,Remittance_Data!D:D,"CHECK")</f>
        <v>CHECK</v>
      </c>
    </row>
    <row r="179" spans="1:16">
      <c r="A179" t="s">
        <v>312</v>
      </c>
      <c r="B179" t="str">
        <f>SUBSTITUTE(SUBSTITUTE(SUBSTITUTE(SUBSTITUTE(TRIM(Table6[[#This Row],[Constituency]]),"Barisal","Barishal"),"Jessore","Jashore"),"Bogra","Bogura"),"Chapai Nawabganj","Chapainawabganj")</f>
        <v>Khulna-4</v>
      </c>
      <c r="C179" t="s">
        <v>1118</v>
      </c>
      <c r="D179" t="s">
        <v>224</v>
      </c>
      <c r="E179">
        <f>_xlfn.XLOOKUP(C179,Population_data!B:B,Population_data!C:C,"")</f>
        <v>120.15</v>
      </c>
      <c r="F179">
        <f>_xlfn.XLOOKUP(C179,Population_data!B:B,Population_data!D:D,"")</f>
        <v>206744</v>
      </c>
      <c r="G179">
        <f>_xlfn.XLOOKUP(C179,Population_data!B:B,Population_data!E:E,"")</f>
        <v>1720.72</v>
      </c>
      <c r="H179">
        <f>_xlfn.XLOOKUP(C179,Population_data!B:B,Population_data!F:F,"")</f>
        <v>3.91</v>
      </c>
      <c r="I179">
        <f>_xlfn.XLOOKUP(C179,Population_data!B:B,Population_data!G:G,"")</f>
        <v>80.040000000000006</v>
      </c>
      <c r="J179" t="str">
        <f>_xlfn.XLOOKUP(D179,District_Crime_Unit_Map!A:A,District_Crime_Unit_Map!B:B,"")</f>
        <v>Khulna Range</v>
      </c>
      <c r="K179">
        <f>_xlfn.XLOOKUP(J179,Crime_Data!A:A,Crime_Data!V:V,"")</f>
        <v>102.32166075410298</v>
      </c>
      <c r="L179">
        <f>_xlfn.XLOOKUP(J179,Crime_Data!A:A,Crime_Data!W:W,"")</f>
        <v>12.212237548443923</v>
      </c>
      <c r="M179" t="str">
        <f>TRIM(Table6[[#This Row],[District]])&amp;"|"&amp;TRIM(Table6[[#This Row],[Upazila]])</f>
        <v>Khulna|Rupsa</v>
      </c>
      <c r="N179" t="str">
        <f>_xlfn.XLOOKUP(B179,Remittance_Data!A:A,Remittance_Data!B:B,"CHECK")</f>
        <v>CHECK</v>
      </c>
      <c r="O179" t="str">
        <f>_xlfn.XLOOKUP(B179,Remittance_Data!A:A,Remittance_Data!C:C,"CHECK")</f>
        <v>CHECK</v>
      </c>
      <c r="P179" t="str">
        <f>_xlfn.XLOOKUP(B179,Remittance_Data!A:A,Remittance_Data!D:D,"CHECK")</f>
        <v>CHECK</v>
      </c>
    </row>
    <row r="180" spans="1:16">
      <c r="A180" t="s">
        <v>312</v>
      </c>
      <c r="B180" t="str">
        <f>SUBSTITUTE(SUBSTITUTE(SUBSTITUTE(SUBSTITUTE(TRIM(Table6[[#This Row],[Constituency]]),"Barisal","Barishal"),"Jessore","Jashore"),"Bogra","Bogura"),"Chapai Nawabganj","Chapainawabganj")</f>
        <v>Khulna-4</v>
      </c>
      <c r="C180" t="s">
        <v>1119</v>
      </c>
      <c r="D180" t="s">
        <v>224</v>
      </c>
      <c r="E180">
        <f>_xlfn.XLOOKUP(C180,Population_data!B:B,Population_data!C:C,"")</f>
        <v>177.76</v>
      </c>
      <c r="F180">
        <f>_xlfn.XLOOKUP(C180,Population_data!B:B,Population_data!D:D,"")</f>
        <v>167013</v>
      </c>
      <c r="G180">
        <f>_xlfn.XLOOKUP(C180,Population_data!B:B,Population_data!E:E,"")</f>
        <v>939.54</v>
      </c>
      <c r="H180">
        <f>_xlfn.XLOOKUP(C180,Population_data!B:B,Population_data!F:F,"")</f>
        <v>4</v>
      </c>
      <c r="I180">
        <f>_xlfn.XLOOKUP(C180,Population_data!B:B,Population_data!G:G,"")</f>
        <v>81.680000000000007</v>
      </c>
      <c r="J180" t="str">
        <f>_xlfn.XLOOKUP(D180,District_Crime_Unit_Map!A:A,District_Crime_Unit_Map!B:B,"")</f>
        <v>Khulna Range</v>
      </c>
      <c r="K180">
        <f>_xlfn.XLOOKUP(J180,Crime_Data!A:A,Crime_Data!V:V,"")</f>
        <v>102.32166075410298</v>
      </c>
      <c r="L180">
        <f>_xlfn.XLOOKUP(J180,Crime_Data!A:A,Crime_Data!W:W,"")</f>
        <v>12.212237548443923</v>
      </c>
      <c r="M180" t="str">
        <f>TRIM(Table6[[#This Row],[District]])&amp;"|"&amp;TRIM(Table6[[#This Row],[Upazila]])</f>
        <v>Khulna|Dighalia</v>
      </c>
      <c r="N180" t="str">
        <f>_xlfn.XLOOKUP(B180,Remittance_Data!A:A,Remittance_Data!B:B,"CHECK")</f>
        <v>CHECK</v>
      </c>
      <c r="O180" t="str">
        <f>_xlfn.XLOOKUP(B180,Remittance_Data!A:A,Remittance_Data!C:C,"CHECK")</f>
        <v>CHECK</v>
      </c>
      <c r="P180" t="str">
        <f>_xlfn.XLOOKUP(B180,Remittance_Data!A:A,Remittance_Data!D:D,"CHECK")</f>
        <v>CHECK</v>
      </c>
    </row>
    <row r="181" spans="1:16">
      <c r="A181" t="s">
        <v>316</v>
      </c>
      <c r="B181" t="str">
        <f>SUBSTITUTE(SUBSTITUTE(SUBSTITUTE(SUBSTITUTE(TRIM(Table6[[#This Row],[Constituency]]),"Barisal","Barishal"),"Jessore","Jashore"),"Bogra","Bogura"),"Chapai Nawabganj","Chapainawabganj")</f>
        <v>Khulna-5</v>
      </c>
      <c r="C181" t="s">
        <v>1120</v>
      </c>
      <c r="D181" t="s">
        <v>224</v>
      </c>
      <c r="E181">
        <f>_xlfn.XLOOKUP(C181,Population_data!B:B,Population_data!C:C,"")</f>
        <v>130.76</v>
      </c>
      <c r="F181">
        <f>_xlfn.XLOOKUP(C181,Population_data!B:B,Population_data!D:D,"")</f>
        <v>148502</v>
      </c>
      <c r="G181">
        <f>_xlfn.XLOOKUP(C181,Population_data!B:B,Population_data!E:E,"")</f>
        <v>1135.68</v>
      </c>
      <c r="H181">
        <f>_xlfn.XLOOKUP(C181,Population_data!B:B,Population_data!F:F,"")</f>
        <v>3.86</v>
      </c>
      <c r="I181">
        <f>_xlfn.XLOOKUP(C181,Population_data!B:B,Population_data!G:G,"")</f>
        <v>81.900000000000006</v>
      </c>
      <c r="J181" t="str">
        <f>_xlfn.XLOOKUP(D181,District_Crime_Unit_Map!A:A,District_Crime_Unit_Map!B:B,"")</f>
        <v>Khulna Range</v>
      </c>
      <c r="K181">
        <f>_xlfn.XLOOKUP(J181,Crime_Data!A:A,Crime_Data!V:V,"")</f>
        <v>102.32166075410298</v>
      </c>
      <c r="L181">
        <f>_xlfn.XLOOKUP(J181,Crime_Data!A:A,Crime_Data!W:W,"")</f>
        <v>12.212237548443923</v>
      </c>
      <c r="M181" t="str">
        <f>TRIM(Table6[[#This Row],[District]])&amp;"|"&amp;TRIM(Table6[[#This Row],[Upazila]])</f>
        <v>Khulna|Phultala</v>
      </c>
      <c r="N181" t="str">
        <f>_xlfn.XLOOKUP(B181,Remittance_Data!A:A,Remittance_Data!B:B,"CHECK")</f>
        <v>CHECK</v>
      </c>
      <c r="O181" t="str">
        <f>_xlfn.XLOOKUP(B181,Remittance_Data!A:A,Remittance_Data!C:C,"CHECK")</f>
        <v>CHECK</v>
      </c>
      <c r="P181" t="str">
        <f>_xlfn.XLOOKUP(B181,Remittance_Data!A:A,Remittance_Data!D:D,"CHECK")</f>
        <v>CHECK</v>
      </c>
    </row>
    <row r="182" spans="1:16">
      <c r="A182" t="s">
        <v>316</v>
      </c>
      <c r="B182" t="str">
        <f>SUBSTITUTE(SUBSTITUTE(SUBSTITUTE(SUBSTITUTE(TRIM(Table6[[#This Row],[Constituency]]),"Barisal","Barishal"),"Jessore","Jashore"),"Bogra","Bogura"),"Chapai Nawabganj","Chapainawabganj")</f>
        <v>Khulna-5</v>
      </c>
      <c r="C182" t="s">
        <v>1121</v>
      </c>
      <c r="D182" t="s">
        <v>224</v>
      </c>
      <c r="E182">
        <f>_xlfn.XLOOKUP(C182,Population_data!B:B,Population_data!C:C,"")</f>
        <v>108.64</v>
      </c>
      <c r="F182">
        <f>_xlfn.XLOOKUP(C182,Population_data!B:B,Population_data!D:D,"")</f>
        <v>343885</v>
      </c>
      <c r="G182">
        <f>_xlfn.XLOOKUP(C182,Population_data!B:B,Population_data!E:E,"")</f>
        <v>3165.36</v>
      </c>
      <c r="H182">
        <f>_xlfn.XLOOKUP(C182,Population_data!B:B,Population_data!F:F,"")</f>
        <v>3.87</v>
      </c>
      <c r="I182">
        <f>_xlfn.XLOOKUP(C182,Population_data!B:B,Population_data!G:G,"")</f>
        <v>75.97</v>
      </c>
      <c r="J182" t="str">
        <f>_xlfn.XLOOKUP(D182,District_Crime_Unit_Map!A:A,District_Crime_Unit_Map!B:B,"")</f>
        <v>Khulna Range</v>
      </c>
      <c r="K182">
        <f>_xlfn.XLOOKUP(J182,Crime_Data!A:A,Crime_Data!V:V,"")</f>
        <v>102.32166075410298</v>
      </c>
      <c r="L182">
        <f>_xlfn.XLOOKUP(J182,Crime_Data!A:A,Crime_Data!W:W,"")</f>
        <v>12.212237548443923</v>
      </c>
      <c r="M182" t="str">
        <f>TRIM(Table6[[#This Row],[District]])&amp;"|"&amp;TRIM(Table6[[#This Row],[Upazila]])</f>
        <v>Khulna|Dumuria</v>
      </c>
      <c r="N182" t="str">
        <f>_xlfn.XLOOKUP(B182,Remittance_Data!A:A,Remittance_Data!B:B,"CHECK")</f>
        <v>CHECK</v>
      </c>
      <c r="O182" t="str">
        <f>_xlfn.XLOOKUP(B182,Remittance_Data!A:A,Remittance_Data!C:C,"CHECK")</f>
        <v>CHECK</v>
      </c>
      <c r="P182" t="str">
        <f>_xlfn.XLOOKUP(B182,Remittance_Data!A:A,Remittance_Data!D:D,"CHECK")</f>
        <v>CHECK</v>
      </c>
    </row>
    <row r="183" spans="1:16">
      <c r="A183" t="s">
        <v>322</v>
      </c>
      <c r="B183" t="str">
        <f>SUBSTITUTE(SUBSTITUTE(SUBSTITUTE(SUBSTITUTE(TRIM(Table6[[#This Row],[Constituency]]),"Barisal","Barishal"),"Jessore","Jashore"),"Bogra","Bogura"),"Chapai Nawabganj","Chapainawabganj")</f>
        <v>Satkhira-1</v>
      </c>
      <c r="C183" t="s">
        <v>1123</v>
      </c>
      <c r="D183" t="s">
        <v>1124</v>
      </c>
      <c r="E183">
        <f>_xlfn.XLOOKUP(C183,Population_data!B:B,Population_data!C:C,"")</f>
        <v>196.42</v>
      </c>
      <c r="F183">
        <f>_xlfn.XLOOKUP(C183,Population_data!B:B,Population_data!D:D,"")</f>
        <v>326101</v>
      </c>
      <c r="G183">
        <f>_xlfn.XLOOKUP(C183,Population_data!B:B,Population_data!E:E,"")</f>
        <v>1660.22</v>
      </c>
      <c r="H183">
        <f>_xlfn.XLOOKUP(C183,Population_data!B:B,Population_data!F:F,"")</f>
        <v>3.79</v>
      </c>
      <c r="I183">
        <f>_xlfn.XLOOKUP(C183,Population_data!B:B,Population_data!G:G,"")</f>
        <v>74.28</v>
      </c>
      <c r="J183" t="str">
        <f>_xlfn.XLOOKUP(D183,District_Crime_Unit_Map!A:A,District_Crime_Unit_Map!B:B,"")</f>
        <v>Khulna Range</v>
      </c>
      <c r="K183">
        <f>_xlfn.XLOOKUP(J183,Crime_Data!A:A,Crime_Data!V:V,"")</f>
        <v>102.32166075410298</v>
      </c>
      <c r="L183">
        <f>_xlfn.XLOOKUP(J183,Crime_Data!A:A,Crime_Data!W:W,"")</f>
        <v>12.212237548443923</v>
      </c>
      <c r="M183" t="str">
        <f>TRIM(Table6[[#This Row],[District]])&amp;"|"&amp;TRIM(Table6[[#This Row],[Upazila]])</f>
        <v>Satkhira|Tala</v>
      </c>
      <c r="N183" t="str">
        <f>_xlfn.XLOOKUP(B183,Remittance_Data!A:A,Remittance_Data!B:B,"CHECK")</f>
        <v>CHECK</v>
      </c>
      <c r="O183" t="str">
        <f>_xlfn.XLOOKUP(B183,Remittance_Data!A:A,Remittance_Data!C:C,"CHECK")</f>
        <v>CHECK</v>
      </c>
      <c r="P183" t="str">
        <f>_xlfn.XLOOKUP(B183,Remittance_Data!A:A,Remittance_Data!D:D,"CHECK")</f>
        <v>CHECK</v>
      </c>
    </row>
    <row r="184" spans="1:16">
      <c r="A184" t="s">
        <v>322</v>
      </c>
      <c r="B184" t="str">
        <f>SUBSTITUTE(SUBSTITUTE(SUBSTITUTE(SUBSTITUTE(TRIM(Table6[[#This Row],[Constituency]]),"Barisal","Barishal"),"Jessore","Jashore"),"Bogra","Bogura"),"Chapai Nawabganj","Chapainawabganj")</f>
        <v>Satkhira-1</v>
      </c>
      <c r="C184" t="s">
        <v>1125</v>
      </c>
      <c r="D184" t="s">
        <v>1124</v>
      </c>
      <c r="E184">
        <f>_xlfn.XLOOKUP(C184,Population_data!B:B,Population_data!C:C,"")</f>
        <v>343.46</v>
      </c>
      <c r="F184">
        <f>_xlfn.XLOOKUP(C184,Population_data!B:B,Population_data!D:D,"")</f>
        <v>261260</v>
      </c>
      <c r="G184">
        <f>_xlfn.XLOOKUP(C184,Population_data!B:B,Population_data!E:E,"")</f>
        <v>760.67</v>
      </c>
      <c r="H184">
        <f>_xlfn.XLOOKUP(C184,Population_data!B:B,Population_data!F:F,"")</f>
        <v>3.67</v>
      </c>
      <c r="I184">
        <f>_xlfn.XLOOKUP(C184,Population_data!B:B,Population_data!G:G,"")</f>
        <v>72.790000000000006</v>
      </c>
      <c r="J184" t="str">
        <f>_xlfn.XLOOKUP(D184,District_Crime_Unit_Map!A:A,District_Crime_Unit_Map!B:B,"")</f>
        <v>Khulna Range</v>
      </c>
      <c r="K184">
        <f>_xlfn.XLOOKUP(J184,Crime_Data!A:A,Crime_Data!V:V,"")</f>
        <v>102.32166075410298</v>
      </c>
      <c r="L184">
        <f>_xlfn.XLOOKUP(J184,Crime_Data!A:A,Crime_Data!W:W,"")</f>
        <v>12.212237548443923</v>
      </c>
      <c r="M184" t="str">
        <f>TRIM(Table6[[#This Row],[District]])&amp;"|"&amp;TRIM(Table6[[#This Row],[Upazila]])</f>
        <v>Satkhira|Kalaroa</v>
      </c>
      <c r="N184" t="str">
        <f>_xlfn.XLOOKUP(B184,Remittance_Data!A:A,Remittance_Data!B:B,"CHECK")</f>
        <v>CHECK</v>
      </c>
      <c r="O184" t="str">
        <f>_xlfn.XLOOKUP(B184,Remittance_Data!A:A,Remittance_Data!C:C,"CHECK")</f>
        <v>CHECK</v>
      </c>
      <c r="P184" t="str">
        <f>_xlfn.XLOOKUP(B184,Remittance_Data!A:A,Remittance_Data!D:D,"CHECK")</f>
        <v>CHECK</v>
      </c>
    </row>
    <row r="185" spans="1:16">
      <c r="A185" t="s">
        <v>325</v>
      </c>
      <c r="B185" t="str">
        <f>SUBSTITUTE(SUBSTITUTE(SUBSTITUTE(SUBSTITUTE(TRIM(Table6[[#This Row],[Constituency]]),"Barisal","Barishal"),"Jessore","Jashore"),"Bogra","Bogura"),"Chapai Nawabganj","Chapainawabganj")</f>
        <v>Satkhira-2</v>
      </c>
      <c r="C185" t="s">
        <v>1126</v>
      </c>
      <c r="D185" t="s">
        <v>1124</v>
      </c>
      <c r="E185">
        <f>_xlfn.XLOOKUP(C185,Population_data!B:B,Population_data!C:C,"")</f>
        <v>401.87</v>
      </c>
      <c r="F185">
        <f>_xlfn.XLOOKUP(C185,Population_data!B:B,Population_data!D:D,"")</f>
        <v>522934</v>
      </c>
      <c r="G185">
        <f>_xlfn.XLOOKUP(C185,Population_data!B:B,Population_data!E:E,"")</f>
        <v>1301.25</v>
      </c>
      <c r="H185">
        <f>_xlfn.XLOOKUP(C185,Population_data!B:B,Population_data!F:F,"")</f>
        <v>3.81</v>
      </c>
      <c r="I185">
        <f>_xlfn.XLOOKUP(C185,Population_data!B:B,Population_data!G:G,"")</f>
        <v>78.06</v>
      </c>
      <c r="J185" t="str">
        <f>_xlfn.XLOOKUP(D185,District_Crime_Unit_Map!A:A,District_Crime_Unit_Map!B:B,"")</f>
        <v>Khulna Range</v>
      </c>
      <c r="K185">
        <f>_xlfn.XLOOKUP(J185,Crime_Data!A:A,Crime_Data!V:V,"")</f>
        <v>102.32166075410298</v>
      </c>
      <c r="L185">
        <f>_xlfn.XLOOKUP(J185,Crime_Data!A:A,Crime_Data!W:W,"")</f>
        <v>12.212237548443923</v>
      </c>
      <c r="M185" t="str">
        <f>TRIM(Table6[[#This Row],[District]])&amp;"|"&amp;TRIM(Table6[[#This Row],[Upazila]])</f>
        <v>Satkhira|Satkhira Sadar</v>
      </c>
      <c r="N185" t="str">
        <f>_xlfn.XLOOKUP(B185,Remittance_Data!A:A,Remittance_Data!B:B,"CHECK")</f>
        <v>CHECK</v>
      </c>
      <c r="O185" t="str">
        <f>_xlfn.XLOOKUP(B185,Remittance_Data!A:A,Remittance_Data!C:C,"CHECK")</f>
        <v>CHECK</v>
      </c>
      <c r="P185" t="str">
        <f>_xlfn.XLOOKUP(B185,Remittance_Data!A:A,Remittance_Data!D:D,"CHECK")</f>
        <v>CHECK</v>
      </c>
    </row>
    <row r="186" spans="1:16">
      <c r="A186" t="s">
        <v>328</v>
      </c>
      <c r="B186" t="str">
        <f>SUBSTITUTE(SUBSTITUTE(SUBSTITUTE(SUBSTITUTE(TRIM(Table6[[#This Row],[Constituency]]),"Barisal","Barishal"),"Jessore","Jashore"),"Bogra","Bogura"),"Chapai Nawabganj","Chapainawabganj")</f>
        <v>Satkhira-3</v>
      </c>
      <c r="C186" t="s">
        <v>1494</v>
      </c>
      <c r="D186" t="s">
        <v>1124</v>
      </c>
      <c r="E186">
        <f>_xlfn.XLOOKUP(C186,Population_data!B:B,Population_data!C:C,"")</f>
        <v>357.28</v>
      </c>
      <c r="F186">
        <f>_xlfn.XLOOKUP(C186,Population_data!B:B,Population_data!D:D,"")</f>
        <v>281749</v>
      </c>
      <c r="G186">
        <f>_xlfn.XLOOKUP(C186,Population_data!B:B,Population_data!E:E,"")</f>
        <v>788.59</v>
      </c>
      <c r="H186">
        <f>_xlfn.XLOOKUP(C186,Population_data!B:B,Population_data!F:F,"")</f>
        <v>3.91</v>
      </c>
      <c r="I186">
        <f>_xlfn.XLOOKUP(C186,Population_data!B:B,Population_data!G:G,"")</f>
        <v>72.459999999999994</v>
      </c>
      <c r="J186" t="str">
        <f>_xlfn.XLOOKUP(D186,District_Crime_Unit_Map!A:A,District_Crime_Unit_Map!B:B,"")</f>
        <v>Khulna Range</v>
      </c>
      <c r="K186">
        <f>_xlfn.XLOOKUP(J186,Crime_Data!A:A,Crime_Data!V:V,"")</f>
        <v>102.32166075410298</v>
      </c>
      <c r="L186">
        <f>_xlfn.XLOOKUP(J186,Crime_Data!A:A,Crime_Data!W:W,"")</f>
        <v>12.212237548443923</v>
      </c>
      <c r="M186" t="str">
        <f>TRIM(Table6[[#This Row],[District]])&amp;"|"&amp;TRIM(Table6[[#This Row],[Upazila]])</f>
        <v>Satkhira|Ashashuni</v>
      </c>
      <c r="N186" t="str">
        <f>_xlfn.XLOOKUP(B186,Remittance_Data!A:A,Remittance_Data!B:B,"CHECK")</f>
        <v>CHECK</v>
      </c>
      <c r="O186" t="str">
        <f>_xlfn.XLOOKUP(B186,Remittance_Data!A:A,Remittance_Data!C:C,"CHECK")</f>
        <v>CHECK</v>
      </c>
      <c r="P186" t="str">
        <f>_xlfn.XLOOKUP(B186,Remittance_Data!A:A,Remittance_Data!D:D,"CHECK")</f>
        <v>CHECK</v>
      </c>
    </row>
    <row r="187" spans="1:16">
      <c r="A187" t="s">
        <v>328</v>
      </c>
      <c r="B187" t="str">
        <f>SUBSTITUTE(SUBSTITUTE(SUBSTITUTE(SUBSTITUTE(TRIM(Table6[[#This Row],[Constituency]]),"Barisal","Barishal"),"Jessore","Jashore"),"Bogra","Bogura"),"Chapai Nawabganj","Chapainawabganj")</f>
        <v>Satkhira-3</v>
      </c>
      <c r="C187" t="s">
        <v>1128</v>
      </c>
      <c r="D187" t="s">
        <v>1124</v>
      </c>
      <c r="E187">
        <f>_xlfn.XLOOKUP(C187,Population_data!B:B,Population_data!C:C,"")</f>
        <v>168.24</v>
      </c>
      <c r="F187">
        <f>_xlfn.XLOOKUP(C187,Population_data!B:B,Population_data!D:D,"")</f>
        <v>133013</v>
      </c>
      <c r="G187">
        <f>_xlfn.XLOOKUP(C187,Population_data!B:B,Population_data!E:E,"")</f>
        <v>790.61</v>
      </c>
      <c r="H187">
        <f>_xlfn.XLOOKUP(C187,Population_data!B:B,Population_data!F:F,"")</f>
        <v>3.87</v>
      </c>
      <c r="I187">
        <f>_xlfn.XLOOKUP(C187,Population_data!B:B,Population_data!G:G,"")</f>
        <v>78.709999999999994</v>
      </c>
      <c r="J187" t="str">
        <f>_xlfn.XLOOKUP(D187,District_Crime_Unit_Map!A:A,District_Crime_Unit_Map!B:B,"")</f>
        <v>Khulna Range</v>
      </c>
      <c r="K187">
        <f>_xlfn.XLOOKUP(J187,Crime_Data!A:A,Crime_Data!V:V,"")</f>
        <v>102.32166075410298</v>
      </c>
      <c r="L187">
        <f>_xlfn.XLOOKUP(J187,Crime_Data!A:A,Crime_Data!W:W,"")</f>
        <v>12.212237548443923</v>
      </c>
      <c r="M187" t="str">
        <f>TRIM(Table6[[#This Row],[District]])&amp;"|"&amp;TRIM(Table6[[#This Row],[Upazila]])</f>
        <v>Satkhira|Debhata</v>
      </c>
      <c r="N187" t="str">
        <f>_xlfn.XLOOKUP(B187,Remittance_Data!A:A,Remittance_Data!B:B,"CHECK")</f>
        <v>CHECK</v>
      </c>
      <c r="O187" t="str">
        <f>_xlfn.XLOOKUP(B187,Remittance_Data!A:A,Remittance_Data!C:C,"CHECK")</f>
        <v>CHECK</v>
      </c>
      <c r="P187" t="str">
        <f>_xlfn.XLOOKUP(B187,Remittance_Data!A:A,Remittance_Data!D:D,"CHECK")</f>
        <v>CHECK</v>
      </c>
    </row>
    <row r="188" spans="1:16">
      <c r="A188" t="s">
        <v>331</v>
      </c>
      <c r="B188" t="str">
        <f>SUBSTITUTE(SUBSTITUTE(SUBSTITUTE(SUBSTITUTE(TRIM(Table6[[#This Row],[Constituency]]),"Barisal","Barishal"),"Jessore","Jashore"),"Bogra","Bogura"),"Chapai Nawabganj","Chapainawabganj")</f>
        <v>Satkhira-4</v>
      </c>
      <c r="C188" t="s">
        <v>1129</v>
      </c>
      <c r="D188" t="s">
        <v>1124</v>
      </c>
      <c r="E188">
        <f>_xlfn.XLOOKUP(C188,Population_data!B:B,Population_data!C:C,"")</f>
        <v>196.5</v>
      </c>
      <c r="F188">
        <f>_xlfn.XLOOKUP(C188,Population_data!B:B,Population_data!D:D,"")</f>
        <v>365953</v>
      </c>
      <c r="G188">
        <f>_xlfn.XLOOKUP(C188,Population_data!B:B,Population_data!E:E,"")</f>
        <v>1862.36</v>
      </c>
      <c r="H188">
        <f>_xlfn.XLOOKUP(C188,Population_data!B:B,Population_data!F:F,"")</f>
        <v>4.03</v>
      </c>
      <c r="I188">
        <f>_xlfn.XLOOKUP(C188,Population_data!B:B,Population_data!G:G,"")</f>
        <v>74.819999999999993</v>
      </c>
      <c r="J188" t="str">
        <f>_xlfn.XLOOKUP(D188,District_Crime_Unit_Map!A:A,District_Crime_Unit_Map!B:B,"")</f>
        <v>Khulna Range</v>
      </c>
      <c r="K188">
        <f>_xlfn.XLOOKUP(J188,Crime_Data!A:A,Crime_Data!V:V,"")</f>
        <v>102.32166075410298</v>
      </c>
      <c r="L188">
        <f>_xlfn.XLOOKUP(J188,Crime_Data!A:A,Crime_Data!W:W,"")</f>
        <v>12.212237548443923</v>
      </c>
      <c r="M188" t="str">
        <f>TRIM(Table6[[#This Row],[District]])&amp;"|"&amp;TRIM(Table6[[#This Row],[Upazila]])</f>
        <v>Satkhira|Shyamnagar</v>
      </c>
      <c r="N188" t="str">
        <f>_xlfn.XLOOKUP(B188,Remittance_Data!A:A,Remittance_Data!B:B,"CHECK")</f>
        <v>CHECK</v>
      </c>
      <c r="O188" t="str">
        <f>_xlfn.XLOOKUP(B188,Remittance_Data!A:A,Remittance_Data!C:C,"CHECK")</f>
        <v>CHECK</v>
      </c>
      <c r="P188" t="str">
        <f>_xlfn.XLOOKUP(B188,Remittance_Data!A:A,Remittance_Data!D:D,"CHECK")</f>
        <v>CHECK</v>
      </c>
    </row>
    <row r="189" spans="1:16">
      <c r="A189" t="s">
        <v>331</v>
      </c>
      <c r="B189" t="str">
        <f>SUBSTITUTE(SUBSTITUTE(SUBSTITUTE(SUBSTITUTE(TRIM(Table6[[#This Row],[Constituency]]),"Barisal","Barishal"),"Jessore","Jashore"),"Bogra","Bogura"),"Chapai Nawabganj","Chapainawabganj")</f>
        <v>Satkhira-4</v>
      </c>
      <c r="C189" t="s">
        <v>952</v>
      </c>
      <c r="D189" t="s">
        <v>1124</v>
      </c>
      <c r="E189">
        <f>_xlfn.XLOOKUP(C189,Population_data!B:B,Population_data!C:C,"")</f>
        <v>236.67</v>
      </c>
      <c r="F189">
        <f>_xlfn.XLOOKUP(C189,Population_data!B:B,Population_data!D:D,"")</f>
        <v>310943</v>
      </c>
      <c r="G189">
        <f>_xlfn.XLOOKUP(C189,Population_data!B:B,Population_data!E:E,"")</f>
        <v>1313.83</v>
      </c>
      <c r="H189">
        <f>_xlfn.XLOOKUP(C189,Population_data!B:B,Population_data!F:F,"")</f>
        <v>3.97</v>
      </c>
      <c r="I189">
        <f>_xlfn.XLOOKUP(C189,Population_data!B:B,Population_data!G:G,"")</f>
        <v>79.58</v>
      </c>
      <c r="J189" t="str">
        <f>_xlfn.XLOOKUP(D189,District_Crime_Unit_Map!A:A,District_Crime_Unit_Map!B:B,"")</f>
        <v>Khulna Range</v>
      </c>
      <c r="K189">
        <f>_xlfn.XLOOKUP(J189,Crime_Data!A:A,Crime_Data!V:V,"")</f>
        <v>102.32166075410298</v>
      </c>
      <c r="L189">
        <f>_xlfn.XLOOKUP(J189,Crime_Data!A:A,Crime_Data!W:W,"")</f>
        <v>12.212237548443923</v>
      </c>
      <c r="M189" t="str">
        <f>TRIM(Table6[[#This Row],[District]])&amp;"|"&amp;TRIM(Table6[[#This Row],[Upazila]])</f>
        <v>Satkhira|Kaliganj</v>
      </c>
      <c r="N189" t="str">
        <f>_xlfn.XLOOKUP(B189,Remittance_Data!A:A,Remittance_Data!B:B,"CHECK")</f>
        <v>CHECK</v>
      </c>
      <c r="O189" t="str">
        <f>_xlfn.XLOOKUP(B189,Remittance_Data!A:A,Remittance_Data!C:C,"CHECK")</f>
        <v>CHECK</v>
      </c>
      <c r="P189" t="str">
        <f>_xlfn.XLOOKUP(B189,Remittance_Data!A:A,Remittance_Data!D:D,"CHECK")</f>
        <v>CHECK</v>
      </c>
    </row>
    <row r="190" spans="1:16">
      <c r="A190" t="s">
        <v>335</v>
      </c>
      <c r="B190" t="str">
        <f>SUBSTITUTE(SUBSTITUTE(SUBSTITUTE(SUBSTITUTE(TRIM(Table6[[#This Row],[Constituency]]),"Barisal","Barishal"),"Jessore","Jashore"),"Bogra","Bogura"),"Chapai Nawabganj","Chapainawabganj")</f>
        <v>Barguna-1</v>
      </c>
      <c r="C190" t="s">
        <v>1130</v>
      </c>
      <c r="D190" t="s">
        <v>1131</v>
      </c>
      <c r="E190">
        <f>_xlfn.XLOOKUP(C190,Population_data!B:B,Population_data!C:C,"")</f>
        <v>454.6</v>
      </c>
      <c r="F190">
        <f>_xlfn.XLOOKUP(C190,Population_data!B:B,Population_data!D:D,"")</f>
        <v>294350</v>
      </c>
      <c r="G190">
        <f>_xlfn.XLOOKUP(C190,Population_data!B:B,Population_data!E:E,"")</f>
        <v>647.49</v>
      </c>
      <c r="H190">
        <f>_xlfn.XLOOKUP(C190,Population_data!B:B,Population_data!F:F,"")</f>
        <v>3.95</v>
      </c>
      <c r="I190">
        <f>_xlfn.XLOOKUP(C190,Population_data!B:B,Population_data!G:G,"")</f>
        <v>82.28</v>
      </c>
      <c r="J190" t="str">
        <f>_xlfn.XLOOKUP(D190,District_Crime_Unit_Map!A:A,District_Crime_Unit_Map!B:B,"")</f>
        <v>Barishal Range</v>
      </c>
      <c r="K190">
        <f>_xlfn.XLOOKUP(J190,Crime_Data!A:A,Crime_Data!V:V,"")</f>
        <v>112.01964836613054</v>
      </c>
      <c r="L190">
        <f>_xlfn.XLOOKUP(J190,Crime_Data!A:A,Crime_Data!W:W,"")</f>
        <v>22.37167391269287</v>
      </c>
      <c r="M190" t="str">
        <f>TRIM(Table6[[#This Row],[District]])&amp;"|"&amp;TRIM(Table6[[#This Row],[Upazila]])</f>
        <v>Barguna|Barguna Sadar</v>
      </c>
      <c r="N190" t="str">
        <f>_xlfn.XLOOKUP(B190,Remittance_Data!A:A,Remittance_Data!B:B,"CHECK")</f>
        <v>CHECK</v>
      </c>
      <c r="O190" t="str">
        <f>_xlfn.XLOOKUP(B190,Remittance_Data!A:A,Remittance_Data!C:C,"CHECK")</f>
        <v>CHECK</v>
      </c>
      <c r="P190" t="str">
        <f>_xlfn.XLOOKUP(B190,Remittance_Data!A:A,Remittance_Data!D:D,"CHECK")</f>
        <v>CHECK</v>
      </c>
    </row>
    <row r="191" spans="1:16">
      <c r="A191" t="s">
        <v>335</v>
      </c>
      <c r="B191" t="str">
        <f>SUBSTITUTE(SUBSTITUTE(SUBSTITUTE(SUBSTITUTE(TRIM(Table6[[#This Row],[Constituency]]),"Barisal","Barishal"),"Jessore","Jashore"),"Bogra","Bogura"),"Chapai Nawabganj","Chapainawabganj")</f>
        <v>Barguna-1</v>
      </c>
      <c r="C191" t="s">
        <v>1132</v>
      </c>
      <c r="D191" t="s">
        <v>1131</v>
      </c>
      <c r="E191">
        <f>_xlfn.XLOOKUP(C191,Population_data!B:B,Population_data!C:C,"")</f>
        <v>483</v>
      </c>
      <c r="F191">
        <f>_xlfn.XLOOKUP(C191,Population_data!B:B,Population_data!D:D,"")</f>
        <v>214436</v>
      </c>
      <c r="G191">
        <f>_xlfn.XLOOKUP(C191,Population_data!B:B,Population_data!E:E,"")</f>
        <v>443.97</v>
      </c>
      <c r="H191">
        <f>_xlfn.XLOOKUP(C191,Population_data!B:B,Population_data!F:F,"")</f>
        <v>3.97</v>
      </c>
      <c r="I191">
        <f>_xlfn.XLOOKUP(C191,Population_data!B:B,Population_data!G:G,"")</f>
        <v>73.23</v>
      </c>
      <c r="J191" t="str">
        <f>_xlfn.XLOOKUP(D191,District_Crime_Unit_Map!A:A,District_Crime_Unit_Map!B:B,"")</f>
        <v>Barishal Range</v>
      </c>
      <c r="K191">
        <f>_xlfn.XLOOKUP(J191,Crime_Data!A:A,Crime_Data!V:V,"")</f>
        <v>112.01964836613054</v>
      </c>
      <c r="L191">
        <f>_xlfn.XLOOKUP(J191,Crime_Data!A:A,Crime_Data!W:W,"")</f>
        <v>22.37167391269287</v>
      </c>
      <c r="M191" t="str">
        <f>TRIM(Table6[[#This Row],[District]])&amp;"|"&amp;TRIM(Table6[[#This Row],[Upazila]])</f>
        <v>Barguna|Amtali</v>
      </c>
      <c r="N191" t="str">
        <f>_xlfn.XLOOKUP(B191,Remittance_Data!A:A,Remittance_Data!B:B,"CHECK")</f>
        <v>CHECK</v>
      </c>
      <c r="O191" t="str">
        <f>_xlfn.XLOOKUP(B191,Remittance_Data!A:A,Remittance_Data!C:C,"CHECK")</f>
        <v>CHECK</v>
      </c>
      <c r="P191" t="str">
        <f>_xlfn.XLOOKUP(B191,Remittance_Data!A:A,Remittance_Data!D:D,"CHECK")</f>
        <v>CHECK</v>
      </c>
    </row>
    <row r="192" spans="1:16">
      <c r="A192" t="s">
        <v>335</v>
      </c>
      <c r="B192" t="str">
        <f>SUBSTITUTE(SUBSTITUTE(SUBSTITUTE(SUBSTITUTE(TRIM(Table6[[#This Row],[Constituency]]),"Barisal","Barishal"),"Jessore","Jashore"),"Bogra","Bogura"),"Chapai Nawabganj","Chapainawabganj")</f>
        <v>Barguna-1</v>
      </c>
      <c r="C192" t="s">
        <v>1133</v>
      </c>
      <c r="D192" t="s">
        <v>1131</v>
      </c>
      <c r="E192">
        <f>_xlfn.XLOOKUP(C192,Population_data!B:B,Population_data!C:C,"")</f>
        <v>336</v>
      </c>
      <c r="F192">
        <f>_xlfn.XLOOKUP(C192,Population_data!B:B,Population_data!D:D,"")</f>
        <v>119394</v>
      </c>
      <c r="G192">
        <f>_xlfn.XLOOKUP(C192,Population_data!B:B,Population_data!E:E,"")</f>
        <v>355.34</v>
      </c>
      <c r="H192">
        <f>_xlfn.XLOOKUP(C192,Population_data!B:B,Population_data!F:F,"")</f>
        <v>4.03</v>
      </c>
      <c r="I192">
        <f>_xlfn.XLOOKUP(C192,Population_data!B:B,Population_data!G:G,"")</f>
        <v>80.77</v>
      </c>
      <c r="J192" t="str">
        <f>_xlfn.XLOOKUP(D192,District_Crime_Unit_Map!A:A,District_Crime_Unit_Map!B:B,"")</f>
        <v>Barishal Range</v>
      </c>
      <c r="K192">
        <f>_xlfn.XLOOKUP(J192,Crime_Data!A:A,Crime_Data!V:V,"")</f>
        <v>112.01964836613054</v>
      </c>
      <c r="L192">
        <f>_xlfn.XLOOKUP(J192,Crime_Data!A:A,Crime_Data!W:W,"")</f>
        <v>22.37167391269287</v>
      </c>
      <c r="M192" t="str">
        <f>TRIM(Table6[[#This Row],[District]])&amp;"|"&amp;TRIM(Table6[[#This Row],[Upazila]])</f>
        <v>Barguna|Taltali</v>
      </c>
      <c r="N192" t="str">
        <f>_xlfn.XLOOKUP(B192,Remittance_Data!A:A,Remittance_Data!B:B,"CHECK")</f>
        <v>CHECK</v>
      </c>
      <c r="O192" t="str">
        <f>_xlfn.XLOOKUP(B192,Remittance_Data!A:A,Remittance_Data!C:C,"CHECK")</f>
        <v>CHECK</v>
      </c>
      <c r="P192" t="str">
        <f>_xlfn.XLOOKUP(B192,Remittance_Data!A:A,Remittance_Data!D:D,"CHECK")</f>
        <v>CHECK</v>
      </c>
    </row>
    <row r="193" spans="1:16">
      <c r="A193" t="s">
        <v>339</v>
      </c>
      <c r="B193" t="str">
        <f>SUBSTITUTE(SUBSTITUTE(SUBSTITUTE(SUBSTITUTE(TRIM(Table6[[#This Row],[Constituency]]),"Barisal","Barishal"),"Jessore","Jashore"),"Bogra","Bogura"),"Chapai Nawabganj","Chapainawabganj")</f>
        <v>Barguna-2</v>
      </c>
      <c r="C193" t="s">
        <v>1134</v>
      </c>
      <c r="D193" t="s">
        <v>1131</v>
      </c>
      <c r="E193">
        <f>_xlfn.XLOOKUP(C193,Population_data!B:B,Population_data!C:C,"")</f>
        <v>387.5</v>
      </c>
      <c r="F193">
        <f>_xlfn.XLOOKUP(C193,Population_data!B:B,Population_data!D:D,"")</f>
        <v>177875</v>
      </c>
      <c r="G193">
        <f>_xlfn.XLOOKUP(C193,Population_data!B:B,Population_data!E:E,"")</f>
        <v>459.03</v>
      </c>
      <c r="H193">
        <f>_xlfn.XLOOKUP(C193,Population_data!B:B,Population_data!F:F,"")</f>
        <v>3.76</v>
      </c>
      <c r="I193">
        <f>_xlfn.XLOOKUP(C193,Population_data!B:B,Population_data!G:G,"")</f>
        <v>84.67</v>
      </c>
      <c r="J193" t="str">
        <f>_xlfn.XLOOKUP(D193,District_Crime_Unit_Map!A:A,District_Crime_Unit_Map!B:B,"")</f>
        <v>Barishal Range</v>
      </c>
      <c r="K193">
        <f>_xlfn.XLOOKUP(J193,Crime_Data!A:A,Crime_Data!V:V,"")</f>
        <v>112.01964836613054</v>
      </c>
      <c r="L193">
        <f>_xlfn.XLOOKUP(J193,Crime_Data!A:A,Crime_Data!W:W,"")</f>
        <v>22.37167391269287</v>
      </c>
      <c r="M193" t="str">
        <f>TRIM(Table6[[#This Row],[District]])&amp;"|"&amp;TRIM(Table6[[#This Row],[Upazila]])</f>
        <v>Barguna|Patharghata</v>
      </c>
      <c r="N193" t="str">
        <f>_xlfn.XLOOKUP(B193,Remittance_Data!A:A,Remittance_Data!B:B,"CHECK")</f>
        <v>CHECK</v>
      </c>
      <c r="O193" t="str">
        <f>_xlfn.XLOOKUP(B193,Remittance_Data!A:A,Remittance_Data!C:C,"CHECK")</f>
        <v>CHECK</v>
      </c>
      <c r="P193" t="str">
        <f>_xlfn.XLOOKUP(B193,Remittance_Data!A:A,Remittance_Data!D:D,"CHECK")</f>
        <v>CHECK</v>
      </c>
    </row>
    <row r="194" spans="1:16">
      <c r="A194" t="s">
        <v>339</v>
      </c>
      <c r="B194" t="str">
        <f>SUBSTITUTE(SUBSTITUTE(SUBSTITUTE(SUBSTITUTE(TRIM(Table6[[#This Row],[Constituency]]),"Barisal","Barishal"),"Jessore","Jashore"),"Bogra","Bogura"),"Chapai Nawabganj","Chapainawabganj")</f>
        <v>Barguna-2</v>
      </c>
      <c r="C194" t="s">
        <v>1135</v>
      </c>
      <c r="D194" t="s">
        <v>1131</v>
      </c>
      <c r="E194">
        <f>_xlfn.XLOOKUP(C194,Population_data!B:B,Population_data!C:C,"")</f>
        <v>99.85</v>
      </c>
      <c r="F194">
        <f>_xlfn.XLOOKUP(C194,Population_data!B:B,Population_data!D:D,"")</f>
        <v>78942</v>
      </c>
      <c r="G194">
        <f>_xlfn.XLOOKUP(C194,Population_data!B:B,Population_data!E:E,"")</f>
        <v>790.61</v>
      </c>
      <c r="H194">
        <f>_xlfn.XLOOKUP(C194,Population_data!B:B,Population_data!F:F,"")</f>
        <v>3.76</v>
      </c>
      <c r="I194">
        <f>_xlfn.XLOOKUP(C194,Population_data!B:B,Population_data!G:G,"")</f>
        <v>82.51</v>
      </c>
      <c r="J194" t="str">
        <f>_xlfn.XLOOKUP(D194,District_Crime_Unit_Map!A:A,District_Crime_Unit_Map!B:B,"")</f>
        <v>Barishal Range</v>
      </c>
      <c r="K194">
        <f>_xlfn.XLOOKUP(J194,Crime_Data!A:A,Crime_Data!V:V,"")</f>
        <v>112.01964836613054</v>
      </c>
      <c r="L194">
        <f>_xlfn.XLOOKUP(J194,Crime_Data!A:A,Crime_Data!W:W,"")</f>
        <v>22.37167391269287</v>
      </c>
      <c r="M194" t="str">
        <f>TRIM(Table6[[#This Row],[District]])&amp;"|"&amp;TRIM(Table6[[#This Row],[Upazila]])</f>
        <v>Barguna|Bamna</v>
      </c>
      <c r="N194" t="str">
        <f>_xlfn.XLOOKUP(B194,Remittance_Data!A:A,Remittance_Data!B:B,"CHECK")</f>
        <v>CHECK</v>
      </c>
      <c r="O194" t="str">
        <f>_xlfn.XLOOKUP(B194,Remittance_Data!A:A,Remittance_Data!C:C,"CHECK")</f>
        <v>CHECK</v>
      </c>
      <c r="P194" t="str">
        <f>_xlfn.XLOOKUP(B194,Remittance_Data!A:A,Remittance_Data!D:D,"CHECK")</f>
        <v>CHECK</v>
      </c>
    </row>
    <row r="195" spans="1:16">
      <c r="A195" t="s">
        <v>342</v>
      </c>
      <c r="B195" t="str">
        <f>SUBSTITUTE(SUBSTITUTE(SUBSTITUTE(SUBSTITUTE(TRIM(Table6[[#This Row],[Constituency]]),"Barisal","Barishal"),"Jessore","Jashore"),"Bogra","Bogura"),"Chapai Nawabganj","Chapainawabganj")</f>
        <v>Patuakhali-1</v>
      </c>
      <c r="C195" t="s">
        <v>1136</v>
      </c>
      <c r="D195" t="s">
        <v>1137</v>
      </c>
      <c r="E195">
        <f>_xlfn.XLOOKUP(C195,Population_data!B:B,Population_data!C:C,"")</f>
        <v>362.63</v>
      </c>
      <c r="F195">
        <f>_xlfn.XLOOKUP(C195,Population_data!B:B,Population_data!D:D,"")</f>
        <v>354800</v>
      </c>
      <c r="G195">
        <f>_xlfn.XLOOKUP(C195,Population_data!B:B,Population_data!E:E,"")</f>
        <v>978.41</v>
      </c>
      <c r="H195">
        <f>_xlfn.XLOOKUP(C195,Population_data!B:B,Population_data!F:F,"")</f>
        <v>4.08</v>
      </c>
      <c r="I195">
        <f>_xlfn.XLOOKUP(C195,Population_data!B:B,Population_data!G:G,"")</f>
        <v>79.44</v>
      </c>
      <c r="J195" t="str">
        <f>_xlfn.XLOOKUP(D195,District_Crime_Unit_Map!A:A,District_Crime_Unit_Map!B:B,"")</f>
        <v>Barishal Range</v>
      </c>
      <c r="K195">
        <f>_xlfn.XLOOKUP(J195,Crime_Data!A:A,Crime_Data!V:V,"")</f>
        <v>112.01964836613054</v>
      </c>
      <c r="L195">
        <f>_xlfn.XLOOKUP(J195,Crime_Data!A:A,Crime_Data!W:W,"")</f>
        <v>22.37167391269287</v>
      </c>
      <c r="M195" t="str">
        <f>TRIM(Table6[[#This Row],[District]])&amp;"|"&amp;TRIM(Table6[[#This Row],[Upazila]])</f>
        <v>Patuakhali|Patuakhali Sadar</v>
      </c>
      <c r="N195" t="str">
        <f>_xlfn.XLOOKUP(B195,Remittance_Data!A:A,Remittance_Data!B:B,"CHECK")</f>
        <v>CHECK</v>
      </c>
      <c r="O195" t="str">
        <f>_xlfn.XLOOKUP(B195,Remittance_Data!A:A,Remittance_Data!C:C,"CHECK")</f>
        <v>CHECK</v>
      </c>
      <c r="P195" t="str">
        <f>_xlfn.XLOOKUP(B195,Remittance_Data!A:A,Remittance_Data!D:D,"CHECK")</f>
        <v>CHECK</v>
      </c>
    </row>
    <row r="196" spans="1:16">
      <c r="A196" t="s">
        <v>342</v>
      </c>
      <c r="B196" t="str">
        <f>SUBSTITUTE(SUBSTITUTE(SUBSTITUTE(SUBSTITUTE(TRIM(Table6[[#This Row],[Constituency]]),"Barisal","Barishal"),"Jessore","Jashore"),"Bogra","Bogura"),"Chapai Nawabganj","Chapainawabganj")</f>
        <v>Patuakhali-1</v>
      </c>
      <c r="C196" t="s">
        <v>1138</v>
      </c>
      <c r="D196" t="s">
        <v>1137</v>
      </c>
      <c r="E196">
        <f>_xlfn.XLOOKUP(C196,Population_data!B:B,Population_data!C:C,"")</f>
        <v>240.91</v>
      </c>
      <c r="F196">
        <f>_xlfn.XLOOKUP(C196,Population_data!B:B,Population_data!D:D,"")</f>
        <v>81837</v>
      </c>
      <c r="G196">
        <f>_xlfn.XLOOKUP(C196,Population_data!B:B,Population_data!E:E,"")</f>
        <v>339.7</v>
      </c>
      <c r="H196">
        <f>_xlfn.XLOOKUP(C196,Population_data!B:B,Population_data!F:F,"")</f>
        <v>4.1100000000000003</v>
      </c>
      <c r="I196">
        <f>_xlfn.XLOOKUP(C196,Population_data!B:B,Population_data!G:G,"")</f>
        <v>81.28</v>
      </c>
      <c r="J196" t="str">
        <f>_xlfn.XLOOKUP(D196,District_Crime_Unit_Map!A:A,District_Crime_Unit_Map!B:B,"")</f>
        <v>Barishal Range</v>
      </c>
      <c r="K196">
        <f>_xlfn.XLOOKUP(J196,Crime_Data!A:A,Crime_Data!V:V,"")</f>
        <v>112.01964836613054</v>
      </c>
      <c r="L196">
        <f>_xlfn.XLOOKUP(J196,Crime_Data!A:A,Crime_Data!W:W,"")</f>
        <v>22.37167391269287</v>
      </c>
      <c r="M196" t="str">
        <f>TRIM(Table6[[#This Row],[District]])&amp;"|"&amp;TRIM(Table6[[#This Row],[Upazila]])</f>
        <v>Patuakhali|Dumki</v>
      </c>
      <c r="N196" t="str">
        <f>_xlfn.XLOOKUP(B196,Remittance_Data!A:A,Remittance_Data!B:B,"CHECK")</f>
        <v>CHECK</v>
      </c>
      <c r="O196" t="str">
        <f>_xlfn.XLOOKUP(B196,Remittance_Data!A:A,Remittance_Data!C:C,"CHECK")</f>
        <v>CHECK</v>
      </c>
      <c r="P196" t="str">
        <f>_xlfn.XLOOKUP(B196,Remittance_Data!A:A,Remittance_Data!D:D,"CHECK")</f>
        <v>CHECK</v>
      </c>
    </row>
    <row r="197" spans="1:16">
      <c r="A197" t="s">
        <v>345</v>
      </c>
      <c r="B197" t="str">
        <f>SUBSTITUTE(SUBSTITUTE(SUBSTITUTE(SUBSTITUTE(TRIM(Table6[[#This Row],[Constituency]]),"Barisal","Barishal"),"Jessore","Jashore"),"Bogra","Bogura"),"Chapai Nawabganj","Chapainawabganj")</f>
        <v>Patuakhali-2</v>
      </c>
      <c r="C197" t="s">
        <v>1139</v>
      </c>
      <c r="D197" t="s">
        <v>1137</v>
      </c>
      <c r="E197">
        <f>_xlfn.XLOOKUP(C197,Population_data!B:B,Population_data!C:C,"")</f>
        <v>353.7</v>
      </c>
      <c r="F197">
        <f>_xlfn.XLOOKUP(C197,Population_data!B:B,Population_data!D:D,"")</f>
        <v>327491</v>
      </c>
      <c r="G197">
        <f>_xlfn.XLOOKUP(C197,Population_data!B:B,Population_data!E:E,"")</f>
        <v>925.9</v>
      </c>
      <c r="H197">
        <f>_xlfn.XLOOKUP(C197,Population_data!B:B,Population_data!F:F,"")</f>
        <v>4.04</v>
      </c>
      <c r="I197">
        <f>_xlfn.XLOOKUP(C197,Population_data!B:B,Population_data!G:G,"")</f>
        <v>76.209999999999994</v>
      </c>
      <c r="J197" t="str">
        <f>_xlfn.XLOOKUP(D197,District_Crime_Unit_Map!A:A,District_Crime_Unit_Map!B:B,"")</f>
        <v>Barishal Range</v>
      </c>
      <c r="K197">
        <f>_xlfn.XLOOKUP(J197,Crime_Data!A:A,Crime_Data!V:V,"")</f>
        <v>112.01964836613054</v>
      </c>
      <c r="L197">
        <f>_xlfn.XLOOKUP(J197,Crime_Data!A:A,Crime_Data!W:W,"")</f>
        <v>22.37167391269287</v>
      </c>
      <c r="M197" t="str">
        <f>TRIM(Table6[[#This Row],[District]])&amp;"|"&amp;TRIM(Table6[[#This Row],[Upazila]])</f>
        <v>Patuakhali|Bauphal</v>
      </c>
      <c r="N197" t="str">
        <f>_xlfn.XLOOKUP(B197,Remittance_Data!A:A,Remittance_Data!B:B,"CHECK")</f>
        <v>CHECK</v>
      </c>
      <c r="O197" t="str">
        <f>_xlfn.XLOOKUP(B197,Remittance_Data!A:A,Remittance_Data!C:C,"CHECK")</f>
        <v>CHECK</v>
      </c>
      <c r="P197" t="str">
        <f>_xlfn.XLOOKUP(B197,Remittance_Data!A:A,Remittance_Data!D:D,"CHECK")</f>
        <v>CHECK</v>
      </c>
    </row>
    <row r="198" spans="1:16">
      <c r="A198" t="s">
        <v>348</v>
      </c>
      <c r="B198" t="str">
        <f>SUBSTITUTE(SUBSTITUTE(SUBSTITUTE(SUBSTITUTE(TRIM(Table6[[#This Row],[Constituency]]),"Barisal","Barishal"),"Jessore","Jashore"),"Bogra","Bogura"),"Chapai Nawabganj","Chapainawabganj")</f>
        <v>Patuakhali-3</v>
      </c>
      <c r="C198" t="s">
        <v>1140</v>
      </c>
      <c r="D198" t="s">
        <v>1137</v>
      </c>
      <c r="E198">
        <f>_xlfn.XLOOKUP(C198,Population_data!B:B,Population_data!C:C,"")</f>
        <v>483.06</v>
      </c>
      <c r="F198">
        <f>_xlfn.XLOOKUP(C198,Population_data!B:B,Population_data!D:D,"")</f>
        <v>300217</v>
      </c>
      <c r="G198">
        <f>_xlfn.XLOOKUP(C198,Population_data!B:B,Population_data!E:E,"")</f>
        <v>621.49</v>
      </c>
      <c r="H198">
        <f>_xlfn.XLOOKUP(C198,Population_data!B:B,Population_data!F:F,"")</f>
        <v>3.96</v>
      </c>
      <c r="I198">
        <f>_xlfn.XLOOKUP(C198,Population_data!B:B,Population_data!G:G,"")</f>
        <v>73.62</v>
      </c>
      <c r="J198" t="str">
        <f>_xlfn.XLOOKUP(D198,District_Crime_Unit_Map!A:A,District_Crime_Unit_Map!B:B,"")</f>
        <v>Barishal Range</v>
      </c>
      <c r="K198">
        <f>_xlfn.XLOOKUP(J198,Crime_Data!A:A,Crime_Data!V:V,"")</f>
        <v>112.01964836613054</v>
      </c>
      <c r="L198">
        <f>_xlfn.XLOOKUP(J198,Crime_Data!A:A,Crime_Data!W:W,"")</f>
        <v>22.37167391269287</v>
      </c>
      <c r="M198" t="str">
        <f>TRIM(Table6[[#This Row],[District]])&amp;"|"&amp;TRIM(Table6[[#This Row],[Upazila]])</f>
        <v>Patuakhali|Galachipa</v>
      </c>
      <c r="N198" t="str">
        <f>_xlfn.XLOOKUP(B198,Remittance_Data!A:A,Remittance_Data!B:B,"CHECK")</f>
        <v>CHECK</v>
      </c>
      <c r="O198" t="str">
        <f>_xlfn.XLOOKUP(B198,Remittance_Data!A:A,Remittance_Data!C:C,"CHECK")</f>
        <v>CHECK</v>
      </c>
      <c r="P198" t="str">
        <f>_xlfn.XLOOKUP(B198,Remittance_Data!A:A,Remittance_Data!D:D,"CHECK")</f>
        <v>CHECK</v>
      </c>
    </row>
    <row r="199" spans="1:16">
      <c r="A199" t="s">
        <v>348</v>
      </c>
      <c r="B199" t="str">
        <f>SUBSTITUTE(SUBSTITUTE(SUBSTITUTE(SUBSTITUTE(TRIM(Table6[[#This Row],[Constituency]]),"Barisal","Barishal"),"Jessore","Jashore"),"Bogra","Bogura"),"Chapai Nawabganj","Chapainawabganj")</f>
        <v>Patuakhali-3</v>
      </c>
      <c r="C199" t="s">
        <v>1141</v>
      </c>
      <c r="D199" t="s">
        <v>1137</v>
      </c>
      <c r="E199">
        <f>_xlfn.XLOOKUP(C199,Population_data!B:B,Population_data!C:C,"")</f>
        <v>411.79</v>
      </c>
      <c r="F199">
        <f>_xlfn.XLOOKUP(C199,Population_data!B:B,Population_data!D:D,"")</f>
        <v>130400</v>
      </c>
      <c r="G199">
        <f>_xlfn.XLOOKUP(C199,Population_data!B:B,Population_data!E:E,"")</f>
        <v>316.67</v>
      </c>
      <c r="H199">
        <f>_xlfn.XLOOKUP(C199,Population_data!B:B,Population_data!F:F,"")</f>
        <v>3.92</v>
      </c>
      <c r="I199">
        <f>_xlfn.XLOOKUP(C199,Population_data!B:B,Population_data!G:G,"")</f>
        <v>70.12</v>
      </c>
      <c r="J199" t="str">
        <f>_xlfn.XLOOKUP(D199,District_Crime_Unit_Map!A:A,District_Crime_Unit_Map!B:B,"")</f>
        <v>Barishal Range</v>
      </c>
      <c r="K199">
        <f>_xlfn.XLOOKUP(J199,Crime_Data!A:A,Crime_Data!V:V,"")</f>
        <v>112.01964836613054</v>
      </c>
      <c r="L199">
        <f>_xlfn.XLOOKUP(J199,Crime_Data!A:A,Crime_Data!W:W,"")</f>
        <v>22.37167391269287</v>
      </c>
      <c r="M199" t="str">
        <f>TRIM(Table6[[#This Row],[District]])&amp;"|"&amp;TRIM(Table6[[#This Row],[Upazila]])</f>
        <v>Patuakhali|Dashmina</v>
      </c>
      <c r="N199" t="str">
        <f>_xlfn.XLOOKUP(B199,Remittance_Data!A:A,Remittance_Data!B:B,"CHECK")</f>
        <v>CHECK</v>
      </c>
      <c r="O199" t="str">
        <f>_xlfn.XLOOKUP(B199,Remittance_Data!A:A,Remittance_Data!C:C,"CHECK")</f>
        <v>CHECK</v>
      </c>
      <c r="P199" t="str">
        <f>_xlfn.XLOOKUP(B199,Remittance_Data!A:A,Remittance_Data!D:D,"CHECK")</f>
        <v>CHECK</v>
      </c>
    </row>
    <row r="200" spans="1:16">
      <c r="A200" t="s">
        <v>352</v>
      </c>
      <c r="B200" t="str">
        <f>SUBSTITUTE(SUBSTITUTE(SUBSTITUTE(SUBSTITUTE(TRIM(Table6[[#This Row],[Constituency]]),"Barisal","Barishal"),"Jessore","Jashore"),"Bogra","Bogura"),"Chapai Nawabganj","Chapainawabganj")</f>
        <v>Patuakhali-4</v>
      </c>
      <c r="C200" t="s">
        <v>1142</v>
      </c>
      <c r="D200" t="s">
        <v>1137</v>
      </c>
      <c r="E200">
        <f>_xlfn.XLOOKUP(C200,Population_data!B:B,Population_data!C:C,"")</f>
        <v>483.92</v>
      </c>
      <c r="F200">
        <f>_xlfn.XLOOKUP(C200,Population_data!B:B,Population_data!D:D,"")</f>
        <v>286988</v>
      </c>
      <c r="G200">
        <f>_xlfn.XLOOKUP(C200,Population_data!B:B,Population_data!E:E,"")</f>
        <v>593.04999999999995</v>
      </c>
      <c r="H200">
        <f>_xlfn.XLOOKUP(C200,Population_data!B:B,Population_data!F:F,"")</f>
        <v>4</v>
      </c>
      <c r="I200">
        <f>_xlfn.XLOOKUP(C200,Population_data!B:B,Population_data!G:G,"")</f>
        <v>80.099999999999994</v>
      </c>
      <c r="J200" t="str">
        <f>_xlfn.XLOOKUP(D200,District_Crime_Unit_Map!A:A,District_Crime_Unit_Map!B:B,"")</f>
        <v>Barishal Range</v>
      </c>
      <c r="K200">
        <f>_xlfn.XLOOKUP(J200,Crime_Data!A:A,Crime_Data!V:V,"")</f>
        <v>112.01964836613054</v>
      </c>
      <c r="L200">
        <f>_xlfn.XLOOKUP(J200,Crime_Data!A:A,Crime_Data!W:W,"")</f>
        <v>22.37167391269287</v>
      </c>
      <c r="M200" t="str">
        <f>TRIM(Table6[[#This Row],[District]])&amp;"|"&amp;TRIM(Table6[[#This Row],[Upazila]])</f>
        <v>Patuakhali|Kalapara</v>
      </c>
      <c r="N200" t="str">
        <f>_xlfn.XLOOKUP(B200,Remittance_Data!A:A,Remittance_Data!B:B,"CHECK")</f>
        <v>CHECK</v>
      </c>
      <c r="O200" t="str">
        <f>_xlfn.XLOOKUP(B200,Remittance_Data!A:A,Remittance_Data!C:C,"CHECK")</f>
        <v>CHECK</v>
      </c>
      <c r="P200" t="str">
        <f>_xlfn.XLOOKUP(B200,Remittance_Data!A:A,Remittance_Data!D:D,"CHECK")</f>
        <v>CHECK</v>
      </c>
    </row>
    <row r="201" spans="1:16">
      <c r="A201" t="s">
        <v>352</v>
      </c>
      <c r="B201" t="str">
        <f>SUBSTITUTE(SUBSTITUTE(SUBSTITUTE(SUBSTITUTE(TRIM(Table6[[#This Row],[Constituency]]),"Barisal","Barishal"),"Jessore","Jashore"),"Bogra","Bogura"),"Chapai Nawabganj","Chapainawabganj")</f>
        <v>Patuakhali-4</v>
      </c>
      <c r="C201" t="s">
        <v>1143</v>
      </c>
      <c r="D201" t="s">
        <v>1137</v>
      </c>
      <c r="E201">
        <f>_xlfn.XLOOKUP(C201,Population_data!B:B,Population_data!C:C,"")</f>
        <v>219.15</v>
      </c>
      <c r="F201">
        <f>_xlfn.XLOOKUP(C201,Population_data!B:B,Population_data!D:D,"")</f>
        <v>118375</v>
      </c>
      <c r="G201">
        <f>_xlfn.XLOOKUP(C201,Population_data!B:B,Population_data!E:E,"")</f>
        <v>540.16</v>
      </c>
      <c r="H201">
        <f>_xlfn.XLOOKUP(C201,Population_data!B:B,Population_data!F:F,"")</f>
        <v>4.16</v>
      </c>
      <c r="I201">
        <f>_xlfn.XLOOKUP(C201,Population_data!B:B,Population_data!G:G,"")</f>
        <v>70.22</v>
      </c>
      <c r="J201" t="str">
        <f>_xlfn.XLOOKUP(D201,District_Crime_Unit_Map!A:A,District_Crime_Unit_Map!B:B,"")</f>
        <v>Barishal Range</v>
      </c>
      <c r="K201">
        <f>_xlfn.XLOOKUP(J201,Crime_Data!A:A,Crime_Data!V:V,"")</f>
        <v>112.01964836613054</v>
      </c>
      <c r="L201">
        <f>_xlfn.XLOOKUP(J201,Crime_Data!A:A,Crime_Data!W:W,"")</f>
        <v>22.37167391269287</v>
      </c>
      <c r="M201" t="str">
        <f>TRIM(Table6[[#This Row],[District]])&amp;"|"&amp;TRIM(Table6[[#This Row],[Upazila]])</f>
        <v>Patuakhali|Rangabali</v>
      </c>
      <c r="N201" t="str">
        <f>_xlfn.XLOOKUP(B201,Remittance_Data!A:A,Remittance_Data!B:B,"CHECK")</f>
        <v>CHECK</v>
      </c>
      <c r="O201" t="str">
        <f>_xlfn.XLOOKUP(B201,Remittance_Data!A:A,Remittance_Data!C:C,"CHECK")</f>
        <v>CHECK</v>
      </c>
      <c r="P201" t="str">
        <f>_xlfn.XLOOKUP(B201,Remittance_Data!A:A,Remittance_Data!D:D,"CHECK")</f>
        <v>CHECK</v>
      </c>
    </row>
    <row r="202" spans="1:16">
      <c r="A202" t="s">
        <v>355</v>
      </c>
      <c r="B202" t="str">
        <f>SUBSTITUTE(SUBSTITUTE(SUBSTITUTE(SUBSTITUTE(TRIM(Table6[[#This Row],[Constituency]]),"Barisal","Barishal"),"Jessore","Jashore"),"Bogra","Bogura"),"Chapai Nawabganj","Chapainawabganj")</f>
        <v>Bhola-1</v>
      </c>
      <c r="C202" t="s">
        <v>1144</v>
      </c>
      <c r="D202" t="s">
        <v>1145</v>
      </c>
      <c r="E202">
        <f>_xlfn.XLOOKUP(C202,Population_data!B:B,Population_data!C:C,"")</f>
        <v>351.87</v>
      </c>
      <c r="F202">
        <f>_xlfn.XLOOKUP(C202,Population_data!B:B,Population_data!D:D,"")</f>
        <v>444828</v>
      </c>
      <c r="G202">
        <f>_xlfn.XLOOKUP(C202,Population_data!B:B,Population_data!E:E,"")</f>
        <v>1264.18</v>
      </c>
      <c r="H202">
        <f>_xlfn.XLOOKUP(C202,Population_data!B:B,Population_data!F:F,"")</f>
        <v>4.29</v>
      </c>
      <c r="I202">
        <f>_xlfn.XLOOKUP(C202,Population_data!B:B,Population_data!G:G,"")</f>
        <v>70.41</v>
      </c>
      <c r="J202" t="str">
        <f>_xlfn.XLOOKUP(D202,District_Crime_Unit_Map!A:A,District_Crime_Unit_Map!B:B,"")</f>
        <v>Barishal Range</v>
      </c>
      <c r="K202">
        <f>_xlfn.XLOOKUP(J202,Crime_Data!A:A,Crime_Data!V:V,"")</f>
        <v>112.01964836613054</v>
      </c>
      <c r="L202">
        <f>_xlfn.XLOOKUP(J202,Crime_Data!A:A,Crime_Data!W:W,"")</f>
        <v>22.37167391269287</v>
      </c>
      <c r="M202" t="str">
        <f>TRIM(Table6[[#This Row],[District]])&amp;"|"&amp;TRIM(Table6[[#This Row],[Upazila]])</f>
        <v>Bhola|Bhola Sadar</v>
      </c>
      <c r="N202" t="str">
        <f>_xlfn.XLOOKUP(B202,Remittance_Data!A:A,Remittance_Data!B:B,"CHECK")</f>
        <v>CHECK</v>
      </c>
      <c r="O202" t="str">
        <f>_xlfn.XLOOKUP(B202,Remittance_Data!A:A,Remittance_Data!C:C,"CHECK")</f>
        <v>CHECK</v>
      </c>
      <c r="P202" t="str">
        <f>_xlfn.XLOOKUP(B202,Remittance_Data!A:A,Remittance_Data!D:D,"CHECK")</f>
        <v>CHECK</v>
      </c>
    </row>
    <row r="203" spans="1:16">
      <c r="A203" t="s">
        <v>359</v>
      </c>
      <c r="B203" t="str">
        <f>SUBSTITUTE(SUBSTITUTE(SUBSTITUTE(SUBSTITUTE(TRIM(Table6[[#This Row],[Constituency]]),"Barisal","Barishal"),"Jessore","Jashore"),"Bogra","Bogura"),"Chapai Nawabganj","Chapainawabganj")</f>
        <v>Bhola-2</v>
      </c>
      <c r="C203" t="s">
        <v>1146</v>
      </c>
      <c r="D203" t="s">
        <v>1145</v>
      </c>
      <c r="E203">
        <f>_xlfn.XLOOKUP(C203,Population_data!B:B,Population_data!C:C,"")</f>
        <v>457.55</v>
      </c>
      <c r="F203">
        <f>_xlfn.XLOOKUP(C203,Population_data!B:B,Population_data!D:D,"")</f>
        <v>265430</v>
      </c>
      <c r="G203">
        <f>_xlfn.XLOOKUP(C203,Population_data!B:B,Population_data!E:E,"")</f>
        <v>580.11</v>
      </c>
      <c r="H203">
        <f>_xlfn.XLOOKUP(C203,Population_data!B:B,Population_data!F:F,"")</f>
        <v>4.25</v>
      </c>
      <c r="I203">
        <f>_xlfn.XLOOKUP(C203,Population_data!B:B,Population_data!G:G,"")</f>
        <v>69.319999999999993</v>
      </c>
      <c r="J203" t="str">
        <f>_xlfn.XLOOKUP(D203,District_Crime_Unit_Map!A:A,District_Crime_Unit_Map!B:B,"")</f>
        <v>Barishal Range</v>
      </c>
      <c r="K203">
        <f>_xlfn.XLOOKUP(J203,Crime_Data!A:A,Crime_Data!V:V,"")</f>
        <v>112.01964836613054</v>
      </c>
      <c r="L203">
        <f>_xlfn.XLOOKUP(J203,Crime_Data!A:A,Crime_Data!W:W,"")</f>
        <v>22.37167391269287</v>
      </c>
      <c r="M203" t="str">
        <f>TRIM(Table6[[#This Row],[District]])&amp;"|"&amp;TRIM(Table6[[#This Row],[Upazila]])</f>
        <v>Bhola|Borhanuddin</v>
      </c>
      <c r="N203" t="str">
        <f>_xlfn.XLOOKUP(B203,Remittance_Data!A:A,Remittance_Data!B:B,"CHECK")</f>
        <v>CHECK</v>
      </c>
      <c r="O203" t="str">
        <f>_xlfn.XLOOKUP(B203,Remittance_Data!A:A,Remittance_Data!C:C,"CHECK")</f>
        <v>CHECK</v>
      </c>
      <c r="P203" t="str">
        <f>_xlfn.XLOOKUP(B203,Remittance_Data!A:A,Remittance_Data!D:D,"CHECK")</f>
        <v>CHECK</v>
      </c>
    </row>
    <row r="204" spans="1:16">
      <c r="A204" t="s">
        <v>359</v>
      </c>
      <c r="B204" t="str">
        <f>SUBSTITUTE(SUBSTITUTE(SUBSTITUTE(SUBSTITUTE(TRIM(Table6[[#This Row],[Constituency]]),"Barisal","Barishal"),"Jessore","Jashore"),"Bogra","Bogura"),"Chapai Nawabganj","Chapainawabganj")</f>
        <v>Bhola-2</v>
      </c>
      <c r="C204" t="s">
        <v>1147</v>
      </c>
      <c r="D204" t="s">
        <v>1145</v>
      </c>
      <c r="E204">
        <f>_xlfn.XLOOKUP(C204,Population_data!B:B,Population_data!C:C,"")</f>
        <v>397.67</v>
      </c>
      <c r="F204">
        <f>_xlfn.XLOOKUP(C204,Population_data!B:B,Population_data!D:D,"")</f>
        <v>181809</v>
      </c>
      <c r="G204">
        <f>_xlfn.XLOOKUP(C204,Population_data!B:B,Population_data!E:E,"")</f>
        <v>457.19</v>
      </c>
      <c r="H204">
        <f>_xlfn.XLOOKUP(C204,Population_data!B:B,Population_data!F:F,"")</f>
        <v>4.28</v>
      </c>
      <c r="I204">
        <f>_xlfn.XLOOKUP(C204,Population_data!B:B,Population_data!G:G,"")</f>
        <v>66.67</v>
      </c>
      <c r="J204" t="str">
        <f>_xlfn.XLOOKUP(D204,District_Crime_Unit_Map!A:A,District_Crime_Unit_Map!B:B,"")</f>
        <v>Barishal Range</v>
      </c>
      <c r="K204">
        <f>_xlfn.XLOOKUP(J204,Crime_Data!A:A,Crime_Data!V:V,"")</f>
        <v>112.01964836613054</v>
      </c>
      <c r="L204">
        <f>_xlfn.XLOOKUP(J204,Crime_Data!A:A,Crime_Data!W:W,"")</f>
        <v>22.37167391269287</v>
      </c>
      <c r="M204" t="str">
        <f>TRIM(Table6[[#This Row],[District]])&amp;"|"&amp;TRIM(Table6[[#This Row],[Upazila]])</f>
        <v>Bhola|Daulatkhan</v>
      </c>
      <c r="N204" t="str">
        <f>_xlfn.XLOOKUP(B204,Remittance_Data!A:A,Remittance_Data!B:B,"CHECK")</f>
        <v>CHECK</v>
      </c>
      <c r="O204" t="str">
        <f>_xlfn.XLOOKUP(B204,Remittance_Data!A:A,Remittance_Data!C:C,"CHECK")</f>
        <v>CHECK</v>
      </c>
      <c r="P204" t="str">
        <f>_xlfn.XLOOKUP(B204,Remittance_Data!A:A,Remittance_Data!D:D,"CHECK")</f>
        <v>CHECK</v>
      </c>
    </row>
    <row r="205" spans="1:16">
      <c r="A205" t="s">
        <v>362</v>
      </c>
      <c r="B205" t="str">
        <f>SUBSTITUTE(SUBSTITUTE(SUBSTITUTE(SUBSTITUTE(TRIM(Table6[[#This Row],[Constituency]]),"Barisal","Barishal"),"Jessore","Jashore"),"Bogra","Bogura"),"Chapai Nawabganj","Chapainawabganj")</f>
        <v>Bhola-3</v>
      </c>
      <c r="C205" t="s">
        <v>1148</v>
      </c>
      <c r="D205" t="s">
        <v>1145</v>
      </c>
      <c r="E205">
        <f>_xlfn.XLOOKUP(C205,Population_data!B:B,Population_data!C:C,"")</f>
        <v>546.4</v>
      </c>
      <c r="F205">
        <f>_xlfn.XLOOKUP(C205,Population_data!B:B,Population_data!D:D,"")</f>
        <v>297669</v>
      </c>
      <c r="G205">
        <f>_xlfn.XLOOKUP(C205,Population_data!B:B,Population_data!E:E,"")</f>
        <v>544.78</v>
      </c>
      <c r="H205">
        <f>_xlfn.XLOOKUP(C205,Population_data!B:B,Population_data!F:F,"")</f>
        <v>4.22</v>
      </c>
      <c r="I205">
        <f>_xlfn.XLOOKUP(C205,Population_data!B:B,Population_data!G:G,"")</f>
        <v>64.63</v>
      </c>
      <c r="J205" t="str">
        <f>_xlfn.XLOOKUP(D205,District_Crime_Unit_Map!A:A,District_Crime_Unit_Map!B:B,"")</f>
        <v>Barishal Range</v>
      </c>
      <c r="K205">
        <f>_xlfn.XLOOKUP(J205,Crime_Data!A:A,Crime_Data!V:V,"")</f>
        <v>112.01964836613054</v>
      </c>
      <c r="L205">
        <f>_xlfn.XLOOKUP(J205,Crime_Data!A:A,Crime_Data!W:W,"")</f>
        <v>22.37167391269287</v>
      </c>
      <c r="M205" t="str">
        <f>TRIM(Table6[[#This Row],[District]])&amp;"|"&amp;TRIM(Table6[[#This Row],[Upazila]])</f>
        <v>Bhola|Lalmohan</v>
      </c>
      <c r="N205" t="str">
        <f>_xlfn.XLOOKUP(B205,Remittance_Data!A:A,Remittance_Data!B:B,"CHECK")</f>
        <v>CHECK</v>
      </c>
      <c r="O205" t="str">
        <f>_xlfn.XLOOKUP(B205,Remittance_Data!A:A,Remittance_Data!C:C,"CHECK")</f>
        <v>CHECK</v>
      </c>
      <c r="P205" t="str">
        <f>_xlfn.XLOOKUP(B205,Remittance_Data!A:A,Remittance_Data!D:D,"CHECK")</f>
        <v>CHECK</v>
      </c>
    </row>
    <row r="206" spans="1:16">
      <c r="A206" t="s">
        <v>362</v>
      </c>
      <c r="B206" t="str">
        <f>SUBSTITUTE(SUBSTITUTE(SUBSTITUTE(SUBSTITUTE(TRIM(Table6[[#This Row],[Constituency]]),"Barisal","Barishal"),"Jessore","Jashore"),"Bogra","Bogura"),"Chapai Nawabganj","Chapainawabganj")</f>
        <v>Bhola-3</v>
      </c>
      <c r="C206" t="s">
        <v>1149</v>
      </c>
      <c r="D206" t="s">
        <v>1145</v>
      </c>
      <c r="E206">
        <f>_xlfn.XLOOKUP(C206,Population_data!B:B,Population_data!C:C,"")</f>
        <v>307.98</v>
      </c>
      <c r="F206">
        <f>_xlfn.XLOOKUP(C206,Population_data!B:B,Population_data!D:D,"")</f>
        <v>134173</v>
      </c>
      <c r="G206">
        <f>_xlfn.XLOOKUP(C206,Population_data!B:B,Population_data!E:E,"")</f>
        <v>435.65</v>
      </c>
      <c r="H206">
        <f>_xlfn.XLOOKUP(C206,Population_data!B:B,Population_data!F:F,"")</f>
        <v>4.1100000000000003</v>
      </c>
      <c r="I206">
        <f>_xlfn.XLOOKUP(C206,Population_data!B:B,Population_data!G:G,"")</f>
        <v>62.43</v>
      </c>
      <c r="J206" t="str">
        <f>_xlfn.XLOOKUP(D206,District_Crime_Unit_Map!A:A,District_Crime_Unit_Map!B:B,"")</f>
        <v>Barishal Range</v>
      </c>
      <c r="K206">
        <f>_xlfn.XLOOKUP(J206,Crime_Data!A:A,Crime_Data!V:V,"")</f>
        <v>112.01964836613054</v>
      </c>
      <c r="L206">
        <f>_xlfn.XLOOKUP(J206,Crime_Data!A:A,Crime_Data!W:W,"")</f>
        <v>22.37167391269287</v>
      </c>
      <c r="M206" t="str">
        <f>TRIM(Table6[[#This Row],[District]])&amp;"|"&amp;TRIM(Table6[[#This Row],[Upazila]])</f>
        <v>Bhola|Tazumuddin</v>
      </c>
      <c r="N206" t="str">
        <f>_xlfn.XLOOKUP(B206,Remittance_Data!A:A,Remittance_Data!B:B,"CHECK")</f>
        <v>CHECK</v>
      </c>
      <c r="O206" t="str">
        <f>_xlfn.XLOOKUP(B206,Remittance_Data!A:A,Remittance_Data!C:C,"CHECK")</f>
        <v>CHECK</v>
      </c>
      <c r="P206" t="str">
        <f>_xlfn.XLOOKUP(B206,Remittance_Data!A:A,Remittance_Data!D:D,"CHECK")</f>
        <v>CHECK</v>
      </c>
    </row>
    <row r="207" spans="1:16">
      <c r="A207" t="s">
        <v>366</v>
      </c>
      <c r="B207" t="str">
        <f>SUBSTITUTE(SUBSTITUTE(SUBSTITUTE(SUBSTITUTE(TRIM(Table6[[#This Row],[Constituency]]),"Barisal","Barishal"),"Jessore","Jashore"),"Bogra","Bogura"),"Chapai Nawabganj","Chapainawabganj")</f>
        <v>Bhola-4</v>
      </c>
      <c r="C207" t="s">
        <v>1577</v>
      </c>
      <c r="D207" t="s">
        <v>1145</v>
      </c>
      <c r="E207">
        <f>_xlfn.XLOOKUP(C207,Population_data!B:B,Population_data!C:C,"")</f>
        <v>309</v>
      </c>
      <c r="F207">
        <f>_xlfn.XLOOKUP(C207,Population_data!B:B,Population_data!D:D,"")</f>
        <v>518792</v>
      </c>
      <c r="G207">
        <f>_xlfn.XLOOKUP(C207,Population_data!B:B,Population_data!E:E,"")</f>
        <v>1678.94</v>
      </c>
      <c r="H207">
        <f>_xlfn.XLOOKUP(C207,Population_data!B:B,Population_data!F:F,"")</f>
        <v>4.29</v>
      </c>
      <c r="I207">
        <f>_xlfn.XLOOKUP(C207,Population_data!B:B,Population_data!G:G,"")</f>
        <v>67.62</v>
      </c>
      <c r="J207" t="str">
        <f>_xlfn.XLOOKUP(D207,District_Crime_Unit_Map!A:A,District_Crime_Unit_Map!B:B,"")</f>
        <v>Barishal Range</v>
      </c>
      <c r="K207">
        <f>_xlfn.XLOOKUP(J207,Crime_Data!A:A,Crime_Data!V:V,"")</f>
        <v>112.01964836613054</v>
      </c>
      <c r="L207">
        <f>_xlfn.XLOOKUP(J207,Crime_Data!A:A,Crime_Data!W:W,"")</f>
        <v>22.37167391269287</v>
      </c>
      <c r="M207" t="str">
        <f>TRIM(Table6[[#This Row],[District]])&amp;"|"&amp;TRIM(Table6[[#This Row],[Upazila]])</f>
        <v>Bhola|Char Fasion</v>
      </c>
      <c r="N207" t="str">
        <f>_xlfn.XLOOKUP(B207,Remittance_Data!A:A,Remittance_Data!B:B,"CHECK")</f>
        <v>CHECK</v>
      </c>
      <c r="O207" t="str">
        <f>_xlfn.XLOOKUP(B207,Remittance_Data!A:A,Remittance_Data!C:C,"CHECK")</f>
        <v>CHECK</v>
      </c>
      <c r="P207" t="str">
        <f>_xlfn.XLOOKUP(B207,Remittance_Data!A:A,Remittance_Data!D:D,"CHECK")</f>
        <v>CHECK</v>
      </c>
    </row>
    <row r="208" spans="1:16">
      <c r="A208" t="s">
        <v>1151</v>
      </c>
      <c r="B208" t="str">
        <f>SUBSTITUTE(SUBSTITUTE(SUBSTITUTE(SUBSTITUTE(TRIM(Table6[[#This Row],[Constituency]]),"Barisal","Barishal"),"Jessore","Jashore"),"Bogra","Bogura"),"Chapai Nawabganj","Chapainawabganj")</f>
        <v>Barishal-1</v>
      </c>
      <c r="C208" t="s">
        <v>1469</v>
      </c>
      <c r="D208" t="s">
        <v>334</v>
      </c>
      <c r="E208">
        <f>_xlfn.XLOOKUP(C208,Population_data!B:B,Population_data!C:C,"")</f>
        <v>248.58</v>
      </c>
      <c r="F208">
        <f>_xlfn.XLOOKUP(C208,Population_data!B:B,Population_data!D:D,"")</f>
        <v>205876</v>
      </c>
      <c r="G208">
        <f>_xlfn.XLOOKUP(C208,Population_data!B:B,Population_data!E:E,"")</f>
        <v>828.21</v>
      </c>
      <c r="H208">
        <f>_xlfn.XLOOKUP(C208,Population_data!B:B,Population_data!F:F,"")</f>
        <v>4.09</v>
      </c>
      <c r="I208">
        <f>_xlfn.XLOOKUP(C208,Population_data!B:B,Population_data!G:G,"")</f>
        <v>78.25</v>
      </c>
      <c r="J208" t="str">
        <f>_xlfn.XLOOKUP(D208,District_Crime_Unit_Map!A:A,District_Crime_Unit_Map!B:B,"")</f>
        <v>Barishal Range</v>
      </c>
      <c r="K208">
        <f>_xlfn.XLOOKUP(J208,Crime_Data!A:A,Crime_Data!V:V,"")</f>
        <v>112.01964836613054</v>
      </c>
      <c r="L208">
        <f>_xlfn.XLOOKUP(J208,Crime_Data!A:A,Crime_Data!W:W,"")</f>
        <v>22.37167391269287</v>
      </c>
      <c r="M208" t="str">
        <f>TRIM(Table6[[#This Row],[District]])&amp;"|"&amp;TRIM(Table6[[#This Row],[Upazila]])</f>
        <v>Barishal|Gaurnadi</v>
      </c>
      <c r="N208" t="str">
        <f>_xlfn.XLOOKUP(B208,Remittance_Data!A:A,Remittance_Data!B:B,"CHECK")</f>
        <v>CHECK</v>
      </c>
      <c r="O208" t="str">
        <f>_xlfn.XLOOKUP(B208,Remittance_Data!A:A,Remittance_Data!C:C,"CHECK")</f>
        <v>CHECK</v>
      </c>
      <c r="P208" t="str">
        <f>_xlfn.XLOOKUP(B208,Remittance_Data!A:A,Remittance_Data!D:D,"CHECK")</f>
        <v>CHECK</v>
      </c>
    </row>
    <row r="209" spans="1:16">
      <c r="A209" t="s">
        <v>1151</v>
      </c>
      <c r="B209" t="str">
        <f>SUBSTITUTE(SUBSTITUTE(SUBSTITUTE(SUBSTITUTE(TRIM(Table6[[#This Row],[Constituency]]),"Barisal","Barishal"),"Jessore","Jashore"),"Bogra","Bogura"),"Chapai Nawabganj","Chapainawabganj")</f>
        <v>Barishal-1</v>
      </c>
      <c r="C209" t="s">
        <v>1153</v>
      </c>
      <c r="D209" t="s">
        <v>334</v>
      </c>
      <c r="E209">
        <f>_xlfn.XLOOKUP(C209,Population_data!B:B,Population_data!C:C,"")</f>
        <v>161.82</v>
      </c>
      <c r="F209">
        <f>_xlfn.XLOOKUP(C209,Population_data!B:B,Population_data!D:D,"")</f>
        <v>156415</v>
      </c>
      <c r="G209">
        <f>_xlfn.XLOOKUP(C209,Population_data!B:B,Population_data!E:E,"")</f>
        <v>966.6</v>
      </c>
      <c r="H209">
        <f>_xlfn.XLOOKUP(C209,Population_data!B:B,Population_data!F:F,"")</f>
        <v>4.04</v>
      </c>
      <c r="I209">
        <f>_xlfn.XLOOKUP(C209,Population_data!B:B,Population_data!G:G,"")</f>
        <v>82.1</v>
      </c>
      <c r="J209" t="str">
        <f>_xlfn.XLOOKUP(D209,District_Crime_Unit_Map!A:A,District_Crime_Unit_Map!B:B,"")</f>
        <v>Barishal Range</v>
      </c>
      <c r="K209">
        <f>_xlfn.XLOOKUP(J209,Crime_Data!A:A,Crime_Data!V:V,"")</f>
        <v>112.01964836613054</v>
      </c>
      <c r="L209">
        <f>_xlfn.XLOOKUP(J209,Crime_Data!A:A,Crime_Data!W:W,"")</f>
        <v>22.37167391269287</v>
      </c>
      <c r="M209" t="str">
        <f>TRIM(Table6[[#This Row],[District]])&amp;"|"&amp;TRIM(Table6[[#This Row],[Upazila]])</f>
        <v>Barishal|Agailjhara</v>
      </c>
      <c r="N209" t="str">
        <f>_xlfn.XLOOKUP(B209,Remittance_Data!A:A,Remittance_Data!B:B,"CHECK")</f>
        <v>CHECK</v>
      </c>
      <c r="O209" t="str">
        <f>_xlfn.XLOOKUP(B209,Remittance_Data!A:A,Remittance_Data!C:C,"CHECK")</f>
        <v>CHECK</v>
      </c>
      <c r="P209" t="str">
        <f>_xlfn.XLOOKUP(B209,Remittance_Data!A:A,Remittance_Data!D:D,"CHECK")</f>
        <v>CHECK</v>
      </c>
    </row>
    <row r="210" spans="1:16">
      <c r="A210" t="s">
        <v>1154</v>
      </c>
      <c r="B210" t="str">
        <f>SUBSTITUTE(SUBSTITUTE(SUBSTITUTE(SUBSTITUTE(TRIM(Table6[[#This Row],[Constituency]]),"Barisal","Barishal"),"Jessore","Jashore"),"Bogra","Bogura"),"Chapai Nawabganj","Chapainawabganj")</f>
        <v>Barishal-2</v>
      </c>
      <c r="C210" t="s">
        <v>1155</v>
      </c>
      <c r="D210" t="s">
        <v>334</v>
      </c>
      <c r="E210">
        <f>_xlfn.XLOOKUP(C210,Population_data!B:B,Population_data!C:C,"")</f>
        <v>248.47</v>
      </c>
      <c r="F210">
        <f>_xlfn.XLOOKUP(C210,Population_data!B:B,Population_data!D:D,"")</f>
        <v>254503</v>
      </c>
      <c r="G210">
        <f>_xlfn.XLOOKUP(C210,Population_data!B:B,Population_data!E:E,"")</f>
        <v>1024.28</v>
      </c>
      <c r="H210">
        <f>_xlfn.XLOOKUP(C210,Population_data!B:B,Population_data!F:F,"")</f>
        <v>4.08</v>
      </c>
      <c r="I210">
        <f>_xlfn.XLOOKUP(C210,Population_data!B:B,Population_data!G:G,"")</f>
        <v>79.84</v>
      </c>
      <c r="J210" t="str">
        <f>_xlfn.XLOOKUP(D210,District_Crime_Unit_Map!A:A,District_Crime_Unit_Map!B:B,"")</f>
        <v>Barishal Range</v>
      </c>
      <c r="K210">
        <f>_xlfn.XLOOKUP(J210,Crime_Data!A:A,Crime_Data!V:V,"")</f>
        <v>112.01964836613054</v>
      </c>
      <c r="L210">
        <f>_xlfn.XLOOKUP(J210,Crime_Data!A:A,Crime_Data!W:W,"")</f>
        <v>22.37167391269287</v>
      </c>
      <c r="M210" t="str">
        <f>TRIM(Table6[[#This Row],[District]])&amp;"|"&amp;TRIM(Table6[[#This Row],[Upazila]])</f>
        <v>Barishal|Uzirpur</v>
      </c>
      <c r="N210" t="str">
        <f>_xlfn.XLOOKUP(B210,Remittance_Data!A:A,Remittance_Data!B:B,"CHECK")</f>
        <v>CHECK</v>
      </c>
      <c r="O210" t="str">
        <f>_xlfn.XLOOKUP(B210,Remittance_Data!A:A,Remittance_Data!C:C,"CHECK")</f>
        <v>CHECK</v>
      </c>
      <c r="P210" t="str">
        <f>_xlfn.XLOOKUP(B210,Remittance_Data!A:A,Remittance_Data!D:D,"CHECK")</f>
        <v>CHECK</v>
      </c>
    </row>
    <row r="211" spans="1:16">
      <c r="A211" t="s">
        <v>1154</v>
      </c>
      <c r="B211" t="str">
        <f>SUBSTITUTE(SUBSTITUTE(SUBSTITUTE(SUBSTITUTE(TRIM(Table6[[#This Row],[Constituency]]),"Barisal","Barishal"),"Jessore","Jashore"),"Bogra","Bogura"),"Chapai Nawabganj","Chapainawabganj")</f>
        <v>Barishal-2</v>
      </c>
      <c r="C211" t="s">
        <v>1156</v>
      </c>
      <c r="D211" t="s">
        <v>334</v>
      </c>
      <c r="E211">
        <f>_xlfn.XLOOKUP(C211,Population_data!B:B,Population_data!C:C,"")</f>
        <v>160.13</v>
      </c>
      <c r="F211">
        <f>_xlfn.XLOOKUP(C211,Population_data!B:B,Population_data!D:D,"")</f>
        <v>169874</v>
      </c>
      <c r="G211">
        <f>_xlfn.XLOOKUP(C211,Population_data!B:B,Population_data!E:E,"")</f>
        <v>1060.8499999999999</v>
      </c>
      <c r="H211">
        <f>_xlfn.XLOOKUP(C211,Population_data!B:B,Population_data!F:F,"")</f>
        <v>4.09</v>
      </c>
      <c r="I211">
        <f>_xlfn.XLOOKUP(C211,Population_data!B:B,Population_data!G:G,"")</f>
        <v>83.84</v>
      </c>
      <c r="J211" t="str">
        <f>_xlfn.XLOOKUP(D211,District_Crime_Unit_Map!A:A,District_Crime_Unit_Map!B:B,"")</f>
        <v>Barishal Range</v>
      </c>
      <c r="K211">
        <f>_xlfn.XLOOKUP(J211,Crime_Data!A:A,Crime_Data!V:V,"")</f>
        <v>112.01964836613054</v>
      </c>
      <c r="L211">
        <f>_xlfn.XLOOKUP(J211,Crime_Data!A:A,Crime_Data!W:W,"")</f>
        <v>22.37167391269287</v>
      </c>
      <c r="M211" t="str">
        <f>TRIM(Table6[[#This Row],[District]])&amp;"|"&amp;TRIM(Table6[[#This Row],[Upazila]])</f>
        <v>Barishal|Banaripara</v>
      </c>
      <c r="N211" t="str">
        <f>_xlfn.XLOOKUP(B211,Remittance_Data!A:A,Remittance_Data!B:B,"CHECK")</f>
        <v>CHECK</v>
      </c>
      <c r="O211" t="str">
        <f>_xlfn.XLOOKUP(B211,Remittance_Data!A:A,Remittance_Data!C:C,"CHECK")</f>
        <v>CHECK</v>
      </c>
      <c r="P211" t="str">
        <f>_xlfn.XLOOKUP(B211,Remittance_Data!A:A,Remittance_Data!D:D,"CHECK")</f>
        <v>CHECK</v>
      </c>
    </row>
    <row r="212" spans="1:16">
      <c r="A212" t="s">
        <v>1157</v>
      </c>
      <c r="B212" t="str">
        <f>SUBSTITUTE(SUBSTITUTE(SUBSTITUTE(SUBSTITUTE(TRIM(Table6[[#This Row],[Constituency]]),"Barisal","Barishal"),"Jessore","Jashore"),"Bogra","Bogura"),"Chapai Nawabganj","Chapainawabganj")</f>
        <v>Barishal-3</v>
      </c>
      <c r="C212" t="s">
        <v>1158</v>
      </c>
      <c r="D212" t="s">
        <v>334</v>
      </c>
      <c r="E212">
        <f>_xlfn.XLOOKUP(C212,Population_data!B:B,Population_data!C:C,"")</f>
        <v>54.17</v>
      </c>
      <c r="F212">
        <f>_xlfn.XLOOKUP(C212,Population_data!B:B,Population_data!D:D,"")</f>
        <v>237207</v>
      </c>
      <c r="G212">
        <f>_xlfn.XLOOKUP(C212,Population_data!B:B,Population_data!E:E,"")</f>
        <v>4378.9399999999996</v>
      </c>
      <c r="H212">
        <f>_xlfn.XLOOKUP(C212,Population_data!B:B,Population_data!F:F,"")</f>
        <v>4.1500000000000004</v>
      </c>
      <c r="I212">
        <f>_xlfn.XLOOKUP(C212,Population_data!B:B,Population_data!G:G,"")</f>
        <v>80.010000000000005</v>
      </c>
      <c r="J212" t="str">
        <f>_xlfn.XLOOKUP(D212,District_Crime_Unit_Map!A:A,District_Crime_Unit_Map!B:B,"")</f>
        <v>Barishal Range</v>
      </c>
      <c r="K212">
        <f>_xlfn.XLOOKUP(J212,Crime_Data!A:A,Crime_Data!V:V,"")</f>
        <v>112.01964836613054</v>
      </c>
      <c r="L212">
        <f>_xlfn.XLOOKUP(J212,Crime_Data!A:A,Crime_Data!W:W,"")</f>
        <v>22.37167391269287</v>
      </c>
      <c r="M212" t="str">
        <f>TRIM(Table6[[#This Row],[District]])&amp;"|"&amp;TRIM(Table6[[#This Row],[Upazila]])</f>
        <v>Barishal|Barishal Sadar</v>
      </c>
      <c r="N212" t="str">
        <f>_xlfn.XLOOKUP(B212,Remittance_Data!A:A,Remittance_Data!B:B,"CHECK")</f>
        <v>CHECK</v>
      </c>
      <c r="O212" t="str">
        <f>_xlfn.XLOOKUP(B212,Remittance_Data!A:A,Remittance_Data!C:C,"CHECK")</f>
        <v>CHECK</v>
      </c>
      <c r="P212" t="str">
        <f>_xlfn.XLOOKUP(B212,Remittance_Data!A:A,Remittance_Data!D:D,"CHECK")</f>
        <v>CHECK</v>
      </c>
    </row>
    <row r="213" spans="1:16">
      <c r="A213" t="s">
        <v>1159</v>
      </c>
      <c r="B213" t="str">
        <f>SUBSTITUTE(SUBSTITUTE(SUBSTITUTE(SUBSTITUTE(TRIM(Table6[[#This Row],[Constituency]]),"Barisal","Barishal"),"Jessore","Jashore"),"Bogra","Bogura"),"Chapai Nawabganj","Chapainawabganj")</f>
        <v>Barishal-4</v>
      </c>
      <c r="C213" t="s">
        <v>1160</v>
      </c>
      <c r="D213" t="s">
        <v>334</v>
      </c>
      <c r="E213">
        <f>_xlfn.XLOOKUP(C213,Population_data!B:B,Population_data!C:C,"")</f>
        <v>774.5</v>
      </c>
      <c r="F213">
        <f>_xlfn.XLOOKUP(C213,Population_data!B:B,Population_data!D:D,"")</f>
        <v>283877</v>
      </c>
      <c r="G213">
        <f>_xlfn.XLOOKUP(C213,Population_data!B:B,Population_data!E:E,"")</f>
        <v>366.53</v>
      </c>
      <c r="H213">
        <f>_xlfn.XLOOKUP(C213,Population_data!B:B,Population_data!F:F,"")</f>
        <v>4.04</v>
      </c>
      <c r="I213">
        <f>_xlfn.XLOOKUP(C213,Population_data!B:B,Population_data!G:G,"")</f>
        <v>71.23</v>
      </c>
      <c r="J213" t="str">
        <f>_xlfn.XLOOKUP(D213,District_Crime_Unit_Map!A:A,District_Crime_Unit_Map!B:B,"")</f>
        <v>Barishal Range</v>
      </c>
      <c r="K213">
        <f>_xlfn.XLOOKUP(J213,Crime_Data!A:A,Crime_Data!V:V,"")</f>
        <v>112.01964836613054</v>
      </c>
      <c r="L213">
        <f>_xlfn.XLOOKUP(J213,Crime_Data!A:A,Crime_Data!W:W,"")</f>
        <v>22.37167391269287</v>
      </c>
      <c r="M213" t="str">
        <f>TRIM(Table6[[#This Row],[District]])&amp;"|"&amp;TRIM(Table6[[#This Row],[Upazila]])</f>
        <v>Barishal|Mehendiganj</v>
      </c>
      <c r="N213" t="str">
        <f>_xlfn.XLOOKUP(B213,Remittance_Data!A:A,Remittance_Data!B:B,"CHECK")</f>
        <v>CHECK</v>
      </c>
      <c r="O213" t="str">
        <f>_xlfn.XLOOKUP(B213,Remittance_Data!A:A,Remittance_Data!C:C,"CHECK")</f>
        <v>CHECK</v>
      </c>
      <c r="P213" t="str">
        <f>_xlfn.XLOOKUP(B213,Remittance_Data!A:A,Remittance_Data!D:D,"CHECK")</f>
        <v>CHECK</v>
      </c>
    </row>
    <row r="214" spans="1:16">
      <c r="A214" t="s">
        <v>1161</v>
      </c>
      <c r="B214" t="str">
        <f>SUBSTITUTE(SUBSTITUTE(SUBSTITUTE(SUBSTITUTE(TRIM(Table6[[#This Row],[Constituency]]),"Barisal","Barishal"),"Jessore","Jashore"),"Bogra","Bogura"),"Chapai Nawabganj","Chapainawabganj")</f>
        <v>Barishal-5</v>
      </c>
      <c r="C214" t="s">
        <v>1162</v>
      </c>
      <c r="D214" t="s">
        <v>334</v>
      </c>
      <c r="E214">
        <f>_xlfn.XLOOKUP(C214,Population_data!B:B,Population_data!C:C,"")</f>
        <v>259.56</v>
      </c>
      <c r="F214">
        <f>_xlfn.XLOOKUP(C214,Population_data!B:B,Population_data!D:D,"")</f>
        <v>356012</v>
      </c>
      <c r="G214">
        <f>_xlfn.XLOOKUP(C214,Population_data!B:B,Population_data!E:E,"")</f>
        <v>1371.6</v>
      </c>
      <c r="H214">
        <f>_xlfn.XLOOKUP(C214,Population_data!B:B,Population_data!F:F,"")</f>
        <v>3.96</v>
      </c>
      <c r="I214">
        <f>_xlfn.XLOOKUP(C214,Population_data!B:B,Population_data!G:G,"")</f>
        <v>79.930000000000007</v>
      </c>
      <c r="J214" t="str">
        <f>_xlfn.XLOOKUP(D214,District_Crime_Unit_Map!A:A,District_Crime_Unit_Map!B:B,"")</f>
        <v>Barishal Range</v>
      </c>
      <c r="K214">
        <f>_xlfn.XLOOKUP(J214,Crime_Data!A:A,Crime_Data!V:V,"")</f>
        <v>112.01964836613054</v>
      </c>
      <c r="L214">
        <f>_xlfn.XLOOKUP(J214,Crime_Data!A:A,Crime_Data!W:W,"")</f>
        <v>22.37167391269287</v>
      </c>
      <c r="M214" t="str">
        <f>TRIM(Table6[[#This Row],[District]])&amp;"|"&amp;TRIM(Table6[[#This Row],[Upazila]])</f>
        <v>Barishal|Bakerganj</v>
      </c>
      <c r="N214" t="str">
        <f>_xlfn.XLOOKUP(B214,Remittance_Data!A:A,Remittance_Data!B:B,"CHECK")</f>
        <v>CHECK</v>
      </c>
      <c r="O214" t="str">
        <f>_xlfn.XLOOKUP(B214,Remittance_Data!A:A,Remittance_Data!C:C,"CHECK")</f>
        <v>CHECK</v>
      </c>
      <c r="P214" t="str">
        <f>_xlfn.XLOOKUP(B214,Remittance_Data!A:A,Remittance_Data!D:D,"CHECK")</f>
        <v>CHECK</v>
      </c>
    </row>
    <row r="215" spans="1:16">
      <c r="A215" t="s">
        <v>1163</v>
      </c>
      <c r="B215" t="str">
        <f>SUBSTITUTE(SUBSTITUTE(SUBSTITUTE(SUBSTITUTE(TRIM(Table6[[#This Row],[Constituency]]),"Barisal","Barishal"),"Jessore","Jashore"),"Bogra","Bogura"),"Chapai Nawabganj","Chapainawabganj")</f>
        <v>Barishal-6</v>
      </c>
      <c r="C215" t="s">
        <v>1164</v>
      </c>
      <c r="D215" t="s">
        <v>334</v>
      </c>
      <c r="E215">
        <f>_xlfn.XLOOKUP(C215,Population_data!B:B,Population_data!C:C,"")</f>
        <v>163.38999999999999</v>
      </c>
      <c r="F215">
        <f>_xlfn.XLOOKUP(C215,Population_data!B:B,Population_data!D:D,"")</f>
        <v>181923</v>
      </c>
      <c r="G215">
        <f>_xlfn.XLOOKUP(C215,Population_data!B:B,Population_data!E:E,"")</f>
        <v>1113.43</v>
      </c>
      <c r="H215">
        <f>_xlfn.XLOOKUP(C215,Population_data!B:B,Population_data!F:F,"")</f>
        <v>3.88</v>
      </c>
      <c r="I215">
        <f>_xlfn.XLOOKUP(C215,Population_data!B:B,Population_data!G:G,"")</f>
        <v>74.34</v>
      </c>
      <c r="J215" t="str">
        <f>_xlfn.XLOOKUP(D215,District_Crime_Unit_Map!A:A,District_Crime_Unit_Map!B:B,"")</f>
        <v>Barishal Range</v>
      </c>
      <c r="K215">
        <f>_xlfn.XLOOKUP(J215,Crime_Data!A:A,Crime_Data!V:V,"")</f>
        <v>112.01964836613054</v>
      </c>
      <c r="L215">
        <f>_xlfn.XLOOKUP(J215,Crime_Data!A:A,Crime_Data!W:W,"")</f>
        <v>22.37167391269287</v>
      </c>
      <c r="M215" t="str">
        <f>TRIM(Table6[[#This Row],[District]])&amp;"|"&amp;TRIM(Table6[[#This Row],[Upazila]])</f>
        <v>Barishal|Muladi</v>
      </c>
      <c r="N215" t="str">
        <f>_xlfn.XLOOKUP(B215,Remittance_Data!A:A,Remittance_Data!B:B,"CHECK")</f>
        <v>CHECK</v>
      </c>
      <c r="O215" t="str">
        <f>_xlfn.XLOOKUP(B215,Remittance_Data!A:A,Remittance_Data!C:C,"CHECK")</f>
        <v>CHECK</v>
      </c>
      <c r="P215" t="str">
        <f>_xlfn.XLOOKUP(B215,Remittance_Data!A:A,Remittance_Data!D:D,"CHECK")</f>
        <v>CHECK</v>
      </c>
    </row>
    <row r="216" spans="1:16">
      <c r="A216" t="s">
        <v>1163</v>
      </c>
      <c r="B216" t="str">
        <f>SUBSTITUTE(SUBSTITUTE(SUBSTITUTE(SUBSTITUTE(TRIM(Table6[[#This Row],[Constituency]]),"Barisal","Barishal"),"Jessore","Jashore"),"Bogra","Bogura"),"Chapai Nawabganj","Chapainawabganj")</f>
        <v>Barishal-6</v>
      </c>
      <c r="C216" t="s">
        <v>1165</v>
      </c>
      <c r="D216" t="s">
        <v>334</v>
      </c>
      <c r="E216">
        <f>_xlfn.XLOOKUP(C216,Population_data!B:B,Population_data!C:C,"")</f>
        <v>210.16</v>
      </c>
      <c r="F216">
        <f>_xlfn.XLOOKUP(C216,Population_data!B:B,Population_data!D:D,"")</f>
        <v>150666</v>
      </c>
      <c r="G216">
        <f>_xlfn.XLOOKUP(C216,Population_data!B:B,Population_data!E:E,"")</f>
        <v>716.91</v>
      </c>
      <c r="H216">
        <f>_xlfn.XLOOKUP(C216,Population_data!B:B,Population_data!F:F,"")</f>
        <v>4.26</v>
      </c>
      <c r="I216">
        <f>_xlfn.XLOOKUP(C216,Population_data!B:B,Population_data!G:G,"")</f>
        <v>69.83</v>
      </c>
      <c r="J216" t="str">
        <f>_xlfn.XLOOKUP(D216,District_Crime_Unit_Map!A:A,District_Crime_Unit_Map!B:B,"")</f>
        <v>Barishal Range</v>
      </c>
      <c r="K216">
        <f>_xlfn.XLOOKUP(J216,Crime_Data!A:A,Crime_Data!V:V,"")</f>
        <v>112.01964836613054</v>
      </c>
      <c r="L216">
        <f>_xlfn.XLOOKUP(J216,Crime_Data!A:A,Crime_Data!W:W,"")</f>
        <v>22.37167391269287</v>
      </c>
      <c r="M216" t="str">
        <f>TRIM(Table6[[#This Row],[District]])&amp;"|"&amp;TRIM(Table6[[#This Row],[Upazila]])</f>
        <v>Barishal|Hizla</v>
      </c>
      <c r="N216" t="str">
        <f>_xlfn.XLOOKUP(B216,Remittance_Data!A:A,Remittance_Data!B:B,"CHECK")</f>
        <v>CHECK</v>
      </c>
      <c r="O216" t="str">
        <f>_xlfn.XLOOKUP(B216,Remittance_Data!A:A,Remittance_Data!C:C,"CHECK")</f>
        <v>CHECK</v>
      </c>
      <c r="P216" t="str">
        <f>_xlfn.XLOOKUP(B216,Remittance_Data!A:A,Remittance_Data!D:D,"CHECK")</f>
        <v>CHECK</v>
      </c>
    </row>
    <row r="217" spans="1:16">
      <c r="A217" t="s">
        <v>388</v>
      </c>
      <c r="B217" t="str">
        <f>SUBSTITUTE(SUBSTITUTE(SUBSTITUTE(SUBSTITUTE(TRIM(Table6[[#This Row],[Constituency]]),"Barisal","Barishal"),"Jessore","Jashore"),"Bogra","Bogura"),"Chapai Nawabganj","Chapainawabganj")</f>
        <v>Jhalokati-1</v>
      </c>
      <c r="C217" t="s">
        <v>1166</v>
      </c>
      <c r="D217" t="s">
        <v>1167</v>
      </c>
      <c r="E217">
        <f>_xlfn.XLOOKUP(C217,Population_data!B:B,Population_data!C:C,"")</f>
        <v>515.79999999999995</v>
      </c>
      <c r="F217">
        <f>_xlfn.XLOOKUP(C217,Population_data!B:B,Population_data!D:D,"")</f>
        <v>217915</v>
      </c>
      <c r="G217">
        <f>_xlfn.XLOOKUP(C217,Population_data!B:B,Population_data!E:E,"")</f>
        <v>422.48</v>
      </c>
      <c r="H217">
        <f>_xlfn.XLOOKUP(C217,Population_data!B:B,Population_data!F:F,"")</f>
        <v>3.98</v>
      </c>
      <c r="I217">
        <f>_xlfn.XLOOKUP(C217,Population_data!B:B,Population_data!G:G,"")</f>
        <v>83.68</v>
      </c>
      <c r="J217" t="str">
        <f>_xlfn.XLOOKUP(D217,District_Crime_Unit_Map!A:A,District_Crime_Unit_Map!B:B,"")</f>
        <v>Barishal Range</v>
      </c>
      <c r="K217">
        <f>_xlfn.XLOOKUP(J217,Crime_Data!A:A,Crime_Data!V:V,"")</f>
        <v>112.01964836613054</v>
      </c>
      <c r="L217">
        <f>_xlfn.XLOOKUP(J217,Crime_Data!A:A,Crime_Data!W:W,"")</f>
        <v>22.37167391269287</v>
      </c>
      <c r="M217" t="str">
        <f>TRIM(Table6[[#This Row],[District]])&amp;"|"&amp;TRIM(Table6[[#This Row],[Upazila]])</f>
        <v>Jhalokati|Jhalokati Sadar</v>
      </c>
      <c r="N217" t="str">
        <f>_xlfn.XLOOKUP(B217,Remittance_Data!A:A,Remittance_Data!B:B,"CHECK")</f>
        <v>CHECK</v>
      </c>
      <c r="O217" t="str">
        <f>_xlfn.XLOOKUP(B217,Remittance_Data!A:A,Remittance_Data!C:C,"CHECK")</f>
        <v>CHECK</v>
      </c>
      <c r="P217" t="str">
        <f>_xlfn.XLOOKUP(B217,Remittance_Data!A:A,Remittance_Data!D:D,"CHECK")</f>
        <v>CHECK</v>
      </c>
    </row>
    <row r="218" spans="1:16">
      <c r="A218" t="s">
        <v>388</v>
      </c>
      <c r="B218" t="str">
        <f>SUBSTITUTE(SUBSTITUTE(SUBSTITUTE(SUBSTITUTE(TRIM(Table6[[#This Row],[Constituency]]),"Barisal","Barishal"),"Jessore","Jashore"),"Bogra","Bogura"),"Chapai Nawabganj","Chapainawabganj")</f>
        <v>Jhalokati-1</v>
      </c>
      <c r="C218" t="s">
        <v>1168</v>
      </c>
      <c r="D218" t="s">
        <v>1167</v>
      </c>
      <c r="E218">
        <f>_xlfn.XLOOKUP(C218,Population_data!B:B,Population_data!C:C,"")</f>
        <v>231.52</v>
      </c>
      <c r="F218">
        <f>_xlfn.XLOOKUP(C218,Population_data!B:B,Population_data!D:D,"")</f>
        <v>186882</v>
      </c>
      <c r="G218">
        <f>_xlfn.XLOOKUP(C218,Population_data!B:B,Population_data!E:E,"")</f>
        <v>807.2</v>
      </c>
      <c r="H218">
        <f>_xlfn.XLOOKUP(C218,Population_data!B:B,Population_data!F:F,"")</f>
        <v>4.17</v>
      </c>
      <c r="I218">
        <f>_xlfn.XLOOKUP(C218,Population_data!B:B,Population_data!G:G,"")</f>
        <v>83.29</v>
      </c>
      <c r="J218" t="str">
        <f>_xlfn.XLOOKUP(D218,District_Crime_Unit_Map!A:A,District_Crime_Unit_Map!B:B,"")</f>
        <v>Barishal Range</v>
      </c>
      <c r="K218">
        <f>_xlfn.XLOOKUP(J218,Crime_Data!A:A,Crime_Data!V:V,"")</f>
        <v>112.01964836613054</v>
      </c>
      <c r="L218">
        <f>_xlfn.XLOOKUP(J218,Crime_Data!A:A,Crime_Data!W:W,"")</f>
        <v>22.37167391269287</v>
      </c>
      <c r="M218" t="str">
        <f>TRIM(Table6[[#This Row],[District]])&amp;"|"&amp;TRIM(Table6[[#This Row],[Upazila]])</f>
        <v>Jhalokati|Nalchity</v>
      </c>
      <c r="N218" t="str">
        <f>_xlfn.XLOOKUP(B218,Remittance_Data!A:A,Remittance_Data!B:B,"CHECK")</f>
        <v>CHECK</v>
      </c>
      <c r="O218" t="str">
        <f>_xlfn.XLOOKUP(B218,Remittance_Data!A:A,Remittance_Data!C:C,"CHECK")</f>
        <v>CHECK</v>
      </c>
      <c r="P218" t="str">
        <f>_xlfn.XLOOKUP(B218,Remittance_Data!A:A,Remittance_Data!D:D,"CHECK")</f>
        <v>CHECK</v>
      </c>
    </row>
    <row r="219" spans="1:16">
      <c r="A219" t="s">
        <v>391</v>
      </c>
      <c r="B219" t="str">
        <f>SUBSTITUTE(SUBSTITUTE(SUBSTITUTE(SUBSTITUTE(TRIM(Table6[[#This Row],[Constituency]]),"Barisal","Barishal"),"Jessore","Jashore"),"Bogra","Bogura"),"Chapai Nawabganj","Chapainawabganj")</f>
        <v>Jhalokati-2</v>
      </c>
      <c r="C219" t="s">
        <v>1169</v>
      </c>
      <c r="D219" t="s">
        <v>1167</v>
      </c>
      <c r="E219">
        <f>_xlfn.XLOOKUP(C219,Population_data!B:B,Population_data!C:C,"")</f>
        <v>201.19</v>
      </c>
      <c r="F219">
        <f>_xlfn.XLOOKUP(C219,Population_data!B:B,Population_data!D:D,"")</f>
        <v>144679</v>
      </c>
      <c r="G219">
        <f>_xlfn.XLOOKUP(C219,Population_data!B:B,Population_data!E:E,"")</f>
        <v>719.12</v>
      </c>
      <c r="H219">
        <f>_xlfn.XLOOKUP(C219,Population_data!B:B,Population_data!F:F,"")</f>
        <v>4.03</v>
      </c>
      <c r="I219">
        <f>_xlfn.XLOOKUP(C219,Population_data!B:B,Population_data!G:G,"")</f>
        <v>83.55</v>
      </c>
      <c r="J219" t="str">
        <f>_xlfn.XLOOKUP(D219,District_Crime_Unit_Map!A:A,District_Crime_Unit_Map!B:B,"")</f>
        <v>Barishal Range</v>
      </c>
      <c r="K219">
        <f>_xlfn.XLOOKUP(J219,Crime_Data!A:A,Crime_Data!V:V,"")</f>
        <v>112.01964836613054</v>
      </c>
      <c r="L219">
        <f>_xlfn.XLOOKUP(J219,Crime_Data!A:A,Crime_Data!W:W,"")</f>
        <v>22.37167391269287</v>
      </c>
      <c r="M219" t="str">
        <f>TRIM(Table6[[#This Row],[District]])&amp;"|"&amp;TRIM(Table6[[#This Row],[Upazila]])</f>
        <v>Jhalokati|Rajapur</v>
      </c>
      <c r="N219" t="str">
        <f>_xlfn.XLOOKUP(B219,Remittance_Data!A:A,Remittance_Data!B:B,"CHECK")</f>
        <v>CHECK</v>
      </c>
      <c r="O219" t="str">
        <f>_xlfn.XLOOKUP(B219,Remittance_Data!A:A,Remittance_Data!C:C,"CHECK")</f>
        <v>CHECK</v>
      </c>
      <c r="P219" t="str">
        <f>_xlfn.XLOOKUP(B219,Remittance_Data!A:A,Remittance_Data!D:D,"CHECK")</f>
        <v>CHECK</v>
      </c>
    </row>
    <row r="220" spans="1:16">
      <c r="A220" t="s">
        <v>391</v>
      </c>
      <c r="B220" t="str">
        <f>SUBSTITUTE(SUBSTITUTE(SUBSTITUTE(SUBSTITUTE(TRIM(Table6[[#This Row],[Constituency]]),"Barisal","Barishal"),"Jessore","Jashore"),"Bogra","Bogura"),"Chapai Nawabganj","Chapainawabganj")</f>
        <v>Jhalokati-2</v>
      </c>
      <c r="C220" t="s">
        <v>1170</v>
      </c>
      <c r="D220" t="s">
        <v>1167</v>
      </c>
      <c r="E220">
        <f>_xlfn.XLOOKUP(C220,Population_data!B:B,Population_data!C:C,"")</f>
        <v>208.35</v>
      </c>
      <c r="F220">
        <f>_xlfn.XLOOKUP(C220,Population_data!B:B,Population_data!D:D,"")</f>
        <v>111655</v>
      </c>
      <c r="G220">
        <f>_xlfn.XLOOKUP(C220,Population_data!B:B,Population_data!E:E,"")</f>
        <v>535.9</v>
      </c>
      <c r="H220">
        <f>_xlfn.XLOOKUP(C220,Population_data!B:B,Population_data!F:F,"")</f>
        <v>3.84</v>
      </c>
      <c r="I220">
        <f>_xlfn.XLOOKUP(C220,Population_data!B:B,Population_data!G:G,"")</f>
        <v>81.69</v>
      </c>
      <c r="J220" t="str">
        <f>_xlfn.XLOOKUP(D220,District_Crime_Unit_Map!A:A,District_Crime_Unit_Map!B:B,"")</f>
        <v>Barishal Range</v>
      </c>
      <c r="K220">
        <f>_xlfn.XLOOKUP(J220,Crime_Data!A:A,Crime_Data!V:V,"")</f>
        <v>112.01964836613054</v>
      </c>
      <c r="L220">
        <f>_xlfn.XLOOKUP(J220,Crime_Data!A:A,Crime_Data!W:W,"")</f>
        <v>22.37167391269287</v>
      </c>
      <c r="M220" t="str">
        <f>TRIM(Table6[[#This Row],[District]])&amp;"|"&amp;TRIM(Table6[[#This Row],[Upazila]])</f>
        <v>Jhalokati|Kathalia</v>
      </c>
      <c r="N220" t="str">
        <f>_xlfn.XLOOKUP(B220,Remittance_Data!A:A,Remittance_Data!B:B,"CHECK")</f>
        <v>CHECK</v>
      </c>
      <c r="O220" t="str">
        <f>_xlfn.XLOOKUP(B220,Remittance_Data!A:A,Remittance_Data!C:C,"CHECK")</f>
        <v>CHECK</v>
      </c>
      <c r="P220" t="str">
        <f>_xlfn.XLOOKUP(B220,Remittance_Data!A:A,Remittance_Data!D:D,"CHECK")</f>
        <v>CHECK</v>
      </c>
    </row>
    <row r="221" spans="1:16">
      <c r="A221" t="s">
        <v>394</v>
      </c>
      <c r="B221" t="str">
        <f>SUBSTITUTE(SUBSTITUTE(SUBSTITUTE(SUBSTITUTE(TRIM(Table6[[#This Row],[Constituency]]),"Barisal","Barishal"),"Jessore","Jashore"),"Bogra","Bogura"),"Chapai Nawabganj","Chapainawabganj")</f>
        <v>Pirojpur-1</v>
      </c>
      <c r="C221" t="s">
        <v>1171</v>
      </c>
      <c r="D221" t="s">
        <v>1172</v>
      </c>
      <c r="E221">
        <f>_xlfn.XLOOKUP(C221,Population_data!B:B,Population_data!C:C,"")</f>
        <v>154.13</v>
      </c>
      <c r="F221">
        <f>_xlfn.XLOOKUP(C221,Population_data!B:B,Population_data!D:D,"")</f>
        <v>181703</v>
      </c>
      <c r="G221">
        <f>_xlfn.XLOOKUP(C221,Population_data!B:B,Population_data!E:E,"")</f>
        <v>1178.8900000000001</v>
      </c>
      <c r="H221">
        <f>_xlfn.XLOOKUP(C221,Population_data!B:B,Population_data!F:F,"")</f>
        <v>4.0199999999999996</v>
      </c>
      <c r="I221">
        <f>_xlfn.XLOOKUP(C221,Population_data!B:B,Population_data!G:G,"")</f>
        <v>87.07</v>
      </c>
      <c r="J221" t="str">
        <f>_xlfn.XLOOKUP(D221,District_Crime_Unit_Map!A:A,District_Crime_Unit_Map!B:B,"")</f>
        <v>Barishal Range</v>
      </c>
      <c r="K221">
        <f>_xlfn.XLOOKUP(J221,Crime_Data!A:A,Crime_Data!V:V,"")</f>
        <v>112.01964836613054</v>
      </c>
      <c r="L221">
        <f>_xlfn.XLOOKUP(J221,Crime_Data!A:A,Crime_Data!W:W,"")</f>
        <v>22.37167391269287</v>
      </c>
      <c r="M221" t="str">
        <f>TRIM(Table6[[#This Row],[District]])&amp;"|"&amp;TRIM(Table6[[#This Row],[Upazila]])</f>
        <v>Pirojpur|Pirojpur Sadar</v>
      </c>
      <c r="N221" t="str">
        <f>_xlfn.XLOOKUP(B221,Remittance_Data!A:A,Remittance_Data!B:B,"CHECK")</f>
        <v>CHECK</v>
      </c>
      <c r="O221" t="str">
        <f>_xlfn.XLOOKUP(B221,Remittance_Data!A:A,Remittance_Data!C:C,"CHECK")</f>
        <v>CHECK</v>
      </c>
      <c r="P221" t="str">
        <f>_xlfn.XLOOKUP(B221,Remittance_Data!A:A,Remittance_Data!D:D,"CHECK")</f>
        <v>CHECK</v>
      </c>
    </row>
    <row r="222" spans="1:16">
      <c r="A222" t="s">
        <v>394</v>
      </c>
      <c r="B222" t="str">
        <f>SUBSTITUTE(SUBSTITUTE(SUBSTITUTE(SUBSTITUTE(TRIM(Table6[[#This Row],[Constituency]]),"Barisal","Barishal"),"Jessore","Jashore"),"Bogra","Bogura"),"Chapai Nawabganj","Chapainawabganj")</f>
        <v>Pirojpur-1</v>
      </c>
      <c r="C222" t="s">
        <v>1173</v>
      </c>
      <c r="D222" t="s">
        <v>1172</v>
      </c>
      <c r="E222">
        <f>_xlfn.XLOOKUP(C222,Population_data!B:B,Population_data!C:C,"")</f>
        <v>156.6</v>
      </c>
      <c r="F222">
        <f>_xlfn.XLOOKUP(C222,Population_data!B:B,Population_data!D:D,"")</f>
        <v>187988</v>
      </c>
      <c r="G222">
        <f>_xlfn.XLOOKUP(C222,Population_data!B:B,Population_data!E:E,"")</f>
        <v>1200.43</v>
      </c>
      <c r="H222">
        <f>_xlfn.XLOOKUP(C222,Population_data!B:B,Population_data!F:F,"")</f>
        <v>4.03</v>
      </c>
      <c r="I222">
        <f>_xlfn.XLOOKUP(C222,Population_data!B:B,Population_data!G:G,"")</f>
        <v>83.87</v>
      </c>
      <c r="J222" t="str">
        <f>_xlfn.XLOOKUP(D222,District_Crime_Unit_Map!A:A,District_Crime_Unit_Map!B:B,"")</f>
        <v>Barishal Range</v>
      </c>
      <c r="K222">
        <f>_xlfn.XLOOKUP(J222,Crime_Data!A:A,Crime_Data!V:V,"")</f>
        <v>112.01964836613054</v>
      </c>
      <c r="L222">
        <f>_xlfn.XLOOKUP(J222,Crime_Data!A:A,Crime_Data!W:W,"")</f>
        <v>22.37167391269287</v>
      </c>
      <c r="M222" t="str">
        <f>TRIM(Table6[[#This Row],[District]])&amp;"|"&amp;TRIM(Table6[[#This Row],[Upazila]])</f>
        <v>Pirojpur|Nazirpur</v>
      </c>
      <c r="N222" t="str">
        <f>_xlfn.XLOOKUP(B222,Remittance_Data!A:A,Remittance_Data!B:B,"CHECK")</f>
        <v>CHECK</v>
      </c>
      <c r="O222" t="str">
        <f>_xlfn.XLOOKUP(B222,Remittance_Data!A:A,Remittance_Data!C:C,"CHECK")</f>
        <v>CHECK</v>
      </c>
      <c r="P222" t="str">
        <f>_xlfn.XLOOKUP(B222,Remittance_Data!A:A,Remittance_Data!D:D,"CHECK")</f>
        <v>CHECK</v>
      </c>
    </row>
    <row r="223" spans="1:16">
      <c r="A223" t="s">
        <v>394</v>
      </c>
      <c r="B223" t="str">
        <f>SUBSTITUTE(SUBSTITUTE(SUBSTITUTE(SUBSTITUTE(TRIM(Table6[[#This Row],[Constituency]]),"Barisal","Barishal"),"Jessore","Jashore"),"Bogra","Bogura"),"Chapai Nawabganj","Chapainawabganj")</f>
        <v>Pirojpur-1</v>
      </c>
      <c r="C223" t="s">
        <v>1174</v>
      </c>
      <c r="D223" t="s">
        <v>1172</v>
      </c>
      <c r="E223">
        <f>_xlfn.XLOOKUP(C223,Population_data!B:B,Population_data!C:C,"")</f>
        <v>273.94</v>
      </c>
      <c r="F223">
        <f>_xlfn.XLOOKUP(C223,Population_data!B:B,Population_data!D:D,"")</f>
        <v>85454</v>
      </c>
      <c r="G223">
        <f>_xlfn.XLOOKUP(C223,Population_data!B:B,Population_data!E:E,"")</f>
        <v>311.94</v>
      </c>
      <c r="H223">
        <f>_xlfn.XLOOKUP(C223,Population_data!B:B,Population_data!F:F,"")</f>
        <v>4.09</v>
      </c>
      <c r="I223">
        <f>_xlfn.XLOOKUP(C223,Population_data!B:B,Population_data!G:G,"")</f>
        <v>81.260000000000005</v>
      </c>
      <c r="J223" t="str">
        <f>_xlfn.XLOOKUP(D223,District_Crime_Unit_Map!A:A,District_Crime_Unit_Map!B:B,"")</f>
        <v>Barishal Range</v>
      </c>
      <c r="K223">
        <f>_xlfn.XLOOKUP(J223,Crime_Data!A:A,Crime_Data!V:V,"")</f>
        <v>112.01964836613054</v>
      </c>
      <c r="L223">
        <f>_xlfn.XLOOKUP(J223,Crime_Data!A:A,Crime_Data!W:W,"")</f>
        <v>22.37167391269287</v>
      </c>
      <c r="M223" t="str">
        <f>TRIM(Table6[[#This Row],[District]])&amp;"|"&amp;TRIM(Table6[[#This Row],[Upazila]])</f>
        <v>Pirojpur|Indurkani</v>
      </c>
      <c r="N223" t="str">
        <f>_xlfn.XLOOKUP(B223,Remittance_Data!A:A,Remittance_Data!B:B,"CHECK")</f>
        <v>CHECK</v>
      </c>
      <c r="O223" t="str">
        <f>_xlfn.XLOOKUP(B223,Remittance_Data!A:A,Remittance_Data!C:C,"CHECK")</f>
        <v>CHECK</v>
      </c>
      <c r="P223" t="str">
        <f>_xlfn.XLOOKUP(B223,Remittance_Data!A:A,Remittance_Data!D:D,"CHECK")</f>
        <v>CHECK</v>
      </c>
    </row>
    <row r="224" spans="1:16">
      <c r="A224" t="s">
        <v>397</v>
      </c>
      <c r="B224" t="str">
        <f>SUBSTITUTE(SUBSTITUTE(SUBSTITUTE(SUBSTITUTE(TRIM(Table6[[#This Row],[Constituency]]),"Barisal","Barishal"),"Jessore","Jashore"),"Bogra","Bogura"),"Chapai Nawabganj","Chapainawabganj")</f>
        <v>Pirojpur-2</v>
      </c>
      <c r="C224" t="s">
        <v>1175</v>
      </c>
      <c r="D224" t="s">
        <v>1172</v>
      </c>
      <c r="E224">
        <f>_xlfn.XLOOKUP(C224,Population_data!B:B,Population_data!C:C,"")</f>
        <v>414.43</v>
      </c>
      <c r="F224">
        <f>_xlfn.XLOOKUP(C224,Population_data!B:B,Population_data!D:D,"")</f>
        <v>163648</v>
      </c>
      <c r="G224">
        <f>_xlfn.XLOOKUP(C224,Population_data!B:B,Population_data!E:E,"")</f>
        <v>394.87</v>
      </c>
      <c r="H224">
        <f>_xlfn.XLOOKUP(C224,Population_data!B:B,Population_data!F:F,"")</f>
        <v>3.91</v>
      </c>
      <c r="I224">
        <f>_xlfn.XLOOKUP(C224,Population_data!B:B,Population_data!G:G,"")</f>
        <v>84.51</v>
      </c>
      <c r="J224" t="str">
        <f>_xlfn.XLOOKUP(D224,District_Crime_Unit_Map!A:A,District_Crime_Unit_Map!B:B,"")</f>
        <v>Barishal Range</v>
      </c>
      <c r="K224">
        <f>_xlfn.XLOOKUP(J224,Crime_Data!A:A,Crime_Data!V:V,"")</f>
        <v>112.01964836613054</v>
      </c>
      <c r="L224">
        <f>_xlfn.XLOOKUP(J224,Crime_Data!A:A,Crime_Data!W:W,"")</f>
        <v>22.37167391269287</v>
      </c>
      <c r="M224" t="str">
        <f>TRIM(Table6[[#This Row],[District]])&amp;"|"&amp;TRIM(Table6[[#This Row],[Upazila]])</f>
        <v>Pirojpur|Bhandaria</v>
      </c>
      <c r="N224" t="str">
        <f>_xlfn.XLOOKUP(B224,Remittance_Data!A:A,Remittance_Data!B:B,"CHECK")</f>
        <v>CHECK</v>
      </c>
      <c r="O224" t="str">
        <f>_xlfn.XLOOKUP(B224,Remittance_Data!A:A,Remittance_Data!C:C,"CHECK")</f>
        <v>CHECK</v>
      </c>
      <c r="P224" t="str">
        <f>_xlfn.XLOOKUP(B224,Remittance_Data!A:A,Remittance_Data!D:D,"CHECK")</f>
        <v>CHECK</v>
      </c>
    </row>
    <row r="225" spans="1:16">
      <c r="A225" t="s">
        <v>397</v>
      </c>
      <c r="B225" t="str">
        <f>SUBSTITUTE(SUBSTITUTE(SUBSTITUTE(SUBSTITUTE(TRIM(Table6[[#This Row],[Constituency]]),"Barisal","Barishal"),"Jessore","Jashore"),"Bogra","Bogura"),"Chapai Nawabganj","Chapainawabganj")</f>
        <v>Pirojpur-2</v>
      </c>
      <c r="C225" t="s">
        <v>1176</v>
      </c>
      <c r="D225" t="s">
        <v>1172</v>
      </c>
      <c r="E225">
        <f>_xlfn.XLOOKUP(C225,Population_data!B:B,Population_data!C:C,"")</f>
        <v>233.65</v>
      </c>
      <c r="F225">
        <f>_xlfn.XLOOKUP(C225,Population_data!B:B,Population_data!D:D,"")</f>
        <v>70781</v>
      </c>
      <c r="G225">
        <f>_xlfn.XLOOKUP(C225,Population_data!B:B,Population_data!E:E,"")</f>
        <v>302.94</v>
      </c>
      <c r="H225">
        <f>_xlfn.XLOOKUP(C225,Population_data!B:B,Population_data!F:F,"")</f>
        <v>3.85</v>
      </c>
      <c r="I225">
        <f>_xlfn.XLOOKUP(C225,Population_data!B:B,Population_data!G:G,"")</f>
        <v>86.92</v>
      </c>
      <c r="J225" t="str">
        <f>_xlfn.XLOOKUP(D225,District_Crime_Unit_Map!A:A,District_Crime_Unit_Map!B:B,"")</f>
        <v>Barishal Range</v>
      </c>
      <c r="K225">
        <f>_xlfn.XLOOKUP(J225,Crime_Data!A:A,Crime_Data!V:V,"")</f>
        <v>112.01964836613054</v>
      </c>
      <c r="L225">
        <f>_xlfn.XLOOKUP(J225,Crime_Data!A:A,Crime_Data!W:W,"")</f>
        <v>22.37167391269287</v>
      </c>
      <c r="M225" t="str">
        <f>TRIM(Table6[[#This Row],[District]])&amp;"|"&amp;TRIM(Table6[[#This Row],[Upazila]])</f>
        <v>Pirojpur|Kawkhali</v>
      </c>
      <c r="N225" t="str">
        <f>_xlfn.XLOOKUP(B225,Remittance_Data!A:A,Remittance_Data!B:B,"CHECK")</f>
        <v>CHECK</v>
      </c>
      <c r="O225" t="str">
        <f>_xlfn.XLOOKUP(B225,Remittance_Data!A:A,Remittance_Data!C:C,"CHECK")</f>
        <v>CHECK</v>
      </c>
      <c r="P225" t="str">
        <f>_xlfn.XLOOKUP(B225,Remittance_Data!A:A,Remittance_Data!D:D,"CHECK")</f>
        <v>CHECK</v>
      </c>
    </row>
    <row r="226" spans="1:16">
      <c r="A226" t="s">
        <v>400</v>
      </c>
      <c r="B226" t="str">
        <f>SUBSTITUTE(SUBSTITUTE(SUBSTITUTE(SUBSTITUTE(TRIM(Table6[[#This Row],[Constituency]]),"Barisal","Barishal"),"Jessore","Jashore"),"Bogra","Bogura"),"Chapai Nawabganj","Chapainawabganj")</f>
        <v>Pirojpur-3</v>
      </c>
      <c r="C226" t="s">
        <v>1177</v>
      </c>
      <c r="D226" t="s">
        <v>1172</v>
      </c>
      <c r="E226">
        <f>_xlfn.XLOOKUP(C226,Population_data!B:B,Population_data!C:C,"")</f>
        <v>128.91999999999999</v>
      </c>
      <c r="F226">
        <f>_xlfn.XLOOKUP(C226,Population_data!B:B,Population_data!D:D,"")</f>
        <v>277614</v>
      </c>
      <c r="G226">
        <f>_xlfn.XLOOKUP(C226,Population_data!B:B,Population_data!E:E,"")</f>
        <v>2153.38</v>
      </c>
      <c r="H226">
        <f>_xlfn.XLOOKUP(C226,Population_data!B:B,Population_data!F:F,"")</f>
        <v>3.86</v>
      </c>
      <c r="I226">
        <f>_xlfn.XLOOKUP(C226,Population_data!B:B,Population_data!G:G,"")</f>
        <v>84.95</v>
      </c>
      <c r="J226" t="str">
        <f>_xlfn.XLOOKUP(D226,District_Crime_Unit_Map!A:A,District_Crime_Unit_Map!B:B,"")</f>
        <v>Barishal Range</v>
      </c>
      <c r="K226">
        <f>_xlfn.XLOOKUP(J226,Crime_Data!A:A,Crime_Data!V:V,"")</f>
        <v>112.01964836613054</v>
      </c>
      <c r="L226">
        <f>_xlfn.XLOOKUP(J226,Crime_Data!A:A,Crime_Data!W:W,"")</f>
        <v>22.37167391269287</v>
      </c>
      <c r="M226" t="str">
        <f>TRIM(Table6[[#This Row],[District]])&amp;"|"&amp;TRIM(Table6[[#This Row],[Upazila]])</f>
        <v>Pirojpur|Mathbaria</v>
      </c>
      <c r="N226" t="str">
        <f>_xlfn.XLOOKUP(B226,Remittance_Data!A:A,Remittance_Data!B:B,"CHECK")</f>
        <v>CHECK</v>
      </c>
      <c r="O226" t="str">
        <f>_xlfn.XLOOKUP(B226,Remittance_Data!A:A,Remittance_Data!C:C,"CHECK")</f>
        <v>CHECK</v>
      </c>
      <c r="P226" t="str">
        <f>_xlfn.XLOOKUP(B226,Remittance_Data!A:A,Remittance_Data!D:D,"CHECK")</f>
        <v>CHECK</v>
      </c>
    </row>
    <row r="227" spans="1:16">
      <c r="A227" t="s">
        <v>404</v>
      </c>
      <c r="B227" t="str">
        <f>SUBSTITUTE(SUBSTITUTE(SUBSTITUTE(SUBSTITUTE(TRIM(Table6[[#This Row],[Constituency]]),"Barisal","Barishal"),"Jessore","Jashore"),"Bogra","Bogura"),"Chapai Nawabganj","Chapainawabganj")</f>
        <v>Jamalpur-1</v>
      </c>
      <c r="C227" t="s">
        <v>1178</v>
      </c>
      <c r="D227" t="s">
        <v>1179</v>
      </c>
      <c r="E227">
        <f>_xlfn.XLOOKUP(C227,Population_data!B:B,Population_data!C:C,"")</f>
        <v>286.19</v>
      </c>
      <c r="F227">
        <f>_xlfn.XLOOKUP(C227,Population_data!B:B,Population_data!D:D,"")</f>
        <v>288160</v>
      </c>
      <c r="G227">
        <f>_xlfn.XLOOKUP(C227,Population_data!B:B,Population_data!E:E,"")</f>
        <v>1006.88</v>
      </c>
      <c r="H227">
        <f>_xlfn.XLOOKUP(C227,Population_data!B:B,Population_data!F:F,"")</f>
        <v>3.93</v>
      </c>
      <c r="I227">
        <f>_xlfn.XLOOKUP(C227,Population_data!B:B,Population_data!G:G,"")</f>
        <v>59.39</v>
      </c>
      <c r="J227" t="str">
        <f>_xlfn.XLOOKUP(D227,District_Crime_Unit_Map!A:A,District_Crime_Unit_Map!B:B,"")</f>
        <v>Mymensingh Range</v>
      </c>
      <c r="K227">
        <f>_xlfn.XLOOKUP(J227,Crime_Data!A:A,Crime_Data!V:V,"")</f>
        <v>84.741263899591743</v>
      </c>
      <c r="L227">
        <f>_xlfn.XLOOKUP(J227,Crime_Data!A:A,Crime_Data!W:W,"")</f>
        <v>13.635491015503808</v>
      </c>
      <c r="M227" t="str">
        <f>TRIM(Table6[[#This Row],[District]])&amp;"|"&amp;TRIM(Table6[[#This Row],[Upazila]])</f>
        <v>Jamalpur|Dewanganj</v>
      </c>
      <c r="N227" t="str">
        <f>_xlfn.XLOOKUP(B227,Remittance_Data!A:A,Remittance_Data!B:B,"CHECK")</f>
        <v>CHECK</v>
      </c>
      <c r="O227" t="str">
        <f>_xlfn.XLOOKUP(B227,Remittance_Data!A:A,Remittance_Data!C:C,"CHECK")</f>
        <v>CHECK</v>
      </c>
      <c r="P227" t="str">
        <f>_xlfn.XLOOKUP(B227,Remittance_Data!A:A,Remittance_Data!D:D,"CHECK")</f>
        <v>CHECK</v>
      </c>
    </row>
    <row r="228" spans="1:16">
      <c r="A228" t="s">
        <v>404</v>
      </c>
      <c r="B228" t="str">
        <f>SUBSTITUTE(SUBSTITUTE(SUBSTITUTE(SUBSTITUTE(TRIM(Table6[[#This Row],[Constituency]]),"Barisal","Barishal"),"Jessore","Jashore"),"Bogra","Bogura"),"Chapai Nawabganj","Chapainawabganj")</f>
        <v>Jamalpur-1</v>
      </c>
      <c r="C228" t="s">
        <v>1180</v>
      </c>
      <c r="D228" t="s">
        <v>1179</v>
      </c>
      <c r="E228">
        <f>_xlfn.XLOOKUP(C228,Population_data!B:B,Population_data!C:C,"")</f>
        <v>274.73</v>
      </c>
      <c r="F228">
        <f>_xlfn.XLOOKUP(C228,Population_data!B:B,Population_data!D:D,"")</f>
        <v>239853</v>
      </c>
      <c r="G228">
        <f>_xlfn.XLOOKUP(C228,Population_data!B:B,Population_data!E:E,"")</f>
        <v>873.05</v>
      </c>
      <c r="H228">
        <f>_xlfn.XLOOKUP(C228,Population_data!B:B,Population_data!F:F,"")</f>
        <v>3.81</v>
      </c>
      <c r="I228">
        <f>_xlfn.XLOOKUP(C228,Population_data!B:B,Population_data!G:G,"")</f>
        <v>61.26</v>
      </c>
      <c r="J228" t="str">
        <f>_xlfn.XLOOKUP(D228,District_Crime_Unit_Map!A:A,District_Crime_Unit_Map!B:B,"")</f>
        <v>Mymensingh Range</v>
      </c>
      <c r="K228">
        <f>_xlfn.XLOOKUP(J228,Crime_Data!A:A,Crime_Data!V:V,"")</f>
        <v>84.741263899591743</v>
      </c>
      <c r="L228">
        <f>_xlfn.XLOOKUP(J228,Crime_Data!A:A,Crime_Data!W:W,"")</f>
        <v>13.635491015503808</v>
      </c>
      <c r="M228" t="str">
        <f>TRIM(Table6[[#This Row],[District]])&amp;"|"&amp;TRIM(Table6[[#This Row],[Upazila]])</f>
        <v>Jamalpur|Bakshiganj</v>
      </c>
      <c r="N228" t="str">
        <f>_xlfn.XLOOKUP(B228,Remittance_Data!A:A,Remittance_Data!B:B,"CHECK")</f>
        <v>CHECK</v>
      </c>
      <c r="O228" t="str">
        <f>_xlfn.XLOOKUP(B228,Remittance_Data!A:A,Remittance_Data!C:C,"CHECK")</f>
        <v>CHECK</v>
      </c>
      <c r="P228" t="str">
        <f>_xlfn.XLOOKUP(B228,Remittance_Data!A:A,Remittance_Data!D:D,"CHECK")</f>
        <v>CHECK</v>
      </c>
    </row>
    <row r="229" spans="1:16">
      <c r="A229" t="s">
        <v>407</v>
      </c>
      <c r="B229" t="str">
        <f>SUBSTITUTE(SUBSTITUTE(SUBSTITUTE(SUBSTITUTE(TRIM(Table6[[#This Row],[Constituency]]),"Barisal","Barishal"),"Jessore","Jashore"),"Bogra","Bogura"),"Chapai Nawabganj","Chapainawabganj")</f>
        <v>Jamalpur-2</v>
      </c>
      <c r="C229" t="s">
        <v>1181</v>
      </c>
      <c r="D229" t="s">
        <v>1179</v>
      </c>
      <c r="E229">
        <f>_xlfn.XLOOKUP(C229,Population_data!B:B,Population_data!C:C,"")</f>
        <v>245.12</v>
      </c>
      <c r="F229">
        <f>_xlfn.XLOOKUP(C229,Population_data!B:B,Population_data!D:D,"")</f>
        <v>319746</v>
      </c>
      <c r="G229">
        <f>_xlfn.XLOOKUP(C229,Population_data!B:B,Population_data!E:E,"")</f>
        <v>1304.45</v>
      </c>
      <c r="H229">
        <f>_xlfn.XLOOKUP(C229,Population_data!B:B,Population_data!F:F,"")</f>
        <v>3.81</v>
      </c>
      <c r="I229">
        <f>_xlfn.XLOOKUP(C229,Population_data!B:B,Population_data!G:G,"")</f>
        <v>54.66</v>
      </c>
      <c r="J229" t="str">
        <f>_xlfn.XLOOKUP(D229,District_Crime_Unit_Map!A:A,District_Crime_Unit_Map!B:B,"")</f>
        <v>Mymensingh Range</v>
      </c>
      <c r="K229">
        <f>_xlfn.XLOOKUP(J229,Crime_Data!A:A,Crime_Data!V:V,"")</f>
        <v>84.741263899591743</v>
      </c>
      <c r="L229">
        <f>_xlfn.XLOOKUP(J229,Crime_Data!A:A,Crime_Data!W:W,"")</f>
        <v>13.635491015503808</v>
      </c>
      <c r="M229" t="str">
        <f>TRIM(Table6[[#This Row],[District]])&amp;"|"&amp;TRIM(Table6[[#This Row],[Upazila]])</f>
        <v>Jamalpur|Islampur</v>
      </c>
      <c r="N229" t="str">
        <f>_xlfn.XLOOKUP(B229,Remittance_Data!A:A,Remittance_Data!B:B,"CHECK")</f>
        <v>CHECK</v>
      </c>
      <c r="O229" t="str">
        <f>_xlfn.XLOOKUP(B229,Remittance_Data!A:A,Remittance_Data!C:C,"CHECK")</f>
        <v>CHECK</v>
      </c>
      <c r="P229" t="str">
        <f>_xlfn.XLOOKUP(B229,Remittance_Data!A:A,Remittance_Data!D:D,"CHECK")</f>
        <v>CHECK</v>
      </c>
    </row>
    <row r="230" spans="1:16">
      <c r="A230" t="s">
        <v>410</v>
      </c>
      <c r="B230" t="str">
        <f>SUBSTITUTE(SUBSTITUTE(SUBSTITUTE(SUBSTITUTE(TRIM(Table6[[#This Row],[Constituency]]),"Barisal","Barishal"),"Jessore","Jashore"),"Bogra","Bogura"),"Chapai Nawabganj","Chapainawabganj")</f>
        <v>Jamalpur-3</v>
      </c>
      <c r="C230" t="s">
        <v>1182</v>
      </c>
      <c r="D230" t="s">
        <v>1179</v>
      </c>
      <c r="E230">
        <f>_xlfn.XLOOKUP(C230,Population_data!B:B,Population_data!C:C,"")</f>
        <v>489.56</v>
      </c>
      <c r="F230">
        <f>_xlfn.XLOOKUP(C230,Population_data!B:B,Population_data!D:D,"")</f>
        <v>668212</v>
      </c>
      <c r="G230">
        <f>_xlfn.XLOOKUP(C230,Population_data!B:B,Population_data!E:E,"")</f>
        <v>1364.92</v>
      </c>
      <c r="H230">
        <f>_xlfn.XLOOKUP(C230,Population_data!B:B,Population_data!F:F,"")</f>
        <v>3.75</v>
      </c>
      <c r="I230">
        <f>_xlfn.XLOOKUP(C230,Population_data!B:B,Population_data!G:G,"")</f>
        <v>67.41</v>
      </c>
      <c r="J230" t="str">
        <f>_xlfn.XLOOKUP(D230,District_Crime_Unit_Map!A:A,District_Crime_Unit_Map!B:B,"")</f>
        <v>Mymensingh Range</v>
      </c>
      <c r="K230">
        <f>_xlfn.XLOOKUP(J230,Crime_Data!A:A,Crime_Data!V:V,"")</f>
        <v>84.741263899591743</v>
      </c>
      <c r="L230">
        <f>_xlfn.XLOOKUP(J230,Crime_Data!A:A,Crime_Data!W:W,"")</f>
        <v>13.635491015503808</v>
      </c>
      <c r="M230" t="str">
        <f>TRIM(Table6[[#This Row],[District]])&amp;"|"&amp;TRIM(Table6[[#This Row],[Upazila]])</f>
        <v>Jamalpur|Jamalpur Sadar</v>
      </c>
      <c r="N230" t="str">
        <f>_xlfn.XLOOKUP(B230,Remittance_Data!A:A,Remittance_Data!B:B,"CHECK")</f>
        <v>CHECK</v>
      </c>
      <c r="O230" t="str">
        <f>_xlfn.XLOOKUP(B230,Remittance_Data!A:A,Remittance_Data!C:C,"CHECK")</f>
        <v>CHECK</v>
      </c>
      <c r="P230" t="str">
        <f>_xlfn.XLOOKUP(B230,Remittance_Data!A:A,Remittance_Data!D:D,"CHECK")</f>
        <v>CHECK</v>
      </c>
    </row>
    <row r="231" spans="1:16">
      <c r="A231" t="s">
        <v>413</v>
      </c>
      <c r="B231" t="str">
        <f>SUBSTITUTE(SUBSTITUTE(SUBSTITUTE(SUBSTITUTE(TRIM(Table6[[#This Row],[Constituency]]),"Barisal","Barishal"),"Jessore","Jashore"),"Bogra","Bogura"),"Chapai Nawabganj","Chapainawabganj")</f>
        <v>Jamalpur-4</v>
      </c>
      <c r="C231" t="s">
        <v>1183</v>
      </c>
      <c r="D231" t="s">
        <v>1179</v>
      </c>
      <c r="E231">
        <f>_xlfn.XLOOKUP(C231,Population_data!B:B,Population_data!C:C,"")</f>
        <v>263.5</v>
      </c>
      <c r="F231">
        <f>_xlfn.XLOOKUP(C231,Population_data!B:B,Population_data!D:D,"")</f>
        <v>343161</v>
      </c>
      <c r="G231">
        <f>_xlfn.XLOOKUP(C231,Population_data!B:B,Population_data!E:E,"")</f>
        <v>1302.32</v>
      </c>
      <c r="H231">
        <f>_xlfn.XLOOKUP(C231,Population_data!B:B,Population_data!F:F,"")</f>
        <v>3.84</v>
      </c>
      <c r="I231">
        <f>_xlfn.XLOOKUP(C231,Population_data!B:B,Population_data!G:G,"")</f>
        <v>64.42</v>
      </c>
      <c r="J231" t="str">
        <f>_xlfn.XLOOKUP(D231,District_Crime_Unit_Map!A:A,District_Crime_Unit_Map!B:B,"")</f>
        <v>Mymensingh Range</v>
      </c>
      <c r="K231">
        <f>_xlfn.XLOOKUP(J231,Crime_Data!A:A,Crime_Data!V:V,"")</f>
        <v>84.741263899591743</v>
      </c>
      <c r="L231">
        <f>_xlfn.XLOOKUP(J231,Crime_Data!A:A,Crime_Data!W:W,"")</f>
        <v>13.635491015503808</v>
      </c>
      <c r="M231" t="str">
        <f>TRIM(Table6[[#This Row],[District]])&amp;"|"&amp;TRIM(Table6[[#This Row],[Upazila]])</f>
        <v>Jamalpur|Sarishabari</v>
      </c>
      <c r="N231" t="str">
        <f>_xlfn.XLOOKUP(B231,Remittance_Data!A:A,Remittance_Data!B:B,"CHECK")</f>
        <v>CHECK</v>
      </c>
      <c r="O231" t="str">
        <f>_xlfn.XLOOKUP(B231,Remittance_Data!A:A,Remittance_Data!C:C,"CHECK")</f>
        <v>CHECK</v>
      </c>
      <c r="P231" t="str">
        <f>_xlfn.XLOOKUP(B231,Remittance_Data!A:A,Remittance_Data!D:D,"CHECK")</f>
        <v>CHECK</v>
      </c>
    </row>
    <row r="232" spans="1:16">
      <c r="A232" t="s">
        <v>416</v>
      </c>
      <c r="B232" t="str">
        <f>SUBSTITUTE(SUBSTITUTE(SUBSTITUTE(SUBSTITUTE(TRIM(Table6[[#This Row],[Constituency]]),"Barisal","Barishal"),"Jessore","Jashore"),"Bogra","Bogura"),"Chapai Nawabganj","Chapainawabganj")</f>
        <v>Jamalpur-5</v>
      </c>
      <c r="C232" t="s">
        <v>1184</v>
      </c>
      <c r="D232" t="s">
        <v>1179</v>
      </c>
      <c r="E232">
        <f>_xlfn.XLOOKUP(C232,Population_data!B:B,Population_data!C:C,"")</f>
        <v>464.53</v>
      </c>
      <c r="F232">
        <f>_xlfn.XLOOKUP(C232,Population_data!B:B,Population_data!D:D,"")</f>
        <v>354508</v>
      </c>
      <c r="G232">
        <f>_xlfn.XLOOKUP(C232,Population_data!B:B,Population_data!E:E,"")</f>
        <v>763.15</v>
      </c>
      <c r="H232">
        <f>_xlfn.XLOOKUP(C232,Population_data!B:B,Population_data!F:F,"")</f>
        <v>3.83</v>
      </c>
      <c r="I232">
        <f>_xlfn.XLOOKUP(C232,Population_data!B:B,Population_data!G:G,"")</f>
        <v>59.25</v>
      </c>
      <c r="J232" t="str">
        <f>_xlfn.XLOOKUP(D232,District_Crime_Unit_Map!A:A,District_Crime_Unit_Map!B:B,"")</f>
        <v>Mymensingh Range</v>
      </c>
      <c r="K232">
        <f>_xlfn.XLOOKUP(J232,Crime_Data!A:A,Crime_Data!V:V,"")</f>
        <v>84.741263899591743</v>
      </c>
      <c r="L232">
        <f>_xlfn.XLOOKUP(J232,Crime_Data!A:A,Crime_Data!W:W,"")</f>
        <v>13.635491015503808</v>
      </c>
      <c r="M232" t="str">
        <f>TRIM(Table6[[#This Row],[District]])&amp;"|"&amp;TRIM(Table6[[#This Row],[Upazila]])</f>
        <v>Jamalpur|Melandaha</v>
      </c>
      <c r="N232" t="str">
        <f>_xlfn.XLOOKUP(B232,Remittance_Data!A:A,Remittance_Data!B:B,"CHECK")</f>
        <v>CHECK</v>
      </c>
      <c r="O232" t="str">
        <f>_xlfn.XLOOKUP(B232,Remittance_Data!A:A,Remittance_Data!C:C,"CHECK")</f>
        <v>CHECK</v>
      </c>
      <c r="P232" t="str">
        <f>_xlfn.XLOOKUP(B232,Remittance_Data!A:A,Remittance_Data!D:D,"CHECK")</f>
        <v>CHECK</v>
      </c>
    </row>
    <row r="233" spans="1:16">
      <c r="A233" t="s">
        <v>416</v>
      </c>
      <c r="B233" t="str">
        <f>SUBSTITUTE(SUBSTITUTE(SUBSTITUTE(SUBSTITUTE(TRIM(Table6[[#This Row],[Constituency]]),"Barisal","Barishal"),"Jessore","Jashore"),"Bogra","Bogura"),"Chapai Nawabganj","Chapainawabganj")</f>
        <v>Jamalpur-5</v>
      </c>
      <c r="C233" t="s">
        <v>1185</v>
      </c>
      <c r="D233" t="s">
        <v>1179</v>
      </c>
      <c r="E233">
        <f>_xlfn.XLOOKUP(C233,Population_data!B:B,Population_data!C:C,"")</f>
        <v>205.96</v>
      </c>
      <c r="F233">
        <f>_xlfn.XLOOKUP(C233,Population_data!B:B,Population_data!D:D,"")</f>
        <v>285987</v>
      </c>
      <c r="G233">
        <f>_xlfn.XLOOKUP(C233,Population_data!B:B,Population_data!E:E,"")</f>
        <v>1388.56</v>
      </c>
      <c r="H233">
        <f>_xlfn.XLOOKUP(C233,Population_data!B:B,Population_data!F:F,"")</f>
        <v>3.78</v>
      </c>
      <c r="I233">
        <f>_xlfn.XLOOKUP(C233,Population_data!B:B,Population_data!G:G,"")</f>
        <v>58.38</v>
      </c>
      <c r="J233" t="str">
        <f>_xlfn.XLOOKUP(D233,District_Crime_Unit_Map!A:A,District_Crime_Unit_Map!B:B,"")</f>
        <v>Mymensingh Range</v>
      </c>
      <c r="K233">
        <f>_xlfn.XLOOKUP(J233,Crime_Data!A:A,Crime_Data!V:V,"")</f>
        <v>84.741263899591743</v>
      </c>
      <c r="L233">
        <f>_xlfn.XLOOKUP(J233,Crime_Data!A:A,Crime_Data!W:W,"")</f>
        <v>13.635491015503808</v>
      </c>
      <c r="M233" t="str">
        <f>TRIM(Table6[[#This Row],[District]])&amp;"|"&amp;TRIM(Table6[[#This Row],[Upazila]])</f>
        <v>Jamalpur|Madarganj</v>
      </c>
      <c r="N233" t="str">
        <f>_xlfn.XLOOKUP(B233,Remittance_Data!A:A,Remittance_Data!B:B,"CHECK")</f>
        <v>CHECK</v>
      </c>
      <c r="O233" t="str">
        <f>_xlfn.XLOOKUP(B233,Remittance_Data!A:A,Remittance_Data!C:C,"CHECK")</f>
        <v>CHECK</v>
      </c>
      <c r="P233" t="str">
        <f>_xlfn.XLOOKUP(B233,Remittance_Data!A:A,Remittance_Data!D:D,"CHECK")</f>
        <v>CHECK</v>
      </c>
    </row>
    <row r="234" spans="1:16">
      <c r="A234" t="s">
        <v>427</v>
      </c>
      <c r="B234" t="str">
        <f>SUBSTITUTE(SUBSTITUTE(SUBSTITUTE(SUBSTITUTE(TRIM(Table6[[#This Row],[Constituency]]),"Barisal","Barishal"),"Jessore","Jashore"),"Bogra","Bogura"),"Chapai Nawabganj","Chapainawabganj")</f>
        <v>Mymensingh-1</v>
      </c>
      <c r="C234" t="s">
        <v>1186</v>
      </c>
      <c r="D234" t="s">
        <v>403</v>
      </c>
      <c r="E234">
        <f>_xlfn.XLOOKUP(C234,Population_data!B:B,Population_data!C:C,"")</f>
        <v>227.58</v>
      </c>
      <c r="F234">
        <f>_xlfn.XLOOKUP(C234,Population_data!B:B,Population_data!D:D,"")</f>
        <v>316528</v>
      </c>
      <c r="G234">
        <f>_xlfn.XLOOKUP(C234,Population_data!B:B,Population_data!E:E,"")</f>
        <v>1390.84</v>
      </c>
      <c r="H234">
        <f>_xlfn.XLOOKUP(C234,Population_data!B:B,Population_data!F:F,"")</f>
        <v>3.88</v>
      </c>
      <c r="I234">
        <f>_xlfn.XLOOKUP(C234,Population_data!B:B,Population_data!G:G,"")</f>
        <v>67</v>
      </c>
      <c r="J234" t="str">
        <f>_xlfn.XLOOKUP(D234,District_Crime_Unit_Map!A:A,District_Crime_Unit_Map!B:B,"")</f>
        <v>Mymensingh Range</v>
      </c>
      <c r="K234">
        <f>_xlfn.XLOOKUP(J234,Crime_Data!A:A,Crime_Data!V:V,"")</f>
        <v>84.741263899591743</v>
      </c>
      <c r="L234">
        <f>_xlfn.XLOOKUP(J234,Crime_Data!A:A,Crime_Data!W:W,"")</f>
        <v>13.635491015503808</v>
      </c>
      <c r="M234" t="str">
        <f>TRIM(Table6[[#This Row],[District]])&amp;"|"&amp;TRIM(Table6[[#This Row],[Upazila]])</f>
        <v>Mymensingh|Haluaghat</v>
      </c>
      <c r="N234" t="str">
        <f>_xlfn.XLOOKUP(B234,Remittance_Data!A:A,Remittance_Data!B:B,"CHECK")</f>
        <v>CHECK</v>
      </c>
      <c r="O234" t="str">
        <f>_xlfn.XLOOKUP(B234,Remittance_Data!A:A,Remittance_Data!C:C,"CHECK")</f>
        <v>CHECK</v>
      </c>
      <c r="P234" t="str">
        <f>_xlfn.XLOOKUP(B234,Remittance_Data!A:A,Remittance_Data!D:D,"CHECK")</f>
        <v>CHECK</v>
      </c>
    </row>
    <row r="235" spans="1:16">
      <c r="A235" t="s">
        <v>427</v>
      </c>
      <c r="B235" t="str">
        <f>SUBSTITUTE(SUBSTITUTE(SUBSTITUTE(SUBSTITUTE(TRIM(Table6[[#This Row],[Constituency]]),"Barisal","Barishal"),"Jessore","Jashore"),"Bogra","Bogura"),"Chapai Nawabganj","Chapainawabganj")</f>
        <v>Mymensingh-1</v>
      </c>
      <c r="C235" t="s">
        <v>1187</v>
      </c>
      <c r="D235" t="s">
        <v>403</v>
      </c>
      <c r="E235">
        <f>_xlfn.XLOOKUP(C235,Population_data!B:B,Population_data!C:C,"")</f>
        <v>251.03</v>
      </c>
      <c r="F235">
        <f>_xlfn.XLOOKUP(C235,Population_data!B:B,Population_data!D:D,"")</f>
        <v>217466</v>
      </c>
      <c r="G235">
        <f>_xlfn.XLOOKUP(C235,Population_data!B:B,Population_data!E:E,"")</f>
        <v>866.29</v>
      </c>
      <c r="H235">
        <f>_xlfn.XLOOKUP(C235,Population_data!B:B,Population_data!F:F,"")</f>
        <v>4.09</v>
      </c>
      <c r="I235">
        <f>_xlfn.XLOOKUP(C235,Population_data!B:B,Population_data!G:G,"")</f>
        <v>66.930000000000007</v>
      </c>
      <c r="J235" t="str">
        <f>_xlfn.XLOOKUP(D235,District_Crime_Unit_Map!A:A,District_Crime_Unit_Map!B:B,"")</f>
        <v>Mymensingh Range</v>
      </c>
      <c r="K235">
        <f>_xlfn.XLOOKUP(J235,Crime_Data!A:A,Crime_Data!V:V,"")</f>
        <v>84.741263899591743</v>
      </c>
      <c r="L235">
        <f>_xlfn.XLOOKUP(J235,Crime_Data!A:A,Crime_Data!W:W,"")</f>
        <v>13.635491015503808</v>
      </c>
      <c r="M235" t="str">
        <f>TRIM(Table6[[#This Row],[District]])&amp;"|"&amp;TRIM(Table6[[#This Row],[Upazila]])</f>
        <v>Mymensingh|Dhobaura</v>
      </c>
      <c r="N235" t="str">
        <f>_xlfn.XLOOKUP(B235,Remittance_Data!A:A,Remittance_Data!B:B,"CHECK")</f>
        <v>CHECK</v>
      </c>
      <c r="O235" t="str">
        <f>_xlfn.XLOOKUP(B235,Remittance_Data!A:A,Remittance_Data!C:C,"CHECK")</f>
        <v>CHECK</v>
      </c>
      <c r="P235" t="str">
        <f>_xlfn.XLOOKUP(B235,Remittance_Data!A:A,Remittance_Data!D:D,"CHECK")</f>
        <v>CHECK</v>
      </c>
    </row>
    <row r="236" spans="1:16">
      <c r="A236" t="s">
        <v>430</v>
      </c>
      <c r="B236" t="str">
        <f>SUBSTITUTE(SUBSTITUTE(SUBSTITUTE(SUBSTITUTE(TRIM(Table6[[#This Row],[Constituency]]),"Barisal","Barishal"),"Jessore","Jashore"),"Bogra","Bogura"),"Chapai Nawabganj","Chapainawabganj")</f>
        <v>Mymensingh-2</v>
      </c>
      <c r="C236" t="s">
        <v>1497</v>
      </c>
      <c r="D236" t="s">
        <v>403</v>
      </c>
      <c r="E236">
        <f>_xlfn.XLOOKUP(C236,Population_data!B:B,Population_data!C:C,"")</f>
        <v>277.63</v>
      </c>
      <c r="F236">
        <f>_xlfn.XLOOKUP(C236,Population_data!B:B,Population_data!D:D,"")</f>
        <v>350967</v>
      </c>
      <c r="G236">
        <f>_xlfn.XLOOKUP(C236,Population_data!B:B,Population_data!E:E,"")</f>
        <v>1264.1500000000001</v>
      </c>
      <c r="H236">
        <f>_xlfn.XLOOKUP(C236,Population_data!B:B,Population_data!F:F,"")</f>
        <v>4</v>
      </c>
      <c r="I236">
        <f>_xlfn.XLOOKUP(C236,Population_data!B:B,Population_data!G:G,"")</f>
        <v>66.66</v>
      </c>
      <c r="J236" t="str">
        <f>_xlfn.XLOOKUP(D236,District_Crime_Unit_Map!A:A,District_Crime_Unit_Map!B:B,"")</f>
        <v>Mymensingh Range</v>
      </c>
      <c r="K236">
        <f>_xlfn.XLOOKUP(J236,Crime_Data!A:A,Crime_Data!V:V,"")</f>
        <v>84.741263899591743</v>
      </c>
      <c r="L236">
        <f>_xlfn.XLOOKUP(J236,Crime_Data!A:A,Crime_Data!W:W,"")</f>
        <v>13.635491015503808</v>
      </c>
      <c r="M236" t="str">
        <f>TRIM(Table6[[#This Row],[District]])&amp;"|"&amp;TRIM(Table6[[#This Row],[Upazila]])</f>
        <v>Mymensingh|Fulpur</v>
      </c>
      <c r="N236" t="str">
        <f>_xlfn.XLOOKUP(B236,Remittance_Data!A:A,Remittance_Data!B:B,"CHECK")</f>
        <v>CHECK</v>
      </c>
      <c r="O236" t="str">
        <f>_xlfn.XLOOKUP(B236,Remittance_Data!A:A,Remittance_Data!C:C,"CHECK")</f>
        <v>CHECK</v>
      </c>
      <c r="P236" t="str">
        <f>_xlfn.XLOOKUP(B236,Remittance_Data!A:A,Remittance_Data!D:D,"CHECK")</f>
        <v>CHECK</v>
      </c>
    </row>
    <row r="237" spans="1:16">
      <c r="A237" t="s">
        <v>433</v>
      </c>
      <c r="B237" t="str">
        <f>SUBSTITUTE(SUBSTITUTE(SUBSTITUTE(SUBSTITUTE(TRIM(Table6[[#This Row],[Constituency]]),"Barisal","Barishal"),"Jessore","Jashore"),"Bogra","Bogura"),"Chapai Nawabganj","Chapainawabganj")</f>
        <v>Mymensingh-3</v>
      </c>
      <c r="C237" t="s">
        <v>1496</v>
      </c>
      <c r="D237" t="s">
        <v>403</v>
      </c>
      <c r="E237">
        <f>_xlfn.XLOOKUP(C237,Population_data!B:B,Population_data!C:C,"")</f>
        <v>331.84</v>
      </c>
      <c r="F237">
        <f>_xlfn.XLOOKUP(C237,Population_data!B:B,Population_data!D:D,"")</f>
        <v>357331</v>
      </c>
      <c r="G237">
        <f>_xlfn.XLOOKUP(C237,Population_data!B:B,Population_data!E:E,"")</f>
        <v>1076.82</v>
      </c>
      <c r="H237">
        <f>_xlfn.XLOOKUP(C237,Population_data!B:B,Population_data!F:F,"")</f>
        <v>4.1399999999999997</v>
      </c>
      <c r="I237">
        <f>_xlfn.XLOOKUP(C237,Population_data!B:B,Population_data!G:G,"")</f>
        <v>68.209999999999994</v>
      </c>
      <c r="J237" t="str">
        <f>_xlfn.XLOOKUP(D237,District_Crime_Unit_Map!A:A,District_Crime_Unit_Map!B:B,"")</f>
        <v>Mymensingh Range</v>
      </c>
      <c r="K237">
        <f>_xlfn.XLOOKUP(J237,Crime_Data!A:A,Crime_Data!V:V,"")</f>
        <v>84.741263899591743</v>
      </c>
      <c r="L237">
        <f>_xlfn.XLOOKUP(J237,Crime_Data!A:A,Crime_Data!W:W,"")</f>
        <v>13.635491015503808</v>
      </c>
      <c r="M237" t="str">
        <f>TRIM(Table6[[#This Row],[District]])&amp;"|"&amp;TRIM(Table6[[#This Row],[Upazila]])</f>
        <v>Mymensingh|Gouripur</v>
      </c>
      <c r="N237" t="str">
        <f>_xlfn.XLOOKUP(B237,Remittance_Data!A:A,Remittance_Data!B:B,"CHECK")</f>
        <v>CHECK</v>
      </c>
      <c r="O237" t="str">
        <f>_xlfn.XLOOKUP(B237,Remittance_Data!A:A,Remittance_Data!C:C,"CHECK")</f>
        <v>CHECK</v>
      </c>
      <c r="P237" t="str">
        <f>_xlfn.XLOOKUP(B237,Remittance_Data!A:A,Remittance_Data!D:D,"CHECK")</f>
        <v>CHECK</v>
      </c>
    </row>
    <row r="238" spans="1:16">
      <c r="A238" t="s">
        <v>436</v>
      </c>
      <c r="B238" t="str">
        <f>SUBSTITUTE(SUBSTITUTE(SUBSTITUTE(SUBSTITUTE(TRIM(Table6[[#This Row],[Constituency]]),"Barisal","Barishal"),"Jessore","Jashore"),"Bogra","Bogura"),"Chapai Nawabganj","Chapainawabganj")</f>
        <v>Mymensingh-4</v>
      </c>
      <c r="C238" t="s">
        <v>1190</v>
      </c>
      <c r="D238" t="s">
        <v>403</v>
      </c>
      <c r="E238">
        <f>_xlfn.XLOOKUP(C238,Population_data!B:B,Population_data!C:C,"")</f>
        <v>388.45</v>
      </c>
      <c r="F238">
        <f>_xlfn.XLOOKUP(C238,Population_data!B:B,Population_data!D:D,"")</f>
        <v>421413</v>
      </c>
      <c r="G238">
        <f>_xlfn.XLOOKUP(C238,Population_data!B:B,Population_data!E:E,"")</f>
        <v>1084.8599999999999</v>
      </c>
      <c r="H238">
        <f>_xlfn.XLOOKUP(C238,Population_data!B:B,Population_data!F:F,"")</f>
        <v>4.1900000000000004</v>
      </c>
      <c r="I238">
        <f>_xlfn.XLOOKUP(C238,Population_data!B:B,Population_data!G:G,"")</f>
        <v>67.540000000000006</v>
      </c>
      <c r="J238" t="str">
        <f>_xlfn.XLOOKUP(D238,District_Crime_Unit_Map!A:A,District_Crime_Unit_Map!B:B,"")</f>
        <v>Mymensingh Range</v>
      </c>
      <c r="K238">
        <f>_xlfn.XLOOKUP(J238,Crime_Data!A:A,Crime_Data!V:V,"")</f>
        <v>84.741263899591743</v>
      </c>
      <c r="L238">
        <f>_xlfn.XLOOKUP(J238,Crime_Data!A:A,Crime_Data!W:W,"")</f>
        <v>13.635491015503808</v>
      </c>
      <c r="M238" t="str">
        <f>TRIM(Table6[[#This Row],[District]])&amp;"|"&amp;TRIM(Table6[[#This Row],[Upazila]])</f>
        <v>Mymensingh|Mymensingh Sadar</v>
      </c>
      <c r="N238" t="str">
        <f>_xlfn.XLOOKUP(B238,Remittance_Data!A:A,Remittance_Data!B:B,"CHECK")</f>
        <v>CHECK</v>
      </c>
      <c r="O238" t="str">
        <f>_xlfn.XLOOKUP(B238,Remittance_Data!A:A,Remittance_Data!C:C,"CHECK")</f>
        <v>CHECK</v>
      </c>
      <c r="P238" t="str">
        <f>_xlfn.XLOOKUP(B238,Remittance_Data!A:A,Remittance_Data!D:D,"CHECK")</f>
        <v>CHECK</v>
      </c>
    </row>
    <row r="239" spans="1:16">
      <c r="A239" t="s">
        <v>439</v>
      </c>
      <c r="B239" t="str">
        <f>SUBSTITUTE(SUBSTITUTE(SUBSTITUTE(SUBSTITUTE(TRIM(Table6[[#This Row],[Constituency]]),"Barisal","Barishal"),"Jessore","Jashore"),"Bogra","Bogura"),"Chapai Nawabganj","Chapainawabganj")</f>
        <v>Mymensingh-5</v>
      </c>
      <c r="C239" t="s">
        <v>1191</v>
      </c>
      <c r="D239" t="s">
        <v>403</v>
      </c>
      <c r="E239">
        <f>_xlfn.XLOOKUP(C239,Population_data!B:B,Population_data!C:C,"")</f>
        <v>229.55</v>
      </c>
      <c r="F239">
        <f>_xlfn.XLOOKUP(C239,Population_data!B:B,Population_data!D:D,"")</f>
        <v>460381</v>
      </c>
      <c r="G239">
        <f>_xlfn.XLOOKUP(C239,Population_data!B:B,Population_data!E:E,"")</f>
        <v>2005.58</v>
      </c>
      <c r="H239">
        <f>_xlfn.XLOOKUP(C239,Population_data!B:B,Population_data!F:F,"")</f>
        <v>3.93</v>
      </c>
      <c r="I239">
        <f>_xlfn.XLOOKUP(C239,Population_data!B:B,Population_data!G:G,"")</f>
        <v>71.91</v>
      </c>
      <c r="J239" t="str">
        <f>_xlfn.XLOOKUP(D239,District_Crime_Unit_Map!A:A,District_Crime_Unit_Map!B:B,"")</f>
        <v>Mymensingh Range</v>
      </c>
      <c r="K239">
        <f>_xlfn.XLOOKUP(J239,Crime_Data!A:A,Crime_Data!V:V,"")</f>
        <v>84.741263899591743</v>
      </c>
      <c r="L239">
        <f>_xlfn.XLOOKUP(J239,Crime_Data!A:A,Crime_Data!W:W,"")</f>
        <v>13.635491015503808</v>
      </c>
      <c r="M239" t="str">
        <f>TRIM(Table6[[#This Row],[District]])&amp;"|"&amp;TRIM(Table6[[#This Row],[Upazila]])</f>
        <v>Mymensingh|Muktagachha</v>
      </c>
      <c r="N239" t="str">
        <f>_xlfn.XLOOKUP(B239,Remittance_Data!A:A,Remittance_Data!B:B,"CHECK")</f>
        <v>CHECK</v>
      </c>
      <c r="O239" t="str">
        <f>_xlfn.XLOOKUP(B239,Remittance_Data!A:A,Remittance_Data!C:C,"CHECK")</f>
        <v>CHECK</v>
      </c>
      <c r="P239" t="str">
        <f>_xlfn.XLOOKUP(B239,Remittance_Data!A:A,Remittance_Data!D:D,"CHECK")</f>
        <v>CHECK</v>
      </c>
    </row>
    <row r="240" spans="1:16">
      <c r="A240" t="s">
        <v>442</v>
      </c>
      <c r="B240" t="str">
        <f>SUBSTITUTE(SUBSTITUTE(SUBSTITUTE(SUBSTITUTE(TRIM(Table6[[#This Row],[Constituency]]),"Barisal","Barishal"),"Jessore","Jashore"),"Bogra","Bogura"),"Chapai Nawabganj","Chapainawabganj")</f>
        <v>Mymensingh-6</v>
      </c>
      <c r="C240" t="s">
        <v>1192</v>
      </c>
      <c r="D240" t="s">
        <v>403</v>
      </c>
      <c r="E240">
        <f>_xlfn.XLOOKUP(C240,Population_data!B:B,Population_data!C:C,"")</f>
        <v>402.41</v>
      </c>
      <c r="F240">
        <f>_xlfn.XLOOKUP(C240,Population_data!B:B,Population_data!D:D,"")</f>
        <v>495894</v>
      </c>
      <c r="G240">
        <f>_xlfn.XLOOKUP(C240,Population_data!B:B,Population_data!E:E,"")</f>
        <v>1232.31</v>
      </c>
      <c r="H240">
        <f>_xlfn.XLOOKUP(C240,Population_data!B:B,Population_data!F:F,"")</f>
        <v>4.01</v>
      </c>
      <c r="I240">
        <f>_xlfn.XLOOKUP(C240,Population_data!B:B,Population_data!G:G,"")</f>
        <v>68.05</v>
      </c>
      <c r="J240" t="str">
        <f>_xlfn.XLOOKUP(D240,District_Crime_Unit_Map!A:A,District_Crime_Unit_Map!B:B,"")</f>
        <v>Mymensingh Range</v>
      </c>
      <c r="K240">
        <f>_xlfn.XLOOKUP(J240,Crime_Data!A:A,Crime_Data!V:V,"")</f>
        <v>84.741263899591743</v>
      </c>
      <c r="L240">
        <f>_xlfn.XLOOKUP(J240,Crime_Data!A:A,Crime_Data!W:W,"")</f>
        <v>13.635491015503808</v>
      </c>
      <c r="M240" t="str">
        <f>TRIM(Table6[[#This Row],[District]])&amp;"|"&amp;TRIM(Table6[[#This Row],[Upazila]])</f>
        <v>Mymensingh|Fulbaria</v>
      </c>
      <c r="N240" t="str">
        <f>_xlfn.XLOOKUP(B240,Remittance_Data!A:A,Remittance_Data!B:B,"CHECK")</f>
        <v>CHECK</v>
      </c>
      <c r="O240" t="str">
        <f>_xlfn.XLOOKUP(B240,Remittance_Data!A:A,Remittance_Data!C:C,"CHECK")</f>
        <v>CHECK</v>
      </c>
      <c r="P240" t="str">
        <f>_xlfn.XLOOKUP(B240,Remittance_Data!A:A,Remittance_Data!D:D,"CHECK")</f>
        <v>CHECK</v>
      </c>
    </row>
    <row r="241" spans="1:16">
      <c r="A241" t="s">
        <v>445</v>
      </c>
      <c r="B241" t="str">
        <f>SUBSTITUTE(SUBSTITUTE(SUBSTITUTE(SUBSTITUTE(TRIM(Table6[[#This Row],[Constituency]]),"Barisal","Barishal"),"Jessore","Jashore"),"Bogra","Bogura"),"Chapai Nawabganj","Chapainawabganj")</f>
        <v>Mymensingh-7</v>
      </c>
      <c r="C241" t="s">
        <v>1193</v>
      </c>
      <c r="D241" t="s">
        <v>403</v>
      </c>
      <c r="E241">
        <f>_xlfn.XLOOKUP(C241,Population_data!B:B,Population_data!C:C,"")</f>
        <v>338.98</v>
      </c>
      <c r="F241">
        <f>_xlfn.XLOOKUP(C241,Population_data!B:B,Population_data!D:D,"")</f>
        <v>491467</v>
      </c>
      <c r="G241">
        <f>_xlfn.XLOOKUP(C241,Population_data!B:B,Population_data!E:E,"")</f>
        <v>1449.84</v>
      </c>
      <c r="H241">
        <f>_xlfn.XLOOKUP(C241,Population_data!B:B,Population_data!F:F,"")</f>
        <v>4.07</v>
      </c>
      <c r="I241">
        <f>_xlfn.XLOOKUP(C241,Population_data!B:B,Population_data!G:G,"")</f>
        <v>71.44</v>
      </c>
      <c r="J241" t="str">
        <f>_xlfn.XLOOKUP(D241,District_Crime_Unit_Map!A:A,District_Crime_Unit_Map!B:B,"")</f>
        <v>Mymensingh Range</v>
      </c>
      <c r="K241">
        <f>_xlfn.XLOOKUP(J241,Crime_Data!A:A,Crime_Data!V:V,"")</f>
        <v>84.741263899591743</v>
      </c>
      <c r="L241">
        <f>_xlfn.XLOOKUP(J241,Crime_Data!A:A,Crime_Data!W:W,"")</f>
        <v>13.635491015503808</v>
      </c>
      <c r="M241" t="str">
        <f>TRIM(Table6[[#This Row],[District]])&amp;"|"&amp;TRIM(Table6[[#This Row],[Upazila]])</f>
        <v>Mymensingh|Trishal</v>
      </c>
      <c r="N241" t="str">
        <f>_xlfn.XLOOKUP(B241,Remittance_Data!A:A,Remittance_Data!B:B,"CHECK")</f>
        <v>CHECK</v>
      </c>
      <c r="O241" t="str">
        <f>_xlfn.XLOOKUP(B241,Remittance_Data!A:A,Remittance_Data!C:C,"CHECK")</f>
        <v>CHECK</v>
      </c>
      <c r="P241" t="str">
        <f>_xlfn.XLOOKUP(B241,Remittance_Data!A:A,Remittance_Data!D:D,"CHECK")</f>
        <v>CHECK</v>
      </c>
    </row>
    <row r="242" spans="1:16">
      <c r="A242" t="s">
        <v>448</v>
      </c>
      <c r="B242" t="str">
        <f>SUBSTITUTE(SUBSTITUTE(SUBSTITUTE(SUBSTITUTE(TRIM(Table6[[#This Row],[Constituency]]),"Barisal","Barishal"),"Jessore","Jashore"),"Bogra","Bogura"),"Chapai Nawabganj","Chapainawabganj")</f>
        <v>Mymensingh-8</v>
      </c>
      <c r="C242" t="s">
        <v>1194</v>
      </c>
      <c r="D242" t="s">
        <v>403</v>
      </c>
      <c r="E242">
        <f>_xlfn.XLOOKUP(C242,Population_data!B:B,Population_data!C:C,"")</f>
        <v>286.19</v>
      </c>
      <c r="F242">
        <f>_xlfn.XLOOKUP(C242,Population_data!B:B,Population_data!D:D,"")</f>
        <v>404598</v>
      </c>
      <c r="G242">
        <f>_xlfn.XLOOKUP(C242,Population_data!B:B,Population_data!E:E,"")</f>
        <v>1413.74</v>
      </c>
      <c r="H242">
        <f>_xlfn.XLOOKUP(C242,Population_data!B:B,Population_data!F:F,"")</f>
        <v>4.1100000000000003</v>
      </c>
      <c r="I242">
        <f>_xlfn.XLOOKUP(C242,Population_data!B:B,Population_data!G:G,"")</f>
        <v>66.819999999999993</v>
      </c>
      <c r="J242" t="str">
        <f>_xlfn.XLOOKUP(D242,District_Crime_Unit_Map!A:A,District_Crime_Unit_Map!B:B,"")</f>
        <v>Mymensingh Range</v>
      </c>
      <c r="K242">
        <f>_xlfn.XLOOKUP(J242,Crime_Data!A:A,Crime_Data!V:V,"")</f>
        <v>84.741263899591743</v>
      </c>
      <c r="L242">
        <f>_xlfn.XLOOKUP(J242,Crime_Data!A:A,Crime_Data!W:W,"")</f>
        <v>13.635491015503808</v>
      </c>
      <c r="M242" t="str">
        <f>TRIM(Table6[[#This Row],[District]])&amp;"|"&amp;TRIM(Table6[[#This Row],[Upazila]])</f>
        <v>Mymensingh|Ishwarganj</v>
      </c>
      <c r="N242" t="str">
        <f>_xlfn.XLOOKUP(B242,Remittance_Data!A:A,Remittance_Data!B:B,"CHECK")</f>
        <v>CHECK</v>
      </c>
      <c r="O242" t="str">
        <f>_xlfn.XLOOKUP(B242,Remittance_Data!A:A,Remittance_Data!C:C,"CHECK")</f>
        <v>CHECK</v>
      </c>
      <c r="P242" t="str">
        <f>_xlfn.XLOOKUP(B242,Remittance_Data!A:A,Remittance_Data!D:D,"CHECK")</f>
        <v>CHECK</v>
      </c>
    </row>
    <row r="243" spans="1:16">
      <c r="A243" t="s">
        <v>452</v>
      </c>
      <c r="B243" t="str">
        <f>SUBSTITUTE(SUBSTITUTE(SUBSTITUTE(SUBSTITUTE(TRIM(Table6[[#This Row],[Constituency]]),"Barisal","Barishal"),"Jessore","Jashore"),"Bogra","Bogura"),"Chapai Nawabganj","Chapainawabganj")</f>
        <v>Mymensingh-9</v>
      </c>
      <c r="C243" t="s">
        <v>1195</v>
      </c>
      <c r="D243" t="s">
        <v>403</v>
      </c>
      <c r="E243">
        <f>_xlfn.XLOOKUP(C243,Population_data!B:B,Population_data!C:C,"")</f>
        <v>347.31</v>
      </c>
      <c r="F243">
        <f>_xlfn.XLOOKUP(C243,Population_data!B:B,Population_data!D:D,"")</f>
        <v>421277</v>
      </c>
      <c r="G243">
        <f>_xlfn.XLOOKUP(C243,Population_data!B:B,Population_data!E:E,"")</f>
        <v>1212.97</v>
      </c>
      <c r="H243">
        <f>_xlfn.XLOOKUP(C243,Population_data!B:B,Population_data!F:F,"")</f>
        <v>4.1100000000000003</v>
      </c>
      <c r="I243">
        <f>_xlfn.XLOOKUP(C243,Population_data!B:B,Population_data!G:G,"")</f>
        <v>66.03</v>
      </c>
      <c r="J243" t="str">
        <f>_xlfn.XLOOKUP(D243,District_Crime_Unit_Map!A:A,District_Crime_Unit_Map!B:B,"")</f>
        <v>Mymensingh Range</v>
      </c>
      <c r="K243">
        <f>_xlfn.XLOOKUP(J243,Crime_Data!A:A,Crime_Data!V:V,"")</f>
        <v>84.741263899591743</v>
      </c>
      <c r="L243">
        <f>_xlfn.XLOOKUP(J243,Crime_Data!A:A,Crime_Data!W:W,"")</f>
        <v>13.635491015503808</v>
      </c>
      <c r="M243" t="str">
        <f>TRIM(Table6[[#This Row],[District]])&amp;"|"&amp;TRIM(Table6[[#This Row],[Upazila]])</f>
        <v>Mymensingh|Nandail</v>
      </c>
      <c r="N243" t="str">
        <f>_xlfn.XLOOKUP(B243,Remittance_Data!A:A,Remittance_Data!B:B,"CHECK")</f>
        <v>CHECK</v>
      </c>
      <c r="O243" t="str">
        <f>_xlfn.XLOOKUP(B243,Remittance_Data!A:A,Remittance_Data!C:C,"CHECK")</f>
        <v>CHECK</v>
      </c>
      <c r="P243" t="str">
        <f>_xlfn.XLOOKUP(B243,Remittance_Data!A:A,Remittance_Data!D:D,"CHECK")</f>
        <v>CHECK</v>
      </c>
    </row>
    <row r="244" spans="1:16">
      <c r="A244" t="s">
        <v>455</v>
      </c>
      <c r="B244" t="str">
        <f>SUBSTITUTE(SUBSTITUTE(SUBSTITUTE(SUBSTITUTE(TRIM(Table6[[#This Row],[Constituency]]),"Barisal","Barishal"),"Jessore","Jashore"),"Bogra","Bogura"),"Chapai Nawabganj","Chapainawabganj")</f>
        <v>Mymensingh-10</v>
      </c>
      <c r="C244" t="s">
        <v>1495</v>
      </c>
      <c r="D244" t="s">
        <v>403</v>
      </c>
      <c r="E244">
        <f>_xlfn.XLOOKUP(C244,Population_data!B:B,Population_data!C:C,"")</f>
        <v>374.07</v>
      </c>
      <c r="F244">
        <f>_xlfn.XLOOKUP(C244,Population_data!B:B,Population_data!D:D,"")</f>
        <v>463248</v>
      </c>
      <c r="G244">
        <f>_xlfn.XLOOKUP(C244,Population_data!B:B,Population_data!E:E,"")</f>
        <v>1238.4000000000001</v>
      </c>
      <c r="H244">
        <f>_xlfn.XLOOKUP(C244,Population_data!B:B,Population_data!F:F,"")</f>
        <v>3.87</v>
      </c>
      <c r="I244">
        <f>_xlfn.XLOOKUP(C244,Population_data!B:B,Population_data!G:G,"")</f>
        <v>72.98</v>
      </c>
      <c r="J244" t="str">
        <f>_xlfn.XLOOKUP(D244,District_Crime_Unit_Map!A:A,District_Crime_Unit_Map!B:B,"")</f>
        <v>Mymensingh Range</v>
      </c>
      <c r="K244">
        <f>_xlfn.XLOOKUP(J244,Crime_Data!A:A,Crime_Data!V:V,"")</f>
        <v>84.741263899591743</v>
      </c>
      <c r="L244">
        <f>_xlfn.XLOOKUP(J244,Crime_Data!A:A,Crime_Data!W:W,"")</f>
        <v>13.635491015503808</v>
      </c>
      <c r="M244" t="str">
        <f>TRIM(Table6[[#This Row],[District]])&amp;"|"&amp;TRIM(Table6[[#This Row],[Upazila]])</f>
        <v>Mymensingh|Gafargaon</v>
      </c>
      <c r="N244" t="str">
        <f>_xlfn.XLOOKUP(B244,Remittance_Data!A:A,Remittance_Data!B:B,"CHECK")</f>
        <v>CHECK</v>
      </c>
      <c r="O244" t="str">
        <f>_xlfn.XLOOKUP(B244,Remittance_Data!A:A,Remittance_Data!C:C,"CHECK")</f>
        <v>CHECK</v>
      </c>
      <c r="P244" t="str">
        <f>_xlfn.XLOOKUP(B244,Remittance_Data!A:A,Remittance_Data!D:D,"CHECK")</f>
        <v>CHECK</v>
      </c>
    </row>
    <row r="245" spans="1:16">
      <c r="A245" t="s">
        <v>458</v>
      </c>
      <c r="B245" t="str">
        <f>SUBSTITUTE(SUBSTITUTE(SUBSTITUTE(SUBSTITUTE(TRIM(Table6[[#This Row],[Constituency]]),"Barisal","Barishal"),"Jessore","Jashore"),"Bogra","Bogura"),"Chapai Nawabganj","Chapainawabganj")</f>
        <v>Mymensingh-11</v>
      </c>
      <c r="C245" t="s">
        <v>1197</v>
      </c>
      <c r="D245" t="s">
        <v>403</v>
      </c>
      <c r="E245">
        <f>_xlfn.XLOOKUP(C245,Population_data!B:B,Population_data!C:C,"")</f>
        <v>444.05</v>
      </c>
      <c r="F245">
        <f>_xlfn.XLOOKUP(C245,Population_data!B:B,Population_data!D:D,"")</f>
        <v>583953</v>
      </c>
      <c r="G245">
        <f>_xlfn.XLOOKUP(C245,Population_data!B:B,Population_data!E:E,"")</f>
        <v>1315.06</v>
      </c>
      <c r="H245">
        <f>_xlfn.XLOOKUP(C245,Population_data!B:B,Population_data!F:F,"")</f>
        <v>3.42</v>
      </c>
      <c r="I245">
        <f>_xlfn.XLOOKUP(C245,Population_data!B:B,Population_data!G:G,"")</f>
        <v>74.98</v>
      </c>
      <c r="J245" t="str">
        <f>_xlfn.XLOOKUP(D245,District_Crime_Unit_Map!A:A,District_Crime_Unit_Map!B:B,"")</f>
        <v>Mymensingh Range</v>
      </c>
      <c r="K245">
        <f>_xlfn.XLOOKUP(J245,Crime_Data!A:A,Crime_Data!V:V,"")</f>
        <v>84.741263899591743</v>
      </c>
      <c r="L245">
        <f>_xlfn.XLOOKUP(J245,Crime_Data!A:A,Crime_Data!W:W,"")</f>
        <v>13.635491015503808</v>
      </c>
      <c r="M245" t="str">
        <f>TRIM(Table6[[#This Row],[District]])&amp;"|"&amp;TRIM(Table6[[#This Row],[Upazila]])</f>
        <v>Mymensingh|Bhaluka</v>
      </c>
      <c r="N245" t="str">
        <f>_xlfn.XLOOKUP(B245,Remittance_Data!A:A,Remittance_Data!B:B,"CHECK")</f>
        <v>CHECK</v>
      </c>
      <c r="O245" t="str">
        <f>_xlfn.XLOOKUP(B245,Remittance_Data!A:A,Remittance_Data!C:C,"CHECK")</f>
        <v>CHECK</v>
      </c>
      <c r="P245" t="str">
        <f>_xlfn.XLOOKUP(B245,Remittance_Data!A:A,Remittance_Data!D:D,"CHECK")</f>
        <v>CHECK</v>
      </c>
    </row>
    <row r="246" spans="1:16">
      <c r="A246" t="s">
        <v>461</v>
      </c>
      <c r="B246" t="str">
        <f>SUBSTITUTE(SUBSTITUTE(SUBSTITUTE(SUBSTITUTE(TRIM(Table6[[#This Row],[Constituency]]),"Barisal","Barishal"),"Jessore","Jashore"),"Bogra","Bogura"),"Chapai Nawabganj","Chapainawabganj")</f>
        <v>Netrokona-1</v>
      </c>
      <c r="C246" t="s">
        <v>1030</v>
      </c>
      <c r="D246" t="s">
        <v>1198</v>
      </c>
      <c r="E246">
        <f>_xlfn.XLOOKUP(C246,Population_data!B:B,Population_data!C:C,"")</f>
        <v>335.46</v>
      </c>
      <c r="F246">
        <f>_xlfn.XLOOKUP(C246,Population_data!B:B,Population_data!D:D,"")</f>
        <v>242445</v>
      </c>
      <c r="G246">
        <f>_xlfn.XLOOKUP(C246,Population_data!B:B,Population_data!E:E,"")</f>
        <v>722.72</v>
      </c>
      <c r="H246">
        <f>_xlfn.XLOOKUP(C246,Population_data!B:B,Population_data!F:F,"")</f>
        <v>4.08</v>
      </c>
      <c r="I246">
        <f>_xlfn.XLOOKUP(C246,Population_data!B:B,Population_data!G:G,"")</f>
        <v>66.760000000000005</v>
      </c>
      <c r="J246" t="str">
        <f>_xlfn.XLOOKUP(D246,District_Crime_Unit_Map!A:A,District_Crime_Unit_Map!B:B,"")</f>
        <v>Mymensingh Range</v>
      </c>
      <c r="K246">
        <f>_xlfn.XLOOKUP(J246,Crime_Data!A:A,Crime_Data!V:V,"")</f>
        <v>84.741263899591743</v>
      </c>
      <c r="L246">
        <f>_xlfn.XLOOKUP(J246,Crime_Data!A:A,Crime_Data!W:W,"")</f>
        <v>13.635491015503808</v>
      </c>
      <c r="M246" t="str">
        <f>TRIM(Table6[[#This Row],[District]])&amp;"|"&amp;TRIM(Table6[[#This Row],[Upazila]])</f>
        <v>Netrokona|Durgapur</v>
      </c>
      <c r="N246" t="str">
        <f>_xlfn.XLOOKUP(B246,Remittance_Data!A:A,Remittance_Data!B:B,"CHECK")</f>
        <v>CHECK</v>
      </c>
      <c r="O246" t="str">
        <f>_xlfn.XLOOKUP(B246,Remittance_Data!A:A,Remittance_Data!C:C,"CHECK")</f>
        <v>CHECK</v>
      </c>
      <c r="P246" t="str">
        <f>_xlfn.XLOOKUP(B246,Remittance_Data!A:A,Remittance_Data!D:D,"CHECK")</f>
        <v>CHECK</v>
      </c>
    </row>
    <row r="247" spans="1:16">
      <c r="A247" t="s">
        <v>461</v>
      </c>
      <c r="B247" t="str">
        <f>SUBSTITUTE(SUBSTITUTE(SUBSTITUTE(SUBSTITUTE(TRIM(Table6[[#This Row],[Constituency]]),"Barisal","Barishal"),"Jessore","Jashore"),"Bogra","Bogura"),"Chapai Nawabganj","Chapainawabganj")</f>
        <v>Netrokona-1</v>
      </c>
      <c r="C247" t="s">
        <v>1199</v>
      </c>
      <c r="D247" t="s">
        <v>1198</v>
      </c>
      <c r="E247">
        <f>_xlfn.XLOOKUP(C247,Population_data!B:B,Population_data!C:C,"")</f>
        <v>297.64</v>
      </c>
      <c r="F247">
        <f>_xlfn.XLOOKUP(C247,Population_data!B:B,Population_data!D:D,"")</f>
        <v>96339</v>
      </c>
      <c r="G247">
        <f>_xlfn.XLOOKUP(C247,Population_data!B:B,Population_data!E:E,"")</f>
        <v>323.68</v>
      </c>
      <c r="H247">
        <f>_xlfn.XLOOKUP(C247,Population_data!B:B,Population_data!F:F,"")</f>
        <v>4.43</v>
      </c>
      <c r="I247">
        <f>_xlfn.XLOOKUP(C247,Population_data!B:B,Population_data!G:G,"")</f>
        <v>59.32</v>
      </c>
      <c r="J247" t="str">
        <f>_xlfn.XLOOKUP(D247,District_Crime_Unit_Map!A:A,District_Crime_Unit_Map!B:B,"")</f>
        <v>Mymensingh Range</v>
      </c>
      <c r="K247">
        <f>_xlfn.XLOOKUP(J247,Crime_Data!A:A,Crime_Data!V:V,"")</f>
        <v>84.741263899591743</v>
      </c>
      <c r="L247">
        <f>_xlfn.XLOOKUP(J247,Crime_Data!A:A,Crime_Data!W:W,"")</f>
        <v>13.635491015503808</v>
      </c>
      <c r="M247" t="str">
        <f>TRIM(Table6[[#This Row],[District]])&amp;"|"&amp;TRIM(Table6[[#This Row],[Upazila]])</f>
        <v>Netrokona|Khaliajuri</v>
      </c>
      <c r="N247" t="str">
        <f>_xlfn.XLOOKUP(B247,Remittance_Data!A:A,Remittance_Data!B:B,"CHECK")</f>
        <v>CHECK</v>
      </c>
      <c r="O247" t="str">
        <f>_xlfn.XLOOKUP(B247,Remittance_Data!A:A,Remittance_Data!C:C,"CHECK")</f>
        <v>CHECK</v>
      </c>
      <c r="P247" t="str">
        <f>_xlfn.XLOOKUP(B247,Remittance_Data!A:A,Remittance_Data!D:D,"CHECK")</f>
        <v>CHECK</v>
      </c>
    </row>
    <row r="248" spans="1:16">
      <c r="A248" t="s">
        <v>464</v>
      </c>
      <c r="B248" t="str">
        <f>SUBSTITUTE(SUBSTITUTE(SUBSTITUTE(SUBSTITUTE(TRIM(Table6[[#This Row],[Constituency]]),"Barisal","Barishal"),"Jessore","Jashore"),"Bogra","Bogura"),"Chapai Nawabganj","Chapainawabganj")</f>
        <v>Netrokona-2</v>
      </c>
      <c r="C248" t="s">
        <v>1200</v>
      </c>
      <c r="D248" t="s">
        <v>1198</v>
      </c>
      <c r="E248">
        <f>_xlfn.XLOOKUP(C248,Population_data!B:B,Population_data!C:C,"")</f>
        <v>438.76</v>
      </c>
      <c r="F248">
        <f>_xlfn.XLOOKUP(C248,Population_data!B:B,Population_data!D:D,"")</f>
        <v>182190</v>
      </c>
      <c r="G248">
        <f>_xlfn.XLOOKUP(C248,Population_data!B:B,Population_data!E:E,"")</f>
        <v>415.24</v>
      </c>
      <c r="H248">
        <f>_xlfn.XLOOKUP(C248,Population_data!B:B,Population_data!F:F,"")</f>
        <v>4.32</v>
      </c>
      <c r="I248">
        <f>_xlfn.XLOOKUP(C248,Population_data!B:B,Population_data!G:G,"")</f>
        <v>64.42</v>
      </c>
      <c r="J248" t="str">
        <f>_xlfn.XLOOKUP(D248,District_Crime_Unit_Map!A:A,District_Crime_Unit_Map!B:B,"")</f>
        <v>Mymensingh Range</v>
      </c>
      <c r="K248">
        <f>_xlfn.XLOOKUP(J248,Crime_Data!A:A,Crime_Data!V:V,"")</f>
        <v>84.741263899591743</v>
      </c>
      <c r="L248">
        <f>_xlfn.XLOOKUP(J248,Crime_Data!A:A,Crime_Data!W:W,"")</f>
        <v>13.635491015503808</v>
      </c>
      <c r="M248" t="str">
        <f>TRIM(Table6[[#This Row],[District]])&amp;"|"&amp;TRIM(Table6[[#This Row],[Upazila]])</f>
        <v>Netrokona|Barhatta</v>
      </c>
      <c r="N248" t="str">
        <f>_xlfn.XLOOKUP(B248,Remittance_Data!A:A,Remittance_Data!B:B,"CHECK")</f>
        <v>CHECK</v>
      </c>
      <c r="O248" t="str">
        <f>_xlfn.XLOOKUP(B248,Remittance_Data!A:A,Remittance_Data!C:C,"CHECK")</f>
        <v>CHECK</v>
      </c>
      <c r="P248" t="str">
        <f>_xlfn.XLOOKUP(B248,Remittance_Data!A:A,Remittance_Data!D:D,"CHECK")</f>
        <v>CHECK</v>
      </c>
    </row>
    <row r="249" spans="1:16">
      <c r="A249" t="s">
        <v>464</v>
      </c>
      <c r="B249" t="str">
        <f>SUBSTITUTE(SUBSTITUTE(SUBSTITUTE(SUBSTITUTE(TRIM(Table6[[#This Row],[Constituency]]),"Barisal","Barishal"),"Jessore","Jashore"),"Bogra","Bogura"),"Chapai Nawabganj","Chapainawabganj")</f>
        <v>Netrokona-2</v>
      </c>
      <c r="C249" t="s">
        <v>1201</v>
      </c>
      <c r="D249" t="s">
        <v>1198</v>
      </c>
      <c r="E249">
        <f>_xlfn.XLOOKUP(C249,Population_data!B:B,Population_data!C:C,"")</f>
        <v>341.68</v>
      </c>
      <c r="F249">
        <f>_xlfn.XLOOKUP(C249,Population_data!B:B,Population_data!D:D,"")</f>
        <v>421933</v>
      </c>
      <c r="G249">
        <f>_xlfn.XLOOKUP(C249,Population_data!B:B,Population_data!E:E,"")</f>
        <v>1234.8800000000001</v>
      </c>
      <c r="H249">
        <f>_xlfn.XLOOKUP(C249,Population_data!B:B,Population_data!F:F,"")</f>
        <v>4.17</v>
      </c>
      <c r="I249">
        <f>_xlfn.XLOOKUP(C249,Population_data!B:B,Population_data!G:G,"")</f>
        <v>70.959999999999994</v>
      </c>
      <c r="J249" t="str">
        <f>_xlfn.XLOOKUP(D249,District_Crime_Unit_Map!A:A,District_Crime_Unit_Map!B:B,"")</f>
        <v>Mymensingh Range</v>
      </c>
      <c r="K249">
        <f>_xlfn.XLOOKUP(J249,Crime_Data!A:A,Crime_Data!V:V,"")</f>
        <v>84.741263899591743</v>
      </c>
      <c r="L249">
        <f>_xlfn.XLOOKUP(J249,Crime_Data!A:A,Crime_Data!W:W,"")</f>
        <v>13.635491015503808</v>
      </c>
      <c r="M249" t="str">
        <f>TRIM(Table6[[#This Row],[District]])&amp;"|"&amp;TRIM(Table6[[#This Row],[Upazila]])</f>
        <v>Netrokona|Netrokona Sadar</v>
      </c>
      <c r="N249" t="str">
        <f>_xlfn.XLOOKUP(B249,Remittance_Data!A:A,Remittance_Data!B:B,"CHECK")</f>
        <v>CHECK</v>
      </c>
      <c r="O249" t="str">
        <f>_xlfn.XLOOKUP(B249,Remittance_Data!A:A,Remittance_Data!C:C,"CHECK")</f>
        <v>CHECK</v>
      </c>
      <c r="P249" t="str">
        <f>_xlfn.XLOOKUP(B249,Remittance_Data!A:A,Remittance_Data!D:D,"CHECK")</f>
        <v>CHECK</v>
      </c>
    </row>
    <row r="250" spans="1:16">
      <c r="A250" t="s">
        <v>467</v>
      </c>
      <c r="B250" t="str">
        <f>SUBSTITUTE(SUBSTITUTE(SUBSTITUTE(SUBSTITUTE(TRIM(Table6[[#This Row],[Constituency]]),"Barisal","Barishal"),"Jessore","Jashore"),"Bogra","Bogura"),"Chapai Nawabganj","Chapainawabganj")</f>
        <v>Netrokona-3</v>
      </c>
      <c r="C250" t="s">
        <v>1202</v>
      </c>
      <c r="D250" t="s">
        <v>1198</v>
      </c>
      <c r="E250">
        <f>_xlfn.XLOOKUP(C250,Population_data!B:B,Population_data!C:C,"")</f>
        <v>331.89</v>
      </c>
      <c r="F250">
        <f>_xlfn.XLOOKUP(C250,Population_data!B:B,Population_data!D:D,"")</f>
        <v>144831</v>
      </c>
      <c r="G250">
        <f>_xlfn.XLOOKUP(C250,Population_data!B:B,Population_data!E:E,"")</f>
        <v>436.38</v>
      </c>
      <c r="H250">
        <f>_xlfn.XLOOKUP(C250,Population_data!B:B,Population_data!F:F,"")</f>
        <v>4.2</v>
      </c>
      <c r="I250">
        <f>_xlfn.XLOOKUP(C250,Population_data!B:B,Population_data!G:G,"")</f>
        <v>64.87</v>
      </c>
      <c r="J250" t="str">
        <f>_xlfn.XLOOKUP(D250,District_Crime_Unit_Map!A:A,District_Crime_Unit_Map!B:B,"")</f>
        <v>Mymensingh Range</v>
      </c>
      <c r="K250">
        <f>_xlfn.XLOOKUP(J250,Crime_Data!A:A,Crime_Data!V:V,"")</f>
        <v>84.741263899591743</v>
      </c>
      <c r="L250">
        <f>_xlfn.XLOOKUP(J250,Crime_Data!A:A,Crime_Data!W:W,"")</f>
        <v>13.635491015503808</v>
      </c>
      <c r="M250" t="str">
        <f>TRIM(Table6[[#This Row],[District]])&amp;"|"&amp;TRIM(Table6[[#This Row],[Upazila]])</f>
        <v>Netrokona|Atpara</v>
      </c>
      <c r="N250" t="str">
        <f>_xlfn.XLOOKUP(B250,Remittance_Data!A:A,Remittance_Data!B:B,"CHECK")</f>
        <v>CHECK</v>
      </c>
      <c r="O250" t="str">
        <f>_xlfn.XLOOKUP(B250,Remittance_Data!A:A,Remittance_Data!C:C,"CHECK")</f>
        <v>CHECK</v>
      </c>
      <c r="P250" t="str">
        <f>_xlfn.XLOOKUP(B250,Remittance_Data!A:A,Remittance_Data!D:D,"CHECK")</f>
        <v>CHECK</v>
      </c>
    </row>
    <row r="251" spans="1:16">
      <c r="A251" t="s">
        <v>467</v>
      </c>
      <c r="B251" t="str">
        <f>SUBSTITUTE(SUBSTITUTE(SUBSTITUTE(SUBSTITUTE(TRIM(Table6[[#This Row],[Constituency]]),"Barisal","Barishal"),"Jessore","Jashore"),"Bogra","Bogura"),"Chapai Nawabganj","Chapainawabganj")</f>
        <v>Netrokona-3</v>
      </c>
      <c r="C251" t="s">
        <v>1203</v>
      </c>
      <c r="D251" t="s">
        <v>1198</v>
      </c>
      <c r="E251">
        <f>_xlfn.XLOOKUP(C251,Population_data!B:B,Population_data!C:C,"")</f>
        <v>483.22</v>
      </c>
      <c r="F251">
        <f>_xlfn.XLOOKUP(C251,Population_data!B:B,Population_data!D:D,"")</f>
        <v>316938</v>
      </c>
      <c r="G251">
        <f>_xlfn.XLOOKUP(C251,Population_data!B:B,Population_data!E:E,"")</f>
        <v>655.89</v>
      </c>
      <c r="H251">
        <f>_xlfn.XLOOKUP(C251,Population_data!B:B,Population_data!F:F,"")</f>
        <v>4.13</v>
      </c>
      <c r="I251">
        <f>_xlfn.XLOOKUP(C251,Population_data!B:B,Population_data!G:G,"")</f>
        <v>64.900000000000006</v>
      </c>
      <c r="J251" t="str">
        <f>_xlfn.XLOOKUP(D251,District_Crime_Unit_Map!A:A,District_Crime_Unit_Map!B:B,"")</f>
        <v>Mymensingh Range</v>
      </c>
      <c r="K251">
        <f>_xlfn.XLOOKUP(J251,Crime_Data!A:A,Crime_Data!V:V,"")</f>
        <v>84.741263899591743</v>
      </c>
      <c r="L251">
        <f>_xlfn.XLOOKUP(J251,Crime_Data!A:A,Crime_Data!W:W,"")</f>
        <v>13.635491015503808</v>
      </c>
      <c r="M251" t="str">
        <f>TRIM(Table6[[#This Row],[District]])&amp;"|"&amp;TRIM(Table6[[#This Row],[Upazila]])</f>
        <v>Netrokona|Kendua</v>
      </c>
      <c r="N251" t="str">
        <f>_xlfn.XLOOKUP(B251,Remittance_Data!A:A,Remittance_Data!B:B,"CHECK")</f>
        <v>CHECK</v>
      </c>
      <c r="O251" t="str">
        <f>_xlfn.XLOOKUP(B251,Remittance_Data!A:A,Remittance_Data!C:C,"CHECK")</f>
        <v>CHECK</v>
      </c>
      <c r="P251" t="str">
        <f>_xlfn.XLOOKUP(B251,Remittance_Data!A:A,Remittance_Data!D:D,"CHECK")</f>
        <v>CHECK</v>
      </c>
    </row>
    <row r="252" spans="1:16">
      <c r="A252" t="s">
        <v>470</v>
      </c>
      <c r="B252" t="str">
        <f>SUBSTITUTE(SUBSTITUTE(SUBSTITUTE(SUBSTITUTE(TRIM(Table6[[#This Row],[Constituency]]),"Barisal","Barishal"),"Jessore","Jashore"),"Bogra","Bogura"),"Chapai Nawabganj","Chapainawabganj")</f>
        <v>Netrokona-4</v>
      </c>
      <c r="C252" t="s">
        <v>1204</v>
      </c>
      <c r="D252" t="s">
        <v>1198</v>
      </c>
      <c r="E252">
        <f>_xlfn.XLOOKUP(C252,Population_data!B:B,Population_data!C:C,"")</f>
        <v>245.91</v>
      </c>
      <c r="F252">
        <f>_xlfn.XLOOKUP(C252,Population_data!B:B,Population_data!D:D,"")</f>
        <v>149858</v>
      </c>
      <c r="G252">
        <f>_xlfn.XLOOKUP(C252,Population_data!B:B,Population_data!E:E,"")</f>
        <v>609.4</v>
      </c>
      <c r="H252">
        <f>_xlfn.XLOOKUP(C252,Population_data!B:B,Population_data!F:F,"")</f>
        <v>4.26</v>
      </c>
      <c r="I252">
        <f>_xlfn.XLOOKUP(C252,Population_data!B:B,Population_data!G:G,"")</f>
        <v>59.28</v>
      </c>
      <c r="J252" t="str">
        <f>_xlfn.XLOOKUP(D252,District_Crime_Unit_Map!A:A,District_Crime_Unit_Map!B:B,"")</f>
        <v>Mymensingh Range</v>
      </c>
      <c r="K252">
        <f>_xlfn.XLOOKUP(J252,Crime_Data!A:A,Crime_Data!V:V,"")</f>
        <v>84.741263899591743</v>
      </c>
      <c r="L252">
        <f>_xlfn.XLOOKUP(J252,Crime_Data!A:A,Crime_Data!W:W,"")</f>
        <v>13.635491015503808</v>
      </c>
      <c r="M252" t="str">
        <f>TRIM(Table6[[#This Row],[District]])&amp;"|"&amp;TRIM(Table6[[#This Row],[Upazila]])</f>
        <v>Netrokona|Madan</v>
      </c>
      <c r="N252" t="str">
        <f>_xlfn.XLOOKUP(B252,Remittance_Data!A:A,Remittance_Data!B:B,"CHECK")</f>
        <v>CHECK</v>
      </c>
      <c r="O252" t="str">
        <f>_xlfn.XLOOKUP(B252,Remittance_Data!A:A,Remittance_Data!C:C,"CHECK")</f>
        <v>CHECK</v>
      </c>
      <c r="P252" t="str">
        <f>_xlfn.XLOOKUP(B252,Remittance_Data!A:A,Remittance_Data!D:D,"CHECK")</f>
        <v>CHECK</v>
      </c>
    </row>
    <row r="253" spans="1:16">
      <c r="A253" t="s">
        <v>470</v>
      </c>
      <c r="B253" t="str">
        <f>SUBSTITUTE(SUBSTITUTE(SUBSTITUTE(SUBSTITUTE(TRIM(Table6[[#This Row],[Constituency]]),"Barisal","Barishal"),"Jessore","Jashore"),"Bogra","Bogura"),"Chapai Nawabganj","Chapainawabganj")</f>
        <v>Netrokona-4</v>
      </c>
      <c r="C253" t="s">
        <v>1205</v>
      </c>
      <c r="D253" t="s">
        <v>1198</v>
      </c>
      <c r="E253">
        <f>_xlfn.XLOOKUP(C253,Population_data!B:B,Population_data!C:C,"")</f>
        <v>387.13</v>
      </c>
      <c r="F253">
        <f>_xlfn.XLOOKUP(C253,Population_data!B:B,Population_data!D:D,"")</f>
        <v>166415</v>
      </c>
      <c r="G253">
        <f>_xlfn.XLOOKUP(C253,Population_data!B:B,Population_data!E:E,"")</f>
        <v>429.87</v>
      </c>
      <c r="H253">
        <f>_xlfn.XLOOKUP(C253,Population_data!B:B,Population_data!F:F,"")</f>
        <v>4.24</v>
      </c>
      <c r="I253">
        <f>_xlfn.XLOOKUP(C253,Population_data!B:B,Population_data!G:G,"")</f>
        <v>66.599999999999994</v>
      </c>
      <c r="J253" t="str">
        <f>_xlfn.XLOOKUP(D253,District_Crime_Unit_Map!A:A,District_Crime_Unit_Map!B:B,"")</f>
        <v>Mymensingh Range</v>
      </c>
      <c r="K253">
        <f>_xlfn.XLOOKUP(J253,Crime_Data!A:A,Crime_Data!V:V,"")</f>
        <v>84.741263899591743</v>
      </c>
      <c r="L253">
        <f>_xlfn.XLOOKUP(J253,Crime_Data!A:A,Crime_Data!W:W,"")</f>
        <v>13.635491015503808</v>
      </c>
      <c r="M253" t="str">
        <f>TRIM(Table6[[#This Row],[District]])&amp;"|"&amp;TRIM(Table6[[#This Row],[Upazila]])</f>
        <v>Netrokona|Mohanganj</v>
      </c>
      <c r="N253" t="str">
        <f>_xlfn.XLOOKUP(B253,Remittance_Data!A:A,Remittance_Data!B:B,"CHECK")</f>
        <v>CHECK</v>
      </c>
      <c r="O253" t="str">
        <f>_xlfn.XLOOKUP(B253,Remittance_Data!A:A,Remittance_Data!C:C,"CHECK")</f>
        <v>CHECK</v>
      </c>
      <c r="P253" t="str">
        <f>_xlfn.XLOOKUP(B253,Remittance_Data!A:A,Remittance_Data!D:D,"CHECK")</f>
        <v>CHECK</v>
      </c>
    </row>
    <row r="254" spans="1:16">
      <c r="A254" t="s">
        <v>470</v>
      </c>
      <c r="B254" t="str">
        <f>SUBSTITUTE(SUBSTITUTE(SUBSTITUTE(SUBSTITUTE(TRIM(Table6[[#This Row],[Constituency]]),"Barisal","Barishal"),"Jessore","Jashore"),"Bogra","Bogura"),"Chapai Nawabganj","Chapainawabganj")</f>
        <v>Netrokona-4</v>
      </c>
      <c r="C254" t="s">
        <v>1199</v>
      </c>
      <c r="D254" t="s">
        <v>1198</v>
      </c>
      <c r="E254">
        <f>_xlfn.XLOOKUP(C254,Population_data!B:B,Population_data!C:C,"")</f>
        <v>297.64</v>
      </c>
      <c r="F254">
        <f>_xlfn.XLOOKUP(C254,Population_data!B:B,Population_data!D:D,"")</f>
        <v>96339</v>
      </c>
      <c r="G254">
        <f>_xlfn.XLOOKUP(C254,Population_data!B:B,Population_data!E:E,"")</f>
        <v>323.68</v>
      </c>
      <c r="H254">
        <f>_xlfn.XLOOKUP(C254,Population_data!B:B,Population_data!F:F,"")</f>
        <v>4.43</v>
      </c>
      <c r="I254">
        <f>_xlfn.XLOOKUP(C254,Population_data!B:B,Population_data!G:G,"")</f>
        <v>59.32</v>
      </c>
      <c r="J254" t="str">
        <f>_xlfn.XLOOKUP(D254,District_Crime_Unit_Map!A:A,District_Crime_Unit_Map!B:B,"")</f>
        <v>Mymensingh Range</v>
      </c>
      <c r="K254">
        <f>_xlfn.XLOOKUP(J254,Crime_Data!A:A,Crime_Data!V:V,"")</f>
        <v>84.741263899591743</v>
      </c>
      <c r="L254">
        <f>_xlfn.XLOOKUP(J254,Crime_Data!A:A,Crime_Data!W:W,"")</f>
        <v>13.635491015503808</v>
      </c>
      <c r="M254" t="str">
        <f>TRIM(Table6[[#This Row],[District]])&amp;"|"&amp;TRIM(Table6[[#This Row],[Upazila]])</f>
        <v>Netrokona|Khaliajuri</v>
      </c>
      <c r="N254" t="str">
        <f>_xlfn.XLOOKUP(B254,Remittance_Data!A:A,Remittance_Data!B:B,"CHECK")</f>
        <v>CHECK</v>
      </c>
      <c r="O254" t="str">
        <f>_xlfn.XLOOKUP(B254,Remittance_Data!A:A,Remittance_Data!C:C,"CHECK")</f>
        <v>CHECK</v>
      </c>
      <c r="P254" t="str">
        <f>_xlfn.XLOOKUP(B254,Remittance_Data!A:A,Remittance_Data!D:D,"CHECK")</f>
        <v>CHECK</v>
      </c>
    </row>
    <row r="255" spans="1:16">
      <c r="A255" t="s">
        <v>473</v>
      </c>
      <c r="B255" t="str">
        <f>SUBSTITUTE(SUBSTITUTE(SUBSTITUTE(SUBSTITUTE(TRIM(Table6[[#This Row],[Constituency]]),"Barisal","Barishal"),"Jessore","Jashore"),"Bogra","Bogura"),"Chapai Nawabganj","Chapainawabganj")</f>
        <v>Netrokona-5</v>
      </c>
      <c r="C255" t="s">
        <v>1206</v>
      </c>
      <c r="D255" t="s">
        <v>1198</v>
      </c>
      <c r="E255">
        <f>_xlfn.XLOOKUP(C255,Population_data!B:B,Population_data!C:C,"")</f>
        <v>308.12</v>
      </c>
      <c r="F255">
        <f>_xlfn.XLOOKUP(C255,Population_data!B:B,Population_data!D:D,"")</f>
        <v>332388</v>
      </c>
      <c r="G255">
        <f>_xlfn.XLOOKUP(C255,Population_data!B:B,Population_data!E:E,"")</f>
        <v>1078.76</v>
      </c>
      <c r="H255">
        <f>_xlfn.XLOOKUP(C255,Population_data!B:B,Population_data!F:F,"")</f>
        <v>4.0999999999999996</v>
      </c>
      <c r="I255">
        <f>_xlfn.XLOOKUP(C255,Population_data!B:B,Population_data!G:G,"")</f>
        <v>69.64</v>
      </c>
      <c r="J255" t="str">
        <f>_xlfn.XLOOKUP(D255,District_Crime_Unit_Map!A:A,District_Crime_Unit_Map!B:B,"")</f>
        <v>Mymensingh Range</v>
      </c>
      <c r="K255">
        <f>_xlfn.XLOOKUP(J255,Crime_Data!A:A,Crime_Data!V:V,"")</f>
        <v>84.741263899591743</v>
      </c>
      <c r="L255">
        <f>_xlfn.XLOOKUP(J255,Crime_Data!A:A,Crime_Data!W:W,"")</f>
        <v>13.635491015503808</v>
      </c>
      <c r="M255" t="str">
        <f>TRIM(Table6[[#This Row],[District]])&amp;"|"&amp;TRIM(Table6[[#This Row],[Upazila]])</f>
        <v>Netrokona|Purbadhala</v>
      </c>
      <c r="N255" t="str">
        <f>_xlfn.XLOOKUP(B255,Remittance_Data!A:A,Remittance_Data!B:B,"CHECK")</f>
        <v>CHECK</v>
      </c>
      <c r="O255" t="str">
        <f>_xlfn.XLOOKUP(B255,Remittance_Data!A:A,Remittance_Data!C:C,"CHECK")</f>
        <v>CHECK</v>
      </c>
      <c r="P255" t="str">
        <f>_xlfn.XLOOKUP(B255,Remittance_Data!A:A,Remittance_Data!D:D,"CHECK")</f>
        <v>CHECK</v>
      </c>
    </row>
    <row r="256" spans="1:16">
      <c r="A256" t="s">
        <v>477</v>
      </c>
      <c r="B256" t="str">
        <f>SUBSTITUTE(SUBSTITUTE(SUBSTITUTE(SUBSTITUTE(TRIM(Table6[[#This Row],[Constituency]]),"Barisal","Barishal"),"Jessore","Jashore"),"Bogra","Bogura"),"Chapai Nawabganj","Chapainawabganj")</f>
        <v>Tangail-1</v>
      </c>
      <c r="C256" t="s">
        <v>1207</v>
      </c>
      <c r="D256" t="s">
        <v>1208</v>
      </c>
      <c r="E256">
        <f>_xlfn.XLOOKUP(C256,Population_data!B:B,Population_data!C:C,"")</f>
        <v>370.75</v>
      </c>
      <c r="F256">
        <f>_xlfn.XLOOKUP(C256,Population_data!B:B,Population_data!D:D,"")</f>
        <v>337368</v>
      </c>
      <c r="G256">
        <f>_xlfn.XLOOKUP(C256,Population_data!B:B,Population_data!E:E,"")</f>
        <v>909.96</v>
      </c>
      <c r="H256">
        <f>_xlfn.XLOOKUP(C256,Population_data!B:B,Population_data!F:F,"")</f>
        <v>3.77</v>
      </c>
      <c r="I256">
        <f>_xlfn.XLOOKUP(C256,Population_data!B:B,Population_data!G:G,"")</f>
        <v>65.930000000000007</v>
      </c>
      <c r="J256" t="str">
        <f>_xlfn.XLOOKUP(D256,District_Crime_Unit_Map!A:A,District_Crime_Unit_Map!B:B,"")</f>
        <v>Dhaka Range</v>
      </c>
      <c r="K256">
        <f>_xlfn.XLOOKUP(J256,Crime_Data!A:A,Crime_Data!V:V,"")</f>
        <v>87.055167395391194</v>
      </c>
      <c r="L256">
        <f>_xlfn.XLOOKUP(J256,Crime_Data!A:A,Crime_Data!W:W,"")</f>
        <v>14.083489099923572</v>
      </c>
      <c r="M256" t="str">
        <f>TRIM(Table6[[#This Row],[District]])&amp;"|"&amp;TRIM(Table6[[#This Row],[Upazila]])</f>
        <v>Tangail|Madhupur</v>
      </c>
      <c r="N256" t="str">
        <f>_xlfn.XLOOKUP(B256,Remittance_Data!A:A,Remittance_Data!B:B,"CHECK")</f>
        <v>CHECK</v>
      </c>
      <c r="O256" t="str">
        <f>_xlfn.XLOOKUP(B256,Remittance_Data!A:A,Remittance_Data!C:C,"CHECK")</f>
        <v>CHECK</v>
      </c>
      <c r="P256" t="str">
        <f>_xlfn.XLOOKUP(B256,Remittance_Data!A:A,Remittance_Data!D:D,"CHECK")</f>
        <v>CHECK</v>
      </c>
    </row>
    <row r="257" spans="1:16">
      <c r="A257" t="s">
        <v>477</v>
      </c>
      <c r="B257" t="str">
        <f>SUBSTITUTE(SUBSTITUTE(SUBSTITUTE(SUBSTITUTE(TRIM(Table6[[#This Row],[Constituency]]),"Barisal","Barishal"),"Jessore","Jashore"),"Bogra","Bogura"),"Chapai Nawabganj","Chapainawabganj")</f>
        <v>Tangail-1</v>
      </c>
      <c r="C257" t="s">
        <v>1209</v>
      </c>
      <c r="D257" t="s">
        <v>1208</v>
      </c>
      <c r="E257">
        <f>_xlfn.XLOOKUP(C257,Population_data!B:B,Population_data!C:C,"")</f>
        <v>280.83</v>
      </c>
      <c r="F257">
        <f>_xlfn.XLOOKUP(C257,Population_data!B:B,Population_data!D:D,"")</f>
        <v>189109</v>
      </c>
      <c r="G257">
        <f>_xlfn.XLOOKUP(C257,Population_data!B:B,Population_data!E:E,"")</f>
        <v>673.39</v>
      </c>
      <c r="H257">
        <f>_xlfn.XLOOKUP(C257,Population_data!B:B,Population_data!F:F,"")</f>
        <v>3.58</v>
      </c>
      <c r="I257">
        <f>_xlfn.XLOOKUP(C257,Population_data!B:B,Population_data!G:G,"")</f>
        <v>67.819999999999993</v>
      </c>
      <c r="J257" t="str">
        <f>_xlfn.XLOOKUP(D257,District_Crime_Unit_Map!A:A,District_Crime_Unit_Map!B:B,"")</f>
        <v>Dhaka Range</v>
      </c>
      <c r="K257">
        <f>_xlfn.XLOOKUP(J257,Crime_Data!A:A,Crime_Data!V:V,"")</f>
        <v>87.055167395391194</v>
      </c>
      <c r="L257">
        <f>_xlfn.XLOOKUP(J257,Crime_Data!A:A,Crime_Data!W:W,"")</f>
        <v>14.083489099923572</v>
      </c>
      <c r="M257" t="str">
        <f>TRIM(Table6[[#This Row],[District]])&amp;"|"&amp;TRIM(Table6[[#This Row],[Upazila]])</f>
        <v>Tangail|Dhanbari</v>
      </c>
      <c r="N257" t="str">
        <f>_xlfn.XLOOKUP(B257,Remittance_Data!A:A,Remittance_Data!B:B,"CHECK")</f>
        <v>CHECK</v>
      </c>
      <c r="O257" t="str">
        <f>_xlfn.XLOOKUP(B257,Remittance_Data!A:A,Remittance_Data!C:C,"CHECK")</f>
        <v>CHECK</v>
      </c>
      <c r="P257" t="str">
        <f>_xlfn.XLOOKUP(B257,Remittance_Data!A:A,Remittance_Data!D:D,"CHECK")</f>
        <v>CHECK</v>
      </c>
    </row>
    <row r="258" spans="1:16">
      <c r="A258" t="s">
        <v>480</v>
      </c>
      <c r="B258" t="str">
        <f>SUBSTITUTE(SUBSTITUTE(SUBSTITUTE(SUBSTITUTE(TRIM(Table6[[#This Row],[Constituency]]),"Barisal","Barishal"),"Jessore","Jashore"),"Bogra","Bogura"),"Chapai Nawabganj","Chapainawabganj")</f>
        <v>Tangail-2</v>
      </c>
      <c r="C258" t="s">
        <v>1210</v>
      </c>
      <c r="D258" t="s">
        <v>1208</v>
      </c>
      <c r="E258">
        <f>_xlfn.XLOOKUP(C258,Population_data!B:B,Population_data!C:C,"")</f>
        <v>327.9</v>
      </c>
      <c r="F258">
        <f>_xlfn.XLOOKUP(C258,Population_data!B:B,Population_data!D:D,"")</f>
        <v>270321</v>
      </c>
      <c r="G258">
        <f>_xlfn.XLOOKUP(C258,Population_data!B:B,Population_data!E:E,"")</f>
        <v>824.4</v>
      </c>
      <c r="H258">
        <f>_xlfn.XLOOKUP(C258,Population_data!B:B,Population_data!F:F,"")</f>
        <v>3.62</v>
      </c>
      <c r="I258">
        <f>_xlfn.XLOOKUP(C258,Population_data!B:B,Population_data!G:G,"")</f>
        <v>66.099999999999994</v>
      </c>
      <c r="J258" t="str">
        <f>_xlfn.XLOOKUP(D258,District_Crime_Unit_Map!A:A,District_Crime_Unit_Map!B:B,"")</f>
        <v>Dhaka Range</v>
      </c>
      <c r="K258">
        <f>_xlfn.XLOOKUP(J258,Crime_Data!A:A,Crime_Data!V:V,"")</f>
        <v>87.055167395391194</v>
      </c>
      <c r="L258">
        <f>_xlfn.XLOOKUP(J258,Crime_Data!A:A,Crime_Data!W:W,"")</f>
        <v>14.083489099923572</v>
      </c>
      <c r="M258" t="str">
        <f>TRIM(Table6[[#This Row],[District]])&amp;"|"&amp;TRIM(Table6[[#This Row],[Upazila]])</f>
        <v>Tangail|Gopalpur</v>
      </c>
      <c r="N258" t="str">
        <f>_xlfn.XLOOKUP(B258,Remittance_Data!A:A,Remittance_Data!B:B,"CHECK")</f>
        <v>CHECK</v>
      </c>
      <c r="O258" t="str">
        <f>_xlfn.XLOOKUP(B258,Remittance_Data!A:A,Remittance_Data!C:C,"CHECK")</f>
        <v>CHECK</v>
      </c>
      <c r="P258" t="str">
        <f>_xlfn.XLOOKUP(B258,Remittance_Data!A:A,Remittance_Data!D:D,"CHECK")</f>
        <v>CHECK</v>
      </c>
    </row>
    <row r="259" spans="1:16">
      <c r="A259" t="s">
        <v>480</v>
      </c>
      <c r="B259" t="str">
        <f>SUBSTITUTE(SUBSTITUTE(SUBSTITUTE(SUBSTITUTE(TRIM(Table6[[#This Row],[Constituency]]),"Barisal","Barishal"),"Jessore","Jashore"),"Bogra","Bogura"),"Chapai Nawabganj","Chapainawabganj")</f>
        <v>Tangail-2</v>
      </c>
      <c r="C259" t="s">
        <v>1211</v>
      </c>
      <c r="D259" t="s">
        <v>1208</v>
      </c>
      <c r="E259">
        <f>_xlfn.XLOOKUP(C259,Population_data!B:B,Population_data!C:C,"")</f>
        <v>225.52</v>
      </c>
      <c r="F259">
        <f>_xlfn.XLOOKUP(C259,Population_data!B:B,Population_data!D:D,"")</f>
        <v>217321</v>
      </c>
      <c r="G259">
        <f>_xlfn.XLOOKUP(C259,Population_data!B:B,Population_data!E:E,"")</f>
        <v>963.64</v>
      </c>
      <c r="H259">
        <f>_xlfn.XLOOKUP(C259,Population_data!B:B,Population_data!F:F,"")</f>
        <v>3.79</v>
      </c>
      <c r="I259">
        <f>_xlfn.XLOOKUP(C259,Population_data!B:B,Population_data!G:G,"")</f>
        <v>70.05</v>
      </c>
      <c r="J259" t="str">
        <f>_xlfn.XLOOKUP(D259,District_Crime_Unit_Map!A:A,District_Crime_Unit_Map!B:B,"")</f>
        <v>Dhaka Range</v>
      </c>
      <c r="K259">
        <f>_xlfn.XLOOKUP(J259,Crime_Data!A:A,Crime_Data!V:V,"")</f>
        <v>87.055167395391194</v>
      </c>
      <c r="L259">
        <f>_xlfn.XLOOKUP(J259,Crime_Data!A:A,Crime_Data!W:W,"")</f>
        <v>14.083489099923572</v>
      </c>
      <c r="M259" t="str">
        <f>TRIM(Table6[[#This Row],[District]])&amp;"|"&amp;TRIM(Table6[[#This Row],[Upazila]])</f>
        <v>Tangail|Bhuapur</v>
      </c>
      <c r="N259" t="str">
        <f>_xlfn.XLOOKUP(B259,Remittance_Data!A:A,Remittance_Data!B:B,"CHECK")</f>
        <v>CHECK</v>
      </c>
      <c r="O259" t="str">
        <f>_xlfn.XLOOKUP(B259,Remittance_Data!A:A,Remittance_Data!C:C,"CHECK")</f>
        <v>CHECK</v>
      </c>
      <c r="P259" t="str">
        <f>_xlfn.XLOOKUP(B259,Remittance_Data!A:A,Remittance_Data!D:D,"CHECK")</f>
        <v>CHECK</v>
      </c>
    </row>
    <row r="260" spans="1:16">
      <c r="A260" t="s">
        <v>483</v>
      </c>
      <c r="B260" t="str">
        <f>SUBSTITUTE(SUBSTITUTE(SUBSTITUTE(SUBSTITUTE(TRIM(Table6[[#This Row],[Constituency]]),"Barisal","Barishal"),"Jessore","Jashore"),"Bogra","Bogura"),"Chapai Nawabganj","Chapainawabganj")</f>
        <v>Tangail-3</v>
      </c>
      <c r="C260" t="s">
        <v>1212</v>
      </c>
      <c r="D260" t="s">
        <v>1208</v>
      </c>
      <c r="E260">
        <f>_xlfn.XLOOKUP(C260,Population_data!B:B,Population_data!C:C,"")</f>
        <v>451.63</v>
      </c>
      <c r="F260">
        <f>_xlfn.XLOOKUP(C260,Population_data!B:B,Population_data!D:D,"")</f>
        <v>448724</v>
      </c>
      <c r="G260">
        <f>_xlfn.XLOOKUP(C260,Population_data!B:B,Population_data!E:E,"")</f>
        <v>993.57</v>
      </c>
      <c r="H260">
        <f>_xlfn.XLOOKUP(C260,Population_data!B:B,Population_data!F:F,"")</f>
        <v>3.67</v>
      </c>
      <c r="I260">
        <f>_xlfn.XLOOKUP(C260,Population_data!B:B,Population_data!G:G,"")</f>
        <v>66.89</v>
      </c>
      <c r="J260" t="str">
        <f>_xlfn.XLOOKUP(D260,District_Crime_Unit_Map!A:A,District_Crime_Unit_Map!B:B,"")</f>
        <v>Dhaka Range</v>
      </c>
      <c r="K260">
        <f>_xlfn.XLOOKUP(J260,Crime_Data!A:A,Crime_Data!V:V,"")</f>
        <v>87.055167395391194</v>
      </c>
      <c r="L260">
        <f>_xlfn.XLOOKUP(J260,Crime_Data!A:A,Crime_Data!W:W,"")</f>
        <v>14.083489099923572</v>
      </c>
      <c r="M260" t="str">
        <f>TRIM(Table6[[#This Row],[District]])&amp;"|"&amp;TRIM(Table6[[#This Row],[Upazila]])</f>
        <v>Tangail|Ghatail</v>
      </c>
      <c r="N260" t="str">
        <f>_xlfn.XLOOKUP(B260,Remittance_Data!A:A,Remittance_Data!B:B,"CHECK")</f>
        <v>CHECK</v>
      </c>
      <c r="O260" t="str">
        <f>_xlfn.XLOOKUP(B260,Remittance_Data!A:A,Remittance_Data!C:C,"CHECK")</f>
        <v>CHECK</v>
      </c>
      <c r="P260" t="str">
        <f>_xlfn.XLOOKUP(B260,Remittance_Data!A:A,Remittance_Data!D:D,"CHECK")</f>
        <v>CHECK</v>
      </c>
    </row>
    <row r="261" spans="1:16">
      <c r="A261" t="s">
        <v>486</v>
      </c>
      <c r="B261" t="str">
        <f>SUBSTITUTE(SUBSTITUTE(SUBSTITUTE(SUBSTITUTE(TRIM(Table6[[#This Row],[Constituency]]),"Barisal","Barishal"),"Jessore","Jashore"),"Bogra","Bogura"),"Chapai Nawabganj","Chapainawabganj")</f>
        <v>Tangail-4</v>
      </c>
      <c r="C261" t="s">
        <v>1213</v>
      </c>
      <c r="D261" t="s">
        <v>1208</v>
      </c>
      <c r="E261">
        <f>_xlfn.XLOOKUP(C261,Population_data!B:B,Population_data!C:C,"")</f>
        <v>301.22000000000003</v>
      </c>
      <c r="F261">
        <f>_xlfn.XLOOKUP(C261,Population_data!B:B,Population_data!D:D,"")</f>
        <v>449451</v>
      </c>
      <c r="G261">
        <f>_xlfn.XLOOKUP(C261,Population_data!B:B,Population_data!E:E,"")</f>
        <v>1492.1</v>
      </c>
      <c r="H261">
        <f>_xlfn.XLOOKUP(C261,Population_data!B:B,Population_data!F:F,"")</f>
        <v>3.79</v>
      </c>
      <c r="I261">
        <f>_xlfn.XLOOKUP(C261,Population_data!B:B,Population_data!G:G,"")</f>
        <v>67.930000000000007</v>
      </c>
      <c r="J261" t="str">
        <f>_xlfn.XLOOKUP(D261,District_Crime_Unit_Map!A:A,District_Crime_Unit_Map!B:B,"")</f>
        <v>Dhaka Range</v>
      </c>
      <c r="K261">
        <f>_xlfn.XLOOKUP(J261,Crime_Data!A:A,Crime_Data!V:V,"")</f>
        <v>87.055167395391194</v>
      </c>
      <c r="L261">
        <f>_xlfn.XLOOKUP(J261,Crime_Data!A:A,Crime_Data!W:W,"")</f>
        <v>14.083489099923572</v>
      </c>
      <c r="M261" t="str">
        <f>TRIM(Table6[[#This Row],[District]])&amp;"|"&amp;TRIM(Table6[[#This Row],[Upazila]])</f>
        <v>Tangail|Kalihati</v>
      </c>
      <c r="N261" t="str">
        <f>_xlfn.XLOOKUP(B261,Remittance_Data!A:A,Remittance_Data!B:B,"CHECK")</f>
        <v>CHECK</v>
      </c>
      <c r="O261" t="str">
        <f>_xlfn.XLOOKUP(B261,Remittance_Data!A:A,Remittance_Data!C:C,"CHECK")</f>
        <v>CHECK</v>
      </c>
      <c r="P261" t="str">
        <f>_xlfn.XLOOKUP(B261,Remittance_Data!A:A,Remittance_Data!D:D,"CHECK")</f>
        <v>CHECK</v>
      </c>
    </row>
    <row r="262" spans="1:16">
      <c r="A262" t="s">
        <v>489</v>
      </c>
      <c r="B262" t="str">
        <f>SUBSTITUTE(SUBSTITUTE(SUBSTITUTE(SUBSTITUTE(TRIM(Table6[[#This Row],[Constituency]]),"Barisal","Barishal"),"Jessore","Jashore"),"Bogra","Bogura"),"Chapai Nawabganj","Chapainawabganj")</f>
        <v>Tangail-5</v>
      </c>
      <c r="C262" t="s">
        <v>1214</v>
      </c>
      <c r="D262" t="s">
        <v>1208</v>
      </c>
      <c r="E262">
        <f>_xlfn.XLOOKUP(C262,Population_data!B:B,Population_data!C:C,"")</f>
        <v>497.01</v>
      </c>
      <c r="F262">
        <f>_xlfn.XLOOKUP(C262,Population_data!B:B,Population_data!D:D,"")</f>
        <v>601185</v>
      </c>
      <c r="G262">
        <f>_xlfn.XLOOKUP(C262,Population_data!B:B,Population_data!E:E,"")</f>
        <v>1209.5999999999999</v>
      </c>
      <c r="H262">
        <f>_xlfn.XLOOKUP(C262,Population_data!B:B,Population_data!F:F,"")</f>
        <v>3.98</v>
      </c>
      <c r="I262">
        <f>_xlfn.XLOOKUP(C262,Population_data!B:B,Population_data!G:G,"")</f>
        <v>74.430000000000007</v>
      </c>
      <c r="J262" t="str">
        <f>_xlfn.XLOOKUP(D262,District_Crime_Unit_Map!A:A,District_Crime_Unit_Map!B:B,"")</f>
        <v>Dhaka Range</v>
      </c>
      <c r="K262">
        <f>_xlfn.XLOOKUP(J262,Crime_Data!A:A,Crime_Data!V:V,"")</f>
        <v>87.055167395391194</v>
      </c>
      <c r="L262">
        <f>_xlfn.XLOOKUP(J262,Crime_Data!A:A,Crime_Data!W:W,"")</f>
        <v>14.083489099923572</v>
      </c>
      <c r="M262" t="str">
        <f>TRIM(Table6[[#This Row],[District]])&amp;"|"&amp;TRIM(Table6[[#This Row],[Upazila]])</f>
        <v>Tangail|Tangail Sadar</v>
      </c>
      <c r="N262" t="str">
        <f>_xlfn.XLOOKUP(B262,Remittance_Data!A:A,Remittance_Data!B:B,"CHECK")</f>
        <v>CHECK</v>
      </c>
      <c r="O262" t="str">
        <f>_xlfn.XLOOKUP(B262,Remittance_Data!A:A,Remittance_Data!C:C,"CHECK")</f>
        <v>CHECK</v>
      </c>
      <c r="P262" t="str">
        <f>_xlfn.XLOOKUP(B262,Remittance_Data!A:A,Remittance_Data!D:D,"CHECK")</f>
        <v>CHECK</v>
      </c>
    </row>
    <row r="263" spans="1:16">
      <c r="A263" t="s">
        <v>492</v>
      </c>
      <c r="B263" t="str">
        <f>SUBSTITUTE(SUBSTITUTE(SUBSTITUTE(SUBSTITUTE(TRIM(Table6[[#This Row],[Constituency]]),"Barisal","Barishal"),"Jessore","Jashore"),"Bogra","Bogura"),"Chapai Nawabganj","Chapainawabganj")</f>
        <v>Tangail-6</v>
      </c>
      <c r="C263" t="s">
        <v>1215</v>
      </c>
      <c r="D263" t="s">
        <v>1208</v>
      </c>
      <c r="E263">
        <f>_xlfn.XLOOKUP(C263,Population_data!B:B,Population_data!C:C,"")</f>
        <v>344.15</v>
      </c>
      <c r="F263">
        <f>_xlfn.XLOOKUP(C263,Population_data!B:B,Population_data!D:D,"")</f>
        <v>218710</v>
      </c>
      <c r="G263">
        <f>_xlfn.XLOOKUP(C263,Population_data!B:B,Population_data!E:E,"")</f>
        <v>635.51</v>
      </c>
      <c r="H263">
        <f>_xlfn.XLOOKUP(C263,Population_data!B:B,Population_data!F:F,"")</f>
        <v>3.8</v>
      </c>
      <c r="I263">
        <f>_xlfn.XLOOKUP(C263,Population_data!B:B,Population_data!G:G,"")</f>
        <v>71.75</v>
      </c>
      <c r="J263" t="str">
        <f>_xlfn.XLOOKUP(D263,District_Crime_Unit_Map!A:A,District_Crime_Unit_Map!B:B,"")</f>
        <v>Dhaka Range</v>
      </c>
      <c r="K263">
        <f>_xlfn.XLOOKUP(J263,Crime_Data!A:A,Crime_Data!V:V,"")</f>
        <v>87.055167395391194</v>
      </c>
      <c r="L263">
        <f>_xlfn.XLOOKUP(J263,Crime_Data!A:A,Crime_Data!W:W,"")</f>
        <v>14.083489099923572</v>
      </c>
      <c r="M263" t="str">
        <f>TRIM(Table6[[#This Row],[District]])&amp;"|"&amp;TRIM(Table6[[#This Row],[Upazila]])</f>
        <v>Tangail|Delduar</v>
      </c>
      <c r="N263" t="str">
        <f>_xlfn.XLOOKUP(B263,Remittance_Data!A:A,Remittance_Data!B:B,"CHECK")</f>
        <v>CHECK</v>
      </c>
      <c r="O263" t="str">
        <f>_xlfn.XLOOKUP(B263,Remittance_Data!A:A,Remittance_Data!C:C,"CHECK")</f>
        <v>CHECK</v>
      </c>
      <c r="P263" t="str">
        <f>_xlfn.XLOOKUP(B263,Remittance_Data!A:A,Remittance_Data!D:D,"CHECK")</f>
        <v>CHECK</v>
      </c>
    </row>
    <row r="264" spans="1:16">
      <c r="A264" t="s">
        <v>492</v>
      </c>
      <c r="B264" t="str">
        <f>SUBSTITUTE(SUBSTITUTE(SUBSTITUTE(SUBSTITUTE(TRIM(Table6[[#This Row],[Constituency]]),"Barisal","Barishal"),"Jessore","Jashore"),"Bogra","Bogura"),"Chapai Nawabganj","Chapainawabganj")</f>
        <v>Tangail-6</v>
      </c>
      <c r="C264" t="s">
        <v>1216</v>
      </c>
      <c r="D264" t="s">
        <v>1208</v>
      </c>
      <c r="E264">
        <f>_xlfn.XLOOKUP(C264,Population_data!B:B,Population_data!C:C,"")</f>
        <v>266.77</v>
      </c>
      <c r="F264">
        <f>_xlfn.XLOOKUP(C264,Population_data!B:B,Population_data!D:D,"")</f>
        <v>319270</v>
      </c>
      <c r="G264">
        <f>_xlfn.XLOOKUP(C264,Population_data!B:B,Population_data!E:E,"")</f>
        <v>1196.8</v>
      </c>
      <c r="H264">
        <f>_xlfn.XLOOKUP(C264,Population_data!B:B,Population_data!F:F,"")</f>
        <v>3.79</v>
      </c>
      <c r="I264">
        <f>_xlfn.XLOOKUP(C264,Population_data!B:B,Population_data!G:G,"")</f>
        <v>66.63</v>
      </c>
      <c r="J264" t="str">
        <f>_xlfn.XLOOKUP(D264,District_Crime_Unit_Map!A:A,District_Crime_Unit_Map!B:B,"")</f>
        <v>Dhaka Range</v>
      </c>
      <c r="K264">
        <f>_xlfn.XLOOKUP(J264,Crime_Data!A:A,Crime_Data!V:V,"")</f>
        <v>87.055167395391194</v>
      </c>
      <c r="L264">
        <f>_xlfn.XLOOKUP(J264,Crime_Data!A:A,Crime_Data!W:W,"")</f>
        <v>14.083489099923572</v>
      </c>
      <c r="M264" t="str">
        <f>TRIM(Table6[[#This Row],[District]])&amp;"|"&amp;TRIM(Table6[[#This Row],[Upazila]])</f>
        <v>Tangail|Nagarpur</v>
      </c>
      <c r="N264" t="str">
        <f>_xlfn.XLOOKUP(B264,Remittance_Data!A:A,Remittance_Data!B:B,"CHECK")</f>
        <v>CHECK</v>
      </c>
      <c r="O264" t="str">
        <f>_xlfn.XLOOKUP(B264,Remittance_Data!A:A,Remittance_Data!C:C,"CHECK")</f>
        <v>CHECK</v>
      </c>
      <c r="P264" t="str">
        <f>_xlfn.XLOOKUP(B264,Remittance_Data!A:A,Remittance_Data!D:D,"CHECK")</f>
        <v>CHECK</v>
      </c>
    </row>
    <row r="265" spans="1:16">
      <c r="A265" t="s">
        <v>495</v>
      </c>
      <c r="B265" t="str">
        <f>SUBSTITUTE(SUBSTITUTE(SUBSTITUTE(SUBSTITUTE(TRIM(Table6[[#This Row],[Constituency]]),"Barisal","Barishal"),"Jessore","Jashore"),"Bogra","Bogura"),"Chapai Nawabganj","Chapainawabganj")</f>
        <v>Tangail-7</v>
      </c>
      <c r="C265" t="s">
        <v>1217</v>
      </c>
      <c r="D265" t="s">
        <v>1208</v>
      </c>
      <c r="E265">
        <f>_xlfn.XLOOKUP(C265,Population_data!B:B,Population_data!C:C,"")</f>
        <v>489.1</v>
      </c>
      <c r="F265">
        <f>_xlfn.XLOOKUP(C265,Population_data!B:B,Population_data!D:D,"")</f>
        <v>474634</v>
      </c>
      <c r="G265">
        <f>_xlfn.XLOOKUP(C265,Population_data!B:B,Population_data!E:E,"")</f>
        <v>970.42</v>
      </c>
      <c r="H265">
        <f>_xlfn.XLOOKUP(C265,Population_data!B:B,Population_data!F:F,"")</f>
        <v>3.73</v>
      </c>
      <c r="I265">
        <f>_xlfn.XLOOKUP(C265,Population_data!B:B,Population_data!G:G,"")</f>
        <v>74.98</v>
      </c>
      <c r="J265" t="str">
        <f>_xlfn.XLOOKUP(D265,District_Crime_Unit_Map!A:A,District_Crime_Unit_Map!B:B,"")</f>
        <v>Dhaka Range</v>
      </c>
      <c r="K265">
        <f>_xlfn.XLOOKUP(J265,Crime_Data!A:A,Crime_Data!V:V,"")</f>
        <v>87.055167395391194</v>
      </c>
      <c r="L265">
        <f>_xlfn.XLOOKUP(J265,Crime_Data!A:A,Crime_Data!W:W,"")</f>
        <v>14.083489099923572</v>
      </c>
      <c r="M265" t="str">
        <f>TRIM(Table6[[#This Row],[District]])&amp;"|"&amp;TRIM(Table6[[#This Row],[Upazila]])</f>
        <v>Tangail|Mirzapur</v>
      </c>
      <c r="N265" t="str">
        <f>_xlfn.XLOOKUP(B265,Remittance_Data!A:A,Remittance_Data!B:B,"CHECK")</f>
        <v>CHECK</v>
      </c>
      <c r="O265" t="str">
        <f>_xlfn.XLOOKUP(B265,Remittance_Data!A:A,Remittance_Data!C:C,"CHECK")</f>
        <v>CHECK</v>
      </c>
      <c r="P265" t="str">
        <f>_xlfn.XLOOKUP(B265,Remittance_Data!A:A,Remittance_Data!D:D,"CHECK")</f>
        <v>CHECK</v>
      </c>
    </row>
    <row r="266" spans="1:16">
      <c r="A266" t="s">
        <v>498</v>
      </c>
      <c r="B266" t="str">
        <f>SUBSTITUTE(SUBSTITUTE(SUBSTITUTE(SUBSTITUTE(TRIM(Table6[[#This Row],[Constituency]]),"Barisal","Barishal"),"Jessore","Jashore"),"Bogra","Bogura"),"Chapai Nawabganj","Chapainawabganj")</f>
        <v>Tangail-8</v>
      </c>
      <c r="C266" t="s">
        <v>1218</v>
      </c>
      <c r="D266" t="s">
        <v>1208</v>
      </c>
      <c r="E266">
        <f>_xlfn.XLOOKUP(C266,Population_data!B:B,Population_data!C:C,"")</f>
        <v>266.83999999999997</v>
      </c>
      <c r="F266">
        <f>_xlfn.XLOOKUP(C266,Population_data!B:B,Population_data!D:D,"")</f>
        <v>322307</v>
      </c>
      <c r="G266">
        <f>_xlfn.XLOOKUP(C266,Population_data!B:B,Population_data!E:E,"")</f>
        <v>1207.8699999999999</v>
      </c>
      <c r="H266">
        <f>_xlfn.XLOOKUP(C266,Population_data!B:B,Population_data!F:F,"")</f>
        <v>3.57</v>
      </c>
      <c r="I266">
        <f>_xlfn.XLOOKUP(C266,Population_data!B:B,Population_data!G:G,"")</f>
        <v>66.87</v>
      </c>
      <c r="J266" t="str">
        <f>_xlfn.XLOOKUP(D266,District_Crime_Unit_Map!A:A,District_Crime_Unit_Map!B:B,"")</f>
        <v>Dhaka Range</v>
      </c>
      <c r="K266">
        <f>_xlfn.XLOOKUP(J266,Crime_Data!A:A,Crime_Data!V:V,"")</f>
        <v>87.055167395391194</v>
      </c>
      <c r="L266">
        <f>_xlfn.XLOOKUP(J266,Crime_Data!A:A,Crime_Data!W:W,"")</f>
        <v>14.083489099923572</v>
      </c>
      <c r="M266" t="str">
        <f>TRIM(Table6[[#This Row],[District]])&amp;"|"&amp;TRIM(Table6[[#This Row],[Upazila]])</f>
        <v>Tangail|Sakhipur</v>
      </c>
      <c r="N266" t="str">
        <f>_xlfn.XLOOKUP(B266,Remittance_Data!A:A,Remittance_Data!B:B,"CHECK")</f>
        <v>CHECK</v>
      </c>
      <c r="O266" t="str">
        <f>_xlfn.XLOOKUP(B266,Remittance_Data!A:A,Remittance_Data!C:C,"CHECK")</f>
        <v>CHECK</v>
      </c>
      <c r="P266" t="str">
        <f>_xlfn.XLOOKUP(B266,Remittance_Data!A:A,Remittance_Data!D:D,"CHECK")</f>
        <v>CHECK</v>
      </c>
    </row>
    <row r="267" spans="1:16">
      <c r="A267" t="s">
        <v>501</v>
      </c>
      <c r="B267" t="str">
        <f>SUBSTITUTE(SUBSTITUTE(SUBSTITUTE(SUBSTITUTE(TRIM(Table6[[#This Row],[Constituency]]),"Barisal","Barishal"),"Jessore","Jashore"),"Bogra","Bogura"),"Chapai Nawabganj","Chapainawabganj")</f>
        <v>Kishoreganj-1</v>
      </c>
      <c r="C267" t="s">
        <v>1219</v>
      </c>
      <c r="D267" t="s">
        <v>945</v>
      </c>
      <c r="E267">
        <f>_xlfn.XLOOKUP(C267,Population_data!B:B,Population_data!C:C,"")</f>
        <v>166.58</v>
      </c>
      <c r="F267">
        <f>_xlfn.XLOOKUP(C267,Population_data!B:B,Population_data!D:D,"")</f>
        <v>168829</v>
      </c>
      <c r="G267">
        <f>_xlfn.XLOOKUP(C267,Population_data!B:B,Population_data!E:E,"")</f>
        <v>1013.5</v>
      </c>
      <c r="H267">
        <f>_xlfn.XLOOKUP(C267,Population_data!B:B,Population_data!F:F,"")</f>
        <v>4.4800000000000004</v>
      </c>
      <c r="I267">
        <f>_xlfn.XLOOKUP(C267,Population_data!B:B,Population_data!G:G,"")</f>
        <v>56.45</v>
      </c>
      <c r="J267" t="str">
        <f>_xlfn.XLOOKUP(D267,District_Crime_Unit_Map!A:A,District_Crime_Unit_Map!B:B,"")</f>
        <v>Dhaka Range</v>
      </c>
      <c r="K267">
        <f>_xlfn.XLOOKUP(J267,Crime_Data!A:A,Crime_Data!V:V,"")</f>
        <v>87.055167395391194</v>
      </c>
      <c r="L267">
        <f>_xlfn.XLOOKUP(J267,Crime_Data!A:A,Crime_Data!W:W,"")</f>
        <v>14.083489099923572</v>
      </c>
      <c r="M267" t="str">
        <f>TRIM(Table6[[#This Row],[District]])&amp;"|"&amp;TRIM(Table6[[#This Row],[Upazila]])</f>
        <v>Kishoreganj|Itna</v>
      </c>
      <c r="N267" t="str">
        <f>_xlfn.XLOOKUP(B267,Remittance_Data!A:A,Remittance_Data!B:B,"CHECK")</f>
        <v>CHECK</v>
      </c>
      <c r="O267" t="str">
        <f>_xlfn.XLOOKUP(B267,Remittance_Data!A:A,Remittance_Data!C:C,"CHECK")</f>
        <v>CHECK</v>
      </c>
      <c r="P267" t="str">
        <f>_xlfn.XLOOKUP(B267,Remittance_Data!A:A,Remittance_Data!D:D,"CHECK")</f>
        <v>CHECK</v>
      </c>
    </row>
    <row r="268" spans="1:16">
      <c r="A268" t="s">
        <v>501</v>
      </c>
      <c r="B268" t="str">
        <f>SUBSTITUTE(SUBSTITUTE(SUBSTITUTE(SUBSTITUTE(TRIM(Table6[[#This Row],[Constituency]]),"Barisal","Barishal"),"Jessore","Jashore"),"Bogra","Bogura"),"Chapai Nawabganj","Chapainawabganj")</f>
        <v>Kishoreganj-1</v>
      </c>
      <c r="C268" t="s">
        <v>1220</v>
      </c>
      <c r="D268" t="s">
        <v>945</v>
      </c>
      <c r="E268">
        <f>_xlfn.XLOOKUP(C268,Population_data!B:B,Population_data!C:C,"")</f>
        <v>379.27</v>
      </c>
      <c r="F268">
        <f>_xlfn.XLOOKUP(C268,Population_data!B:B,Population_data!D:D,"")</f>
        <v>125155</v>
      </c>
      <c r="G268">
        <f>_xlfn.XLOOKUP(C268,Population_data!B:B,Population_data!E:E,"")</f>
        <v>329.99</v>
      </c>
      <c r="H268">
        <f>_xlfn.XLOOKUP(C268,Population_data!B:B,Population_data!F:F,"")</f>
        <v>4.6500000000000004</v>
      </c>
      <c r="I268">
        <f>_xlfn.XLOOKUP(C268,Population_data!B:B,Population_data!G:G,"")</f>
        <v>60.52</v>
      </c>
      <c r="J268" t="str">
        <f>_xlfn.XLOOKUP(D268,District_Crime_Unit_Map!A:A,District_Crime_Unit_Map!B:B,"")</f>
        <v>Dhaka Range</v>
      </c>
      <c r="K268">
        <f>_xlfn.XLOOKUP(J268,Crime_Data!A:A,Crime_Data!V:V,"")</f>
        <v>87.055167395391194</v>
      </c>
      <c r="L268">
        <f>_xlfn.XLOOKUP(J268,Crime_Data!A:A,Crime_Data!W:W,"")</f>
        <v>14.083489099923572</v>
      </c>
      <c r="M268" t="str">
        <f>TRIM(Table6[[#This Row],[District]])&amp;"|"&amp;TRIM(Table6[[#This Row],[Upazila]])</f>
        <v>Kishoreganj|Mithamain</v>
      </c>
      <c r="N268" t="str">
        <f>_xlfn.XLOOKUP(B268,Remittance_Data!A:A,Remittance_Data!B:B,"CHECK")</f>
        <v>CHECK</v>
      </c>
      <c r="O268" t="str">
        <f>_xlfn.XLOOKUP(B268,Remittance_Data!A:A,Remittance_Data!C:C,"CHECK")</f>
        <v>CHECK</v>
      </c>
      <c r="P268" t="str">
        <f>_xlfn.XLOOKUP(B268,Remittance_Data!A:A,Remittance_Data!D:D,"CHECK")</f>
        <v>CHECK</v>
      </c>
    </row>
    <row r="269" spans="1:16">
      <c r="A269" t="s">
        <v>501</v>
      </c>
      <c r="B269" t="str">
        <f>SUBSTITUTE(SUBSTITUTE(SUBSTITUTE(SUBSTITUTE(TRIM(Table6[[#This Row],[Constituency]]),"Barisal","Barishal"),"Jessore","Jashore"),"Bogra","Bogura"),"Chapai Nawabganj","Chapainawabganj")</f>
        <v>Kishoreganj-1</v>
      </c>
      <c r="C269" t="s">
        <v>1221</v>
      </c>
      <c r="D269" t="s">
        <v>945</v>
      </c>
      <c r="E269">
        <f>_xlfn.XLOOKUP(C269,Population_data!B:B,Population_data!C:C,"")</f>
        <v>374.67</v>
      </c>
      <c r="F269">
        <f>_xlfn.XLOOKUP(C269,Population_data!B:B,Population_data!D:D,"")</f>
        <v>151238</v>
      </c>
      <c r="G269">
        <f>_xlfn.XLOOKUP(C269,Population_data!B:B,Population_data!E:E,"")</f>
        <v>403.66</v>
      </c>
      <c r="H269">
        <f>_xlfn.XLOOKUP(C269,Population_data!B:B,Population_data!F:F,"")</f>
        <v>4.46</v>
      </c>
      <c r="I269">
        <f>_xlfn.XLOOKUP(C269,Population_data!B:B,Population_data!G:G,"")</f>
        <v>60.86</v>
      </c>
      <c r="J269" t="str">
        <f>_xlfn.XLOOKUP(D269,District_Crime_Unit_Map!A:A,District_Crime_Unit_Map!B:B,"")</f>
        <v>Dhaka Range</v>
      </c>
      <c r="K269">
        <f>_xlfn.XLOOKUP(J269,Crime_Data!A:A,Crime_Data!V:V,"")</f>
        <v>87.055167395391194</v>
      </c>
      <c r="L269">
        <f>_xlfn.XLOOKUP(J269,Crime_Data!A:A,Crime_Data!W:W,"")</f>
        <v>14.083489099923572</v>
      </c>
      <c r="M269" t="str">
        <f>TRIM(Table6[[#This Row],[District]])&amp;"|"&amp;TRIM(Table6[[#This Row],[Upazila]])</f>
        <v>Kishoreganj|Austagram</v>
      </c>
      <c r="N269" t="str">
        <f>_xlfn.XLOOKUP(B269,Remittance_Data!A:A,Remittance_Data!B:B,"CHECK")</f>
        <v>CHECK</v>
      </c>
      <c r="O269" t="str">
        <f>_xlfn.XLOOKUP(B269,Remittance_Data!A:A,Remittance_Data!C:C,"CHECK")</f>
        <v>CHECK</v>
      </c>
      <c r="P269" t="str">
        <f>_xlfn.XLOOKUP(B269,Remittance_Data!A:A,Remittance_Data!D:D,"CHECK")</f>
        <v>CHECK</v>
      </c>
    </row>
    <row r="270" spans="1:16">
      <c r="A270" t="s">
        <v>504</v>
      </c>
      <c r="B270" t="str">
        <f>SUBSTITUTE(SUBSTITUTE(SUBSTITUTE(SUBSTITUTE(TRIM(Table6[[#This Row],[Constituency]]),"Barisal","Barishal"),"Jessore","Jashore"),"Bogra","Bogura"),"Chapai Nawabganj","Chapainawabganj")</f>
        <v>Kishoreganj-2</v>
      </c>
      <c r="C270" t="s">
        <v>1222</v>
      </c>
      <c r="D270" t="s">
        <v>945</v>
      </c>
      <c r="E270">
        <f>_xlfn.XLOOKUP(C270,Population_data!B:B,Population_data!C:C,"")</f>
        <v>224.97</v>
      </c>
      <c r="F270">
        <f>_xlfn.XLOOKUP(C270,Population_data!B:B,Population_data!D:D,"")</f>
        <v>351441</v>
      </c>
      <c r="G270">
        <f>_xlfn.XLOOKUP(C270,Population_data!B:B,Population_data!E:E,"")</f>
        <v>1562.17</v>
      </c>
      <c r="H270">
        <f>_xlfn.XLOOKUP(C270,Population_data!B:B,Population_data!F:F,"")</f>
        <v>4.12</v>
      </c>
      <c r="I270">
        <f>_xlfn.XLOOKUP(C270,Population_data!B:B,Population_data!G:G,"")</f>
        <v>67.09</v>
      </c>
      <c r="J270" t="str">
        <f>_xlfn.XLOOKUP(D270,District_Crime_Unit_Map!A:A,District_Crime_Unit_Map!B:B,"")</f>
        <v>Dhaka Range</v>
      </c>
      <c r="K270">
        <f>_xlfn.XLOOKUP(J270,Crime_Data!A:A,Crime_Data!V:V,"")</f>
        <v>87.055167395391194</v>
      </c>
      <c r="L270">
        <f>_xlfn.XLOOKUP(J270,Crime_Data!A:A,Crime_Data!W:W,"")</f>
        <v>14.083489099923572</v>
      </c>
      <c r="M270" t="str">
        <f>TRIM(Table6[[#This Row],[District]])&amp;"|"&amp;TRIM(Table6[[#This Row],[Upazila]])</f>
        <v>Kishoreganj|Katiadi</v>
      </c>
      <c r="N270" t="str">
        <f>_xlfn.XLOOKUP(B270,Remittance_Data!A:A,Remittance_Data!B:B,"CHECK")</f>
        <v>CHECK</v>
      </c>
      <c r="O270" t="str">
        <f>_xlfn.XLOOKUP(B270,Remittance_Data!A:A,Remittance_Data!C:C,"CHECK")</f>
        <v>CHECK</v>
      </c>
      <c r="P270" t="str">
        <f>_xlfn.XLOOKUP(B270,Remittance_Data!A:A,Remittance_Data!D:D,"CHECK")</f>
        <v>CHECK</v>
      </c>
    </row>
    <row r="271" spans="1:16">
      <c r="A271" t="s">
        <v>507</v>
      </c>
      <c r="B271" t="str">
        <f>SUBSTITUTE(SUBSTITUTE(SUBSTITUTE(SUBSTITUTE(TRIM(Table6[[#This Row],[Constituency]]),"Barisal","Barishal"),"Jessore","Jashore"),"Bogra","Bogura"),"Chapai Nawabganj","Chapainawabganj")</f>
        <v>Kishoreganj-3</v>
      </c>
      <c r="C271" t="s">
        <v>1223</v>
      </c>
      <c r="D271" t="s">
        <v>945</v>
      </c>
      <c r="E271">
        <f>_xlfn.XLOOKUP(C271,Population_data!B:B,Population_data!C:C,"")</f>
        <v>245.51</v>
      </c>
      <c r="F271">
        <f>_xlfn.XLOOKUP(C271,Population_data!B:B,Population_data!D:D,"")</f>
        <v>328288</v>
      </c>
      <c r="G271">
        <f>_xlfn.XLOOKUP(C271,Population_data!B:B,Population_data!E:E,"")</f>
        <v>1337.17</v>
      </c>
      <c r="H271">
        <f>_xlfn.XLOOKUP(C271,Population_data!B:B,Population_data!F:F,"")</f>
        <v>4.26</v>
      </c>
      <c r="I271">
        <f>_xlfn.XLOOKUP(C271,Population_data!B:B,Population_data!G:G,"")</f>
        <v>62.19</v>
      </c>
      <c r="J271" t="str">
        <f>_xlfn.XLOOKUP(D271,District_Crime_Unit_Map!A:A,District_Crime_Unit_Map!B:B,"")</f>
        <v>Dhaka Range</v>
      </c>
      <c r="K271">
        <f>_xlfn.XLOOKUP(J271,Crime_Data!A:A,Crime_Data!V:V,"")</f>
        <v>87.055167395391194</v>
      </c>
      <c r="L271">
        <f>_xlfn.XLOOKUP(J271,Crime_Data!A:A,Crime_Data!W:W,"")</f>
        <v>14.083489099923572</v>
      </c>
      <c r="M271" t="str">
        <f>TRIM(Table6[[#This Row],[District]])&amp;"|"&amp;TRIM(Table6[[#This Row],[Upazila]])</f>
        <v>Kishoreganj|Karimganj</v>
      </c>
      <c r="N271" t="str">
        <f>_xlfn.XLOOKUP(B271,Remittance_Data!A:A,Remittance_Data!B:B,"CHECK")</f>
        <v>CHECK</v>
      </c>
      <c r="O271" t="str">
        <f>_xlfn.XLOOKUP(B271,Remittance_Data!A:A,Remittance_Data!C:C,"CHECK")</f>
        <v>CHECK</v>
      </c>
      <c r="P271" t="str">
        <f>_xlfn.XLOOKUP(B271,Remittance_Data!A:A,Remittance_Data!D:D,"CHECK")</f>
        <v>CHECK</v>
      </c>
    </row>
    <row r="272" spans="1:16">
      <c r="A272" t="s">
        <v>507</v>
      </c>
      <c r="B272" t="str">
        <f>SUBSTITUTE(SUBSTITUTE(SUBSTITUTE(SUBSTITUTE(TRIM(Table6[[#This Row],[Constituency]]),"Barisal","Barishal"),"Jessore","Jashore"),"Bogra","Bogura"),"Chapai Nawabganj","Chapainawabganj")</f>
        <v>Kishoreganj-3</v>
      </c>
      <c r="C272" t="s">
        <v>1224</v>
      </c>
      <c r="D272" t="s">
        <v>945</v>
      </c>
      <c r="E272">
        <f>_xlfn.XLOOKUP(C272,Population_data!B:B,Population_data!C:C,"")</f>
        <v>219.67</v>
      </c>
      <c r="F272">
        <f>_xlfn.XLOOKUP(C272,Population_data!B:B,Population_data!D:D,"")</f>
        <v>170084</v>
      </c>
      <c r="G272">
        <f>_xlfn.XLOOKUP(C272,Population_data!B:B,Population_data!E:E,"")</f>
        <v>774.27</v>
      </c>
      <c r="H272">
        <f>_xlfn.XLOOKUP(C272,Population_data!B:B,Population_data!F:F,"")</f>
        <v>4.21</v>
      </c>
      <c r="I272">
        <f>_xlfn.XLOOKUP(C272,Population_data!B:B,Population_data!G:G,"")</f>
        <v>63.18</v>
      </c>
      <c r="J272" t="str">
        <f>_xlfn.XLOOKUP(D272,District_Crime_Unit_Map!A:A,District_Crime_Unit_Map!B:B,"")</f>
        <v>Dhaka Range</v>
      </c>
      <c r="K272">
        <f>_xlfn.XLOOKUP(J272,Crime_Data!A:A,Crime_Data!V:V,"")</f>
        <v>87.055167395391194</v>
      </c>
      <c r="L272">
        <f>_xlfn.XLOOKUP(J272,Crime_Data!A:A,Crime_Data!W:W,"")</f>
        <v>14.083489099923572</v>
      </c>
      <c r="M272" t="str">
        <f>TRIM(Table6[[#This Row],[District]])&amp;"|"&amp;TRIM(Table6[[#This Row],[Upazila]])</f>
        <v>Kishoreganj|Tarail</v>
      </c>
      <c r="N272" t="str">
        <f>_xlfn.XLOOKUP(B272,Remittance_Data!A:A,Remittance_Data!B:B,"CHECK")</f>
        <v>CHECK</v>
      </c>
      <c r="O272" t="str">
        <f>_xlfn.XLOOKUP(B272,Remittance_Data!A:A,Remittance_Data!C:C,"CHECK")</f>
        <v>CHECK</v>
      </c>
      <c r="P272" t="str">
        <f>_xlfn.XLOOKUP(B272,Remittance_Data!A:A,Remittance_Data!D:D,"CHECK")</f>
        <v>CHECK</v>
      </c>
    </row>
    <row r="273" spans="1:16">
      <c r="A273" t="s">
        <v>510</v>
      </c>
      <c r="B273" t="str">
        <f>SUBSTITUTE(SUBSTITUTE(SUBSTITUTE(SUBSTITUTE(TRIM(Table6[[#This Row],[Constituency]]),"Barisal","Barishal"),"Jessore","Jashore"),"Bogra","Bogura"),"Chapai Nawabganj","Chapainawabganj")</f>
        <v>Kishoreganj-4</v>
      </c>
      <c r="C273" t="s">
        <v>1225</v>
      </c>
      <c r="D273" t="s">
        <v>945</v>
      </c>
      <c r="E273">
        <f>_xlfn.XLOOKUP(C273,Population_data!B:B,Population_data!C:C,"")</f>
        <v>333.79</v>
      </c>
      <c r="F273">
        <f>_xlfn.XLOOKUP(C273,Population_data!B:B,Population_data!D:D,"")</f>
        <v>506834</v>
      </c>
      <c r="G273">
        <f>_xlfn.XLOOKUP(C273,Population_data!B:B,Population_data!E:E,"")</f>
        <v>1518.42</v>
      </c>
      <c r="H273">
        <f>_xlfn.XLOOKUP(C273,Population_data!B:B,Population_data!F:F,"")</f>
        <v>4.1900000000000004</v>
      </c>
      <c r="I273">
        <f>_xlfn.XLOOKUP(C273,Population_data!B:B,Population_data!G:G,"")</f>
        <v>73.58</v>
      </c>
      <c r="J273" t="str">
        <f>_xlfn.XLOOKUP(D273,District_Crime_Unit_Map!A:A,District_Crime_Unit_Map!B:B,"")</f>
        <v>Dhaka Range</v>
      </c>
      <c r="K273">
        <f>_xlfn.XLOOKUP(J273,Crime_Data!A:A,Crime_Data!V:V,"")</f>
        <v>87.055167395391194</v>
      </c>
      <c r="L273">
        <f>_xlfn.XLOOKUP(J273,Crime_Data!A:A,Crime_Data!W:W,"")</f>
        <v>14.083489099923572</v>
      </c>
      <c r="M273" t="str">
        <f>TRIM(Table6[[#This Row],[District]])&amp;"|"&amp;TRIM(Table6[[#This Row],[Upazila]])</f>
        <v>Kishoreganj|Kishoreganj Sadar</v>
      </c>
      <c r="N273" t="str">
        <f>_xlfn.XLOOKUP(B273,Remittance_Data!A:A,Remittance_Data!B:B,"CHECK")</f>
        <v>CHECK</v>
      </c>
      <c r="O273" t="str">
        <f>_xlfn.XLOOKUP(B273,Remittance_Data!A:A,Remittance_Data!C:C,"CHECK")</f>
        <v>CHECK</v>
      </c>
      <c r="P273" t="str">
        <f>_xlfn.XLOOKUP(B273,Remittance_Data!A:A,Remittance_Data!D:D,"CHECK")</f>
        <v>CHECK</v>
      </c>
    </row>
    <row r="274" spans="1:16">
      <c r="A274" t="s">
        <v>510</v>
      </c>
      <c r="B274" t="str">
        <f>SUBSTITUTE(SUBSTITUTE(SUBSTITUTE(SUBSTITUTE(TRIM(Table6[[#This Row],[Constituency]]),"Barisal","Barishal"),"Jessore","Jashore"),"Bogra","Bogura"),"Chapai Nawabganj","Chapainawabganj")</f>
        <v>Kishoreganj-4</v>
      </c>
      <c r="C274" t="s">
        <v>1226</v>
      </c>
      <c r="D274" t="s">
        <v>945</v>
      </c>
      <c r="E274">
        <f>_xlfn.XLOOKUP(C274,Population_data!B:B,Population_data!C:C,"")</f>
        <v>286.22000000000003</v>
      </c>
      <c r="F274">
        <f>_xlfn.XLOOKUP(C274,Population_data!B:B,Population_data!D:D,"")</f>
        <v>201885</v>
      </c>
      <c r="G274">
        <f>_xlfn.XLOOKUP(C274,Population_data!B:B,Population_data!E:E,"")</f>
        <v>705.35</v>
      </c>
      <c r="H274">
        <f>_xlfn.XLOOKUP(C274,Population_data!B:B,Population_data!F:F,"")</f>
        <v>4.08</v>
      </c>
      <c r="I274">
        <f>_xlfn.XLOOKUP(C274,Population_data!B:B,Population_data!G:G,"")</f>
        <v>67.92</v>
      </c>
      <c r="J274" t="str">
        <f>_xlfn.XLOOKUP(D274,District_Crime_Unit_Map!A:A,District_Crime_Unit_Map!B:B,"")</f>
        <v>Dhaka Range</v>
      </c>
      <c r="K274">
        <f>_xlfn.XLOOKUP(J274,Crime_Data!A:A,Crime_Data!V:V,"")</f>
        <v>87.055167395391194</v>
      </c>
      <c r="L274">
        <f>_xlfn.XLOOKUP(J274,Crime_Data!A:A,Crime_Data!W:W,"")</f>
        <v>14.083489099923572</v>
      </c>
      <c r="M274" t="str">
        <f>TRIM(Table6[[#This Row],[District]])&amp;"|"&amp;TRIM(Table6[[#This Row],[Upazila]])</f>
        <v>Kishoreganj|Hossainpur</v>
      </c>
      <c r="N274" t="str">
        <f>_xlfn.XLOOKUP(B274,Remittance_Data!A:A,Remittance_Data!B:B,"CHECK")</f>
        <v>CHECK</v>
      </c>
      <c r="O274" t="str">
        <f>_xlfn.XLOOKUP(B274,Remittance_Data!A:A,Remittance_Data!C:C,"CHECK")</f>
        <v>CHECK</v>
      </c>
      <c r="P274" t="str">
        <f>_xlfn.XLOOKUP(B274,Remittance_Data!A:A,Remittance_Data!D:D,"CHECK")</f>
        <v>CHECK</v>
      </c>
    </row>
    <row r="275" spans="1:16">
      <c r="A275" t="s">
        <v>513</v>
      </c>
      <c r="B275" t="str">
        <f>SUBSTITUTE(SUBSTITUTE(SUBSTITUTE(SUBSTITUTE(TRIM(Table6[[#This Row],[Constituency]]),"Barisal","Barishal"),"Jessore","Jashore"),"Bogra","Bogura"),"Chapai Nawabganj","Chapainawabganj")</f>
        <v>Kishoreganj-5</v>
      </c>
      <c r="C275" t="s">
        <v>1227</v>
      </c>
      <c r="D275" t="s">
        <v>945</v>
      </c>
      <c r="E275">
        <f>_xlfn.XLOOKUP(C275,Population_data!B:B,Population_data!C:C,"")</f>
        <v>193.8</v>
      </c>
      <c r="F275">
        <f>_xlfn.XLOOKUP(C275,Population_data!B:B,Population_data!D:D,"")</f>
        <v>269737</v>
      </c>
      <c r="G275">
        <f>_xlfn.XLOOKUP(C275,Population_data!B:B,Population_data!E:E,"")</f>
        <v>1391.83</v>
      </c>
      <c r="H275">
        <f>_xlfn.XLOOKUP(C275,Population_data!B:B,Population_data!F:F,"")</f>
        <v>4.28</v>
      </c>
      <c r="I275">
        <f>_xlfn.XLOOKUP(C275,Population_data!B:B,Population_data!G:G,"")</f>
        <v>68.459999999999994</v>
      </c>
      <c r="J275" t="str">
        <f>_xlfn.XLOOKUP(D275,District_Crime_Unit_Map!A:A,District_Crime_Unit_Map!B:B,"")</f>
        <v>Dhaka Range</v>
      </c>
      <c r="K275">
        <f>_xlfn.XLOOKUP(J275,Crime_Data!A:A,Crime_Data!V:V,"")</f>
        <v>87.055167395391194</v>
      </c>
      <c r="L275">
        <f>_xlfn.XLOOKUP(J275,Crime_Data!A:A,Crime_Data!W:W,"")</f>
        <v>14.083489099923572</v>
      </c>
      <c r="M275" t="str">
        <f>TRIM(Table6[[#This Row],[District]])&amp;"|"&amp;TRIM(Table6[[#This Row],[Upazila]])</f>
        <v>Kishoreganj|Bajitpur</v>
      </c>
      <c r="N275" t="str">
        <f>_xlfn.XLOOKUP(B275,Remittance_Data!A:A,Remittance_Data!B:B,"CHECK")</f>
        <v>CHECK</v>
      </c>
      <c r="O275" t="str">
        <f>_xlfn.XLOOKUP(B275,Remittance_Data!A:A,Remittance_Data!C:C,"CHECK")</f>
        <v>CHECK</v>
      </c>
      <c r="P275" t="str">
        <f>_xlfn.XLOOKUP(B275,Remittance_Data!A:A,Remittance_Data!D:D,"CHECK")</f>
        <v>CHECK</v>
      </c>
    </row>
    <row r="276" spans="1:16">
      <c r="A276" t="s">
        <v>513</v>
      </c>
      <c r="B276" t="str">
        <f>SUBSTITUTE(SUBSTITUTE(SUBSTITUTE(SUBSTITUTE(TRIM(Table6[[#This Row],[Constituency]]),"Barisal","Barishal"),"Jessore","Jashore"),"Bogra","Bogura"),"Chapai Nawabganj","Chapainawabganj")</f>
        <v>Kishoreganj-5</v>
      </c>
      <c r="C276" t="s">
        <v>1228</v>
      </c>
      <c r="D276" t="s">
        <v>945</v>
      </c>
      <c r="E276">
        <f>_xlfn.XLOOKUP(C276,Population_data!B:B,Population_data!C:C,"")</f>
        <v>193.61</v>
      </c>
      <c r="F276">
        <f>_xlfn.XLOOKUP(C276,Population_data!B:B,Population_data!D:D,"")</f>
        <v>145883</v>
      </c>
      <c r="G276">
        <f>_xlfn.XLOOKUP(C276,Population_data!B:B,Population_data!E:E,"")</f>
        <v>753.49</v>
      </c>
      <c r="H276">
        <f>_xlfn.XLOOKUP(C276,Population_data!B:B,Population_data!F:F,"")</f>
        <v>4.29</v>
      </c>
      <c r="I276">
        <f>_xlfn.XLOOKUP(C276,Population_data!B:B,Population_data!G:G,"")</f>
        <v>59.28</v>
      </c>
      <c r="J276" t="str">
        <f>_xlfn.XLOOKUP(D276,District_Crime_Unit_Map!A:A,District_Crime_Unit_Map!B:B,"")</f>
        <v>Dhaka Range</v>
      </c>
      <c r="K276">
        <f>_xlfn.XLOOKUP(J276,Crime_Data!A:A,Crime_Data!V:V,"")</f>
        <v>87.055167395391194</v>
      </c>
      <c r="L276">
        <f>_xlfn.XLOOKUP(J276,Crime_Data!A:A,Crime_Data!W:W,"")</f>
        <v>14.083489099923572</v>
      </c>
      <c r="M276" t="str">
        <f>TRIM(Table6[[#This Row],[District]])&amp;"|"&amp;TRIM(Table6[[#This Row],[Upazila]])</f>
        <v>Kishoreganj|Nikli</v>
      </c>
      <c r="N276" t="str">
        <f>_xlfn.XLOOKUP(B276,Remittance_Data!A:A,Remittance_Data!B:B,"CHECK")</f>
        <v>CHECK</v>
      </c>
      <c r="O276" t="str">
        <f>_xlfn.XLOOKUP(B276,Remittance_Data!A:A,Remittance_Data!C:C,"CHECK")</f>
        <v>CHECK</v>
      </c>
      <c r="P276" t="str">
        <f>_xlfn.XLOOKUP(B276,Remittance_Data!A:A,Remittance_Data!D:D,"CHECK")</f>
        <v>CHECK</v>
      </c>
    </row>
    <row r="277" spans="1:16">
      <c r="A277" t="s">
        <v>516</v>
      </c>
      <c r="B277" t="str">
        <f>SUBSTITUTE(SUBSTITUTE(SUBSTITUTE(SUBSTITUTE(TRIM(Table6[[#This Row],[Constituency]]),"Barisal","Barishal"),"Jessore","Jashore"),"Bogra","Bogura"),"Chapai Nawabganj","Chapainawabganj")</f>
        <v>Kishoreganj-6</v>
      </c>
      <c r="C277" t="s">
        <v>1229</v>
      </c>
      <c r="D277" t="s">
        <v>945</v>
      </c>
      <c r="E277">
        <f>_xlfn.XLOOKUP(C277,Population_data!B:B,Population_data!C:C,"")</f>
        <v>229.47</v>
      </c>
      <c r="F277">
        <f>_xlfn.XLOOKUP(C277,Population_data!B:B,Population_data!D:D,"")</f>
        <v>362665</v>
      </c>
      <c r="G277">
        <f>_xlfn.XLOOKUP(C277,Population_data!B:B,Population_data!E:E,"")</f>
        <v>1580.45</v>
      </c>
      <c r="H277">
        <f>_xlfn.XLOOKUP(C277,Population_data!B:B,Population_data!F:F,"")</f>
        <v>4.5</v>
      </c>
      <c r="I277">
        <f>_xlfn.XLOOKUP(C277,Population_data!B:B,Population_data!G:G,"")</f>
        <v>71.819999999999993</v>
      </c>
      <c r="J277" t="str">
        <f>_xlfn.XLOOKUP(D277,District_Crime_Unit_Map!A:A,District_Crime_Unit_Map!B:B,"")</f>
        <v>Dhaka Range</v>
      </c>
      <c r="K277">
        <f>_xlfn.XLOOKUP(J277,Crime_Data!A:A,Crime_Data!V:V,"")</f>
        <v>87.055167395391194</v>
      </c>
      <c r="L277">
        <f>_xlfn.XLOOKUP(J277,Crime_Data!A:A,Crime_Data!W:W,"")</f>
        <v>14.083489099923572</v>
      </c>
      <c r="M277" t="str">
        <f>TRIM(Table6[[#This Row],[District]])&amp;"|"&amp;TRIM(Table6[[#This Row],[Upazila]])</f>
        <v>Kishoreganj|Bhairab</v>
      </c>
      <c r="N277" t="str">
        <f>_xlfn.XLOOKUP(B277,Remittance_Data!A:A,Remittance_Data!B:B,"CHECK")</f>
        <v>CHECK</v>
      </c>
      <c r="O277" t="str">
        <f>_xlfn.XLOOKUP(B277,Remittance_Data!A:A,Remittance_Data!C:C,"CHECK")</f>
        <v>CHECK</v>
      </c>
      <c r="P277" t="str">
        <f>_xlfn.XLOOKUP(B277,Remittance_Data!A:A,Remittance_Data!D:D,"CHECK")</f>
        <v>CHECK</v>
      </c>
    </row>
    <row r="278" spans="1:16">
      <c r="A278" t="s">
        <v>519</v>
      </c>
      <c r="B278" t="str">
        <f>SUBSTITUTE(SUBSTITUTE(SUBSTITUTE(SUBSTITUTE(TRIM(Table6[[#This Row],[Constituency]]),"Barisal","Barishal"),"Jessore","Jashore"),"Bogra","Bogura"),"Chapai Nawabganj","Chapainawabganj")</f>
        <v>Manikganj-1</v>
      </c>
      <c r="C278" t="s">
        <v>1230</v>
      </c>
      <c r="D278" t="s">
        <v>1231</v>
      </c>
      <c r="E278">
        <f>_xlfn.XLOOKUP(C278,Population_data!B:B,Population_data!C:C,"")</f>
        <v>193.89</v>
      </c>
      <c r="F278">
        <f>_xlfn.XLOOKUP(C278,Population_data!B:B,Population_data!D:D,"")</f>
        <v>162482</v>
      </c>
      <c r="G278">
        <f>_xlfn.XLOOKUP(C278,Population_data!B:B,Population_data!E:E,"")</f>
        <v>838.01</v>
      </c>
      <c r="H278">
        <f>_xlfn.XLOOKUP(C278,Population_data!B:B,Population_data!F:F,"")</f>
        <v>3.98</v>
      </c>
      <c r="I278">
        <f>_xlfn.XLOOKUP(C278,Population_data!B:B,Population_data!G:G,"")</f>
        <v>73.41</v>
      </c>
      <c r="J278" t="str">
        <f>_xlfn.XLOOKUP(D278,District_Crime_Unit_Map!A:A,District_Crime_Unit_Map!B:B,"")</f>
        <v>Dhaka Range</v>
      </c>
      <c r="K278">
        <f>_xlfn.XLOOKUP(J278,Crime_Data!A:A,Crime_Data!V:V,"")</f>
        <v>87.055167395391194</v>
      </c>
      <c r="L278">
        <f>_xlfn.XLOOKUP(J278,Crime_Data!A:A,Crime_Data!W:W,"")</f>
        <v>14.083489099923572</v>
      </c>
      <c r="M278" t="str">
        <f>TRIM(Table6[[#This Row],[District]])&amp;"|"&amp;TRIM(Table6[[#This Row],[Upazila]])</f>
        <v>Manikganj|Ghior</v>
      </c>
      <c r="N278" t="str">
        <f>_xlfn.XLOOKUP(B278,Remittance_Data!A:A,Remittance_Data!B:B,"CHECK")</f>
        <v>CHECK</v>
      </c>
      <c r="O278" t="str">
        <f>_xlfn.XLOOKUP(B278,Remittance_Data!A:A,Remittance_Data!C:C,"CHECK")</f>
        <v>CHECK</v>
      </c>
      <c r="P278" t="str">
        <f>_xlfn.XLOOKUP(B278,Remittance_Data!A:A,Remittance_Data!D:D,"CHECK")</f>
        <v>CHECK</v>
      </c>
    </row>
    <row r="279" spans="1:16">
      <c r="A279" t="s">
        <v>519</v>
      </c>
      <c r="B279" t="str">
        <f>SUBSTITUTE(SUBSTITUTE(SUBSTITUTE(SUBSTITUTE(TRIM(Table6[[#This Row],[Constituency]]),"Barisal","Barishal"),"Jessore","Jashore"),"Bogra","Bogura"),"Chapai Nawabganj","Chapainawabganj")</f>
        <v>Manikganj-1</v>
      </c>
      <c r="C279" t="s">
        <v>1066</v>
      </c>
      <c r="D279" t="s">
        <v>1231</v>
      </c>
      <c r="E279">
        <f>_xlfn.XLOOKUP(C279,Population_data!B:B,Population_data!C:C,"")</f>
        <v>166.82</v>
      </c>
      <c r="F279">
        <f>_xlfn.XLOOKUP(C279,Population_data!B:B,Population_data!D:D,"")</f>
        <v>167420</v>
      </c>
      <c r="G279">
        <f>_xlfn.XLOOKUP(C279,Population_data!B:B,Population_data!E:E,"")</f>
        <v>1003.6</v>
      </c>
      <c r="H279">
        <f>_xlfn.XLOOKUP(C279,Population_data!B:B,Population_data!F:F,"")</f>
        <v>3.94</v>
      </c>
      <c r="I279">
        <f>_xlfn.XLOOKUP(C279,Population_data!B:B,Population_data!G:G,"")</f>
        <v>61.13</v>
      </c>
      <c r="J279" t="str">
        <f>_xlfn.XLOOKUP(D279,District_Crime_Unit_Map!A:A,District_Crime_Unit_Map!B:B,"")</f>
        <v>Dhaka Range</v>
      </c>
      <c r="K279">
        <f>_xlfn.XLOOKUP(J279,Crime_Data!A:A,Crime_Data!V:V,"")</f>
        <v>87.055167395391194</v>
      </c>
      <c r="L279">
        <f>_xlfn.XLOOKUP(J279,Crime_Data!A:A,Crime_Data!W:W,"")</f>
        <v>14.083489099923572</v>
      </c>
      <c r="M279" t="str">
        <f>TRIM(Table6[[#This Row],[District]])&amp;"|"&amp;TRIM(Table6[[#This Row],[Upazila]])</f>
        <v>Manikganj|Daulatpur</v>
      </c>
      <c r="N279" t="str">
        <f>_xlfn.XLOOKUP(B279,Remittance_Data!A:A,Remittance_Data!B:B,"CHECK")</f>
        <v>CHECK</v>
      </c>
      <c r="O279" t="str">
        <f>_xlfn.XLOOKUP(B279,Remittance_Data!A:A,Remittance_Data!C:C,"CHECK")</f>
        <v>CHECK</v>
      </c>
      <c r="P279" t="str">
        <f>_xlfn.XLOOKUP(B279,Remittance_Data!A:A,Remittance_Data!D:D,"CHECK")</f>
        <v>CHECK</v>
      </c>
    </row>
    <row r="280" spans="1:16">
      <c r="A280" t="s">
        <v>519</v>
      </c>
      <c r="B280" t="str">
        <f>SUBSTITUTE(SUBSTITUTE(SUBSTITUTE(SUBSTITUTE(TRIM(Table6[[#This Row],[Constituency]]),"Barisal","Barishal"),"Jessore","Jashore"),"Bogra","Bogura"),"Chapai Nawabganj","Chapainawabganj")</f>
        <v>Manikganj-1</v>
      </c>
      <c r="C280" t="s">
        <v>1490</v>
      </c>
      <c r="D280" t="s">
        <v>1231</v>
      </c>
      <c r="E280">
        <f>_xlfn.XLOOKUP(C280,Population_data!B:B,Population_data!C:C,"")</f>
        <v>144.19999999999999</v>
      </c>
      <c r="F280">
        <f>_xlfn.XLOOKUP(C280,Population_data!B:B,Population_data!D:D,"")</f>
        <v>187443</v>
      </c>
      <c r="G280">
        <f>_xlfn.XLOOKUP(C280,Population_data!B:B,Population_data!E:E,"")</f>
        <v>1299.8800000000001</v>
      </c>
      <c r="H280">
        <f>_xlfn.XLOOKUP(C280,Population_data!B:B,Population_data!F:F,"")</f>
        <v>4.0199999999999996</v>
      </c>
      <c r="I280">
        <f>_xlfn.XLOOKUP(C280,Population_data!B:B,Population_data!G:G,"")</f>
        <v>69.23</v>
      </c>
      <c r="J280" t="str">
        <f>_xlfn.XLOOKUP(D280,District_Crime_Unit_Map!A:A,District_Crime_Unit_Map!B:B,"")</f>
        <v>Dhaka Range</v>
      </c>
      <c r="K280">
        <f>_xlfn.XLOOKUP(J280,Crime_Data!A:A,Crime_Data!V:V,"")</f>
        <v>87.055167395391194</v>
      </c>
      <c r="L280">
        <f>_xlfn.XLOOKUP(J280,Crime_Data!A:A,Crime_Data!W:W,"")</f>
        <v>14.083489099923572</v>
      </c>
      <c r="M280" t="str">
        <f>TRIM(Table6[[#This Row],[District]])&amp;"|"&amp;TRIM(Table6[[#This Row],[Upazila]])</f>
        <v>Manikganj|Shibalay</v>
      </c>
      <c r="N280" t="str">
        <f>_xlfn.XLOOKUP(B280,Remittance_Data!A:A,Remittance_Data!B:B,"CHECK")</f>
        <v>CHECK</v>
      </c>
      <c r="O280" t="str">
        <f>_xlfn.XLOOKUP(B280,Remittance_Data!A:A,Remittance_Data!C:C,"CHECK")</f>
        <v>CHECK</v>
      </c>
      <c r="P280" t="str">
        <f>_xlfn.XLOOKUP(B280,Remittance_Data!A:A,Remittance_Data!D:D,"CHECK")</f>
        <v>CHECK</v>
      </c>
    </row>
    <row r="281" spans="1:16">
      <c r="A281" t="s">
        <v>522</v>
      </c>
      <c r="B281" t="str">
        <f>SUBSTITUTE(SUBSTITUTE(SUBSTITUTE(SUBSTITUTE(TRIM(Table6[[#This Row],[Constituency]]),"Barisal","Barishal"),"Jessore","Jashore"),"Bogra","Bogura"),"Chapai Nawabganj","Chapainawabganj")</f>
        <v>Manikganj-2</v>
      </c>
      <c r="C281" t="s">
        <v>1233</v>
      </c>
      <c r="D281" t="s">
        <v>1231</v>
      </c>
      <c r="E281">
        <f>_xlfn.XLOOKUP(C281,Population_data!B:B,Population_data!C:C,"")</f>
        <v>378.33</v>
      </c>
      <c r="F281">
        <f>_xlfn.XLOOKUP(C281,Population_data!B:B,Population_data!D:D,"")</f>
        <v>328104</v>
      </c>
      <c r="G281">
        <f>_xlfn.XLOOKUP(C281,Population_data!B:B,Population_data!E:E,"")</f>
        <v>867.24</v>
      </c>
      <c r="H281">
        <f>_xlfn.XLOOKUP(C281,Population_data!B:B,Population_data!F:F,"")</f>
        <v>3.86</v>
      </c>
      <c r="I281">
        <f>_xlfn.XLOOKUP(C281,Population_data!B:B,Population_data!G:G,"")</f>
        <v>70.03</v>
      </c>
      <c r="J281" t="str">
        <f>_xlfn.XLOOKUP(D281,District_Crime_Unit_Map!A:A,District_Crime_Unit_Map!B:B,"")</f>
        <v>Dhaka Range</v>
      </c>
      <c r="K281">
        <f>_xlfn.XLOOKUP(J281,Crime_Data!A:A,Crime_Data!V:V,"")</f>
        <v>87.055167395391194</v>
      </c>
      <c r="L281">
        <f>_xlfn.XLOOKUP(J281,Crime_Data!A:A,Crime_Data!W:W,"")</f>
        <v>14.083489099923572</v>
      </c>
      <c r="M281" t="str">
        <f>TRIM(Table6[[#This Row],[District]])&amp;"|"&amp;TRIM(Table6[[#This Row],[Upazila]])</f>
        <v>Manikganj|Singair</v>
      </c>
      <c r="N281" t="str">
        <f>_xlfn.XLOOKUP(B281,Remittance_Data!A:A,Remittance_Data!B:B,"CHECK")</f>
        <v>CHECK</v>
      </c>
      <c r="O281" t="str">
        <f>_xlfn.XLOOKUP(B281,Remittance_Data!A:A,Remittance_Data!C:C,"CHECK")</f>
        <v>CHECK</v>
      </c>
      <c r="P281" t="str">
        <f>_xlfn.XLOOKUP(B281,Remittance_Data!A:A,Remittance_Data!D:D,"CHECK")</f>
        <v>CHECK</v>
      </c>
    </row>
    <row r="282" spans="1:16">
      <c r="A282" t="s">
        <v>522</v>
      </c>
      <c r="B282" t="str">
        <f>SUBSTITUTE(SUBSTITUTE(SUBSTITUTE(SUBSTITUTE(TRIM(Table6[[#This Row],[Constituency]]),"Barisal","Barishal"),"Jessore","Jashore"),"Bogra","Bogura"),"Chapai Nawabganj","Chapainawabganj")</f>
        <v>Manikganj-2</v>
      </c>
      <c r="C282" t="s">
        <v>1234</v>
      </c>
      <c r="D282" t="s">
        <v>1231</v>
      </c>
      <c r="E282">
        <f>_xlfn.XLOOKUP(C282,Population_data!B:B,Population_data!C:C,"")</f>
        <v>214.29</v>
      </c>
      <c r="F282">
        <f>_xlfn.XLOOKUP(C282,Population_data!B:B,Population_data!D:D,"")</f>
        <v>155467</v>
      </c>
      <c r="G282">
        <f>_xlfn.XLOOKUP(C282,Population_data!B:B,Population_data!E:E,"")</f>
        <v>725.5</v>
      </c>
      <c r="H282">
        <f>_xlfn.XLOOKUP(C282,Population_data!B:B,Population_data!F:F,"")</f>
        <v>3.9</v>
      </c>
      <c r="I282">
        <f>_xlfn.XLOOKUP(C282,Population_data!B:B,Population_data!G:G,"")</f>
        <v>72.989999999999995</v>
      </c>
      <c r="J282" t="str">
        <f>_xlfn.XLOOKUP(D282,District_Crime_Unit_Map!A:A,District_Crime_Unit_Map!B:B,"")</f>
        <v>Dhaka Range</v>
      </c>
      <c r="K282">
        <f>_xlfn.XLOOKUP(J282,Crime_Data!A:A,Crime_Data!V:V,"")</f>
        <v>87.055167395391194</v>
      </c>
      <c r="L282">
        <f>_xlfn.XLOOKUP(J282,Crime_Data!A:A,Crime_Data!W:W,"")</f>
        <v>14.083489099923572</v>
      </c>
      <c r="M282" t="str">
        <f>TRIM(Table6[[#This Row],[District]])&amp;"|"&amp;TRIM(Table6[[#This Row],[Upazila]])</f>
        <v>Manikganj|Harirampur</v>
      </c>
      <c r="N282" t="str">
        <f>_xlfn.XLOOKUP(B282,Remittance_Data!A:A,Remittance_Data!B:B,"CHECK")</f>
        <v>CHECK</v>
      </c>
      <c r="O282" t="str">
        <f>_xlfn.XLOOKUP(B282,Remittance_Data!A:A,Remittance_Data!C:C,"CHECK")</f>
        <v>CHECK</v>
      </c>
      <c r="P282" t="str">
        <f>_xlfn.XLOOKUP(B282,Remittance_Data!A:A,Remittance_Data!D:D,"CHECK")</f>
        <v>CHECK</v>
      </c>
    </row>
    <row r="283" spans="1:16">
      <c r="A283" t="s">
        <v>525</v>
      </c>
      <c r="B283" t="str">
        <f>SUBSTITUTE(SUBSTITUTE(SUBSTITUTE(SUBSTITUTE(TRIM(Table6[[#This Row],[Constituency]]),"Barisal","Barishal"),"Jessore","Jashore"),"Bogra","Bogura"),"Chapai Nawabganj","Chapainawabganj")</f>
        <v>Manikganj-3</v>
      </c>
      <c r="C283" t="s">
        <v>1235</v>
      </c>
      <c r="D283" t="s">
        <v>1231</v>
      </c>
      <c r="E283">
        <f>_xlfn.XLOOKUP(C283,Population_data!B:B,Population_data!C:C,"")</f>
        <v>292.42</v>
      </c>
      <c r="F283">
        <f>_xlfn.XLOOKUP(C283,Population_data!B:B,Population_data!D:D,"")</f>
        <v>363806</v>
      </c>
      <c r="G283">
        <f>_xlfn.XLOOKUP(C283,Population_data!B:B,Population_data!E:E,"")</f>
        <v>1244.1199999999999</v>
      </c>
      <c r="H283">
        <f>_xlfn.XLOOKUP(C283,Population_data!B:B,Population_data!F:F,"")</f>
        <v>3.9</v>
      </c>
      <c r="I283">
        <f>_xlfn.XLOOKUP(C283,Population_data!B:B,Population_data!G:G,"")</f>
        <v>77.11</v>
      </c>
      <c r="J283" t="str">
        <f>_xlfn.XLOOKUP(D283,District_Crime_Unit_Map!A:A,District_Crime_Unit_Map!B:B,"")</f>
        <v>Dhaka Range</v>
      </c>
      <c r="K283">
        <f>_xlfn.XLOOKUP(J283,Crime_Data!A:A,Crime_Data!V:V,"")</f>
        <v>87.055167395391194</v>
      </c>
      <c r="L283">
        <f>_xlfn.XLOOKUP(J283,Crime_Data!A:A,Crime_Data!W:W,"")</f>
        <v>14.083489099923572</v>
      </c>
      <c r="M283" t="str">
        <f>TRIM(Table6[[#This Row],[District]])&amp;"|"&amp;TRIM(Table6[[#This Row],[Upazila]])</f>
        <v>Manikganj|Manikganj Sadar</v>
      </c>
      <c r="N283" t="str">
        <f>_xlfn.XLOOKUP(B283,Remittance_Data!A:A,Remittance_Data!B:B,"CHECK")</f>
        <v>CHECK</v>
      </c>
      <c r="O283" t="str">
        <f>_xlfn.XLOOKUP(B283,Remittance_Data!A:A,Remittance_Data!C:C,"CHECK")</f>
        <v>CHECK</v>
      </c>
      <c r="P283" t="str">
        <f>_xlfn.XLOOKUP(B283,Remittance_Data!A:A,Remittance_Data!D:D,"CHECK")</f>
        <v>CHECK</v>
      </c>
    </row>
    <row r="284" spans="1:16">
      <c r="A284" t="s">
        <v>525</v>
      </c>
      <c r="B284" t="str">
        <f>SUBSTITUTE(SUBSTITUTE(SUBSTITUTE(SUBSTITUTE(TRIM(Table6[[#This Row],[Constituency]]),"Barisal","Barishal"),"Jessore","Jashore"),"Bogra","Bogura"),"Chapai Nawabganj","Chapainawabganj")</f>
        <v>Manikganj-3</v>
      </c>
      <c r="C284" t="s">
        <v>1236</v>
      </c>
      <c r="D284" t="s">
        <v>1231</v>
      </c>
      <c r="E284">
        <f>_xlfn.XLOOKUP(C284,Population_data!B:B,Population_data!C:C,"")</f>
        <v>311.83999999999997</v>
      </c>
      <c r="F284">
        <f>_xlfn.XLOOKUP(C284,Population_data!B:B,Population_data!D:D,"")</f>
        <v>193205</v>
      </c>
      <c r="G284">
        <f>_xlfn.XLOOKUP(C284,Population_data!B:B,Population_data!E:E,"")</f>
        <v>619.55999999999995</v>
      </c>
      <c r="H284">
        <f>_xlfn.XLOOKUP(C284,Population_data!B:B,Population_data!F:F,"")</f>
        <v>3.86</v>
      </c>
      <c r="I284">
        <f>_xlfn.XLOOKUP(C284,Population_data!B:B,Population_data!G:G,"")</f>
        <v>68.92</v>
      </c>
      <c r="J284" t="str">
        <f>_xlfn.XLOOKUP(D284,District_Crime_Unit_Map!A:A,District_Crime_Unit_Map!B:B,"")</f>
        <v>Dhaka Range</v>
      </c>
      <c r="K284">
        <f>_xlfn.XLOOKUP(J284,Crime_Data!A:A,Crime_Data!V:V,"")</f>
        <v>87.055167395391194</v>
      </c>
      <c r="L284">
        <f>_xlfn.XLOOKUP(J284,Crime_Data!A:A,Crime_Data!W:W,"")</f>
        <v>14.083489099923572</v>
      </c>
      <c r="M284" t="str">
        <f>TRIM(Table6[[#This Row],[District]])&amp;"|"&amp;TRIM(Table6[[#This Row],[Upazila]])</f>
        <v>Manikganj|Saturia</v>
      </c>
      <c r="N284" t="str">
        <f>_xlfn.XLOOKUP(B284,Remittance_Data!A:A,Remittance_Data!B:B,"CHECK")</f>
        <v>CHECK</v>
      </c>
      <c r="O284" t="str">
        <f>_xlfn.XLOOKUP(B284,Remittance_Data!A:A,Remittance_Data!C:C,"CHECK")</f>
        <v>CHECK</v>
      </c>
      <c r="P284" t="str">
        <f>_xlfn.XLOOKUP(B284,Remittance_Data!A:A,Remittance_Data!D:D,"CHECK")</f>
        <v>CHECK</v>
      </c>
    </row>
    <row r="285" spans="1:16">
      <c r="A285" t="s">
        <v>528</v>
      </c>
      <c r="B285" t="str">
        <f>SUBSTITUTE(SUBSTITUTE(SUBSTITUTE(SUBSTITUTE(TRIM(Table6[[#This Row],[Constituency]]),"Barisal","Barishal"),"Jessore","Jashore"),"Bogra","Bogura"),"Chapai Nawabganj","Chapainawabganj")</f>
        <v>Munshiganj-1</v>
      </c>
      <c r="C285" t="s">
        <v>1237</v>
      </c>
      <c r="D285" t="s">
        <v>1238</v>
      </c>
      <c r="E285">
        <f>_xlfn.XLOOKUP(C285,Population_data!B:B,Population_data!C:C,"")</f>
        <v>202.36</v>
      </c>
      <c r="F285">
        <f>_xlfn.XLOOKUP(C285,Population_data!B:B,Population_data!D:D,"")</f>
        <v>293901</v>
      </c>
      <c r="G285">
        <f>_xlfn.XLOOKUP(C285,Population_data!B:B,Population_data!E:E,"")</f>
        <v>1452.37</v>
      </c>
      <c r="H285">
        <f>_xlfn.XLOOKUP(C285,Population_data!B:B,Population_data!F:F,"")</f>
        <v>3.96</v>
      </c>
      <c r="I285">
        <f>_xlfn.XLOOKUP(C285,Population_data!B:B,Population_data!G:G,"")</f>
        <v>79.97</v>
      </c>
      <c r="J285" t="str">
        <f>_xlfn.XLOOKUP(D285,District_Crime_Unit_Map!A:A,District_Crime_Unit_Map!B:B,"")</f>
        <v>Dhaka Range</v>
      </c>
      <c r="K285">
        <f>_xlfn.XLOOKUP(J285,Crime_Data!A:A,Crime_Data!V:V,"")</f>
        <v>87.055167395391194</v>
      </c>
      <c r="L285">
        <f>_xlfn.XLOOKUP(J285,Crime_Data!A:A,Crime_Data!W:W,"")</f>
        <v>14.083489099923572</v>
      </c>
      <c r="M285" t="str">
        <f>TRIM(Table6[[#This Row],[District]])&amp;"|"&amp;TRIM(Table6[[#This Row],[Upazila]])</f>
        <v>Munshiganj|Sreenagar</v>
      </c>
      <c r="N285" t="str">
        <f>_xlfn.XLOOKUP(B285,Remittance_Data!A:A,Remittance_Data!B:B,"CHECK")</f>
        <v>CHECK</v>
      </c>
      <c r="O285" t="str">
        <f>_xlfn.XLOOKUP(B285,Remittance_Data!A:A,Remittance_Data!C:C,"CHECK")</f>
        <v>CHECK</v>
      </c>
      <c r="P285" t="str">
        <f>_xlfn.XLOOKUP(B285,Remittance_Data!A:A,Remittance_Data!D:D,"CHECK")</f>
        <v>CHECK</v>
      </c>
    </row>
    <row r="286" spans="1:16">
      <c r="A286" t="s">
        <v>528</v>
      </c>
      <c r="B286" t="str">
        <f>SUBSTITUTE(SUBSTITUTE(SUBSTITUTE(SUBSTITUTE(TRIM(Table6[[#This Row],[Constituency]]),"Barisal","Barishal"),"Jessore","Jashore"),"Bogra","Bogura"),"Chapai Nawabganj","Chapainawabganj")</f>
        <v>Munshiganj-1</v>
      </c>
      <c r="C286" t="s">
        <v>1239</v>
      </c>
      <c r="D286" t="s">
        <v>1238</v>
      </c>
      <c r="E286">
        <f>_xlfn.XLOOKUP(C286,Population_data!B:B,Population_data!C:C,"")</f>
        <v>315.33</v>
      </c>
      <c r="F286">
        <f>_xlfn.XLOOKUP(C286,Population_data!B:B,Population_data!D:D,"")</f>
        <v>316435</v>
      </c>
      <c r="G286">
        <f>_xlfn.XLOOKUP(C286,Population_data!B:B,Population_data!E:E,"")</f>
        <v>1003.5</v>
      </c>
      <c r="H286">
        <f>_xlfn.XLOOKUP(C286,Population_data!B:B,Population_data!F:F,"")</f>
        <v>3.97</v>
      </c>
      <c r="I286">
        <f>_xlfn.XLOOKUP(C286,Population_data!B:B,Population_data!G:G,"")</f>
        <v>77.38</v>
      </c>
      <c r="J286" t="str">
        <f>_xlfn.XLOOKUP(D286,District_Crime_Unit_Map!A:A,District_Crime_Unit_Map!B:B,"")</f>
        <v>Dhaka Range</v>
      </c>
      <c r="K286">
        <f>_xlfn.XLOOKUP(J286,Crime_Data!A:A,Crime_Data!V:V,"")</f>
        <v>87.055167395391194</v>
      </c>
      <c r="L286">
        <f>_xlfn.XLOOKUP(J286,Crime_Data!A:A,Crime_Data!W:W,"")</f>
        <v>14.083489099923572</v>
      </c>
      <c r="M286" t="str">
        <f>TRIM(Table6[[#This Row],[District]])&amp;"|"&amp;TRIM(Table6[[#This Row],[Upazila]])</f>
        <v>Munshiganj|Sirajdikhan</v>
      </c>
      <c r="N286" t="str">
        <f>_xlfn.XLOOKUP(B286,Remittance_Data!A:A,Remittance_Data!B:B,"CHECK")</f>
        <v>CHECK</v>
      </c>
      <c r="O286" t="str">
        <f>_xlfn.XLOOKUP(B286,Remittance_Data!A:A,Remittance_Data!C:C,"CHECK")</f>
        <v>CHECK</v>
      </c>
      <c r="P286" t="str">
        <f>_xlfn.XLOOKUP(B286,Remittance_Data!A:A,Remittance_Data!D:D,"CHECK")</f>
        <v>CHECK</v>
      </c>
    </row>
    <row r="287" spans="1:16">
      <c r="A287" t="s">
        <v>531</v>
      </c>
      <c r="B287" t="str">
        <f>SUBSTITUTE(SUBSTITUTE(SUBSTITUTE(SUBSTITUTE(TRIM(Table6[[#This Row],[Constituency]]),"Barisal","Barishal"),"Jessore","Jashore"),"Bogra","Bogura"),"Chapai Nawabganj","Chapainawabganj")</f>
        <v>Munshiganj-2</v>
      </c>
      <c r="C287" t="s">
        <v>1240</v>
      </c>
      <c r="D287" t="s">
        <v>1238</v>
      </c>
      <c r="E287">
        <f>_xlfn.XLOOKUP(C287,Population_data!B:B,Population_data!C:C,"")</f>
        <v>302.36</v>
      </c>
      <c r="F287">
        <f>_xlfn.XLOOKUP(C287,Population_data!B:B,Population_data!D:D,"")</f>
        <v>177800</v>
      </c>
      <c r="G287">
        <f>_xlfn.XLOOKUP(C287,Population_data!B:B,Population_data!E:E,"")</f>
        <v>588.04</v>
      </c>
      <c r="H287">
        <f>_xlfn.XLOOKUP(C287,Population_data!B:B,Population_data!F:F,"")</f>
        <v>3.99</v>
      </c>
      <c r="I287">
        <f>_xlfn.XLOOKUP(C287,Population_data!B:B,Population_data!G:G,"")</f>
        <v>77.98</v>
      </c>
      <c r="J287" t="str">
        <f>_xlfn.XLOOKUP(D287,District_Crime_Unit_Map!A:A,District_Crime_Unit_Map!B:B,"")</f>
        <v>Dhaka Range</v>
      </c>
      <c r="K287">
        <f>_xlfn.XLOOKUP(J287,Crime_Data!A:A,Crime_Data!V:V,"")</f>
        <v>87.055167395391194</v>
      </c>
      <c r="L287">
        <f>_xlfn.XLOOKUP(J287,Crime_Data!A:A,Crime_Data!W:W,"")</f>
        <v>14.083489099923572</v>
      </c>
      <c r="M287" t="str">
        <f>TRIM(Table6[[#This Row],[District]])&amp;"|"&amp;TRIM(Table6[[#This Row],[Upazila]])</f>
        <v>Munshiganj|Louhajang</v>
      </c>
      <c r="N287" t="str">
        <f>_xlfn.XLOOKUP(B287,Remittance_Data!A:A,Remittance_Data!B:B,"CHECK")</f>
        <v>CHECK</v>
      </c>
      <c r="O287" t="str">
        <f>_xlfn.XLOOKUP(B287,Remittance_Data!A:A,Remittance_Data!C:C,"CHECK")</f>
        <v>CHECK</v>
      </c>
      <c r="P287" t="str">
        <f>_xlfn.XLOOKUP(B287,Remittance_Data!A:A,Remittance_Data!D:D,"CHECK")</f>
        <v>CHECK</v>
      </c>
    </row>
    <row r="288" spans="1:16">
      <c r="A288" t="s">
        <v>531</v>
      </c>
      <c r="B288" t="str">
        <f>SUBSTITUTE(SUBSTITUTE(SUBSTITUTE(SUBSTITUTE(TRIM(Table6[[#This Row],[Constituency]]),"Barisal","Barishal"),"Jessore","Jashore"),"Bogra","Bogura"),"Chapai Nawabganj","Chapainawabganj")</f>
        <v>Munshiganj-2</v>
      </c>
      <c r="C288" t="s">
        <v>1241</v>
      </c>
      <c r="D288" t="s">
        <v>1238</v>
      </c>
      <c r="E288">
        <f>_xlfn.XLOOKUP(C288,Population_data!B:B,Population_data!C:C,"")</f>
        <v>128.19999999999999</v>
      </c>
      <c r="F288">
        <f>_xlfn.XLOOKUP(C288,Population_data!B:B,Population_data!D:D,"")</f>
        <v>215954</v>
      </c>
      <c r="G288">
        <f>_xlfn.XLOOKUP(C288,Population_data!B:B,Population_data!E:E,"")</f>
        <v>1684.51</v>
      </c>
      <c r="H288">
        <f>_xlfn.XLOOKUP(C288,Population_data!B:B,Population_data!F:F,"")</f>
        <v>3.95</v>
      </c>
      <c r="I288">
        <f>_xlfn.XLOOKUP(C288,Population_data!B:B,Population_data!G:G,"")</f>
        <v>78.08</v>
      </c>
      <c r="J288" t="str">
        <f>_xlfn.XLOOKUP(D288,District_Crime_Unit_Map!A:A,District_Crime_Unit_Map!B:B,"")</f>
        <v>Dhaka Range</v>
      </c>
      <c r="K288">
        <f>_xlfn.XLOOKUP(J288,Crime_Data!A:A,Crime_Data!V:V,"")</f>
        <v>87.055167395391194</v>
      </c>
      <c r="L288">
        <f>_xlfn.XLOOKUP(J288,Crime_Data!A:A,Crime_Data!W:W,"")</f>
        <v>14.083489099923572</v>
      </c>
      <c r="M288" t="str">
        <f>TRIM(Table6[[#This Row],[District]])&amp;"|"&amp;TRIM(Table6[[#This Row],[Upazila]])</f>
        <v>Munshiganj|Tongibari</v>
      </c>
      <c r="N288" t="str">
        <f>_xlfn.XLOOKUP(B288,Remittance_Data!A:A,Remittance_Data!B:B,"CHECK")</f>
        <v>CHECK</v>
      </c>
      <c r="O288" t="str">
        <f>_xlfn.XLOOKUP(B288,Remittance_Data!A:A,Remittance_Data!C:C,"CHECK")</f>
        <v>CHECK</v>
      </c>
      <c r="P288" t="str">
        <f>_xlfn.XLOOKUP(B288,Remittance_Data!A:A,Remittance_Data!D:D,"CHECK")</f>
        <v>CHECK</v>
      </c>
    </row>
    <row r="289" spans="1:16">
      <c r="A289" t="s">
        <v>534</v>
      </c>
      <c r="B289" t="str">
        <f>SUBSTITUTE(SUBSTITUTE(SUBSTITUTE(SUBSTITUTE(TRIM(Table6[[#This Row],[Constituency]]),"Barisal","Barishal"),"Jessore","Jashore"),"Bogra","Bogura"),"Chapai Nawabganj","Chapainawabganj")</f>
        <v>Munshiganj-3</v>
      </c>
      <c r="C289" t="s">
        <v>1242</v>
      </c>
      <c r="D289" t="s">
        <v>1238</v>
      </c>
      <c r="E289">
        <f>_xlfn.XLOOKUP(C289,Population_data!B:B,Population_data!C:C,"")</f>
        <v>180.17</v>
      </c>
      <c r="F289">
        <f>_xlfn.XLOOKUP(C289,Population_data!B:B,Population_data!D:D,"")</f>
        <v>436007</v>
      </c>
      <c r="G289">
        <f>_xlfn.XLOOKUP(C289,Population_data!B:B,Population_data!E:E,"")</f>
        <v>2419.98</v>
      </c>
      <c r="H289">
        <f>_xlfn.XLOOKUP(C289,Population_data!B:B,Population_data!F:F,"")</f>
        <v>3.98</v>
      </c>
      <c r="I289">
        <f>_xlfn.XLOOKUP(C289,Population_data!B:B,Population_data!G:G,"")</f>
        <v>77.239999999999995</v>
      </c>
      <c r="J289" t="str">
        <f>_xlfn.XLOOKUP(D289,District_Crime_Unit_Map!A:A,District_Crime_Unit_Map!B:B,"")</f>
        <v>Dhaka Range</v>
      </c>
      <c r="K289">
        <f>_xlfn.XLOOKUP(J289,Crime_Data!A:A,Crime_Data!V:V,"")</f>
        <v>87.055167395391194</v>
      </c>
      <c r="L289">
        <f>_xlfn.XLOOKUP(J289,Crime_Data!A:A,Crime_Data!W:W,"")</f>
        <v>14.083489099923572</v>
      </c>
      <c r="M289" t="str">
        <f>TRIM(Table6[[#This Row],[District]])&amp;"|"&amp;TRIM(Table6[[#This Row],[Upazila]])</f>
        <v>Munshiganj|Munshiganj Sadar</v>
      </c>
      <c r="N289" t="str">
        <f>_xlfn.XLOOKUP(B289,Remittance_Data!A:A,Remittance_Data!B:B,"CHECK")</f>
        <v>CHECK</v>
      </c>
      <c r="O289" t="str">
        <f>_xlfn.XLOOKUP(B289,Remittance_Data!A:A,Remittance_Data!C:C,"CHECK")</f>
        <v>CHECK</v>
      </c>
      <c r="P289" t="str">
        <f>_xlfn.XLOOKUP(B289,Remittance_Data!A:A,Remittance_Data!D:D,"CHECK")</f>
        <v>CHECK</v>
      </c>
    </row>
    <row r="290" spans="1:16">
      <c r="A290" t="s">
        <v>534</v>
      </c>
      <c r="B290" t="str">
        <f>SUBSTITUTE(SUBSTITUTE(SUBSTITUTE(SUBSTITUTE(TRIM(Table6[[#This Row],[Constituency]]),"Barisal","Barishal"),"Jessore","Jashore"),"Bogra","Bogura"),"Chapai Nawabganj","Chapainawabganj")</f>
        <v>Munshiganj-3</v>
      </c>
      <c r="C290" t="s">
        <v>1243</v>
      </c>
      <c r="D290" t="s">
        <v>1238</v>
      </c>
      <c r="E290">
        <f>_xlfn.XLOOKUP(C290,Population_data!B:B,Population_data!C:C,"")</f>
        <v>240.2</v>
      </c>
      <c r="F290">
        <f>_xlfn.XLOOKUP(C290,Population_data!B:B,Population_data!D:D,"")</f>
        <v>185257</v>
      </c>
      <c r="G290">
        <f>_xlfn.XLOOKUP(C290,Population_data!B:B,Population_data!E:E,"")</f>
        <v>771.26</v>
      </c>
      <c r="H290">
        <f>_xlfn.XLOOKUP(C290,Population_data!B:B,Population_data!F:F,"")</f>
        <v>4.04</v>
      </c>
      <c r="I290">
        <f>_xlfn.XLOOKUP(C290,Population_data!B:B,Population_data!G:G,"")</f>
        <v>76.75</v>
      </c>
      <c r="J290" t="str">
        <f>_xlfn.XLOOKUP(D290,District_Crime_Unit_Map!A:A,District_Crime_Unit_Map!B:B,"")</f>
        <v>Dhaka Range</v>
      </c>
      <c r="K290">
        <f>_xlfn.XLOOKUP(J290,Crime_Data!A:A,Crime_Data!V:V,"")</f>
        <v>87.055167395391194</v>
      </c>
      <c r="L290">
        <f>_xlfn.XLOOKUP(J290,Crime_Data!A:A,Crime_Data!W:W,"")</f>
        <v>14.083489099923572</v>
      </c>
      <c r="M290" t="str">
        <f>TRIM(Table6[[#This Row],[District]])&amp;"|"&amp;TRIM(Table6[[#This Row],[Upazila]])</f>
        <v>Munshiganj|Gazaria</v>
      </c>
      <c r="N290" t="str">
        <f>_xlfn.XLOOKUP(B290,Remittance_Data!A:A,Remittance_Data!B:B,"CHECK")</f>
        <v>CHECK</v>
      </c>
      <c r="O290" t="str">
        <f>_xlfn.XLOOKUP(B290,Remittance_Data!A:A,Remittance_Data!C:C,"CHECK")</f>
        <v>CHECK</v>
      </c>
      <c r="P290" t="str">
        <f>_xlfn.XLOOKUP(B290,Remittance_Data!A:A,Remittance_Data!D:D,"CHECK")</f>
        <v>CHECK</v>
      </c>
    </row>
    <row r="291" spans="1:16">
      <c r="A291" t="s">
        <v>537</v>
      </c>
      <c r="B291" t="str">
        <f>SUBSTITUTE(SUBSTITUTE(SUBSTITUTE(SUBSTITUTE(TRIM(Table6[[#This Row],[Constituency]]),"Barisal","Barishal"),"Jessore","Jashore"),"Bogra","Bogura"),"Chapai Nawabganj","Chapainawabganj")</f>
        <v>Dhaka-1</v>
      </c>
      <c r="C291" t="s">
        <v>1244</v>
      </c>
      <c r="D291" t="s">
        <v>476</v>
      </c>
      <c r="E291">
        <f>_xlfn.XLOOKUP(C291,Population_data!B:B,Population_data!C:C,"")</f>
        <v>336.14</v>
      </c>
      <c r="F291">
        <f>_xlfn.XLOOKUP(C291,Population_data!B:B,Population_data!D:D,"")</f>
        <v>250101</v>
      </c>
      <c r="G291">
        <f>_xlfn.XLOOKUP(C291,Population_data!B:B,Population_data!E:E,"")</f>
        <v>744.04</v>
      </c>
      <c r="H291">
        <f>_xlfn.XLOOKUP(C291,Population_data!B:B,Population_data!F:F,"")</f>
        <v>3.99</v>
      </c>
      <c r="I291">
        <f>_xlfn.XLOOKUP(C291,Population_data!B:B,Population_data!G:G,"")</f>
        <v>79.239999999999995</v>
      </c>
      <c r="J291" t="str">
        <f>_xlfn.XLOOKUP(D291,District_Crime_Unit_Map!A:A,District_Crime_Unit_Map!B:B,"")</f>
        <v>Dhaka Range</v>
      </c>
      <c r="K291">
        <f>_xlfn.XLOOKUP(J291,Crime_Data!A:A,Crime_Data!V:V,"")</f>
        <v>87.055167395391194</v>
      </c>
      <c r="L291">
        <f>_xlfn.XLOOKUP(J291,Crime_Data!A:A,Crime_Data!W:W,"")</f>
        <v>14.083489099923572</v>
      </c>
      <c r="M291" t="str">
        <f>TRIM(Table6[[#This Row],[District]])&amp;"|"&amp;TRIM(Table6[[#This Row],[Upazila]])</f>
        <v>Dhaka|Dohar</v>
      </c>
      <c r="N291" t="str">
        <f>_xlfn.XLOOKUP(B291,Remittance_Data!A:A,Remittance_Data!B:B,"CHECK")</f>
        <v>CHECK</v>
      </c>
      <c r="O291" t="str">
        <f>_xlfn.XLOOKUP(B291,Remittance_Data!A:A,Remittance_Data!C:C,"CHECK")</f>
        <v>CHECK</v>
      </c>
      <c r="P291" t="str">
        <f>_xlfn.XLOOKUP(B291,Remittance_Data!A:A,Remittance_Data!D:D,"CHECK")</f>
        <v>CHECK</v>
      </c>
    </row>
    <row r="292" spans="1:16">
      <c r="A292" t="s">
        <v>537</v>
      </c>
      <c r="B292" t="str">
        <f>SUBSTITUTE(SUBSTITUTE(SUBSTITUTE(SUBSTITUTE(TRIM(Table6[[#This Row],[Constituency]]),"Barisal","Barishal"),"Jessore","Jashore"),"Bogra","Bogura"),"Chapai Nawabganj","Chapainawabganj")</f>
        <v>Dhaka-1</v>
      </c>
      <c r="C292" t="s">
        <v>939</v>
      </c>
      <c r="D292" t="s">
        <v>476</v>
      </c>
      <c r="E292">
        <f>_xlfn.XLOOKUP(C292,Population_data!B:B,Population_data!C:C,"")</f>
        <v>280.13</v>
      </c>
      <c r="F292">
        <f>_xlfn.XLOOKUP(C292,Population_data!B:B,Population_data!D:D,"")</f>
        <v>348786</v>
      </c>
      <c r="G292">
        <f>_xlfn.XLOOKUP(C292,Population_data!B:B,Population_data!E:E,"")</f>
        <v>1245.0899999999999</v>
      </c>
      <c r="H292">
        <f>_xlfn.XLOOKUP(C292,Population_data!B:B,Population_data!F:F,"")</f>
        <v>3.81</v>
      </c>
      <c r="I292">
        <f>_xlfn.XLOOKUP(C292,Population_data!B:B,Population_data!G:G,"")</f>
        <v>79.27</v>
      </c>
      <c r="J292" t="str">
        <f>_xlfn.XLOOKUP(D292,District_Crime_Unit_Map!A:A,District_Crime_Unit_Map!B:B,"")</f>
        <v>Dhaka Range</v>
      </c>
      <c r="K292">
        <f>_xlfn.XLOOKUP(J292,Crime_Data!A:A,Crime_Data!V:V,"")</f>
        <v>87.055167395391194</v>
      </c>
      <c r="L292">
        <f>_xlfn.XLOOKUP(J292,Crime_Data!A:A,Crime_Data!W:W,"")</f>
        <v>14.083489099923572</v>
      </c>
      <c r="M292" t="str">
        <f>TRIM(Table6[[#This Row],[District]])&amp;"|"&amp;TRIM(Table6[[#This Row],[Upazila]])</f>
        <v>Dhaka|Nawabganj</v>
      </c>
      <c r="N292" t="str">
        <f>_xlfn.XLOOKUP(B292,Remittance_Data!A:A,Remittance_Data!B:B,"CHECK")</f>
        <v>CHECK</v>
      </c>
      <c r="O292" t="str">
        <f>_xlfn.XLOOKUP(B292,Remittance_Data!A:A,Remittance_Data!C:C,"CHECK")</f>
        <v>CHECK</v>
      </c>
      <c r="P292" t="str">
        <f>_xlfn.XLOOKUP(B292,Remittance_Data!A:A,Remittance_Data!D:D,"CHECK")</f>
        <v>CHECK</v>
      </c>
    </row>
    <row r="293" spans="1:16">
      <c r="A293" t="s">
        <v>539</v>
      </c>
      <c r="B293" t="str">
        <f>SUBSTITUTE(SUBSTITUTE(SUBSTITUTE(SUBSTITUTE(TRIM(Table6[[#This Row],[Constituency]]),"Barisal","Barishal"),"Jessore","Jashore"),"Bogra","Bogura"),"Chapai Nawabganj","Chapainawabganj")</f>
        <v>Dhaka-2</v>
      </c>
      <c r="C293" t="s">
        <v>1245</v>
      </c>
      <c r="D293" t="s">
        <v>476</v>
      </c>
      <c r="E293">
        <f>_xlfn.XLOOKUP(C293,Population_data!B:B,Population_data!C:C,"")</f>
        <v>166.82</v>
      </c>
      <c r="F293">
        <f>_xlfn.XLOOKUP(C293,Population_data!B:B,Population_data!D:D,"")</f>
        <v>1011001</v>
      </c>
      <c r="G293">
        <f>_xlfn.XLOOKUP(C293,Population_data!B:B,Population_data!E:E,"")</f>
        <v>6060.43</v>
      </c>
      <c r="H293">
        <f>_xlfn.XLOOKUP(C293,Population_data!B:B,Population_data!F:F,"")</f>
        <v>3.77</v>
      </c>
      <c r="I293">
        <f>_xlfn.XLOOKUP(C293,Population_data!B:B,Population_data!G:G,"")</f>
        <v>81.180000000000007</v>
      </c>
      <c r="J293" t="str">
        <f>_xlfn.XLOOKUP(D293,District_Crime_Unit_Map!A:A,District_Crime_Unit_Map!B:B,"")</f>
        <v>Dhaka Range</v>
      </c>
      <c r="K293">
        <f>_xlfn.XLOOKUP(J293,Crime_Data!A:A,Crime_Data!V:V,"")</f>
        <v>87.055167395391194</v>
      </c>
      <c r="L293">
        <f>_xlfn.XLOOKUP(J293,Crime_Data!A:A,Crime_Data!W:W,"")</f>
        <v>14.083489099923572</v>
      </c>
      <c r="M293" t="str">
        <f>TRIM(Table6[[#This Row],[District]])&amp;"|"&amp;TRIM(Table6[[#This Row],[Upazila]])</f>
        <v>Dhaka|Keraniganj</v>
      </c>
      <c r="N293" t="str">
        <f>_xlfn.XLOOKUP(B293,Remittance_Data!A:A,Remittance_Data!B:B,"CHECK")</f>
        <v>CHECK</v>
      </c>
      <c r="O293" t="str">
        <f>_xlfn.XLOOKUP(B293,Remittance_Data!A:A,Remittance_Data!C:C,"CHECK")</f>
        <v>CHECK</v>
      </c>
      <c r="P293" t="str">
        <f>_xlfn.XLOOKUP(B293,Remittance_Data!A:A,Remittance_Data!D:D,"CHECK")</f>
        <v>CHECK</v>
      </c>
    </row>
    <row r="294" spans="1:16">
      <c r="A294" t="s">
        <v>542</v>
      </c>
      <c r="B294" t="str">
        <f>SUBSTITUTE(SUBSTITUTE(SUBSTITUTE(SUBSTITUTE(TRIM(Table6[[#This Row],[Constituency]]),"Barisal","Barishal"),"Jessore","Jashore"),"Bogra","Bogura"),"Chapai Nawabganj","Chapainawabganj")</f>
        <v>Dhaka-3</v>
      </c>
      <c r="C294" t="s">
        <v>1245</v>
      </c>
      <c r="D294" t="s">
        <v>476</v>
      </c>
      <c r="E294">
        <f>_xlfn.XLOOKUP(C294,Population_data!B:B,Population_data!C:C,"")</f>
        <v>166.82</v>
      </c>
      <c r="F294">
        <f>_xlfn.XLOOKUP(C294,Population_data!B:B,Population_data!D:D,"")</f>
        <v>1011001</v>
      </c>
      <c r="G294">
        <f>_xlfn.XLOOKUP(C294,Population_data!B:B,Population_data!E:E,"")</f>
        <v>6060.43</v>
      </c>
      <c r="H294">
        <f>_xlfn.XLOOKUP(C294,Population_data!B:B,Population_data!F:F,"")</f>
        <v>3.77</v>
      </c>
      <c r="I294">
        <f>_xlfn.XLOOKUP(C294,Population_data!B:B,Population_data!G:G,"")</f>
        <v>81.180000000000007</v>
      </c>
      <c r="J294" t="str">
        <f>_xlfn.XLOOKUP(D294,District_Crime_Unit_Map!A:A,District_Crime_Unit_Map!B:B,"")</f>
        <v>Dhaka Range</v>
      </c>
      <c r="K294">
        <f>_xlfn.XLOOKUP(J294,Crime_Data!A:A,Crime_Data!V:V,"")</f>
        <v>87.055167395391194</v>
      </c>
      <c r="L294">
        <f>_xlfn.XLOOKUP(J294,Crime_Data!A:A,Crime_Data!W:W,"")</f>
        <v>14.083489099923572</v>
      </c>
      <c r="M294" t="str">
        <f>TRIM(Table6[[#This Row],[District]])&amp;"|"&amp;TRIM(Table6[[#This Row],[Upazila]])</f>
        <v>Dhaka|Keraniganj</v>
      </c>
      <c r="N294" t="str">
        <f>_xlfn.XLOOKUP(B294,Remittance_Data!A:A,Remittance_Data!B:B,"CHECK")</f>
        <v>CHECK</v>
      </c>
      <c r="O294" t="str">
        <f>_xlfn.XLOOKUP(B294,Remittance_Data!A:A,Remittance_Data!C:C,"CHECK")</f>
        <v>CHECK</v>
      </c>
      <c r="P294" t="str">
        <f>_xlfn.XLOOKUP(B294,Remittance_Data!A:A,Remittance_Data!D:D,"CHECK")</f>
        <v>CHECK</v>
      </c>
    </row>
    <row r="295" spans="1:16">
      <c r="A295" t="s">
        <v>542</v>
      </c>
      <c r="B295" t="str">
        <f>SUBSTITUTE(SUBSTITUTE(SUBSTITUTE(SUBSTITUTE(TRIM(Table6[[#This Row],[Constituency]]),"Barisal","Barishal"),"Jessore","Jashore"),"Bogra","Bogura"),"Chapai Nawabganj","Chapainawabganj")</f>
        <v>Dhaka-3</v>
      </c>
      <c r="C295" t="s">
        <v>1247</v>
      </c>
      <c r="D295" t="s">
        <v>476</v>
      </c>
      <c r="E295">
        <v>19.091875000000002</v>
      </c>
      <c r="F295">
        <v>643487</v>
      </c>
      <c r="G295">
        <v>33705</v>
      </c>
      <c r="H295">
        <v>3.73</v>
      </c>
      <c r="I295">
        <v>86.16</v>
      </c>
      <c r="J295" t="str">
        <f>_xlfn.XLOOKUP(D295,District_Crime_Unit_Map!A:A,District_Crime_Unit_Map!B:B,"")</f>
        <v>Dhaka Range</v>
      </c>
      <c r="K295">
        <f>_xlfn.XLOOKUP(J295,Crime_Data!A:A,Crime_Data!V:V,"")</f>
        <v>87.055167395391194</v>
      </c>
      <c r="L295">
        <f>_xlfn.XLOOKUP(J295,Crime_Data!A:A,Crime_Data!W:W,"")</f>
        <v>14.083489099923572</v>
      </c>
      <c r="M295" t="str">
        <f>TRIM(Table6[[#This Row],[District]])&amp;"|"&amp;TRIM(Table6[[#This Row],[Upazila]])</f>
        <v>Dhaka|Kotwali</v>
      </c>
      <c r="N295" t="str">
        <f>_xlfn.XLOOKUP(B295,Remittance_Data!A:A,Remittance_Data!B:B,"CHECK")</f>
        <v>CHECK</v>
      </c>
      <c r="O295" t="str">
        <f>_xlfn.XLOOKUP(B295,Remittance_Data!A:A,Remittance_Data!C:C,"CHECK")</f>
        <v>CHECK</v>
      </c>
      <c r="P295" t="str">
        <f>_xlfn.XLOOKUP(B295,Remittance_Data!A:A,Remittance_Data!D:D,"CHECK")</f>
        <v>CHECK</v>
      </c>
    </row>
    <row r="296" spans="1:16">
      <c r="A296" t="s">
        <v>545</v>
      </c>
      <c r="B296" t="str">
        <f>SUBSTITUTE(SUBSTITUTE(SUBSTITUTE(SUBSTITUTE(TRIM(Table6[[#This Row],[Constituency]]),"Barisal","Barishal"),"Jessore","Jashore"),"Bogra","Bogura"),"Chapai Nawabganj","Chapainawabganj")</f>
        <v>Dhaka-4</v>
      </c>
      <c r="C296" t="s">
        <v>1248</v>
      </c>
      <c r="D296" t="s">
        <v>476</v>
      </c>
      <c r="E296">
        <v>19.091875000000002</v>
      </c>
      <c r="F296">
        <v>643487</v>
      </c>
      <c r="G296">
        <v>33705</v>
      </c>
      <c r="H296">
        <v>3.73</v>
      </c>
      <c r="I296">
        <v>86.16</v>
      </c>
      <c r="J296" t="str">
        <f>_xlfn.XLOOKUP(D296,District_Crime_Unit_Map!A:A,District_Crime_Unit_Map!B:B,"")</f>
        <v>Dhaka Range</v>
      </c>
      <c r="K296">
        <f>_xlfn.XLOOKUP(J296,Crime_Data!A:A,Crime_Data!V:V,"")</f>
        <v>87.055167395391194</v>
      </c>
      <c r="L296">
        <f>_xlfn.XLOOKUP(J296,Crime_Data!A:A,Crime_Data!W:W,"")</f>
        <v>14.083489099923572</v>
      </c>
      <c r="M296" t="str">
        <f>TRIM(Table6[[#This Row],[District]])&amp;"|"&amp;TRIM(Table6[[#This Row],[Upazila]])</f>
        <v>Dhaka|Demra</v>
      </c>
      <c r="N296" t="str">
        <f>_xlfn.XLOOKUP(B296,Remittance_Data!A:A,Remittance_Data!B:B,"CHECK")</f>
        <v>CHECK</v>
      </c>
      <c r="O296" t="str">
        <f>_xlfn.XLOOKUP(B296,Remittance_Data!A:A,Remittance_Data!C:C,"CHECK")</f>
        <v>CHECK</v>
      </c>
      <c r="P296" t="str">
        <f>_xlfn.XLOOKUP(B296,Remittance_Data!A:A,Remittance_Data!D:D,"CHECK")</f>
        <v>CHECK</v>
      </c>
    </row>
    <row r="297" spans="1:16">
      <c r="A297" t="s">
        <v>548</v>
      </c>
      <c r="B297" t="str">
        <f>SUBSTITUTE(SUBSTITUTE(SUBSTITUTE(SUBSTITUTE(TRIM(Table6[[#This Row],[Constituency]]),"Barisal","Barishal"),"Jessore","Jashore"),"Bogra","Bogura"),"Chapai Nawabganj","Chapainawabganj")</f>
        <v>Dhaka-5</v>
      </c>
      <c r="C297" t="s">
        <v>1249</v>
      </c>
      <c r="D297" t="s">
        <v>476</v>
      </c>
      <c r="E297">
        <v>19.091875000000002</v>
      </c>
      <c r="F297">
        <v>643487</v>
      </c>
      <c r="G297">
        <v>33705</v>
      </c>
      <c r="H297">
        <v>3.73</v>
      </c>
      <c r="I297">
        <v>86.16</v>
      </c>
      <c r="J297" t="str">
        <f>_xlfn.XLOOKUP(D297,District_Crime_Unit_Map!A:A,District_Crime_Unit_Map!B:B,"")</f>
        <v>Dhaka Range</v>
      </c>
      <c r="K297">
        <f>_xlfn.XLOOKUP(J297,Crime_Data!A:A,Crime_Data!V:V,"")</f>
        <v>87.055167395391194</v>
      </c>
      <c r="L297">
        <f>_xlfn.XLOOKUP(J297,Crime_Data!A:A,Crime_Data!W:W,"")</f>
        <v>14.083489099923572</v>
      </c>
      <c r="M297" t="str">
        <f>TRIM(Table6[[#This Row],[District]])&amp;"|"&amp;TRIM(Table6[[#This Row],[Upazila]])</f>
        <v>Dhaka|Motijheel</v>
      </c>
      <c r="N297" t="str">
        <f>_xlfn.XLOOKUP(B297,Remittance_Data!A:A,Remittance_Data!B:B,"CHECK")</f>
        <v>CHECK</v>
      </c>
      <c r="O297" t="str">
        <f>_xlfn.XLOOKUP(B297,Remittance_Data!A:A,Remittance_Data!C:C,"CHECK")</f>
        <v>CHECK</v>
      </c>
      <c r="P297" t="str">
        <f>_xlfn.XLOOKUP(B297,Remittance_Data!A:A,Remittance_Data!D:D,"CHECK")</f>
        <v>CHECK</v>
      </c>
    </row>
    <row r="298" spans="1:16">
      <c r="A298" t="s">
        <v>551</v>
      </c>
      <c r="B298" t="str">
        <f>SUBSTITUTE(SUBSTITUTE(SUBSTITUTE(SUBSTITUTE(TRIM(Table6[[#This Row],[Constituency]]),"Barisal","Barishal"),"Jessore","Jashore"),"Bogra","Bogura"),"Chapai Nawabganj","Chapainawabganj")</f>
        <v>Dhaka-6</v>
      </c>
      <c r="C298" t="s">
        <v>1246</v>
      </c>
      <c r="D298" t="s">
        <v>476</v>
      </c>
      <c r="E298">
        <v>19.091875000000002</v>
      </c>
      <c r="F298">
        <v>643487</v>
      </c>
      <c r="G298">
        <v>33705</v>
      </c>
      <c r="H298">
        <v>3.73</v>
      </c>
      <c r="I298">
        <v>86.16</v>
      </c>
      <c r="J298" t="str">
        <f>_xlfn.XLOOKUP(D298,District_Crime_Unit_Map!A:A,District_Crime_Unit_Map!B:B,"")</f>
        <v>Dhaka Range</v>
      </c>
      <c r="K298">
        <f>_xlfn.XLOOKUP(J298,Crime_Data!A:A,Crime_Data!V:V,"")</f>
        <v>87.055167395391194</v>
      </c>
      <c r="L298">
        <f>_xlfn.XLOOKUP(J298,Crime_Data!A:A,Crime_Data!W:W,"")</f>
        <v>14.083489099923572</v>
      </c>
      <c r="M298" t="str">
        <f>TRIM(Table6[[#This Row],[District]])&amp;"|"&amp;TRIM(Table6[[#This Row],[Upazila]])</f>
        <v>Dhaka|Sutrapur</v>
      </c>
      <c r="N298" t="str">
        <f>_xlfn.XLOOKUP(B298,Remittance_Data!A:A,Remittance_Data!B:B,"CHECK")</f>
        <v>CHECK</v>
      </c>
      <c r="O298" t="str">
        <f>_xlfn.XLOOKUP(B298,Remittance_Data!A:A,Remittance_Data!C:C,"CHECK")</f>
        <v>CHECK</v>
      </c>
      <c r="P298" t="str">
        <f>_xlfn.XLOOKUP(B298,Remittance_Data!A:A,Remittance_Data!D:D,"CHECK")</f>
        <v>CHECK</v>
      </c>
    </row>
    <row r="299" spans="1:16">
      <c r="A299" t="s">
        <v>554</v>
      </c>
      <c r="B299" t="str">
        <f>SUBSTITUTE(SUBSTITUTE(SUBSTITUTE(SUBSTITUTE(TRIM(Table6[[#This Row],[Constituency]]),"Barisal","Barishal"),"Jessore","Jashore"),"Bogra","Bogura"),"Chapai Nawabganj","Chapainawabganj")</f>
        <v>Dhaka-7</v>
      </c>
      <c r="C299" t="s">
        <v>1250</v>
      </c>
      <c r="D299" t="s">
        <v>476</v>
      </c>
      <c r="E299">
        <v>19.091875000000002</v>
      </c>
      <c r="F299">
        <v>643487</v>
      </c>
      <c r="G299">
        <v>33705</v>
      </c>
      <c r="H299">
        <v>3.73</v>
      </c>
      <c r="I299">
        <v>86.16</v>
      </c>
      <c r="J299" t="str">
        <f>_xlfn.XLOOKUP(D299,District_Crime_Unit_Map!A:A,District_Crime_Unit_Map!B:B,"")</f>
        <v>Dhaka Range</v>
      </c>
      <c r="K299">
        <f>_xlfn.XLOOKUP(J299,Crime_Data!A:A,Crime_Data!V:V,"")</f>
        <v>87.055167395391194</v>
      </c>
      <c r="L299">
        <f>_xlfn.XLOOKUP(J299,Crime_Data!A:A,Crime_Data!W:W,"")</f>
        <v>14.083489099923572</v>
      </c>
      <c r="M299" t="str">
        <f>TRIM(Table6[[#This Row],[District]])&amp;"|"&amp;TRIM(Table6[[#This Row],[Upazila]])</f>
        <v>Dhaka|Lalbagh</v>
      </c>
      <c r="N299" t="str">
        <f>_xlfn.XLOOKUP(B299,Remittance_Data!A:A,Remittance_Data!B:B,"CHECK")</f>
        <v>CHECK</v>
      </c>
      <c r="O299" t="str">
        <f>_xlfn.XLOOKUP(B299,Remittance_Data!A:A,Remittance_Data!C:C,"CHECK")</f>
        <v>CHECK</v>
      </c>
      <c r="P299" t="str">
        <f>_xlfn.XLOOKUP(B299,Remittance_Data!A:A,Remittance_Data!D:D,"CHECK")</f>
        <v>CHECK</v>
      </c>
    </row>
    <row r="300" spans="1:16">
      <c r="A300" t="s">
        <v>557</v>
      </c>
      <c r="B300" t="str">
        <f>SUBSTITUTE(SUBSTITUTE(SUBSTITUTE(SUBSTITUTE(TRIM(Table6[[#This Row],[Constituency]]),"Barisal","Barishal"),"Jessore","Jashore"),"Bogra","Bogura"),"Chapai Nawabganj","Chapainawabganj")</f>
        <v>Dhaka-8</v>
      </c>
      <c r="C300" t="s">
        <v>1251</v>
      </c>
      <c r="D300" t="s">
        <v>476</v>
      </c>
      <c r="E300">
        <v>19.091875000000002</v>
      </c>
      <c r="F300">
        <v>643487</v>
      </c>
      <c r="G300">
        <v>33705</v>
      </c>
      <c r="H300">
        <v>3.73</v>
      </c>
      <c r="I300">
        <v>86.16</v>
      </c>
      <c r="J300" t="str">
        <f>_xlfn.XLOOKUP(D300,District_Crime_Unit_Map!A:A,District_Crime_Unit_Map!B:B,"")</f>
        <v>Dhaka Range</v>
      </c>
      <c r="K300">
        <f>_xlfn.XLOOKUP(J300,Crime_Data!A:A,Crime_Data!V:V,"")</f>
        <v>87.055167395391194</v>
      </c>
      <c r="L300">
        <f>_xlfn.XLOOKUP(J300,Crime_Data!A:A,Crime_Data!W:W,"")</f>
        <v>14.083489099923572</v>
      </c>
      <c r="M300" t="str">
        <f>TRIM(Table6[[#This Row],[District]])&amp;"|"&amp;TRIM(Table6[[#This Row],[Upazila]])</f>
        <v>Dhaka|Ramna</v>
      </c>
      <c r="N300" t="str">
        <f>_xlfn.XLOOKUP(B300,Remittance_Data!A:A,Remittance_Data!B:B,"CHECK")</f>
        <v>CHECK</v>
      </c>
      <c r="O300" t="str">
        <f>_xlfn.XLOOKUP(B300,Remittance_Data!A:A,Remittance_Data!C:C,"CHECK")</f>
        <v>CHECK</v>
      </c>
      <c r="P300" t="str">
        <f>_xlfn.XLOOKUP(B300,Remittance_Data!A:A,Remittance_Data!D:D,"CHECK")</f>
        <v>CHECK</v>
      </c>
    </row>
    <row r="301" spans="1:16">
      <c r="A301" t="s">
        <v>560</v>
      </c>
      <c r="B301" t="str">
        <f>SUBSTITUTE(SUBSTITUTE(SUBSTITUTE(SUBSTITUTE(TRIM(Table6[[#This Row],[Constituency]]),"Barisal","Barishal"),"Jessore","Jashore"),"Bogra","Bogura"),"Chapai Nawabganj","Chapainawabganj")</f>
        <v>Dhaka-9</v>
      </c>
      <c r="C301" t="s">
        <v>1252</v>
      </c>
      <c r="D301" t="s">
        <v>476</v>
      </c>
      <c r="E301">
        <v>19.091875000000002</v>
      </c>
      <c r="F301">
        <v>643487</v>
      </c>
      <c r="G301">
        <v>33705</v>
      </c>
      <c r="H301">
        <v>3.73</v>
      </c>
      <c r="I301">
        <v>86.16</v>
      </c>
      <c r="J301" t="str">
        <f>_xlfn.XLOOKUP(D301,District_Crime_Unit_Map!A:A,District_Crime_Unit_Map!B:B,"")</f>
        <v>Dhaka Range</v>
      </c>
      <c r="K301">
        <f>_xlfn.XLOOKUP(J301,Crime_Data!A:A,Crime_Data!V:V,"")</f>
        <v>87.055167395391194</v>
      </c>
      <c r="L301">
        <f>_xlfn.XLOOKUP(J301,Crime_Data!A:A,Crime_Data!W:W,"")</f>
        <v>14.083489099923572</v>
      </c>
      <c r="M301" t="str">
        <f>TRIM(Table6[[#This Row],[District]])&amp;"|"&amp;TRIM(Table6[[#This Row],[Upazila]])</f>
        <v>Dhaka|Khilgaon</v>
      </c>
      <c r="N301" t="str">
        <f>_xlfn.XLOOKUP(B301,Remittance_Data!A:A,Remittance_Data!B:B,"CHECK")</f>
        <v>CHECK</v>
      </c>
      <c r="O301" t="str">
        <f>_xlfn.XLOOKUP(B301,Remittance_Data!A:A,Remittance_Data!C:C,"CHECK")</f>
        <v>CHECK</v>
      </c>
      <c r="P301" t="str">
        <f>_xlfn.XLOOKUP(B301,Remittance_Data!A:A,Remittance_Data!D:D,"CHECK")</f>
        <v>CHECK</v>
      </c>
    </row>
    <row r="302" spans="1:16">
      <c r="A302" t="s">
        <v>563</v>
      </c>
      <c r="B302" t="str">
        <f>SUBSTITUTE(SUBSTITUTE(SUBSTITUTE(SUBSTITUTE(TRIM(Table6[[#This Row],[Constituency]]),"Barisal","Barishal"),"Jessore","Jashore"),"Bogra","Bogura"),"Chapai Nawabganj","Chapainawabganj")</f>
        <v>Dhaka-10</v>
      </c>
      <c r="C302" t="s">
        <v>1253</v>
      </c>
      <c r="D302" t="s">
        <v>476</v>
      </c>
      <c r="E302">
        <v>19.091875000000002</v>
      </c>
      <c r="F302">
        <v>643487</v>
      </c>
      <c r="G302">
        <v>33705</v>
      </c>
      <c r="H302">
        <v>3.73</v>
      </c>
      <c r="I302">
        <v>86.16</v>
      </c>
      <c r="J302" t="str">
        <f>_xlfn.XLOOKUP(D302,District_Crime_Unit_Map!A:A,District_Crime_Unit_Map!B:B,"")</f>
        <v>Dhaka Range</v>
      </c>
      <c r="K302">
        <f>_xlfn.XLOOKUP(J302,Crime_Data!A:A,Crime_Data!V:V,"")</f>
        <v>87.055167395391194</v>
      </c>
      <c r="L302">
        <f>_xlfn.XLOOKUP(J302,Crime_Data!A:A,Crime_Data!W:W,"")</f>
        <v>14.083489099923572</v>
      </c>
      <c r="M302" t="str">
        <f>TRIM(Table6[[#This Row],[District]])&amp;"|"&amp;TRIM(Table6[[#This Row],[Upazila]])</f>
        <v>Dhaka|Dhanmondi</v>
      </c>
      <c r="N302" t="str">
        <f>_xlfn.XLOOKUP(B302,Remittance_Data!A:A,Remittance_Data!B:B,"CHECK")</f>
        <v>CHECK</v>
      </c>
      <c r="O302" t="str">
        <f>_xlfn.XLOOKUP(B302,Remittance_Data!A:A,Remittance_Data!C:C,"CHECK")</f>
        <v>CHECK</v>
      </c>
      <c r="P302" t="str">
        <f>_xlfn.XLOOKUP(B302,Remittance_Data!A:A,Remittance_Data!D:D,"CHECK")</f>
        <v>CHECK</v>
      </c>
    </row>
    <row r="303" spans="1:16">
      <c r="A303" t="s">
        <v>566</v>
      </c>
      <c r="B303" t="str">
        <f>SUBSTITUTE(SUBSTITUTE(SUBSTITUTE(SUBSTITUTE(TRIM(Table6[[#This Row],[Constituency]]),"Barisal","Barishal"),"Jessore","Jashore"),"Bogra","Bogura"),"Chapai Nawabganj","Chapainawabganj")</f>
        <v>Dhaka-11</v>
      </c>
      <c r="C303" t="s">
        <v>1254</v>
      </c>
      <c r="D303" t="s">
        <v>476</v>
      </c>
      <c r="E303">
        <v>19.091875000000002</v>
      </c>
      <c r="F303">
        <v>643487</v>
      </c>
      <c r="G303">
        <v>33705</v>
      </c>
      <c r="H303">
        <v>3.73</v>
      </c>
      <c r="I303">
        <v>86.16</v>
      </c>
      <c r="J303" t="str">
        <f>_xlfn.XLOOKUP(D303,District_Crime_Unit_Map!A:A,District_Crime_Unit_Map!B:B,"")</f>
        <v>Dhaka Range</v>
      </c>
      <c r="K303">
        <f>_xlfn.XLOOKUP(J303,Crime_Data!A:A,Crime_Data!V:V,"")</f>
        <v>87.055167395391194</v>
      </c>
      <c r="L303">
        <f>_xlfn.XLOOKUP(J303,Crime_Data!A:A,Crime_Data!W:W,"")</f>
        <v>14.083489099923572</v>
      </c>
      <c r="M303" t="str">
        <f>TRIM(Table6[[#This Row],[District]])&amp;"|"&amp;TRIM(Table6[[#This Row],[Upazila]])</f>
        <v>Dhaka|Gulshan</v>
      </c>
      <c r="N303" t="str">
        <f>_xlfn.XLOOKUP(B303,Remittance_Data!A:A,Remittance_Data!B:B,"CHECK")</f>
        <v>CHECK</v>
      </c>
      <c r="O303" t="str">
        <f>_xlfn.XLOOKUP(B303,Remittance_Data!A:A,Remittance_Data!C:C,"CHECK")</f>
        <v>CHECK</v>
      </c>
      <c r="P303" t="str">
        <f>_xlfn.XLOOKUP(B303,Remittance_Data!A:A,Remittance_Data!D:D,"CHECK")</f>
        <v>CHECK</v>
      </c>
    </row>
    <row r="304" spans="1:16">
      <c r="A304" t="s">
        <v>569</v>
      </c>
      <c r="B304" t="str">
        <f>SUBSTITUTE(SUBSTITUTE(SUBSTITUTE(SUBSTITUTE(TRIM(Table6[[#This Row],[Constituency]]),"Barisal","Barishal"),"Jessore","Jashore"),"Bogra","Bogura"),"Chapai Nawabganj","Chapainawabganj")</f>
        <v>Dhaka-12</v>
      </c>
      <c r="C304" t="s">
        <v>1096</v>
      </c>
      <c r="D304" t="s">
        <v>476</v>
      </c>
      <c r="E304">
        <v>19.091875000000002</v>
      </c>
      <c r="F304">
        <v>643487</v>
      </c>
      <c r="G304">
        <v>33705</v>
      </c>
      <c r="H304">
        <v>3.73</v>
      </c>
      <c r="I304">
        <v>86.16</v>
      </c>
      <c r="J304" t="str">
        <f>_xlfn.XLOOKUP(D304,District_Crime_Unit_Map!A:A,District_Crime_Unit_Map!B:B,"")</f>
        <v>Dhaka Range</v>
      </c>
      <c r="K304">
        <f>_xlfn.XLOOKUP(J304,Crime_Data!A:A,Crime_Data!V:V,"")</f>
        <v>87.055167395391194</v>
      </c>
      <c r="L304">
        <f>_xlfn.XLOOKUP(J304,Crime_Data!A:A,Crime_Data!W:W,"")</f>
        <v>14.083489099923572</v>
      </c>
      <c r="M304" t="str">
        <f>TRIM(Table6[[#This Row],[District]])&amp;"|"&amp;TRIM(Table6[[#This Row],[Upazila]])</f>
        <v>Dhaka|Mohammadpur</v>
      </c>
      <c r="N304" t="str">
        <f>_xlfn.XLOOKUP(B304,Remittance_Data!A:A,Remittance_Data!B:B,"CHECK")</f>
        <v>CHECK</v>
      </c>
      <c r="O304" t="str">
        <f>_xlfn.XLOOKUP(B304,Remittance_Data!A:A,Remittance_Data!C:C,"CHECK")</f>
        <v>CHECK</v>
      </c>
      <c r="P304" t="str">
        <f>_xlfn.XLOOKUP(B304,Remittance_Data!A:A,Remittance_Data!D:D,"CHECK")</f>
        <v>CHECK</v>
      </c>
    </row>
    <row r="305" spans="1:16">
      <c r="A305" t="s">
        <v>573</v>
      </c>
      <c r="B305" t="str">
        <f>SUBSTITUTE(SUBSTITUTE(SUBSTITUTE(SUBSTITUTE(TRIM(Table6[[#This Row],[Constituency]]),"Barisal","Barishal"),"Jessore","Jashore"),"Bogra","Bogura"),"Chapai Nawabganj","Chapainawabganj")</f>
        <v>Dhaka-13</v>
      </c>
      <c r="C305" t="s">
        <v>1255</v>
      </c>
      <c r="D305" t="s">
        <v>476</v>
      </c>
      <c r="E305">
        <v>19.091875000000002</v>
      </c>
      <c r="F305">
        <v>643486</v>
      </c>
      <c r="G305">
        <v>33705</v>
      </c>
      <c r="H305">
        <v>3.73</v>
      </c>
      <c r="I305">
        <v>86.16</v>
      </c>
      <c r="J305" t="str">
        <f>_xlfn.XLOOKUP(D305,District_Crime_Unit_Map!A:A,District_Crime_Unit_Map!B:B,"")</f>
        <v>Dhaka Range</v>
      </c>
      <c r="K305">
        <f>_xlfn.XLOOKUP(J305,Crime_Data!A:A,Crime_Data!V:V,"")</f>
        <v>87.055167395391194</v>
      </c>
      <c r="L305">
        <f>_xlfn.XLOOKUP(J305,Crime_Data!A:A,Crime_Data!W:W,"")</f>
        <v>14.083489099923572</v>
      </c>
      <c r="M305" t="str">
        <f>TRIM(Table6[[#This Row],[District]])&amp;"|"&amp;TRIM(Table6[[#This Row],[Upazila]])</f>
        <v>Dhaka|Adabor</v>
      </c>
      <c r="N305" t="str">
        <f>_xlfn.XLOOKUP(B305,Remittance_Data!A:A,Remittance_Data!B:B,"CHECK")</f>
        <v>CHECK</v>
      </c>
      <c r="O305" t="str">
        <f>_xlfn.XLOOKUP(B305,Remittance_Data!A:A,Remittance_Data!C:C,"CHECK")</f>
        <v>CHECK</v>
      </c>
      <c r="P305" t="str">
        <f>_xlfn.XLOOKUP(B305,Remittance_Data!A:A,Remittance_Data!D:D,"CHECK")</f>
        <v>CHECK</v>
      </c>
    </row>
    <row r="306" spans="1:16">
      <c r="A306" t="s">
        <v>576</v>
      </c>
      <c r="B306" t="str">
        <f>SUBSTITUTE(SUBSTITUTE(SUBSTITUTE(SUBSTITUTE(TRIM(Table6[[#This Row],[Constituency]]),"Barisal","Barishal"),"Jessore","Jashore"),"Bogra","Bogura"),"Chapai Nawabganj","Chapainawabganj")</f>
        <v>Dhaka-14</v>
      </c>
      <c r="C306" t="s">
        <v>1068</v>
      </c>
      <c r="D306" t="s">
        <v>476</v>
      </c>
      <c r="E306">
        <v>19.091875000000002</v>
      </c>
      <c r="F306">
        <v>643486</v>
      </c>
      <c r="G306">
        <v>33705</v>
      </c>
      <c r="H306">
        <v>3.73</v>
      </c>
      <c r="I306">
        <v>86.16</v>
      </c>
      <c r="J306" t="str">
        <f>_xlfn.XLOOKUP(D306,District_Crime_Unit_Map!A:A,District_Crime_Unit_Map!B:B,"")</f>
        <v>Dhaka Range</v>
      </c>
      <c r="K306">
        <f>_xlfn.XLOOKUP(J306,Crime_Data!A:A,Crime_Data!V:V,"")</f>
        <v>87.055167395391194</v>
      </c>
      <c r="L306">
        <f>_xlfn.XLOOKUP(J306,Crime_Data!A:A,Crime_Data!W:W,"")</f>
        <v>14.083489099923572</v>
      </c>
      <c r="M306" t="str">
        <f>TRIM(Table6[[#This Row],[District]])&amp;"|"&amp;TRIM(Table6[[#This Row],[Upazila]])</f>
        <v>Dhaka|Mirpur</v>
      </c>
      <c r="N306" t="str">
        <f>_xlfn.XLOOKUP(B306,Remittance_Data!A:A,Remittance_Data!B:B,"CHECK")</f>
        <v>CHECK</v>
      </c>
      <c r="O306" t="str">
        <f>_xlfn.XLOOKUP(B306,Remittance_Data!A:A,Remittance_Data!C:C,"CHECK")</f>
        <v>CHECK</v>
      </c>
      <c r="P306" t="str">
        <f>_xlfn.XLOOKUP(B306,Remittance_Data!A:A,Remittance_Data!D:D,"CHECK")</f>
        <v>CHECK</v>
      </c>
    </row>
    <row r="307" spans="1:16">
      <c r="A307" t="s">
        <v>579</v>
      </c>
      <c r="B307" t="str">
        <f>SUBSTITUTE(SUBSTITUTE(SUBSTITUTE(SUBSTITUTE(TRIM(Table6[[#This Row],[Constituency]]),"Barisal","Barishal"),"Jessore","Jashore"),"Bogra","Bogura"),"Chapai Nawabganj","Chapainawabganj")</f>
        <v>Dhaka-15</v>
      </c>
      <c r="C307" t="s">
        <v>1256</v>
      </c>
      <c r="D307" t="s">
        <v>476</v>
      </c>
      <c r="E307">
        <v>19.091875000000002</v>
      </c>
      <c r="F307">
        <v>643486</v>
      </c>
      <c r="G307">
        <v>33705</v>
      </c>
      <c r="H307">
        <v>3.73</v>
      </c>
      <c r="I307">
        <v>86.16</v>
      </c>
      <c r="J307" t="str">
        <f>_xlfn.XLOOKUP(D307,District_Crime_Unit_Map!A:A,District_Crime_Unit_Map!B:B,"")</f>
        <v>Dhaka Range</v>
      </c>
      <c r="K307">
        <f>_xlfn.XLOOKUP(J307,Crime_Data!A:A,Crime_Data!V:V,"")</f>
        <v>87.055167395391194</v>
      </c>
      <c r="L307">
        <f>_xlfn.XLOOKUP(J307,Crime_Data!A:A,Crime_Data!W:W,"")</f>
        <v>14.083489099923572</v>
      </c>
      <c r="M307" t="str">
        <f>TRIM(Table6[[#This Row],[District]])&amp;"|"&amp;TRIM(Table6[[#This Row],[Upazila]])</f>
        <v>Dhaka|Pallabi</v>
      </c>
      <c r="N307" t="str">
        <f>_xlfn.XLOOKUP(B307,Remittance_Data!A:A,Remittance_Data!B:B,"CHECK")</f>
        <v>CHECK</v>
      </c>
      <c r="O307" t="str">
        <f>_xlfn.XLOOKUP(B307,Remittance_Data!A:A,Remittance_Data!C:C,"CHECK")</f>
        <v>CHECK</v>
      </c>
      <c r="P307" t="str">
        <f>_xlfn.XLOOKUP(B307,Remittance_Data!A:A,Remittance_Data!D:D,"CHECK")</f>
        <v>CHECK</v>
      </c>
    </row>
    <row r="308" spans="1:16">
      <c r="A308" t="s">
        <v>582</v>
      </c>
      <c r="B308" t="str">
        <f>SUBSTITUTE(SUBSTITUTE(SUBSTITUTE(SUBSTITUTE(TRIM(Table6[[#This Row],[Constituency]]),"Barisal","Barishal"),"Jessore","Jashore"),"Bogra","Bogura"),"Chapai Nawabganj","Chapainawabganj")</f>
        <v>Dhaka-16</v>
      </c>
      <c r="C308" t="s">
        <v>1257</v>
      </c>
      <c r="D308" t="s">
        <v>476</v>
      </c>
      <c r="E308">
        <v>19.091875000000002</v>
      </c>
      <c r="F308">
        <v>643486</v>
      </c>
      <c r="G308">
        <v>33705</v>
      </c>
      <c r="H308">
        <v>3.73</v>
      </c>
      <c r="I308">
        <v>86.16</v>
      </c>
      <c r="J308" t="str">
        <f>_xlfn.XLOOKUP(D308,District_Crime_Unit_Map!A:A,District_Crime_Unit_Map!B:B,"")</f>
        <v>Dhaka Range</v>
      </c>
      <c r="K308">
        <f>_xlfn.XLOOKUP(J308,Crime_Data!A:A,Crime_Data!V:V,"")</f>
        <v>87.055167395391194</v>
      </c>
      <c r="L308">
        <f>_xlfn.XLOOKUP(J308,Crime_Data!A:A,Crime_Data!W:W,"")</f>
        <v>14.083489099923572</v>
      </c>
      <c r="M308" t="str">
        <f>TRIM(Table6[[#This Row],[District]])&amp;"|"&amp;TRIM(Table6[[#This Row],[Upazila]])</f>
        <v>Dhaka|Kafrul</v>
      </c>
      <c r="N308" t="str">
        <f>_xlfn.XLOOKUP(B308,Remittance_Data!A:A,Remittance_Data!B:B,"CHECK")</f>
        <v>CHECK</v>
      </c>
      <c r="O308" t="str">
        <f>_xlfn.XLOOKUP(B308,Remittance_Data!A:A,Remittance_Data!C:C,"CHECK")</f>
        <v>CHECK</v>
      </c>
      <c r="P308" t="str">
        <f>_xlfn.XLOOKUP(B308,Remittance_Data!A:A,Remittance_Data!D:D,"CHECK")</f>
        <v>CHECK</v>
      </c>
    </row>
    <row r="309" spans="1:16">
      <c r="A309" t="s">
        <v>585</v>
      </c>
      <c r="B309" t="str">
        <f>SUBSTITUTE(SUBSTITUTE(SUBSTITUTE(SUBSTITUTE(TRIM(Table6[[#This Row],[Constituency]]),"Barisal","Barishal"),"Jessore","Jashore"),"Bogra","Bogura"),"Chapai Nawabganj","Chapainawabganj")</f>
        <v>Dhaka-17</v>
      </c>
      <c r="C309" t="s">
        <v>1258</v>
      </c>
      <c r="D309" t="s">
        <v>476</v>
      </c>
      <c r="E309">
        <v>19.091875000000002</v>
      </c>
      <c r="F309">
        <v>643486</v>
      </c>
      <c r="G309">
        <v>33705</v>
      </c>
      <c r="H309">
        <v>3.73</v>
      </c>
      <c r="I309">
        <v>86.16</v>
      </c>
      <c r="J309" t="str">
        <f>_xlfn.XLOOKUP(D309,District_Crime_Unit_Map!A:A,District_Crime_Unit_Map!B:B,"")</f>
        <v>Dhaka Range</v>
      </c>
      <c r="K309">
        <f>_xlfn.XLOOKUP(J309,Crime_Data!A:A,Crime_Data!V:V,"")</f>
        <v>87.055167395391194</v>
      </c>
      <c r="L309">
        <f>_xlfn.XLOOKUP(J309,Crime_Data!A:A,Crime_Data!W:W,"")</f>
        <v>14.083489099923572</v>
      </c>
      <c r="M309" t="str">
        <f>TRIM(Table6[[#This Row],[District]])&amp;"|"&amp;TRIM(Table6[[#This Row],[Upazila]])</f>
        <v>Dhaka|Cantonment</v>
      </c>
      <c r="N309" t="str">
        <f>_xlfn.XLOOKUP(B309,Remittance_Data!A:A,Remittance_Data!B:B,"CHECK")</f>
        <v>CHECK</v>
      </c>
      <c r="O309" t="str">
        <f>_xlfn.XLOOKUP(B309,Remittance_Data!A:A,Remittance_Data!C:C,"CHECK")</f>
        <v>CHECK</v>
      </c>
      <c r="P309" t="str">
        <f>_xlfn.XLOOKUP(B309,Remittance_Data!A:A,Remittance_Data!D:D,"CHECK")</f>
        <v>CHECK</v>
      </c>
    </row>
    <row r="310" spans="1:16">
      <c r="A310" t="s">
        <v>587</v>
      </c>
      <c r="B310" t="str">
        <f>SUBSTITUTE(SUBSTITUTE(SUBSTITUTE(SUBSTITUTE(TRIM(Table6[[#This Row],[Constituency]]),"Barisal","Barishal"),"Jessore","Jashore"),"Bogra","Bogura"),"Chapai Nawabganj","Chapainawabganj")</f>
        <v>Dhaka-18</v>
      </c>
      <c r="C310" t="s">
        <v>1259</v>
      </c>
      <c r="D310" t="s">
        <v>476</v>
      </c>
      <c r="E310">
        <v>19.091875000000002</v>
      </c>
      <c r="F310">
        <v>643486</v>
      </c>
      <c r="G310">
        <v>33705</v>
      </c>
      <c r="H310">
        <v>3.73</v>
      </c>
      <c r="I310">
        <v>86.16</v>
      </c>
      <c r="J310" t="str">
        <f>_xlfn.XLOOKUP(D310,District_Crime_Unit_Map!A:A,District_Crime_Unit_Map!B:B,"")</f>
        <v>Dhaka Range</v>
      </c>
      <c r="K310">
        <f>_xlfn.XLOOKUP(J310,Crime_Data!A:A,Crime_Data!V:V,"")</f>
        <v>87.055167395391194</v>
      </c>
      <c r="L310">
        <f>_xlfn.XLOOKUP(J310,Crime_Data!A:A,Crime_Data!W:W,"")</f>
        <v>14.083489099923572</v>
      </c>
      <c r="M310" t="str">
        <f>TRIM(Table6[[#This Row],[District]])&amp;"|"&amp;TRIM(Table6[[#This Row],[Upazila]])</f>
        <v>Dhaka|Uttara</v>
      </c>
      <c r="N310" t="str">
        <f>_xlfn.XLOOKUP(B310,Remittance_Data!A:A,Remittance_Data!B:B,"CHECK")</f>
        <v>CHECK</v>
      </c>
      <c r="O310" t="str">
        <f>_xlfn.XLOOKUP(B310,Remittance_Data!A:A,Remittance_Data!C:C,"CHECK")</f>
        <v>CHECK</v>
      </c>
      <c r="P310" t="str">
        <f>_xlfn.XLOOKUP(B310,Remittance_Data!A:A,Remittance_Data!D:D,"CHECK")</f>
        <v>CHECK</v>
      </c>
    </row>
    <row r="311" spans="1:16">
      <c r="A311" t="s">
        <v>590</v>
      </c>
      <c r="B311" t="str">
        <f>SUBSTITUTE(SUBSTITUTE(SUBSTITUTE(SUBSTITUTE(TRIM(Table6[[#This Row],[Constituency]]),"Barisal","Barishal"),"Jessore","Jashore"),"Bogra","Bogura"),"Chapai Nawabganj","Chapainawabganj")</f>
        <v>Dhaka-19</v>
      </c>
      <c r="C311" t="s">
        <v>1260</v>
      </c>
      <c r="D311" t="s">
        <v>476</v>
      </c>
      <c r="E311">
        <f>_xlfn.XLOOKUP(C311,Population_data!B:B,Population_data!C:C,"")</f>
        <v>249.13</v>
      </c>
      <c r="F311">
        <f>_xlfn.XLOOKUP(C311,Population_data!B:B,Population_data!D:D,"")</f>
        <v>2311612</v>
      </c>
      <c r="G311">
        <f>_xlfn.XLOOKUP(C311,Population_data!B:B,Population_data!E:E,"")</f>
        <v>9278.74</v>
      </c>
      <c r="H311">
        <f>_xlfn.XLOOKUP(C311,Population_data!B:B,Population_data!F:F,"")</f>
        <v>3.08</v>
      </c>
      <c r="I311">
        <f>_xlfn.XLOOKUP(C311,Population_data!B:B,Population_data!G:G,"")</f>
        <v>84.38</v>
      </c>
      <c r="J311" t="str">
        <f>_xlfn.XLOOKUP(D311,District_Crime_Unit_Map!A:A,District_Crime_Unit_Map!B:B,"")</f>
        <v>Dhaka Range</v>
      </c>
      <c r="K311">
        <f>_xlfn.XLOOKUP(J311,Crime_Data!A:A,Crime_Data!V:V,"")</f>
        <v>87.055167395391194</v>
      </c>
      <c r="L311">
        <f>_xlfn.XLOOKUP(J311,Crime_Data!A:A,Crime_Data!W:W,"")</f>
        <v>14.083489099923572</v>
      </c>
      <c r="M311" t="str">
        <f>TRIM(Table6[[#This Row],[District]])&amp;"|"&amp;TRIM(Table6[[#This Row],[Upazila]])</f>
        <v>Dhaka|Savar</v>
      </c>
      <c r="N311" t="str">
        <f>_xlfn.XLOOKUP(B311,Remittance_Data!A:A,Remittance_Data!B:B,"CHECK")</f>
        <v>CHECK</v>
      </c>
      <c r="O311" t="str">
        <f>_xlfn.XLOOKUP(B311,Remittance_Data!A:A,Remittance_Data!C:C,"CHECK")</f>
        <v>CHECK</v>
      </c>
      <c r="P311" t="str">
        <f>_xlfn.XLOOKUP(B311,Remittance_Data!A:A,Remittance_Data!D:D,"CHECK")</f>
        <v>CHECK</v>
      </c>
    </row>
    <row r="312" spans="1:16">
      <c r="A312" t="s">
        <v>593</v>
      </c>
      <c r="B312" t="str">
        <f>SUBSTITUTE(SUBSTITUTE(SUBSTITUTE(SUBSTITUTE(TRIM(Table6[[#This Row],[Constituency]]),"Barisal","Barishal"),"Jessore","Jashore"),"Bogra","Bogura"),"Chapai Nawabganj","Chapainawabganj")</f>
        <v>Dhaka-20</v>
      </c>
      <c r="C312" t="s">
        <v>1261</v>
      </c>
      <c r="D312" t="s">
        <v>476</v>
      </c>
      <c r="E312">
        <f>_xlfn.XLOOKUP(C312,Population_data!B:B,Population_data!C:C,"")</f>
        <v>307.83</v>
      </c>
      <c r="F312">
        <f>_xlfn.XLOOKUP(C312,Population_data!B:B,Population_data!D:D,"")</f>
        <v>517117</v>
      </c>
      <c r="G312">
        <f>_xlfn.XLOOKUP(C312,Population_data!B:B,Population_data!E:E,"")</f>
        <v>1679.88</v>
      </c>
      <c r="H312">
        <f>_xlfn.XLOOKUP(C312,Population_data!B:B,Population_data!F:F,"")</f>
        <v>3.82</v>
      </c>
      <c r="I312">
        <f>_xlfn.XLOOKUP(C312,Population_data!B:B,Population_data!G:G,"")</f>
        <v>73.72</v>
      </c>
      <c r="J312" t="str">
        <f>_xlfn.XLOOKUP(D312,District_Crime_Unit_Map!A:A,District_Crime_Unit_Map!B:B,"")</f>
        <v>Dhaka Range</v>
      </c>
      <c r="K312">
        <f>_xlfn.XLOOKUP(J312,Crime_Data!A:A,Crime_Data!V:V,"")</f>
        <v>87.055167395391194</v>
      </c>
      <c r="L312">
        <f>_xlfn.XLOOKUP(J312,Crime_Data!A:A,Crime_Data!W:W,"")</f>
        <v>14.083489099923572</v>
      </c>
      <c r="M312" t="str">
        <f>TRIM(Table6[[#This Row],[District]])&amp;"|"&amp;TRIM(Table6[[#This Row],[Upazila]])</f>
        <v>Dhaka|Dhamrai</v>
      </c>
      <c r="N312" t="str">
        <f>_xlfn.XLOOKUP(B312,Remittance_Data!A:A,Remittance_Data!B:B,"CHECK")</f>
        <v>CHECK</v>
      </c>
      <c r="O312" t="str">
        <f>_xlfn.XLOOKUP(B312,Remittance_Data!A:A,Remittance_Data!C:C,"CHECK")</f>
        <v>CHECK</v>
      </c>
      <c r="P312" t="str">
        <f>_xlfn.XLOOKUP(B312,Remittance_Data!A:A,Remittance_Data!D:D,"CHECK")</f>
        <v>CHECK</v>
      </c>
    </row>
    <row r="313" spans="1:16">
      <c r="A313" t="s">
        <v>596</v>
      </c>
      <c r="B313" t="str">
        <f>SUBSTITUTE(SUBSTITUTE(SUBSTITUTE(SUBSTITUTE(TRIM(Table6[[#This Row],[Constituency]]),"Barisal","Barishal"),"Jessore","Jashore"),"Bogra","Bogura"),"Chapai Nawabganj","Chapainawabganj")</f>
        <v>Gazipur-1</v>
      </c>
      <c r="C313" t="s">
        <v>952</v>
      </c>
      <c r="D313" t="s">
        <v>1262</v>
      </c>
      <c r="E313">
        <f>_xlfn.XLOOKUP(C313,Population_data!B:B,Population_data!C:C,"")</f>
        <v>236.67</v>
      </c>
      <c r="F313">
        <f>_xlfn.XLOOKUP(C313,Population_data!B:B,Population_data!D:D,"")</f>
        <v>310943</v>
      </c>
      <c r="G313">
        <f>_xlfn.XLOOKUP(C313,Population_data!B:B,Population_data!E:E,"")</f>
        <v>1313.83</v>
      </c>
      <c r="H313">
        <f>_xlfn.XLOOKUP(C313,Population_data!B:B,Population_data!F:F,"")</f>
        <v>3.97</v>
      </c>
      <c r="I313">
        <f>_xlfn.XLOOKUP(C313,Population_data!B:B,Population_data!G:G,"")</f>
        <v>79.58</v>
      </c>
      <c r="J313" t="str">
        <f>_xlfn.XLOOKUP(D313,District_Crime_Unit_Map!A:A,District_Crime_Unit_Map!B:B,"")</f>
        <v>Dhaka Range</v>
      </c>
      <c r="K313">
        <f>_xlfn.XLOOKUP(J313,Crime_Data!A:A,Crime_Data!V:V,"")</f>
        <v>87.055167395391194</v>
      </c>
      <c r="L313">
        <f>_xlfn.XLOOKUP(J313,Crime_Data!A:A,Crime_Data!W:W,"")</f>
        <v>14.083489099923572</v>
      </c>
      <c r="M313" t="str">
        <f>TRIM(Table6[[#This Row],[District]])&amp;"|"&amp;TRIM(Table6[[#This Row],[Upazila]])</f>
        <v>Gazipur|Kaliganj</v>
      </c>
      <c r="N313" t="str">
        <f>_xlfn.XLOOKUP(B313,Remittance_Data!A:A,Remittance_Data!B:B,"CHECK")</f>
        <v>CHECK</v>
      </c>
      <c r="O313" t="str">
        <f>_xlfn.XLOOKUP(B313,Remittance_Data!A:A,Remittance_Data!C:C,"CHECK")</f>
        <v>CHECK</v>
      </c>
      <c r="P313" t="str">
        <f>_xlfn.XLOOKUP(B313,Remittance_Data!A:A,Remittance_Data!D:D,"CHECK")</f>
        <v>CHECK</v>
      </c>
    </row>
    <row r="314" spans="1:16">
      <c r="A314" t="s">
        <v>599</v>
      </c>
      <c r="B314" t="str">
        <f>SUBSTITUTE(SUBSTITUTE(SUBSTITUTE(SUBSTITUTE(TRIM(Table6[[#This Row],[Constituency]]),"Barisal","Barishal"),"Jessore","Jashore"),"Bogra","Bogura"),"Chapai Nawabganj","Chapainawabganj")</f>
        <v>Gazipur-2</v>
      </c>
      <c r="C314" t="s">
        <v>1263</v>
      </c>
      <c r="D314" t="s">
        <v>1262</v>
      </c>
      <c r="E314">
        <f>_xlfn.XLOOKUP(C314,Population_data!B:B,Population_data!C:C,"")</f>
        <v>214.63</v>
      </c>
      <c r="F314">
        <f>_xlfn.XLOOKUP(C314,Population_data!B:B,Population_data!D:D,"")</f>
        <v>694574</v>
      </c>
      <c r="G314">
        <f>_xlfn.XLOOKUP(C314,Population_data!B:B,Population_data!E:E,"")</f>
        <v>3236.15</v>
      </c>
      <c r="H314">
        <f>_xlfn.XLOOKUP(C314,Population_data!B:B,Population_data!F:F,"")</f>
        <v>3.26</v>
      </c>
      <c r="I314">
        <f>_xlfn.XLOOKUP(C314,Population_data!B:B,Population_data!G:G,"")</f>
        <v>80.19</v>
      </c>
      <c r="J314" t="str">
        <f>_xlfn.XLOOKUP(D314,District_Crime_Unit_Map!A:A,District_Crime_Unit_Map!B:B,"")</f>
        <v>Dhaka Range</v>
      </c>
      <c r="K314">
        <f>_xlfn.XLOOKUP(J314,Crime_Data!A:A,Crime_Data!V:V,"")</f>
        <v>87.055167395391194</v>
      </c>
      <c r="L314">
        <f>_xlfn.XLOOKUP(J314,Crime_Data!A:A,Crime_Data!W:W,"")</f>
        <v>14.083489099923572</v>
      </c>
      <c r="M314" t="str">
        <f>TRIM(Table6[[#This Row],[District]])&amp;"|"&amp;TRIM(Table6[[#This Row],[Upazila]])</f>
        <v>Gazipur|Kaliakair</v>
      </c>
      <c r="N314" t="str">
        <f>_xlfn.XLOOKUP(B314,Remittance_Data!A:A,Remittance_Data!B:B,"CHECK")</f>
        <v>CHECK</v>
      </c>
      <c r="O314" t="str">
        <f>_xlfn.XLOOKUP(B314,Remittance_Data!A:A,Remittance_Data!C:C,"CHECK")</f>
        <v>CHECK</v>
      </c>
      <c r="P314" t="str">
        <f>_xlfn.XLOOKUP(B314,Remittance_Data!A:A,Remittance_Data!D:D,"CHECK")</f>
        <v>CHECK</v>
      </c>
    </row>
    <row r="315" spans="1:16">
      <c r="A315" t="s">
        <v>602</v>
      </c>
      <c r="B315" t="str">
        <f>SUBSTITUTE(SUBSTITUTE(SUBSTITUTE(SUBSTITUTE(TRIM(Table6[[#This Row],[Constituency]]),"Barisal","Barishal"),"Jessore","Jashore"),"Bogra","Bogura"),"Chapai Nawabganj","Chapainawabganj")</f>
        <v>Gazipur-3</v>
      </c>
      <c r="C315" t="s">
        <v>1095</v>
      </c>
      <c r="D315" t="s">
        <v>1262</v>
      </c>
      <c r="E315">
        <f>_xlfn.XLOOKUP(C315,Population_data!B:B,Population_data!C:C,"")</f>
        <v>353.67</v>
      </c>
      <c r="F315">
        <f>_xlfn.XLOOKUP(C315,Population_data!B:B,Population_data!D:D,"")</f>
        <v>855204</v>
      </c>
      <c r="G315">
        <f>_xlfn.XLOOKUP(C315,Population_data!B:B,Population_data!E:E,"")</f>
        <v>2418.08</v>
      </c>
      <c r="H315">
        <f>_xlfn.XLOOKUP(C315,Population_data!B:B,Population_data!F:F,"")</f>
        <v>3.34</v>
      </c>
      <c r="I315">
        <f>_xlfn.XLOOKUP(C315,Population_data!B:B,Population_data!G:G,"")</f>
        <v>78.150000000000006</v>
      </c>
      <c r="J315" t="str">
        <f>_xlfn.XLOOKUP(D315,District_Crime_Unit_Map!A:A,District_Crime_Unit_Map!B:B,"")</f>
        <v>Dhaka Range</v>
      </c>
      <c r="K315">
        <f>_xlfn.XLOOKUP(J315,Crime_Data!A:A,Crime_Data!V:V,"")</f>
        <v>87.055167395391194</v>
      </c>
      <c r="L315">
        <f>_xlfn.XLOOKUP(J315,Crime_Data!A:A,Crime_Data!W:W,"")</f>
        <v>14.083489099923572</v>
      </c>
      <c r="M315" t="str">
        <f>TRIM(Table6[[#This Row],[District]])&amp;"|"&amp;TRIM(Table6[[#This Row],[Upazila]])</f>
        <v>Gazipur|Sreepur</v>
      </c>
      <c r="N315" t="str">
        <f>_xlfn.XLOOKUP(B315,Remittance_Data!A:A,Remittance_Data!B:B,"CHECK")</f>
        <v>CHECK</v>
      </c>
      <c r="O315" t="str">
        <f>_xlfn.XLOOKUP(B315,Remittance_Data!A:A,Remittance_Data!C:C,"CHECK")</f>
        <v>CHECK</v>
      </c>
      <c r="P315" t="str">
        <f>_xlfn.XLOOKUP(B315,Remittance_Data!A:A,Remittance_Data!D:D,"CHECK")</f>
        <v>CHECK</v>
      </c>
    </row>
    <row r="316" spans="1:16">
      <c r="A316" t="s">
        <v>605</v>
      </c>
      <c r="B316" t="str">
        <f>SUBSTITUTE(SUBSTITUTE(SUBSTITUTE(SUBSTITUTE(TRIM(Table6[[#This Row],[Constituency]]),"Barisal","Barishal"),"Jessore","Jashore"),"Bogra","Bogura"),"Chapai Nawabganj","Chapainawabganj")</f>
        <v>Gazipur-4</v>
      </c>
      <c r="C316" t="s">
        <v>1264</v>
      </c>
      <c r="D316" t="s">
        <v>1262</v>
      </c>
      <c r="E316">
        <f>_xlfn.XLOOKUP(C316,Population_data!B:B,Population_data!C:C,"")</f>
        <v>356.33</v>
      </c>
      <c r="F316">
        <f>_xlfn.XLOOKUP(C316,Population_data!B:B,Population_data!D:D,"")</f>
        <v>379093</v>
      </c>
      <c r="G316">
        <f>_xlfn.XLOOKUP(C316,Population_data!B:B,Population_data!E:E,"")</f>
        <v>1063.8800000000001</v>
      </c>
      <c r="H316">
        <f>_xlfn.XLOOKUP(C316,Population_data!B:B,Population_data!F:F,"")</f>
        <v>3.83</v>
      </c>
      <c r="I316">
        <f>_xlfn.XLOOKUP(C316,Population_data!B:B,Population_data!G:G,"")</f>
        <v>77.849999999999994</v>
      </c>
      <c r="J316" t="str">
        <f>_xlfn.XLOOKUP(D316,District_Crime_Unit_Map!A:A,District_Crime_Unit_Map!B:B,"")</f>
        <v>Dhaka Range</v>
      </c>
      <c r="K316">
        <f>_xlfn.XLOOKUP(J316,Crime_Data!A:A,Crime_Data!V:V,"")</f>
        <v>87.055167395391194</v>
      </c>
      <c r="L316">
        <f>_xlfn.XLOOKUP(J316,Crime_Data!A:A,Crime_Data!W:W,"")</f>
        <v>14.083489099923572</v>
      </c>
      <c r="M316" t="str">
        <f>TRIM(Table6[[#This Row],[District]])&amp;"|"&amp;TRIM(Table6[[#This Row],[Upazila]])</f>
        <v>Gazipur|Kapasia</v>
      </c>
      <c r="N316" t="str">
        <f>_xlfn.XLOOKUP(B316,Remittance_Data!A:A,Remittance_Data!B:B,"CHECK")</f>
        <v>CHECK</v>
      </c>
      <c r="O316" t="str">
        <f>_xlfn.XLOOKUP(B316,Remittance_Data!A:A,Remittance_Data!C:C,"CHECK")</f>
        <v>CHECK</v>
      </c>
      <c r="P316" t="str">
        <f>_xlfn.XLOOKUP(B316,Remittance_Data!A:A,Remittance_Data!D:D,"CHECK")</f>
        <v>CHECK</v>
      </c>
    </row>
    <row r="317" spans="1:16">
      <c r="A317" t="s">
        <v>608</v>
      </c>
      <c r="B317" t="str">
        <f>SUBSTITUTE(SUBSTITUTE(SUBSTITUTE(SUBSTITUTE(TRIM(Table6[[#This Row],[Constituency]]),"Barisal","Barishal"),"Jessore","Jashore"),"Bogra","Bogura"),"Chapai Nawabganj","Chapainawabganj")</f>
        <v>Gazipur-5</v>
      </c>
      <c r="C317" t="s">
        <v>1265</v>
      </c>
      <c r="D317" t="s">
        <v>1262</v>
      </c>
      <c r="E317">
        <f>_xlfn.XLOOKUP(C317,Population_data!B:B,Population_data!C:C,"")</f>
        <v>174.09</v>
      </c>
      <c r="F317">
        <f>_xlfn.XLOOKUP(C317,Population_data!B:B,Population_data!D:D,"")</f>
        <v>345760</v>
      </c>
      <c r="G317">
        <f>_xlfn.XLOOKUP(C317,Population_data!B:B,Population_data!E:E,"")</f>
        <v>1986.1</v>
      </c>
      <c r="H317">
        <f>_xlfn.XLOOKUP(C317,Population_data!B:B,Population_data!F:F,"")</f>
        <v>3.18</v>
      </c>
      <c r="I317">
        <f>_xlfn.XLOOKUP(C317,Population_data!B:B,Population_data!G:G,"")</f>
        <v>80.680000000000007</v>
      </c>
      <c r="J317" t="str">
        <f>_xlfn.XLOOKUP(D317,District_Crime_Unit_Map!A:A,District_Crime_Unit_Map!B:B,"")</f>
        <v>Dhaka Range</v>
      </c>
      <c r="K317">
        <f>_xlfn.XLOOKUP(J317,Crime_Data!A:A,Crime_Data!V:V,"")</f>
        <v>87.055167395391194</v>
      </c>
      <c r="L317">
        <f>_xlfn.XLOOKUP(J317,Crime_Data!A:A,Crime_Data!W:W,"")</f>
        <v>14.083489099923572</v>
      </c>
      <c r="M317" t="str">
        <f>TRIM(Table6[[#This Row],[District]])&amp;"|"&amp;TRIM(Table6[[#This Row],[Upazila]])</f>
        <v>Gazipur|Gazipur Sadar</v>
      </c>
      <c r="N317" t="str">
        <f>_xlfn.XLOOKUP(B317,Remittance_Data!A:A,Remittance_Data!B:B,"CHECK")</f>
        <v>CHECK</v>
      </c>
      <c r="O317" t="str">
        <f>_xlfn.XLOOKUP(B317,Remittance_Data!A:A,Remittance_Data!C:C,"CHECK")</f>
        <v>CHECK</v>
      </c>
      <c r="P317" t="str">
        <f>_xlfn.XLOOKUP(B317,Remittance_Data!A:A,Remittance_Data!D:D,"CHECK")</f>
        <v>CHECK</v>
      </c>
    </row>
    <row r="318" spans="1:16">
      <c r="A318" t="s">
        <v>611</v>
      </c>
      <c r="B318" t="str">
        <f>SUBSTITUTE(SUBSTITUTE(SUBSTITUTE(SUBSTITUTE(TRIM(Table6[[#This Row],[Constituency]]),"Barisal","Barishal"),"Jessore","Jashore"),"Bogra","Bogura"),"Chapai Nawabganj","Chapainawabganj")</f>
        <v>Narsingdi-1</v>
      </c>
      <c r="C318" t="s">
        <v>1266</v>
      </c>
      <c r="D318" t="s">
        <v>1267</v>
      </c>
      <c r="E318">
        <f>_xlfn.XLOOKUP(C318,Population_data!B:B,Population_data!C:C,"")</f>
        <v>213.78</v>
      </c>
      <c r="F318">
        <f>_xlfn.XLOOKUP(C318,Population_data!B:B,Population_data!D:D,"")</f>
        <v>852310</v>
      </c>
      <c r="G318">
        <f>_xlfn.XLOOKUP(C318,Population_data!B:B,Population_data!E:E,"")</f>
        <v>3986.86</v>
      </c>
      <c r="H318">
        <f>_xlfn.XLOOKUP(C318,Population_data!B:B,Population_data!F:F,"")</f>
        <v>4.04</v>
      </c>
      <c r="I318">
        <f>_xlfn.XLOOKUP(C318,Population_data!B:B,Population_data!G:G,"")</f>
        <v>75.61</v>
      </c>
      <c r="J318" t="str">
        <f>_xlfn.XLOOKUP(D318,District_Crime_Unit_Map!A:A,District_Crime_Unit_Map!B:B,"")</f>
        <v>Dhaka Range</v>
      </c>
      <c r="K318">
        <f>_xlfn.XLOOKUP(J318,Crime_Data!A:A,Crime_Data!V:V,"")</f>
        <v>87.055167395391194</v>
      </c>
      <c r="L318">
        <f>_xlfn.XLOOKUP(J318,Crime_Data!A:A,Crime_Data!W:W,"")</f>
        <v>14.083489099923572</v>
      </c>
      <c r="M318" t="str">
        <f>TRIM(Table6[[#This Row],[District]])&amp;"|"&amp;TRIM(Table6[[#This Row],[Upazila]])</f>
        <v>Narsingdi|Narsingdi Sadar</v>
      </c>
      <c r="N318" t="str">
        <f>_xlfn.XLOOKUP(B318,Remittance_Data!A:A,Remittance_Data!B:B,"CHECK")</f>
        <v>CHECK</v>
      </c>
      <c r="O318" t="str">
        <f>_xlfn.XLOOKUP(B318,Remittance_Data!A:A,Remittance_Data!C:C,"CHECK")</f>
        <v>CHECK</v>
      </c>
      <c r="P318" t="str">
        <f>_xlfn.XLOOKUP(B318,Remittance_Data!A:A,Remittance_Data!D:D,"CHECK")</f>
        <v>CHECK</v>
      </c>
    </row>
    <row r="319" spans="1:16">
      <c r="A319" t="s">
        <v>614</v>
      </c>
      <c r="B319" t="str">
        <f>SUBSTITUTE(SUBSTITUTE(SUBSTITUTE(SUBSTITUTE(TRIM(Table6[[#This Row],[Constituency]]),"Barisal","Barishal"),"Jessore","Jashore"),"Bogra","Bogura"),"Chapai Nawabganj","Chapainawabganj")</f>
        <v>Narsingdi-2</v>
      </c>
      <c r="C319" t="s">
        <v>1268</v>
      </c>
      <c r="D319" t="s">
        <v>1267</v>
      </c>
      <c r="E319">
        <f>_xlfn.XLOOKUP(C319,Population_data!B:B,Population_data!C:C,"")</f>
        <v>123.38</v>
      </c>
      <c r="F319">
        <f>_xlfn.XLOOKUP(C319,Population_data!B:B,Population_data!D:D,"")</f>
        <v>249151</v>
      </c>
      <c r="G319">
        <f>_xlfn.XLOOKUP(C319,Population_data!B:B,Population_data!E:E,"")</f>
        <v>2019.38</v>
      </c>
      <c r="H319">
        <f>_xlfn.XLOOKUP(C319,Population_data!B:B,Population_data!F:F,"")</f>
        <v>3.96</v>
      </c>
      <c r="I319">
        <f>_xlfn.XLOOKUP(C319,Population_data!B:B,Population_data!G:G,"")</f>
        <v>79.349999999999994</v>
      </c>
      <c r="J319" t="str">
        <f>_xlfn.XLOOKUP(D319,District_Crime_Unit_Map!A:A,District_Crime_Unit_Map!B:B,"")</f>
        <v>Dhaka Range</v>
      </c>
      <c r="K319">
        <f>_xlfn.XLOOKUP(J319,Crime_Data!A:A,Crime_Data!V:V,"")</f>
        <v>87.055167395391194</v>
      </c>
      <c r="L319">
        <f>_xlfn.XLOOKUP(J319,Crime_Data!A:A,Crime_Data!W:W,"")</f>
        <v>14.083489099923572</v>
      </c>
      <c r="M319" t="str">
        <f>TRIM(Table6[[#This Row],[District]])&amp;"|"&amp;TRIM(Table6[[#This Row],[Upazila]])</f>
        <v>Narsingdi|Palash</v>
      </c>
      <c r="N319" t="str">
        <f>_xlfn.XLOOKUP(B319,Remittance_Data!A:A,Remittance_Data!B:B,"CHECK")</f>
        <v>CHECK</v>
      </c>
      <c r="O319" t="str">
        <f>_xlfn.XLOOKUP(B319,Remittance_Data!A:A,Remittance_Data!C:C,"CHECK")</f>
        <v>CHECK</v>
      </c>
      <c r="P319" t="str">
        <f>_xlfn.XLOOKUP(B319,Remittance_Data!A:A,Remittance_Data!D:D,"CHECK")</f>
        <v>CHECK</v>
      </c>
    </row>
    <row r="320" spans="1:16">
      <c r="A320" t="s">
        <v>616</v>
      </c>
      <c r="B320" t="str">
        <f>SUBSTITUTE(SUBSTITUTE(SUBSTITUTE(SUBSTITUTE(TRIM(Table6[[#This Row],[Constituency]]),"Barisal","Barishal"),"Jessore","Jashore"),"Bogra","Bogura"),"Chapai Nawabganj","Chapainawabganj")</f>
        <v>Narsingdi-3</v>
      </c>
      <c r="C320" t="s">
        <v>1269</v>
      </c>
      <c r="D320" t="s">
        <v>1267</v>
      </c>
      <c r="E320">
        <f>_xlfn.XLOOKUP(C320,Population_data!B:B,Population_data!C:C,"")</f>
        <v>247.26</v>
      </c>
      <c r="F320">
        <f>_xlfn.XLOOKUP(C320,Population_data!B:B,Population_data!D:D,"")</f>
        <v>360123</v>
      </c>
      <c r="G320">
        <f>_xlfn.XLOOKUP(C320,Population_data!B:B,Population_data!E:E,"")</f>
        <v>1456.45</v>
      </c>
      <c r="H320">
        <f>_xlfn.XLOOKUP(C320,Population_data!B:B,Population_data!F:F,"")</f>
        <v>4.05</v>
      </c>
      <c r="I320">
        <f>_xlfn.XLOOKUP(C320,Population_data!B:B,Population_data!G:G,"")</f>
        <v>76.959999999999994</v>
      </c>
      <c r="J320" t="str">
        <f>_xlfn.XLOOKUP(D320,District_Crime_Unit_Map!A:A,District_Crime_Unit_Map!B:B,"")</f>
        <v>Dhaka Range</v>
      </c>
      <c r="K320">
        <f>_xlfn.XLOOKUP(J320,Crime_Data!A:A,Crime_Data!V:V,"")</f>
        <v>87.055167395391194</v>
      </c>
      <c r="L320">
        <f>_xlfn.XLOOKUP(J320,Crime_Data!A:A,Crime_Data!W:W,"")</f>
        <v>14.083489099923572</v>
      </c>
      <c r="M320" t="str">
        <f>TRIM(Table6[[#This Row],[District]])&amp;"|"&amp;TRIM(Table6[[#This Row],[Upazila]])</f>
        <v>Narsingdi|Shibpur</v>
      </c>
      <c r="N320" t="str">
        <f>_xlfn.XLOOKUP(B320,Remittance_Data!A:A,Remittance_Data!B:B,"CHECK")</f>
        <v>CHECK</v>
      </c>
      <c r="O320" t="str">
        <f>_xlfn.XLOOKUP(B320,Remittance_Data!A:A,Remittance_Data!C:C,"CHECK")</f>
        <v>CHECK</v>
      </c>
      <c r="P320" t="str">
        <f>_xlfn.XLOOKUP(B320,Remittance_Data!A:A,Remittance_Data!D:D,"CHECK")</f>
        <v>CHECK</v>
      </c>
    </row>
    <row r="321" spans="1:16">
      <c r="A321" t="s">
        <v>619</v>
      </c>
      <c r="B321" t="str">
        <f>SUBSTITUTE(SUBSTITUTE(SUBSTITUTE(SUBSTITUTE(TRIM(Table6[[#This Row],[Constituency]]),"Barisal","Barishal"),"Jessore","Jashore"),"Bogra","Bogura"),"Chapai Nawabganj","Chapainawabganj")</f>
        <v>Narsingdi-4</v>
      </c>
      <c r="C321" t="s">
        <v>1270</v>
      </c>
      <c r="D321" t="s">
        <v>1267</v>
      </c>
      <c r="E321">
        <f>_xlfn.XLOOKUP(C321,Population_data!B:B,Population_data!C:C,"")</f>
        <v>129.47999999999999</v>
      </c>
      <c r="F321">
        <f>_xlfn.XLOOKUP(C321,Population_data!B:B,Population_data!D:D,"")</f>
        <v>213587</v>
      </c>
      <c r="G321">
        <f>_xlfn.XLOOKUP(C321,Population_data!B:B,Population_data!E:E,"")</f>
        <v>1649.58</v>
      </c>
      <c r="H321">
        <f>_xlfn.XLOOKUP(C321,Population_data!B:B,Population_data!F:F,"")</f>
        <v>4.12</v>
      </c>
      <c r="I321">
        <f>_xlfn.XLOOKUP(C321,Population_data!B:B,Population_data!G:G,"")</f>
        <v>73.5</v>
      </c>
      <c r="J321" t="str">
        <f>_xlfn.XLOOKUP(D321,District_Crime_Unit_Map!A:A,District_Crime_Unit_Map!B:B,"")</f>
        <v>Dhaka Range</v>
      </c>
      <c r="K321">
        <f>_xlfn.XLOOKUP(J321,Crime_Data!A:A,Crime_Data!V:V,"")</f>
        <v>87.055167395391194</v>
      </c>
      <c r="L321">
        <f>_xlfn.XLOOKUP(J321,Crime_Data!A:A,Crime_Data!W:W,"")</f>
        <v>14.083489099923572</v>
      </c>
      <c r="M321" t="str">
        <f>TRIM(Table6[[#This Row],[District]])&amp;"|"&amp;TRIM(Table6[[#This Row],[Upazila]])</f>
        <v>Narsingdi|Belabo</v>
      </c>
      <c r="N321" t="str">
        <f>_xlfn.XLOOKUP(B321,Remittance_Data!A:A,Remittance_Data!B:B,"CHECK")</f>
        <v>CHECK</v>
      </c>
      <c r="O321" t="str">
        <f>_xlfn.XLOOKUP(B321,Remittance_Data!A:A,Remittance_Data!C:C,"CHECK")</f>
        <v>CHECK</v>
      </c>
      <c r="P321" t="str">
        <f>_xlfn.XLOOKUP(B321,Remittance_Data!A:A,Remittance_Data!D:D,"CHECK")</f>
        <v>CHECK</v>
      </c>
    </row>
    <row r="322" spans="1:16">
      <c r="A322" t="s">
        <v>619</v>
      </c>
      <c r="B322" t="str">
        <f>SUBSTITUTE(SUBSTITUTE(SUBSTITUTE(SUBSTITUTE(TRIM(Table6[[#This Row],[Constituency]]),"Barisal","Barishal"),"Jessore","Jashore"),"Bogra","Bogura"),"Chapai Nawabganj","Chapainawabganj")</f>
        <v>Narsingdi-4</v>
      </c>
      <c r="C322" t="s">
        <v>1271</v>
      </c>
      <c r="D322" t="s">
        <v>1267</v>
      </c>
      <c r="E322">
        <f>_xlfn.XLOOKUP(C322,Population_data!B:B,Population_data!C:C,"")</f>
        <v>154.65</v>
      </c>
      <c r="F322">
        <f>_xlfn.XLOOKUP(C322,Population_data!B:B,Population_data!D:D,"")</f>
        <v>298603</v>
      </c>
      <c r="G322">
        <f>_xlfn.XLOOKUP(C322,Population_data!B:B,Population_data!E:E,"")</f>
        <v>1930.83</v>
      </c>
      <c r="H322">
        <f>_xlfn.XLOOKUP(C322,Population_data!B:B,Population_data!F:F,"")</f>
        <v>3.88</v>
      </c>
      <c r="I322">
        <f>_xlfn.XLOOKUP(C322,Population_data!B:B,Population_data!G:G,"")</f>
        <v>75.3</v>
      </c>
      <c r="J322" t="str">
        <f>_xlfn.XLOOKUP(D322,District_Crime_Unit_Map!A:A,District_Crime_Unit_Map!B:B,"")</f>
        <v>Dhaka Range</v>
      </c>
      <c r="K322">
        <f>_xlfn.XLOOKUP(J322,Crime_Data!A:A,Crime_Data!V:V,"")</f>
        <v>87.055167395391194</v>
      </c>
      <c r="L322">
        <f>_xlfn.XLOOKUP(J322,Crime_Data!A:A,Crime_Data!W:W,"")</f>
        <v>14.083489099923572</v>
      </c>
      <c r="M322" t="str">
        <f>TRIM(Table6[[#This Row],[District]])&amp;"|"&amp;TRIM(Table6[[#This Row],[Upazila]])</f>
        <v>Narsingdi|Monohardi</v>
      </c>
      <c r="N322" t="str">
        <f>_xlfn.XLOOKUP(B322,Remittance_Data!A:A,Remittance_Data!B:B,"CHECK")</f>
        <v>CHECK</v>
      </c>
      <c r="O322" t="str">
        <f>_xlfn.XLOOKUP(B322,Remittance_Data!A:A,Remittance_Data!C:C,"CHECK")</f>
        <v>CHECK</v>
      </c>
      <c r="P322" t="str">
        <f>_xlfn.XLOOKUP(B322,Remittance_Data!A:A,Remittance_Data!D:D,"CHECK")</f>
        <v>CHECK</v>
      </c>
    </row>
    <row r="323" spans="1:16">
      <c r="A323" t="s">
        <v>622</v>
      </c>
      <c r="B323" t="str">
        <f>SUBSTITUTE(SUBSTITUTE(SUBSTITUTE(SUBSTITUTE(TRIM(Table6[[#This Row],[Constituency]]),"Barisal","Barishal"),"Jessore","Jashore"),"Bogra","Bogura"),"Chapai Nawabganj","Chapainawabganj")</f>
        <v>Narsingdi-5</v>
      </c>
      <c r="C323" t="s">
        <v>1272</v>
      </c>
      <c r="D323" t="s">
        <v>1267</v>
      </c>
      <c r="E323">
        <f>_xlfn.XLOOKUP(C323,Population_data!B:B,Population_data!C:C,"")</f>
        <v>312.77</v>
      </c>
      <c r="F323">
        <f>_xlfn.XLOOKUP(C323,Population_data!B:B,Population_data!D:D,"")</f>
        <v>610561</v>
      </c>
      <c r="G323">
        <f>_xlfn.XLOOKUP(C323,Population_data!B:B,Population_data!E:E,"")</f>
        <v>1952.11</v>
      </c>
      <c r="H323">
        <f>_xlfn.XLOOKUP(C323,Population_data!B:B,Population_data!F:F,"")</f>
        <v>4.33</v>
      </c>
      <c r="I323">
        <f>_xlfn.XLOOKUP(C323,Population_data!B:B,Population_data!G:G,"")</f>
        <v>70.67</v>
      </c>
      <c r="J323" t="str">
        <f>_xlfn.XLOOKUP(D323,District_Crime_Unit_Map!A:A,District_Crime_Unit_Map!B:B,"")</f>
        <v>Dhaka Range</v>
      </c>
      <c r="K323">
        <f>_xlfn.XLOOKUP(J323,Crime_Data!A:A,Crime_Data!V:V,"")</f>
        <v>87.055167395391194</v>
      </c>
      <c r="L323">
        <f>_xlfn.XLOOKUP(J323,Crime_Data!A:A,Crime_Data!W:W,"")</f>
        <v>14.083489099923572</v>
      </c>
      <c r="M323" t="str">
        <f>TRIM(Table6[[#This Row],[District]])&amp;"|"&amp;TRIM(Table6[[#This Row],[Upazila]])</f>
        <v>Narsingdi|Raipura</v>
      </c>
      <c r="N323" t="str">
        <f>_xlfn.XLOOKUP(B323,Remittance_Data!A:A,Remittance_Data!B:B,"CHECK")</f>
        <v>CHECK</v>
      </c>
      <c r="O323" t="str">
        <f>_xlfn.XLOOKUP(B323,Remittance_Data!A:A,Remittance_Data!C:C,"CHECK")</f>
        <v>CHECK</v>
      </c>
      <c r="P323" t="str">
        <f>_xlfn.XLOOKUP(B323,Remittance_Data!A:A,Remittance_Data!D:D,"CHECK")</f>
        <v>CHECK</v>
      </c>
    </row>
    <row r="324" spans="1:16">
      <c r="A324" t="s">
        <v>625</v>
      </c>
      <c r="B324" t="str">
        <f>SUBSTITUTE(SUBSTITUTE(SUBSTITUTE(SUBSTITUTE(TRIM(Table6[[#This Row],[Constituency]]),"Barisal","Barishal"),"Jessore","Jashore"),"Bogra","Bogura"),"Chapai Nawabganj","Chapainawabganj")</f>
        <v>Narayanganj-1</v>
      </c>
      <c r="C324" t="s">
        <v>1273</v>
      </c>
      <c r="D324" t="s">
        <v>1274</v>
      </c>
      <c r="E324">
        <f>_xlfn.XLOOKUP(C324,Population_data!B:B,Population_data!C:C,"")</f>
        <v>247.37</v>
      </c>
      <c r="F324">
        <f>_xlfn.XLOOKUP(C324,Population_data!B:B,Population_data!D:D,"")</f>
        <v>704828</v>
      </c>
      <c r="G324">
        <f>_xlfn.XLOOKUP(C324,Population_data!B:B,Population_data!E:E,"")</f>
        <v>2849.29</v>
      </c>
      <c r="H324">
        <f>_xlfn.XLOOKUP(C324,Population_data!B:B,Population_data!F:F,"")</f>
        <v>3.71</v>
      </c>
      <c r="I324">
        <f>_xlfn.XLOOKUP(C324,Population_data!B:B,Population_data!G:G,"")</f>
        <v>78.7</v>
      </c>
      <c r="J324" t="str">
        <f>_xlfn.XLOOKUP(D324,District_Crime_Unit_Map!A:A,District_Crime_Unit_Map!B:B,"")</f>
        <v>Dhaka Range</v>
      </c>
      <c r="K324">
        <f>_xlfn.XLOOKUP(J324,Crime_Data!A:A,Crime_Data!V:V,"")</f>
        <v>87.055167395391194</v>
      </c>
      <c r="L324">
        <f>_xlfn.XLOOKUP(J324,Crime_Data!A:A,Crime_Data!W:W,"")</f>
        <v>14.083489099923572</v>
      </c>
      <c r="M324" t="str">
        <f>TRIM(Table6[[#This Row],[District]])&amp;"|"&amp;TRIM(Table6[[#This Row],[Upazila]])</f>
        <v>Narayanganj|Rupganj</v>
      </c>
      <c r="N324" t="str">
        <f>_xlfn.XLOOKUP(B324,Remittance_Data!A:A,Remittance_Data!B:B,"CHECK")</f>
        <v>CHECK</v>
      </c>
      <c r="O324" t="str">
        <f>_xlfn.XLOOKUP(B324,Remittance_Data!A:A,Remittance_Data!C:C,"CHECK")</f>
        <v>CHECK</v>
      </c>
      <c r="P324" t="str">
        <f>_xlfn.XLOOKUP(B324,Remittance_Data!A:A,Remittance_Data!D:D,"CHECK")</f>
        <v>CHECK</v>
      </c>
    </row>
    <row r="325" spans="1:16">
      <c r="A325" t="s">
        <v>628</v>
      </c>
      <c r="B325" t="str">
        <f>SUBSTITUTE(SUBSTITUTE(SUBSTITUTE(SUBSTITUTE(TRIM(Table6[[#This Row],[Constituency]]),"Barisal","Barishal"),"Jessore","Jashore"),"Bogra","Bogura"),"Chapai Nawabganj","Chapainawabganj")</f>
        <v>Narayanganj-2</v>
      </c>
      <c r="C325" t="s">
        <v>1275</v>
      </c>
      <c r="D325" t="s">
        <v>1274</v>
      </c>
      <c r="E325">
        <f>_xlfn.XLOOKUP(C325,Population_data!B:B,Population_data!C:C,"")</f>
        <v>183.14</v>
      </c>
      <c r="F325">
        <f>_xlfn.XLOOKUP(C325,Population_data!B:B,Population_data!D:D,"")</f>
        <v>467514</v>
      </c>
      <c r="G325">
        <f>_xlfn.XLOOKUP(C325,Population_data!B:B,Population_data!E:E,"")</f>
        <v>2552.77</v>
      </c>
      <c r="H325">
        <f>_xlfn.XLOOKUP(C325,Population_data!B:B,Population_data!F:F,"")</f>
        <v>4.1500000000000004</v>
      </c>
      <c r="I325">
        <f>_xlfn.XLOOKUP(C325,Population_data!B:B,Population_data!G:G,"")</f>
        <v>69.34</v>
      </c>
      <c r="J325" t="str">
        <f>_xlfn.XLOOKUP(D325,District_Crime_Unit_Map!A:A,District_Crime_Unit_Map!B:B,"")</f>
        <v>Dhaka Range</v>
      </c>
      <c r="K325">
        <f>_xlfn.XLOOKUP(J325,Crime_Data!A:A,Crime_Data!V:V,"")</f>
        <v>87.055167395391194</v>
      </c>
      <c r="L325">
        <f>_xlfn.XLOOKUP(J325,Crime_Data!A:A,Crime_Data!W:W,"")</f>
        <v>14.083489099923572</v>
      </c>
      <c r="M325" t="str">
        <f>TRIM(Table6[[#This Row],[District]])&amp;"|"&amp;TRIM(Table6[[#This Row],[Upazila]])</f>
        <v>Narayanganj|Araihazar</v>
      </c>
      <c r="N325" t="str">
        <f>_xlfn.XLOOKUP(B325,Remittance_Data!A:A,Remittance_Data!B:B,"CHECK")</f>
        <v>CHECK</v>
      </c>
      <c r="O325" t="str">
        <f>_xlfn.XLOOKUP(B325,Remittance_Data!A:A,Remittance_Data!C:C,"CHECK")</f>
        <v>CHECK</v>
      </c>
      <c r="P325" t="str">
        <f>_xlfn.XLOOKUP(B325,Remittance_Data!A:A,Remittance_Data!D:D,"CHECK")</f>
        <v>CHECK</v>
      </c>
    </row>
    <row r="326" spans="1:16">
      <c r="A326" t="s">
        <v>631</v>
      </c>
      <c r="B326" t="str">
        <f>SUBSTITUTE(SUBSTITUTE(SUBSTITUTE(SUBSTITUTE(TRIM(Table6[[#This Row],[Constituency]]),"Barisal","Barishal"),"Jessore","Jashore"),"Bogra","Bogura"),"Chapai Nawabganj","Chapainawabganj")</f>
        <v>Narayanganj-3</v>
      </c>
      <c r="C326" t="s">
        <v>1276</v>
      </c>
      <c r="D326" t="s">
        <v>1274</v>
      </c>
      <c r="E326">
        <f>_xlfn.XLOOKUP(C326,Population_data!B:B,Population_data!C:C,"")</f>
        <v>171.66</v>
      </c>
      <c r="F326">
        <f>_xlfn.XLOOKUP(C326,Population_data!B:B,Population_data!D:D,"")</f>
        <v>551821</v>
      </c>
      <c r="G326">
        <f>_xlfn.XLOOKUP(C326,Population_data!B:B,Population_data!E:E,"")</f>
        <v>3214.62</v>
      </c>
      <c r="H326">
        <f>_xlfn.XLOOKUP(C326,Population_data!B:B,Population_data!F:F,"")</f>
        <v>3.82</v>
      </c>
      <c r="I326">
        <f>_xlfn.XLOOKUP(C326,Population_data!B:B,Population_data!G:G,"")</f>
        <v>78.040000000000006</v>
      </c>
      <c r="J326" t="str">
        <f>_xlfn.XLOOKUP(D326,District_Crime_Unit_Map!A:A,District_Crime_Unit_Map!B:B,"")</f>
        <v>Dhaka Range</v>
      </c>
      <c r="K326">
        <f>_xlfn.XLOOKUP(J326,Crime_Data!A:A,Crime_Data!V:V,"")</f>
        <v>87.055167395391194</v>
      </c>
      <c r="L326">
        <f>_xlfn.XLOOKUP(J326,Crime_Data!A:A,Crime_Data!W:W,"")</f>
        <v>14.083489099923572</v>
      </c>
      <c r="M326" t="str">
        <f>TRIM(Table6[[#This Row],[District]])&amp;"|"&amp;TRIM(Table6[[#This Row],[Upazila]])</f>
        <v>Narayanganj|Sonargaon</v>
      </c>
      <c r="N326" t="str">
        <f>_xlfn.XLOOKUP(B326,Remittance_Data!A:A,Remittance_Data!B:B,"CHECK")</f>
        <v>CHECK</v>
      </c>
      <c r="O326" t="str">
        <f>_xlfn.XLOOKUP(B326,Remittance_Data!A:A,Remittance_Data!C:C,"CHECK")</f>
        <v>CHECK</v>
      </c>
      <c r="P326" t="str">
        <f>_xlfn.XLOOKUP(B326,Remittance_Data!A:A,Remittance_Data!D:D,"CHECK")</f>
        <v>CHECK</v>
      </c>
    </row>
    <row r="327" spans="1:16">
      <c r="A327" t="s">
        <v>634</v>
      </c>
      <c r="B327" t="str">
        <f>SUBSTITUTE(SUBSTITUTE(SUBSTITUTE(SUBSTITUTE(TRIM(Table6[[#This Row],[Constituency]]),"Barisal","Barishal"),"Jessore","Jashore"),"Bogra","Bogura"),"Chapai Nawabganj","Chapainawabganj")</f>
        <v>Narayanganj-4</v>
      </c>
      <c r="C327" t="s">
        <v>1278</v>
      </c>
      <c r="D327" t="s">
        <v>1274</v>
      </c>
      <c r="E327">
        <f>_xlfn.XLOOKUP(C327,Population_data!B:B,Population_data!C:C,"")</f>
        <v>259.57</v>
      </c>
      <c r="F327">
        <f>_xlfn.XLOOKUP(C327,Population_data!B:B,Population_data!D:D,"")</f>
        <v>1012080</v>
      </c>
      <c r="G327">
        <f>_xlfn.XLOOKUP(C327,Population_data!B:B,Population_data!E:E,"")</f>
        <v>3899.06</v>
      </c>
      <c r="H327">
        <f>_xlfn.XLOOKUP(C327,Population_data!B:B,Population_data!F:F,"")</f>
        <v>3.65</v>
      </c>
      <c r="I327">
        <f>_xlfn.XLOOKUP(C327,Population_data!B:B,Population_data!G:G,"")</f>
        <v>80.59</v>
      </c>
      <c r="J327" t="str">
        <f>_xlfn.XLOOKUP(D327,District_Crime_Unit_Map!A:A,District_Crime_Unit_Map!B:B,"")</f>
        <v>Dhaka Range</v>
      </c>
      <c r="K327">
        <f>_xlfn.XLOOKUP(J327,Crime_Data!A:A,Crime_Data!V:V,"")</f>
        <v>87.055167395391194</v>
      </c>
      <c r="L327">
        <f>_xlfn.XLOOKUP(J327,Crime_Data!A:A,Crime_Data!W:W,"")</f>
        <v>14.083489099923572</v>
      </c>
      <c r="M327" t="str">
        <f>TRIM(Table6[[#This Row],[District]])&amp;"|"&amp;TRIM(Table6[[#This Row],[Upazila]])</f>
        <v>Narayanganj|Narayanganj Sadar</v>
      </c>
      <c r="N327" t="str">
        <f>_xlfn.XLOOKUP(B327,Remittance_Data!A:A,Remittance_Data!B:B,"CHECK")</f>
        <v>CHECK</v>
      </c>
      <c r="O327" t="str">
        <f>_xlfn.XLOOKUP(B327,Remittance_Data!A:A,Remittance_Data!C:C,"CHECK")</f>
        <v>CHECK</v>
      </c>
      <c r="P327" t="str">
        <f>_xlfn.XLOOKUP(B327,Remittance_Data!A:A,Remittance_Data!D:D,"CHECK")</f>
        <v>CHECK</v>
      </c>
    </row>
    <row r="328" spans="1:16">
      <c r="A328" t="s">
        <v>637</v>
      </c>
      <c r="B328" t="str">
        <f>SUBSTITUTE(SUBSTITUTE(SUBSTITUTE(SUBSTITUTE(TRIM(Table6[[#This Row],[Constituency]]),"Barisal","Barishal"),"Jessore","Jashore"),"Bogra","Bogura"),"Chapai Nawabganj","Chapainawabganj")</f>
        <v>Narayanganj-5</v>
      </c>
      <c r="C328" t="s">
        <v>1278</v>
      </c>
      <c r="D328" t="s">
        <v>1274</v>
      </c>
      <c r="E328">
        <f>_xlfn.XLOOKUP(C328,Population_data!B:B,Population_data!C:C,"")</f>
        <v>259.57</v>
      </c>
      <c r="F328">
        <f>_xlfn.XLOOKUP(C328,Population_data!B:B,Population_data!D:D,"")</f>
        <v>1012080</v>
      </c>
      <c r="G328">
        <f>_xlfn.XLOOKUP(C328,Population_data!B:B,Population_data!E:E,"")</f>
        <v>3899.06</v>
      </c>
      <c r="H328">
        <f>_xlfn.XLOOKUP(C328,Population_data!B:B,Population_data!F:F,"")</f>
        <v>3.65</v>
      </c>
      <c r="I328">
        <f>_xlfn.XLOOKUP(C328,Population_data!B:B,Population_data!G:G,"")</f>
        <v>80.59</v>
      </c>
      <c r="J328" t="str">
        <f>_xlfn.XLOOKUP(D328,District_Crime_Unit_Map!A:A,District_Crime_Unit_Map!B:B,"")</f>
        <v>Dhaka Range</v>
      </c>
      <c r="K328">
        <f>_xlfn.XLOOKUP(J328,Crime_Data!A:A,Crime_Data!V:V,"")</f>
        <v>87.055167395391194</v>
      </c>
      <c r="L328">
        <f>_xlfn.XLOOKUP(J328,Crime_Data!A:A,Crime_Data!W:W,"")</f>
        <v>14.083489099923572</v>
      </c>
      <c r="M328" t="str">
        <f>TRIM(Table6[[#This Row],[District]])&amp;"|"&amp;TRIM(Table6[[#This Row],[Upazila]])</f>
        <v>Narayanganj|Narayanganj Sadar</v>
      </c>
      <c r="N328" t="str">
        <f>_xlfn.XLOOKUP(B328,Remittance_Data!A:A,Remittance_Data!B:B,"CHECK")</f>
        <v>CHECK</v>
      </c>
      <c r="O328" t="str">
        <f>_xlfn.XLOOKUP(B328,Remittance_Data!A:A,Remittance_Data!C:C,"CHECK")</f>
        <v>CHECK</v>
      </c>
      <c r="P328" t="str">
        <f>_xlfn.XLOOKUP(B328,Remittance_Data!A:A,Remittance_Data!D:D,"CHECK")</f>
        <v>CHECK</v>
      </c>
    </row>
    <row r="329" spans="1:16">
      <c r="A329" t="s">
        <v>640</v>
      </c>
      <c r="B329" t="str">
        <f>SUBSTITUTE(SUBSTITUTE(SUBSTITUTE(SUBSTITUTE(TRIM(Table6[[#This Row],[Constituency]]),"Barisal","Barishal"),"Jessore","Jashore"),"Bogra","Bogura"),"Chapai Nawabganj","Chapainawabganj")</f>
        <v>Rajbari-1</v>
      </c>
      <c r="C329" t="s">
        <v>1279</v>
      </c>
      <c r="D329" t="s">
        <v>1280</v>
      </c>
      <c r="E329">
        <f>_xlfn.XLOOKUP(C329,Population_data!B:B,Population_data!C:C,"")</f>
        <v>192.42</v>
      </c>
      <c r="F329">
        <f>_xlfn.XLOOKUP(C329,Population_data!B:B,Population_data!D:D,"")</f>
        <v>274097</v>
      </c>
      <c r="G329">
        <f>_xlfn.XLOOKUP(C329,Population_data!B:B,Population_data!E:E,"")</f>
        <v>1424.47</v>
      </c>
      <c r="H329">
        <f>_xlfn.XLOOKUP(C329,Population_data!B:B,Population_data!F:F,"")</f>
        <v>3.9</v>
      </c>
      <c r="I329">
        <f>_xlfn.XLOOKUP(C329,Population_data!B:B,Population_data!G:G,"")</f>
        <v>65.91</v>
      </c>
      <c r="J329" t="str">
        <f>_xlfn.XLOOKUP(D329,District_Crime_Unit_Map!A:A,District_Crime_Unit_Map!B:B,"")</f>
        <v>Dhaka Range</v>
      </c>
      <c r="K329">
        <f>_xlfn.XLOOKUP(J329,Crime_Data!A:A,Crime_Data!V:V,"")</f>
        <v>87.055167395391194</v>
      </c>
      <c r="L329">
        <f>_xlfn.XLOOKUP(J329,Crime_Data!A:A,Crime_Data!W:W,"")</f>
        <v>14.083489099923572</v>
      </c>
      <c r="M329" t="str">
        <f>TRIM(Table6[[#This Row],[District]])&amp;"|"&amp;TRIM(Table6[[#This Row],[Upazila]])</f>
        <v>Rajbari|Pangsha</v>
      </c>
      <c r="N329" t="str">
        <f>_xlfn.XLOOKUP(B329,Remittance_Data!A:A,Remittance_Data!B:B,"CHECK")</f>
        <v>CHECK</v>
      </c>
      <c r="O329" t="str">
        <f>_xlfn.XLOOKUP(B329,Remittance_Data!A:A,Remittance_Data!C:C,"CHECK")</f>
        <v>CHECK</v>
      </c>
      <c r="P329" t="str">
        <f>_xlfn.XLOOKUP(B329,Remittance_Data!A:A,Remittance_Data!D:D,"CHECK")</f>
        <v>CHECK</v>
      </c>
    </row>
    <row r="330" spans="1:16">
      <c r="A330" t="s">
        <v>640</v>
      </c>
      <c r="B330" t="str">
        <f>SUBSTITUTE(SUBSTITUTE(SUBSTITUTE(SUBSTITUTE(TRIM(Table6[[#This Row],[Constituency]]),"Barisal","Barishal"),"Jessore","Jashore"),"Bogra","Bogura"),"Chapai Nawabganj","Chapainawabganj")</f>
        <v>Rajbari-1</v>
      </c>
      <c r="C330" t="s">
        <v>1281</v>
      </c>
      <c r="D330" t="s">
        <v>1280</v>
      </c>
      <c r="E330">
        <f>_xlfn.XLOOKUP(C330,Population_data!B:B,Population_data!C:C,"")</f>
        <v>239.29</v>
      </c>
      <c r="F330">
        <f>_xlfn.XLOOKUP(C330,Population_data!B:B,Population_data!D:D,"")</f>
        <v>230011</v>
      </c>
      <c r="G330">
        <f>_xlfn.XLOOKUP(C330,Population_data!B:B,Population_data!E:E,"")</f>
        <v>961.22</v>
      </c>
      <c r="H330">
        <f>_xlfn.XLOOKUP(C330,Population_data!B:B,Population_data!F:F,"")</f>
        <v>4.1399999999999997</v>
      </c>
      <c r="I330">
        <f>_xlfn.XLOOKUP(C330,Population_data!B:B,Population_data!G:G,"")</f>
        <v>70.56</v>
      </c>
      <c r="J330" t="str">
        <f>_xlfn.XLOOKUP(D330,District_Crime_Unit_Map!A:A,District_Crime_Unit_Map!B:B,"")</f>
        <v>Dhaka Range</v>
      </c>
      <c r="K330">
        <f>_xlfn.XLOOKUP(J330,Crime_Data!A:A,Crime_Data!V:V,"")</f>
        <v>87.055167395391194</v>
      </c>
      <c r="L330">
        <f>_xlfn.XLOOKUP(J330,Crime_Data!A:A,Crime_Data!W:W,"")</f>
        <v>14.083489099923572</v>
      </c>
      <c r="M330" t="str">
        <f>TRIM(Table6[[#This Row],[District]])&amp;"|"&amp;TRIM(Table6[[#This Row],[Upazila]])</f>
        <v>Rajbari|Baliakandi</v>
      </c>
      <c r="N330" t="str">
        <f>_xlfn.XLOOKUP(B330,Remittance_Data!A:A,Remittance_Data!B:B,"CHECK")</f>
        <v>CHECK</v>
      </c>
      <c r="O330" t="str">
        <f>_xlfn.XLOOKUP(B330,Remittance_Data!A:A,Remittance_Data!C:C,"CHECK")</f>
        <v>CHECK</v>
      </c>
      <c r="P330" t="str">
        <f>_xlfn.XLOOKUP(B330,Remittance_Data!A:A,Remittance_Data!D:D,"CHECK")</f>
        <v>CHECK</v>
      </c>
    </row>
    <row r="331" spans="1:16">
      <c r="A331" t="s">
        <v>642</v>
      </c>
      <c r="B331" t="str">
        <f>SUBSTITUTE(SUBSTITUTE(SUBSTITUTE(SUBSTITUTE(TRIM(Table6[[#This Row],[Constituency]]),"Barisal","Barishal"),"Jessore","Jashore"),"Bogra","Bogura"),"Chapai Nawabganj","Chapainawabganj")</f>
        <v>Rajbari-2</v>
      </c>
      <c r="C331" t="s">
        <v>1282</v>
      </c>
      <c r="D331" t="s">
        <v>1280</v>
      </c>
      <c r="E331">
        <f>_xlfn.XLOOKUP(C331,Population_data!B:B,Population_data!C:C,"")</f>
        <v>247.29</v>
      </c>
      <c r="F331">
        <f>_xlfn.XLOOKUP(C331,Population_data!B:B,Population_data!D:D,"")</f>
        <v>384521</v>
      </c>
      <c r="G331">
        <f>_xlfn.XLOOKUP(C331,Population_data!B:B,Population_data!E:E,"")</f>
        <v>1554.94</v>
      </c>
      <c r="H331">
        <f>_xlfn.XLOOKUP(C331,Population_data!B:B,Population_data!F:F,"")</f>
        <v>3.94</v>
      </c>
      <c r="I331">
        <f>_xlfn.XLOOKUP(C331,Population_data!B:B,Population_data!G:G,"")</f>
        <v>73.150000000000006</v>
      </c>
      <c r="J331" t="str">
        <f>_xlfn.XLOOKUP(D331,District_Crime_Unit_Map!A:A,District_Crime_Unit_Map!B:B,"")</f>
        <v>Dhaka Range</v>
      </c>
      <c r="K331">
        <f>_xlfn.XLOOKUP(J331,Crime_Data!A:A,Crime_Data!V:V,"")</f>
        <v>87.055167395391194</v>
      </c>
      <c r="L331">
        <f>_xlfn.XLOOKUP(J331,Crime_Data!A:A,Crime_Data!W:W,"")</f>
        <v>14.083489099923572</v>
      </c>
      <c r="M331" t="str">
        <f>TRIM(Table6[[#This Row],[District]])&amp;"|"&amp;TRIM(Table6[[#This Row],[Upazila]])</f>
        <v>Rajbari|Rajbari Sadar</v>
      </c>
      <c r="N331" t="str">
        <f>_xlfn.XLOOKUP(B331,Remittance_Data!A:A,Remittance_Data!B:B,"CHECK")</f>
        <v>CHECK</v>
      </c>
      <c r="O331" t="str">
        <f>_xlfn.XLOOKUP(B331,Remittance_Data!A:A,Remittance_Data!C:C,"CHECK")</f>
        <v>CHECK</v>
      </c>
      <c r="P331" t="str">
        <f>_xlfn.XLOOKUP(B331,Remittance_Data!A:A,Remittance_Data!D:D,"CHECK")</f>
        <v>CHECK</v>
      </c>
    </row>
    <row r="332" spans="1:16">
      <c r="A332" t="s">
        <v>642</v>
      </c>
      <c r="B332" t="str">
        <f>SUBSTITUTE(SUBSTITUTE(SUBSTITUTE(SUBSTITUTE(TRIM(Table6[[#This Row],[Constituency]]),"Barisal","Barishal"),"Jessore","Jashore"),"Bogra","Bogura"),"Chapai Nawabganj","Chapainawabganj")</f>
        <v>Rajbari-2</v>
      </c>
      <c r="C332" t="s">
        <v>1283</v>
      </c>
      <c r="D332" t="s">
        <v>1280</v>
      </c>
      <c r="E332">
        <f>_xlfn.XLOOKUP(C332,Population_data!B:B,Population_data!C:C,"")</f>
        <v>34.549999999999997</v>
      </c>
      <c r="F332">
        <f>_xlfn.XLOOKUP(C332,Population_data!B:B,Population_data!D:D,"")</f>
        <v>128777</v>
      </c>
      <c r="G332">
        <f>_xlfn.XLOOKUP(C332,Population_data!B:B,Population_data!E:E,"")</f>
        <v>3727.26</v>
      </c>
      <c r="H332">
        <f>_xlfn.XLOOKUP(C332,Population_data!B:B,Population_data!F:F,"")</f>
        <v>4.0999999999999996</v>
      </c>
      <c r="I332">
        <f>_xlfn.XLOOKUP(C332,Population_data!B:B,Population_data!G:G,"")</f>
        <v>67.52</v>
      </c>
      <c r="J332" t="str">
        <f>_xlfn.XLOOKUP(D332,District_Crime_Unit_Map!A:A,District_Crime_Unit_Map!B:B,"")</f>
        <v>Dhaka Range</v>
      </c>
      <c r="K332">
        <f>_xlfn.XLOOKUP(J332,Crime_Data!A:A,Crime_Data!V:V,"")</f>
        <v>87.055167395391194</v>
      </c>
      <c r="L332">
        <f>_xlfn.XLOOKUP(J332,Crime_Data!A:A,Crime_Data!W:W,"")</f>
        <v>14.083489099923572</v>
      </c>
      <c r="M332" t="str">
        <f>TRIM(Table6[[#This Row],[District]])&amp;"|"&amp;TRIM(Table6[[#This Row],[Upazila]])</f>
        <v>Rajbari|Goalanda</v>
      </c>
      <c r="N332" t="str">
        <f>_xlfn.XLOOKUP(B332,Remittance_Data!A:A,Remittance_Data!B:B,"CHECK")</f>
        <v>CHECK</v>
      </c>
      <c r="O332" t="str">
        <f>_xlfn.XLOOKUP(B332,Remittance_Data!A:A,Remittance_Data!C:C,"CHECK")</f>
        <v>CHECK</v>
      </c>
      <c r="P332" t="str">
        <f>_xlfn.XLOOKUP(B332,Remittance_Data!A:A,Remittance_Data!D:D,"CHECK")</f>
        <v>CHECK</v>
      </c>
    </row>
    <row r="333" spans="1:16">
      <c r="A333" t="s">
        <v>642</v>
      </c>
      <c r="B333" t="str">
        <f>SUBSTITUTE(SUBSTITUTE(SUBSTITUTE(SUBSTITUTE(TRIM(Table6[[#This Row],[Constituency]]),"Barisal","Barishal"),"Jessore","Jashore"),"Bogra","Bogura"),"Chapai Nawabganj","Chapainawabganj")</f>
        <v>Rajbari-2</v>
      </c>
      <c r="C333" t="s">
        <v>1284</v>
      </c>
      <c r="D333" t="s">
        <v>1280</v>
      </c>
      <c r="E333">
        <f>_xlfn.XLOOKUP(C333,Population_data!B:B,Population_data!C:C,"")</f>
        <v>153.72</v>
      </c>
      <c r="F333">
        <f>_xlfn.XLOOKUP(C333,Population_data!B:B,Population_data!D:D,"")</f>
        <v>172337</v>
      </c>
      <c r="G333">
        <f>_xlfn.XLOOKUP(C333,Population_data!B:B,Population_data!E:E,"")</f>
        <v>1121.1099999999999</v>
      </c>
      <c r="H333">
        <f>_xlfn.XLOOKUP(C333,Population_data!B:B,Population_data!F:F,"")</f>
        <v>3.99</v>
      </c>
      <c r="I333">
        <f>_xlfn.XLOOKUP(C333,Population_data!B:B,Population_data!G:G,"")</f>
        <v>67</v>
      </c>
      <c r="J333" t="str">
        <f>_xlfn.XLOOKUP(D333,District_Crime_Unit_Map!A:A,District_Crime_Unit_Map!B:B,"")</f>
        <v>Dhaka Range</v>
      </c>
      <c r="K333">
        <f>_xlfn.XLOOKUP(J333,Crime_Data!A:A,Crime_Data!V:V,"")</f>
        <v>87.055167395391194</v>
      </c>
      <c r="L333">
        <f>_xlfn.XLOOKUP(J333,Crime_Data!A:A,Crime_Data!W:W,"")</f>
        <v>14.083489099923572</v>
      </c>
      <c r="M333" t="str">
        <f>TRIM(Table6[[#This Row],[District]])&amp;"|"&amp;TRIM(Table6[[#This Row],[Upazila]])</f>
        <v>Rajbari|Kalukhali</v>
      </c>
      <c r="N333" t="str">
        <f>_xlfn.XLOOKUP(B333,Remittance_Data!A:A,Remittance_Data!B:B,"CHECK")</f>
        <v>CHECK</v>
      </c>
      <c r="O333" t="str">
        <f>_xlfn.XLOOKUP(B333,Remittance_Data!A:A,Remittance_Data!C:C,"CHECK")</f>
        <v>CHECK</v>
      </c>
      <c r="P333" t="str">
        <f>_xlfn.XLOOKUP(B333,Remittance_Data!A:A,Remittance_Data!D:D,"CHECK")</f>
        <v>CHECK</v>
      </c>
    </row>
    <row r="334" spans="1:16">
      <c r="A334" t="s">
        <v>645</v>
      </c>
      <c r="B334" t="str">
        <f>SUBSTITUTE(SUBSTITUTE(SUBSTITUTE(SUBSTITUTE(TRIM(Table6[[#This Row],[Constituency]]),"Barisal","Barishal"),"Jessore","Jashore"),"Bogra","Bogura"),"Chapai Nawabganj","Chapainawabganj")</f>
        <v>Faridpur-1</v>
      </c>
      <c r="C334" t="s">
        <v>1285</v>
      </c>
      <c r="D334" t="s">
        <v>1058</v>
      </c>
      <c r="E334">
        <f>_xlfn.XLOOKUP(C334,Population_data!B:B,Population_data!C:C,"")</f>
        <v>100.26</v>
      </c>
      <c r="F334">
        <f>_xlfn.XLOOKUP(C334,Population_data!B:B,Population_data!D:D,"")</f>
        <v>268146</v>
      </c>
      <c r="G334">
        <f>_xlfn.XLOOKUP(C334,Population_data!B:B,Population_data!E:E,"")</f>
        <v>2674.51</v>
      </c>
      <c r="H334">
        <f>_xlfn.XLOOKUP(C334,Population_data!B:B,Population_data!F:F,"")</f>
        <v>4.0599999999999996</v>
      </c>
      <c r="I334">
        <f>_xlfn.XLOOKUP(C334,Population_data!B:B,Population_data!G:G,"")</f>
        <v>71.19</v>
      </c>
      <c r="J334" t="str">
        <f>_xlfn.XLOOKUP(D334,District_Crime_Unit_Map!A:A,District_Crime_Unit_Map!B:B,"")</f>
        <v>Dhaka Range</v>
      </c>
      <c r="K334">
        <f>_xlfn.XLOOKUP(J334,Crime_Data!A:A,Crime_Data!V:V,"")</f>
        <v>87.055167395391194</v>
      </c>
      <c r="L334">
        <f>_xlfn.XLOOKUP(J334,Crime_Data!A:A,Crime_Data!W:W,"")</f>
        <v>14.083489099923572</v>
      </c>
      <c r="M334" t="str">
        <f>TRIM(Table6[[#This Row],[District]])&amp;"|"&amp;TRIM(Table6[[#This Row],[Upazila]])</f>
        <v>Faridpur|Boalmari</v>
      </c>
      <c r="N334" t="str">
        <f>_xlfn.XLOOKUP(B334,Remittance_Data!A:A,Remittance_Data!B:B,"CHECK")</f>
        <v>CHECK</v>
      </c>
      <c r="O334" t="str">
        <f>_xlfn.XLOOKUP(B334,Remittance_Data!A:A,Remittance_Data!C:C,"CHECK")</f>
        <v>CHECK</v>
      </c>
      <c r="P334" t="str">
        <f>_xlfn.XLOOKUP(B334,Remittance_Data!A:A,Remittance_Data!D:D,"CHECK")</f>
        <v>CHECK</v>
      </c>
    </row>
    <row r="335" spans="1:16">
      <c r="A335" t="s">
        <v>645</v>
      </c>
      <c r="B335" t="str">
        <f>SUBSTITUTE(SUBSTITUTE(SUBSTITUTE(SUBSTITUTE(TRIM(Table6[[#This Row],[Constituency]]),"Barisal","Barishal"),"Jessore","Jashore"),"Bogra","Bogura"),"Chapai Nawabganj","Chapainawabganj")</f>
        <v>Faridpur-1</v>
      </c>
      <c r="C335" t="s">
        <v>1286</v>
      </c>
      <c r="D335" t="s">
        <v>1058</v>
      </c>
      <c r="E335">
        <f>_xlfn.XLOOKUP(C335,Population_data!B:B,Population_data!C:C,"")</f>
        <v>186.53</v>
      </c>
      <c r="F335">
        <f>_xlfn.XLOOKUP(C335,Population_data!B:B,Population_data!D:D,"")</f>
        <v>119625</v>
      </c>
      <c r="G335">
        <f>_xlfn.XLOOKUP(C335,Population_data!B:B,Population_data!E:E,"")</f>
        <v>641.32000000000005</v>
      </c>
      <c r="H335">
        <f>_xlfn.XLOOKUP(C335,Population_data!B:B,Population_data!F:F,"")</f>
        <v>3.99</v>
      </c>
      <c r="I335">
        <f>_xlfn.XLOOKUP(C335,Population_data!B:B,Population_data!G:G,"")</f>
        <v>74.489999999999995</v>
      </c>
      <c r="J335" t="str">
        <f>_xlfn.XLOOKUP(D335,District_Crime_Unit_Map!A:A,District_Crime_Unit_Map!B:B,"")</f>
        <v>Dhaka Range</v>
      </c>
      <c r="K335">
        <f>_xlfn.XLOOKUP(J335,Crime_Data!A:A,Crime_Data!V:V,"")</f>
        <v>87.055167395391194</v>
      </c>
      <c r="L335">
        <f>_xlfn.XLOOKUP(J335,Crime_Data!A:A,Crime_Data!W:W,"")</f>
        <v>14.083489099923572</v>
      </c>
      <c r="M335" t="str">
        <f>TRIM(Table6[[#This Row],[District]])&amp;"|"&amp;TRIM(Table6[[#This Row],[Upazila]])</f>
        <v>Faridpur|Alfadanga</v>
      </c>
      <c r="N335" t="str">
        <f>_xlfn.XLOOKUP(B335,Remittance_Data!A:A,Remittance_Data!B:B,"CHECK")</f>
        <v>CHECK</v>
      </c>
      <c r="O335" t="str">
        <f>_xlfn.XLOOKUP(B335,Remittance_Data!A:A,Remittance_Data!C:C,"CHECK")</f>
        <v>CHECK</v>
      </c>
      <c r="P335" t="str">
        <f>_xlfn.XLOOKUP(B335,Remittance_Data!A:A,Remittance_Data!D:D,"CHECK")</f>
        <v>CHECK</v>
      </c>
    </row>
    <row r="336" spans="1:16">
      <c r="A336" t="s">
        <v>645</v>
      </c>
      <c r="B336" t="str">
        <f>SUBSTITUTE(SUBSTITUTE(SUBSTITUTE(SUBSTITUTE(TRIM(Table6[[#This Row],[Constituency]]),"Barisal","Barishal"),"Jessore","Jashore"),"Bogra","Bogura"),"Chapai Nawabganj","Chapainawabganj")</f>
        <v>Faridpur-1</v>
      </c>
      <c r="C336" t="s">
        <v>1287</v>
      </c>
      <c r="D336" t="s">
        <v>1058</v>
      </c>
      <c r="E336">
        <f>_xlfn.XLOOKUP(C336,Population_data!B:B,Population_data!C:C,"")</f>
        <v>230.49</v>
      </c>
      <c r="F336">
        <f>_xlfn.XLOOKUP(C336,Population_data!B:B,Population_data!D:D,"")</f>
        <v>231974</v>
      </c>
      <c r="G336">
        <f>_xlfn.XLOOKUP(C336,Population_data!B:B,Population_data!E:E,"")</f>
        <v>1006.44</v>
      </c>
      <c r="H336">
        <f>_xlfn.XLOOKUP(C336,Population_data!B:B,Population_data!F:F,"")</f>
        <v>4.0999999999999996</v>
      </c>
      <c r="I336">
        <f>_xlfn.XLOOKUP(C336,Population_data!B:B,Population_data!G:G,"")</f>
        <v>74.48</v>
      </c>
      <c r="J336" t="str">
        <f>_xlfn.XLOOKUP(D336,District_Crime_Unit_Map!A:A,District_Crime_Unit_Map!B:B,"")</f>
        <v>Dhaka Range</v>
      </c>
      <c r="K336">
        <f>_xlfn.XLOOKUP(J336,Crime_Data!A:A,Crime_Data!V:V,"")</f>
        <v>87.055167395391194</v>
      </c>
      <c r="L336">
        <f>_xlfn.XLOOKUP(J336,Crime_Data!A:A,Crime_Data!W:W,"")</f>
        <v>14.083489099923572</v>
      </c>
      <c r="M336" t="str">
        <f>TRIM(Table6[[#This Row],[District]])&amp;"|"&amp;TRIM(Table6[[#This Row],[Upazila]])</f>
        <v>Faridpur|Madhukhali</v>
      </c>
      <c r="N336" t="str">
        <f>_xlfn.XLOOKUP(B336,Remittance_Data!A:A,Remittance_Data!B:B,"CHECK")</f>
        <v>CHECK</v>
      </c>
      <c r="O336" t="str">
        <f>_xlfn.XLOOKUP(B336,Remittance_Data!A:A,Remittance_Data!C:C,"CHECK")</f>
        <v>CHECK</v>
      </c>
      <c r="P336" t="str">
        <f>_xlfn.XLOOKUP(B336,Remittance_Data!A:A,Remittance_Data!D:D,"CHECK")</f>
        <v>CHECK</v>
      </c>
    </row>
    <row r="337" spans="1:16">
      <c r="A337" t="s">
        <v>648</v>
      </c>
      <c r="B337" t="str">
        <f>SUBSTITUTE(SUBSTITUTE(SUBSTITUTE(SUBSTITUTE(TRIM(Table6[[#This Row],[Constituency]]),"Barisal","Barishal"),"Jessore","Jashore"),"Bogra","Bogura"),"Chapai Nawabganj","Chapainawabganj")</f>
        <v>Faridpur-2</v>
      </c>
      <c r="C337" t="s">
        <v>1288</v>
      </c>
      <c r="D337" t="s">
        <v>1058</v>
      </c>
      <c r="E337">
        <f>_xlfn.XLOOKUP(C337,Population_data!B:B,Population_data!C:C,"")</f>
        <v>301.32</v>
      </c>
      <c r="F337">
        <f>_xlfn.XLOOKUP(C337,Population_data!B:B,Population_data!D:D,"")</f>
        <v>222925</v>
      </c>
      <c r="G337">
        <f>_xlfn.XLOOKUP(C337,Population_data!B:B,Population_data!E:E,"")</f>
        <v>739.83</v>
      </c>
      <c r="H337">
        <f>_xlfn.XLOOKUP(C337,Population_data!B:B,Population_data!F:F,"")</f>
        <v>4.16</v>
      </c>
      <c r="I337">
        <f>_xlfn.XLOOKUP(C337,Population_data!B:B,Population_data!G:G,"")</f>
        <v>71.09</v>
      </c>
      <c r="J337" t="str">
        <f>_xlfn.XLOOKUP(D337,District_Crime_Unit_Map!A:A,District_Crime_Unit_Map!B:B,"")</f>
        <v>Dhaka Range</v>
      </c>
      <c r="K337">
        <f>_xlfn.XLOOKUP(J337,Crime_Data!A:A,Crime_Data!V:V,"")</f>
        <v>87.055167395391194</v>
      </c>
      <c r="L337">
        <f>_xlfn.XLOOKUP(J337,Crime_Data!A:A,Crime_Data!W:W,"")</f>
        <v>14.083489099923572</v>
      </c>
      <c r="M337" t="str">
        <f>TRIM(Table6[[#This Row],[District]])&amp;"|"&amp;TRIM(Table6[[#This Row],[Upazila]])</f>
        <v>Faridpur|Nagarkanda</v>
      </c>
      <c r="N337" t="str">
        <f>_xlfn.XLOOKUP(B337,Remittance_Data!A:A,Remittance_Data!B:B,"CHECK")</f>
        <v>CHECK</v>
      </c>
      <c r="O337" t="str">
        <f>_xlfn.XLOOKUP(B337,Remittance_Data!A:A,Remittance_Data!C:C,"CHECK")</f>
        <v>CHECK</v>
      </c>
      <c r="P337" t="str">
        <f>_xlfn.XLOOKUP(B337,Remittance_Data!A:A,Remittance_Data!D:D,"CHECK")</f>
        <v>CHECK</v>
      </c>
    </row>
    <row r="338" spans="1:16">
      <c r="A338" t="s">
        <v>648</v>
      </c>
      <c r="B338" t="str">
        <f>SUBSTITUTE(SUBSTITUTE(SUBSTITUTE(SUBSTITUTE(TRIM(Table6[[#This Row],[Constituency]]),"Barisal","Barishal"),"Jessore","Jashore"),"Bogra","Bogura"),"Chapai Nawabganj","Chapainawabganj")</f>
        <v>Faridpur-2</v>
      </c>
      <c r="C338" t="s">
        <v>1289</v>
      </c>
      <c r="D338" t="s">
        <v>1058</v>
      </c>
      <c r="E338">
        <f>_xlfn.XLOOKUP(C338,Population_data!B:B,Population_data!C:C,"")</f>
        <v>224.15</v>
      </c>
      <c r="F338">
        <f>_xlfn.XLOOKUP(C338,Population_data!B:B,Population_data!D:D,"")</f>
        <v>186214</v>
      </c>
      <c r="G338">
        <f>_xlfn.XLOOKUP(C338,Population_data!B:B,Population_data!E:E,"")</f>
        <v>830.76</v>
      </c>
      <c r="H338">
        <f>_xlfn.XLOOKUP(C338,Population_data!B:B,Population_data!F:F,"")</f>
        <v>4.0599999999999996</v>
      </c>
      <c r="I338">
        <f>_xlfn.XLOOKUP(C338,Population_data!B:B,Population_data!G:G,"")</f>
        <v>65.260000000000005</v>
      </c>
      <c r="J338" t="str">
        <f>_xlfn.XLOOKUP(D338,District_Crime_Unit_Map!A:A,District_Crime_Unit_Map!B:B,"")</f>
        <v>Dhaka Range</v>
      </c>
      <c r="K338">
        <f>_xlfn.XLOOKUP(J338,Crime_Data!A:A,Crime_Data!V:V,"")</f>
        <v>87.055167395391194</v>
      </c>
      <c r="L338">
        <f>_xlfn.XLOOKUP(J338,Crime_Data!A:A,Crime_Data!W:W,"")</f>
        <v>14.083489099923572</v>
      </c>
      <c r="M338" t="str">
        <f>TRIM(Table6[[#This Row],[District]])&amp;"|"&amp;TRIM(Table6[[#This Row],[Upazila]])</f>
        <v>Faridpur|Saltha</v>
      </c>
      <c r="N338" t="str">
        <f>_xlfn.XLOOKUP(B338,Remittance_Data!A:A,Remittance_Data!B:B,"CHECK")</f>
        <v>CHECK</v>
      </c>
      <c r="O338" t="str">
        <f>_xlfn.XLOOKUP(B338,Remittance_Data!A:A,Remittance_Data!C:C,"CHECK")</f>
        <v>CHECK</v>
      </c>
      <c r="P338" t="str">
        <f>_xlfn.XLOOKUP(B338,Remittance_Data!A:A,Remittance_Data!D:D,"CHECK")</f>
        <v>CHECK</v>
      </c>
    </row>
    <row r="339" spans="1:16">
      <c r="A339" t="s">
        <v>651</v>
      </c>
      <c r="B339" t="str">
        <f>SUBSTITUTE(SUBSTITUTE(SUBSTITUTE(SUBSTITUTE(TRIM(Table6[[#This Row],[Constituency]]),"Barisal","Barishal"),"Jessore","Jashore"),"Bogra","Bogura"),"Chapai Nawabganj","Chapainawabganj")</f>
        <v>Faridpur-3</v>
      </c>
      <c r="C339" t="s">
        <v>1290</v>
      </c>
      <c r="D339" t="s">
        <v>1058</v>
      </c>
      <c r="E339">
        <f>_xlfn.XLOOKUP(C339,Population_data!B:B,Population_data!C:C,"")</f>
        <v>247.03</v>
      </c>
      <c r="F339">
        <f>_xlfn.XLOOKUP(C339,Population_data!B:B,Population_data!D:D,"")</f>
        <v>567621</v>
      </c>
      <c r="G339">
        <f>_xlfn.XLOOKUP(C339,Population_data!B:B,Population_data!E:E,"")</f>
        <v>2297.7800000000002</v>
      </c>
      <c r="H339">
        <f>_xlfn.XLOOKUP(C339,Population_data!B:B,Population_data!F:F,"")</f>
        <v>4.01</v>
      </c>
      <c r="I339">
        <f>_xlfn.XLOOKUP(C339,Population_data!B:B,Population_data!G:G,"")</f>
        <v>74.84</v>
      </c>
      <c r="J339" t="str">
        <f>_xlfn.XLOOKUP(D339,District_Crime_Unit_Map!A:A,District_Crime_Unit_Map!B:B,"")</f>
        <v>Dhaka Range</v>
      </c>
      <c r="K339">
        <f>_xlfn.XLOOKUP(J339,Crime_Data!A:A,Crime_Data!V:V,"")</f>
        <v>87.055167395391194</v>
      </c>
      <c r="L339">
        <f>_xlfn.XLOOKUP(J339,Crime_Data!A:A,Crime_Data!W:W,"")</f>
        <v>14.083489099923572</v>
      </c>
      <c r="M339" t="str">
        <f>TRIM(Table6[[#This Row],[District]])&amp;"|"&amp;TRIM(Table6[[#This Row],[Upazila]])</f>
        <v>Faridpur|Faridpur Sadar</v>
      </c>
      <c r="N339" t="str">
        <f>_xlfn.XLOOKUP(B339,Remittance_Data!A:A,Remittance_Data!B:B,"CHECK")</f>
        <v>CHECK</v>
      </c>
      <c r="O339" t="str">
        <f>_xlfn.XLOOKUP(B339,Remittance_Data!A:A,Remittance_Data!C:C,"CHECK")</f>
        <v>CHECK</v>
      </c>
      <c r="P339" t="str">
        <f>_xlfn.XLOOKUP(B339,Remittance_Data!A:A,Remittance_Data!D:D,"CHECK")</f>
        <v>CHECK</v>
      </c>
    </row>
    <row r="340" spans="1:16">
      <c r="A340" t="s">
        <v>654</v>
      </c>
      <c r="B340" t="str">
        <f>SUBSTITUTE(SUBSTITUTE(SUBSTITUTE(SUBSTITUTE(TRIM(Table6[[#This Row],[Constituency]]),"Barisal","Barishal"),"Jessore","Jashore"),"Bogra","Bogura"),"Chapai Nawabganj","Chapainawabganj")</f>
        <v>Faridpur-4</v>
      </c>
      <c r="C340" t="s">
        <v>1291</v>
      </c>
      <c r="D340" t="s">
        <v>1058</v>
      </c>
      <c r="E340">
        <f>_xlfn.XLOOKUP(C340,Population_data!B:B,Population_data!C:C,"")</f>
        <v>230</v>
      </c>
      <c r="F340">
        <f>_xlfn.XLOOKUP(C340,Population_data!B:B,Population_data!D:D,"")</f>
        <v>293835</v>
      </c>
      <c r="G340">
        <f>_xlfn.XLOOKUP(C340,Population_data!B:B,Population_data!E:E,"")</f>
        <v>1277.54</v>
      </c>
      <c r="H340">
        <f>_xlfn.XLOOKUP(C340,Population_data!B:B,Population_data!F:F,"")</f>
        <v>3.98</v>
      </c>
      <c r="I340">
        <f>_xlfn.XLOOKUP(C340,Population_data!B:B,Population_data!G:G,"")</f>
        <v>73.41</v>
      </c>
      <c r="J340" t="str">
        <f>_xlfn.XLOOKUP(D340,District_Crime_Unit_Map!A:A,District_Crime_Unit_Map!B:B,"")</f>
        <v>Dhaka Range</v>
      </c>
      <c r="K340">
        <f>_xlfn.XLOOKUP(J340,Crime_Data!A:A,Crime_Data!V:V,"")</f>
        <v>87.055167395391194</v>
      </c>
      <c r="L340">
        <f>_xlfn.XLOOKUP(J340,Crime_Data!A:A,Crime_Data!W:W,"")</f>
        <v>14.083489099923572</v>
      </c>
      <c r="M340" t="str">
        <f>TRIM(Table6[[#This Row],[District]])&amp;"|"&amp;TRIM(Table6[[#This Row],[Upazila]])</f>
        <v>Faridpur|Bhanga</v>
      </c>
      <c r="N340" t="str">
        <f>_xlfn.XLOOKUP(B340,Remittance_Data!A:A,Remittance_Data!B:B,"CHECK")</f>
        <v>CHECK</v>
      </c>
      <c r="O340" t="str">
        <f>_xlfn.XLOOKUP(B340,Remittance_Data!A:A,Remittance_Data!C:C,"CHECK")</f>
        <v>CHECK</v>
      </c>
      <c r="P340" t="str">
        <f>_xlfn.XLOOKUP(B340,Remittance_Data!A:A,Remittance_Data!D:D,"CHECK")</f>
        <v>CHECK</v>
      </c>
    </row>
    <row r="341" spans="1:16">
      <c r="A341" t="s">
        <v>654</v>
      </c>
      <c r="B341" t="str">
        <f>SUBSTITUTE(SUBSTITUTE(SUBSTITUTE(SUBSTITUTE(TRIM(Table6[[#This Row],[Constituency]]),"Barisal","Barishal"),"Jessore","Jashore"),"Bogra","Bogura"),"Chapai Nawabganj","Chapainawabganj")</f>
        <v>Faridpur-4</v>
      </c>
      <c r="C341" t="s">
        <v>1487</v>
      </c>
      <c r="D341" t="s">
        <v>1058</v>
      </c>
      <c r="E341">
        <f>_xlfn.XLOOKUP(C341,Population_data!B:B,Population_data!C:C,"")</f>
        <v>362.22</v>
      </c>
      <c r="F341">
        <f>_xlfn.XLOOKUP(C341,Population_data!B:B,Population_data!D:D,"")</f>
        <v>70920</v>
      </c>
      <c r="G341">
        <f>_xlfn.XLOOKUP(C341,Population_data!B:B,Population_data!E:E,"")</f>
        <v>195.79</v>
      </c>
      <c r="H341">
        <f>_xlfn.XLOOKUP(C341,Population_data!B:B,Population_data!F:F,"")</f>
        <v>4.03</v>
      </c>
      <c r="I341">
        <f>_xlfn.XLOOKUP(C341,Population_data!B:B,Population_data!G:G,"")</f>
        <v>66.819999999999993</v>
      </c>
      <c r="J341" t="str">
        <f>_xlfn.XLOOKUP(D341,District_Crime_Unit_Map!A:A,District_Crime_Unit_Map!B:B,"")</f>
        <v>Dhaka Range</v>
      </c>
      <c r="K341">
        <f>_xlfn.XLOOKUP(J341,Crime_Data!A:A,Crime_Data!V:V,"")</f>
        <v>87.055167395391194</v>
      </c>
      <c r="L341">
        <f>_xlfn.XLOOKUP(J341,Crime_Data!A:A,Crime_Data!W:W,"")</f>
        <v>14.083489099923572</v>
      </c>
      <c r="M341" t="str">
        <f>TRIM(Table6[[#This Row],[District]])&amp;"|"&amp;TRIM(Table6[[#This Row],[Upazila]])</f>
        <v>Faridpur|Char Bhadrasan</v>
      </c>
      <c r="N341" t="str">
        <f>_xlfn.XLOOKUP(B341,Remittance_Data!A:A,Remittance_Data!B:B,"CHECK")</f>
        <v>CHECK</v>
      </c>
      <c r="O341" t="str">
        <f>_xlfn.XLOOKUP(B341,Remittance_Data!A:A,Remittance_Data!C:C,"CHECK")</f>
        <v>CHECK</v>
      </c>
      <c r="P341" t="str">
        <f>_xlfn.XLOOKUP(B341,Remittance_Data!A:A,Remittance_Data!D:D,"CHECK")</f>
        <v>CHECK</v>
      </c>
    </row>
    <row r="342" spans="1:16">
      <c r="A342" t="s">
        <v>654</v>
      </c>
      <c r="B342" t="str">
        <f>SUBSTITUTE(SUBSTITUTE(SUBSTITUTE(SUBSTITUTE(TRIM(Table6[[#This Row],[Constituency]]),"Barisal","Barishal"),"Jessore","Jashore"),"Bogra","Bogura"),"Chapai Nawabganj","Chapainawabganj")</f>
        <v>Faridpur-4</v>
      </c>
      <c r="C342" t="s">
        <v>1293</v>
      </c>
      <c r="D342" t="s">
        <v>1058</v>
      </c>
      <c r="E342">
        <f>_xlfn.XLOOKUP(C342,Population_data!B:B,Population_data!C:C,"")</f>
        <v>211.24</v>
      </c>
      <c r="F342">
        <f>_xlfn.XLOOKUP(C342,Population_data!B:B,Population_data!D:D,"")</f>
        <v>201494</v>
      </c>
      <c r="G342">
        <f>_xlfn.XLOOKUP(C342,Population_data!B:B,Population_data!E:E,"")</f>
        <v>953.86</v>
      </c>
      <c r="H342">
        <f>_xlfn.XLOOKUP(C342,Population_data!B:B,Population_data!F:F,"")</f>
        <v>3.99</v>
      </c>
      <c r="I342">
        <f>_xlfn.XLOOKUP(C342,Population_data!B:B,Population_data!G:G,"")</f>
        <v>68.95</v>
      </c>
      <c r="J342" t="str">
        <f>_xlfn.XLOOKUP(D342,District_Crime_Unit_Map!A:A,District_Crime_Unit_Map!B:B,"")</f>
        <v>Dhaka Range</v>
      </c>
      <c r="K342">
        <f>_xlfn.XLOOKUP(J342,Crime_Data!A:A,Crime_Data!V:V,"")</f>
        <v>87.055167395391194</v>
      </c>
      <c r="L342">
        <f>_xlfn.XLOOKUP(J342,Crime_Data!A:A,Crime_Data!W:W,"")</f>
        <v>14.083489099923572</v>
      </c>
      <c r="M342" t="str">
        <f>TRIM(Table6[[#This Row],[District]])&amp;"|"&amp;TRIM(Table6[[#This Row],[Upazila]])</f>
        <v>Faridpur|Sadarpur</v>
      </c>
      <c r="N342" t="str">
        <f>_xlfn.XLOOKUP(B342,Remittance_Data!A:A,Remittance_Data!B:B,"CHECK")</f>
        <v>CHECK</v>
      </c>
      <c r="O342" t="str">
        <f>_xlfn.XLOOKUP(B342,Remittance_Data!A:A,Remittance_Data!C:C,"CHECK")</f>
        <v>CHECK</v>
      </c>
      <c r="P342" t="str">
        <f>_xlfn.XLOOKUP(B342,Remittance_Data!A:A,Remittance_Data!D:D,"CHECK")</f>
        <v>CHECK</v>
      </c>
    </row>
    <row r="343" spans="1:16">
      <c r="A343" t="s">
        <v>657</v>
      </c>
      <c r="B343" t="str">
        <f>SUBSTITUTE(SUBSTITUTE(SUBSTITUTE(SUBSTITUTE(TRIM(Table6[[#This Row],[Constituency]]),"Barisal","Barishal"),"Jessore","Jashore"),"Bogra","Bogura"),"Chapai Nawabganj","Chapainawabganj")</f>
        <v>Gopalganj-1</v>
      </c>
      <c r="C343" t="s">
        <v>1294</v>
      </c>
      <c r="D343" t="s">
        <v>1295</v>
      </c>
      <c r="E343">
        <f>_xlfn.XLOOKUP(C343,Population_data!B:B,Population_data!C:C,"")</f>
        <v>308.5</v>
      </c>
      <c r="F343">
        <f>_xlfn.XLOOKUP(C343,Population_data!B:B,Population_data!D:D,"")</f>
        <v>307513</v>
      </c>
      <c r="G343">
        <f>_xlfn.XLOOKUP(C343,Population_data!B:B,Population_data!E:E,"")</f>
        <v>996.8</v>
      </c>
      <c r="H343">
        <f>_xlfn.XLOOKUP(C343,Population_data!B:B,Population_data!F:F,"")</f>
        <v>4.04</v>
      </c>
      <c r="I343">
        <f>_xlfn.XLOOKUP(C343,Population_data!B:B,Population_data!G:G,"")</f>
        <v>77.2</v>
      </c>
      <c r="J343" t="str">
        <f>_xlfn.XLOOKUP(D343,District_Crime_Unit_Map!A:A,District_Crime_Unit_Map!B:B,"")</f>
        <v>Dhaka Range</v>
      </c>
      <c r="K343">
        <f>_xlfn.XLOOKUP(J343,Crime_Data!A:A,Crime_Data!V:V,"")</f>
        <v>87.055167395391194</v>
      </c>
      <c r="L343">
        <f>_xlfn.XLOOKUP(J343,Crime_Data!A:A,Crime_Data!W:W,"")</f>
        <v>14.083489099923572</v>
      </c>
      <c r="M343" t="str">
        <f>TRIM(Table6[[#This Row],[District]])&amp;"|"&amp;TRIM(Table6[[#This Row],[Upazila]])</f>
        <v>Gopalganj|Muksudpur</v>
      </c>
      <c r="N343" t="str">
        <f>_xlfn.XLOOKUP(B343,Remittance_Data!A:A,Remittance_Data!B:B,"CHECK")</f>
        <v>CHECK</v>
      </c>
      <c r="O343" t="str">
        <f>_xlfn.XLOOKUP(B343,Remittance_Data!A:A,Remittance_Data!C:C,"CHECK")</f>
        <v>CHECK</v>
      </c>
      <c r="P343" t="str">
        <f>_xlfn.XLOOKUP(B343,Remittance_Data!A:A,Remittance_Data!D:D,"CHECK")</f>
        <v>CHECK</v>
      </c>
    </row>
    <row r="344" spans="1:16">
      <c r="A344" t="s">
        <v>657</v>
      </c>
      <c r="B344" t="str">
        <f>SUBSTITUTE(SUBSTITUTE(SUBSTITUTE(SUBSTITUTE(TRIM(Table6[[#This Row],[Constituency]]),"Barisal","Barishal"),"Jessore","Jashore"),"Bogra","Bogura"),"Chapai Nawabganj","Chapainawabganj")</f>
        <v>Gopalganj-1</v>
      </c>
      <c r="C344" t="s">
        <v>1296</v>
      </c>
      <c r="D344" t="s">
        <v>1295</v>
      </c>
      <c r="E344">
        <f>_xlfn.XLOOKUP(C344,Population_data!B:B,Population_data!C:C,"")</f>
        <v>227.27</v>
      </c>
      <c r="F344">
        <f>_xlfn.XLOOKUP(C344,Population_data!B:B,Population_data!D:D,"")</f>
        <v>228155</v>
      </c>
      <c r="G344">
        <f>_xlfn.XLOOKUP(C344,Population_data!B:B,Population_data!E:E,"")</f>
        <v>1003.89</v>
      </c>
      <c r="H344">
        <f>_xlfn.XLOOKUP(C344,Population_data!B:B,Population_data!F:F,"")</f>
        <v>4.01</v>
      </c>
      <c r="I344">
        <f>_xlfn.XLOOKUP(C344,Population_data!B:B,Population_data!G:G,"")</f>
        <v>77.790000000000006</v>
      </c>
      <c r="J344" t="str">
        <f>_xlfn.XLOOKUP(D344,District_Crime_Unit_Map!A:A,District_Crime_Unit_Map!B:B,"")</f>
        <v>Dhaka Range</v>
      </c>
      <c r="K344">
        <f>_xlfn.XLOOKUP(J344,Crime_Data!A:A,Crime_Data!V:V,"")</f>
        <v>87.055167395391194</v>
      </c>
      <c r="L344">
        <f>_xlfn.XLOOKUP(J344,Crime_Data!A:A,Crime_Data!W:W,"")</f>
        <v>14.083489099923572</v>
      </c>
      <c r="M344" t="str">
        <f>TRIM(Table6[[#This Row],[District]])&amp;"|"&amp;TRIM(Table6[[#This Row],[Upazila]])</f>
        <v>Gopalganj|Kashiani</v>
      </c>
      <c r="N344" t="str">
        <f>_xlfn.XLOOKUP(B344,Remittance_Data!A:A,Remittance_Data!B:B,"CHECK")</f>
        <v>CHECK</v>
      </c>
      <c r="O344" t="str">
        <f>_xlfn.XLOOKUP(B344,Remittance_Data!A:A,Remittance_Data!C:C,"CHECK")</f>
        <v>CHECK</v>
      </c>
      <c r="P344" t="str">
        <f>_xlfn.XLOOKUP(B344,Remittance_Data!A:A,Remittance_Data!D:D,"CHECK")</f>
        <v>CHECK</v>
      </c>
    </row>
    <row r="345" spans="1:16">
      <c r="A345" t="s">
        <v>660</v>
      </c>
      <c r="B345" t="str">
        <f>SUBSTITUTE(SUBSTITUTE(SUBSTITUTE(SUBSTITUTE(TRIM(Table6[[#This Row],[Constituency]]),"Barisal","Barishal"),"Jessore","Jashore"),"Bogra","Bogura"),"Chapai Nawabganj","Chapainawabganj")</f>
        <v>Gopalganj-2</v>
      </c>
      <c r="C345" t="s">
        <v>1297</v>
      </c>
      <c r="D345" t="s">
        <v>1295</v>
      </c>
      <c r="E345">
        <f>_xlfn.XLOOKUP(C345,Population_data!B:B,Population_data!C:C,"")</f>
        <v>258.11</v>
      </c>
      <c r="F345">
        <f>_xlfn.XLOOKUP(C345,Population_data!B:B,Population_data!D:D,"")</f>
        <v>401138</v>
      </c>
      <c r="G345">
        <f>_xlfn.XLOOKUP(C345,Population_data!B:B,Population_data!E:E,"")</f>
        <v>1554.14</v>
      </c>
      <c r="H345">
        <f>_xlfn.XLOOKUP(C345,Population_data!B:B,Population_data!F:F,"")</f>
        <v>4.1500000000000004</v>
      </c>
      <c r="I345">
        <f>_xlfn.XLOOKUP(C345,Population_data!B:B,Population_data!G:G,"")</f>
        <v>82.32</v>
      </c>
      <c r="J345" t="str">
        <f>_xlfn.XLOOKUP(D345,District_Crime_Unit_Map!A:A,District_Crime_Unit_Map!B:B,"")</f>
        <v>Dhaka Range</v>
      </c>
      <c r="K345">
        <f>_xlfn.XLOOKUP(J345,Crime_Data!A:A,Crime_Data!V:V,"")</f>
        <v>87.055167395391194</v>
      </c>
      <c r="L345">
        <f>_xlfn.XLOOKUP(J345,Crime_Data!A:A,Crime_Data!W:W,"")</f>
        <v>14.083489099923572</v>
      </c>
      <c r="M345" t="str">
        <f>TRIM(Table6[[#This Row],[District]])&amp;"|"&amp;TRIM(Table6[[#This Row],[Upazila]])</f>
        <v>Gopalganj|Gopalganj Sadar</v>
      </c>
      <c r="N345" t="str">
        <f>_xlfn.XLOOKUP(B345,Remittance_Data!A:A,Remittance_Data!B:B,"CHECK")</f>
        <v>CHECK</v>
      </c>
      <c r="O345" t="str">
        <f>_xlfn.XLOOKUP(B345,Remittance_Data!A:A,Remittance_Data!C:C,"CHECK")</f>
        <v>CHECK</v>
      </c>
      <c r="P345" t="str">
        <f>_xlfn.XLOOKUP(B345,Remittance_Data!A:A,Remittance_Data!D:D,"CHECK")</f>
        <v>CHECK</v>
      </c>
    </row>
    <row r="346" spans="1:16">
      <c r="A346" t="s">
        <v>660</v>
      </c>
      <c r="B346" t="str">
        <f>SUBSTITUTE(SUBSTITUTE(SUBSTITUTE(SUBSTITUTE(TRIM(Table6[[#This Row],[Constituency]]),"Barisal","Barishal"),"Jessore","Jashore"),"Bogra","Bogura"),"Chapai Nawabganj","Chapainawabganj")</f>
        <v>Gopalganj-2</v>
      </c>
      <c r="C346" t="s">
        <v>1298</v>
      </c>
      <c r="D346" t="s">
        <v>1295</v>
      </c>
      <c r="E346">
        <f>_xlfn.XLOOKUP(C346,Population_data!B:B,Population_data!C:C,"")</f>
        <v>371.22</v>
      </c>
      <c r="F346">
        <f>_xlfn.XLOOKUP(C346,Population_data!B:B,Population_data!D:D,"")</f>
        <v>243719</v>
      </c>
      <c r="G346">
        <f>_xlfn.XLOOKUP(C346,Population_data!B:B,Population_data!E:E,"")</f>
        <v>656.54</v>
      </c>
      <c r="H346">
        <f>_xlfn.XLOOKUP(C346,Population_data!B:B,Population_data!F:F,"")</f>
        <v>4.2</v>
      </c>
      <c r="I346">
        <f>_xlfn.XLOOKUP(C346,Population_data!B:B,Population_data!G:G,"")</f>
        <v>80.25</v>
      </c>
      <c r="J346" t="str">
        <f>_xlfn.XLOOKUP(D346,District_Crime_Unit_Map!A:A,District_Crime_Unit_Map!B:B,"")</f>
        <v>Dhaka Range</v>
      </c>
      <c r="K346">
        <f>_xlfn.XLOOKUP(J346,Crime_Data!A:A,Crime_Data!V:V,"")</f>
        <v>87.055167395391194</v>
      </c>
      <c r="L346">
        <f>_xlfn.XLOOKUP(J346,Crime_Data!A:A,Crime_Data!W:W,"")</f>
        <v>14.083489099923572</v>
      </c>
      <c r="M346" t="str">
        <f>TRIM(Table6[[#This Row],[District]])&amp;"|"&amp;TRIM(Table6[[#This Row],[Upazila]])</f>
        <v>Gopalganj|Kotalipara</v>
      </c>
      <c r="N346" t="str">
        <f>_xlfn.XLOOKUP(B346,Remittance_Data!A:A,Remittance_Data!B:B,"CHECK")</f>
        <v>CHECK</v>
      </c>
      <c r="O346" t="str">
        <f>_xlfn.XLOOKUP(B346,Remittance_Data!A:A,Remittance_Data!C:C,"CHECK")</f>
        <v>CHECK</v>
      </c>
      <c r="P346" t="str">
        <f>_xlfn.XLOOKUP(B346,Remittance_Data!A:A,Remittance_Data!D:D,"CHECK")</f>
        <v>CHECK</v>
      </c>
    </row>
    <row r="347" spans="1:16">
      <c r="A347" t="s">
        <v>663</v>
      </c>
      <c r="B347" t="str">
        <f>SUBSTITUTE(SUBSTITUTE(SUBSTITUTE(SUBSTITUTE(TRIM(Table6[[#This Row],[Constituency]]),"Barisal","Barishal"),"Jessore","Jashore"),"Bogra","Bogura"),"Chapai Nawabganj","Chapainawabganj")</f>
        <v>Gopalganj-3</v>
      </c>
      <c r="C347" t="s">
        <v>1299</v>
      </c>
      <c r="D347" t="s">
        <v>1295</v>
      </c>
      <c r="E347">
        <f>_xlfn.XLOOKUP(C347,Population_data!B:B,Population_data!C:C,"")</f>
        <v>127.49</v>
      </c>
      <c r="F347">
        <f>_xlfn.XLOOKUP(C347,Population_data!B:B,Population_data!D:D,"")</f>
        <v>114480</v>
      </c>
      <c r="G347">
        <f>_xlfn.XLOOKUP(C347,Population_data!B:B,Population_data!E:E,"")</f>
        <v>897.95</v>
      </c>
      <c r="H347">
        <f>_xlfn.XLOOKUP(C347,Population_data!B:B,Population_data!F:F,"")</f>
        <v>4.2300000000000004</v>
      </c>
      <c r="I347">
        <f>_xlfn.XLOOKUP(C347,Population_data!B:B,Population_data!G:G,"")</f>
        <v>81.41</v>
      </c>
      <c r="J347" t="str">
        <f>_xlfn.XLOOKUP(D347,District_Crime_Unit_Map!A:A,District_Crime_Unit_Map!B:B,"")</f>
        <v>Dhaka Range</v>
      </c>
      <c r="K347">
        <f>_xlfn.XLOOKUP(J347,Crime_Data!A:A,Crime_Data!V:V,"")</f>
        <v>87.055167395391194</v>
      </c>
      <c r="L347">
        <f>_xlfn.XLOOKUP(J347,Crime_Data!A:A,Crime_Data!W:W,"")</f>
        <v>14.083489099923572</v>
      </c>
      <c r="M347" t="str">
        <f>TRIM(Table6[[#This Row],[District]])&amp;"|"&amp;TRIM(Table6[[#This Row],[Upazila]])</f>
        <v>Gopalganj|Tungipara</v>
      </c>
      <c r="N347" t="str">
        <f>_xlfn.XLOOKUP(B347,Remittance_Data!A:A,Remittance_Data!B:B,"CHECK")</f>
        <v>CHECK</v>
      </c>
      <c r="O347" t="str">
        <f>_xlfn.XLOOKUP(B347,Remittance_Data!A:A,Remittance_Data!C:C,"CHECK")</f>
        <v>CHECK</v>
      </c>
      <c r="P347" t="str">
        <f>_xlfn.XLOOKUP(B347,Remittance_Data!A:A,Remittance_Data!D:D,"CHECK")</f>
        <v>CHECK</v>
      </c>
    </row>
    <row r="348" spans="1:16">
      <c r="A348" t="s">
        <v>666</v>
      </c>
      <c r="B348" t="str">
        <f>SUBSTITUTE(SUBSTITUTE(SUBSTITUTE(SUBSTITUTE(TRIM(Table6[[#This Row],[Constituency]]),"Barisal","Barishal"),"Jessore","Jashore"),"Bogra","Bogura"),"Chapai Nawabganj","Chapainawabganj")</f>
        <v>Madaripur-1</v>
      </c>
      <c r="C348" t="s">
        <v>1300</v>
      </c>
      <c r="D348" t="s">
        <v>1301</v>
      </c>
      <c r="E348">
        <f>_xlfn.XLOOKUP(C348,Population_data!B:B,Population_data!C:C,"")</f>
        <v>320.24</v>
      </c>
      <c r="F348">
        <f>_xlfn.XLOOKUP(C348,Population_data!B:B,Population_data!D:D,"")</f>
        <v>357416</v>
      </c>
      <c r="G348">
        <f>_xlfn.XLOOKUP(C348,Population_data!B:B,Population_data!E:E,"")</f>
        <v>1116.0899999999999</v>
      </c>
      <c r="H348">
        <f>_xlfn.XLOOKUP(C348,Population_data!B:B,Population_data!F:F,"")</f>
        <v>4.0199999999999996</v>
      </c>
      <c r="I348">
        <f>_xlfn.XLOOKUP(C348,Population_data!B:B,Population_data!G:G,"")</f>
        <v>73.31</v>
      </c>
      <c r="J348" t="str">
        <f>_xlfn.XLOOKUP(D348,District_Crime_Unit_Map!A:A,District_Crime_Unit_Map!B:B,"")</f>
        <v>Dhaka Range</v>
      </c>
      <c r="K348">
        <f>_xlfn.XLOOKUP(J348,Crime_Data!A:A,Crime_Data!V:V,"")</f>
        <v>87.055167395391194</v>
      </c>
      <c r="L348">
        <f>_xlfn.XLOOKUP(J348,Crime_Data!A:A,Crime_Data!W:W,"")</f>
        <v>14.083489099923572</v>
      </c>
      <c r="M348" t="str">
        <f>TRIM(Table6[[#This Row],[District]])&amp;"|"&amp;TRIM(Table6[[#This Row],[Upazila]])</f>
        <v>Madaripur|Shibchar</v>
      </c>
      <c r="N348" t="str">
        <f>_xlfn.XLOOKUP(B348,Remittance_Data!A:A,Remittance_Data!B:B,"CHECK")</f>
        <v>CHECK</v>
      </c>
      <c r="O348" t="str">
        <f>_xlfn.XLOOKUP(B348,Remittance_Data!A:A,Remittance_Data!C:C,"CHECK")</f>
        <v>CHECK</v>
      </c>
      <c r="P348" t="str">
        <f>_xlfn.XLOOKUP(B348,Remittance_Data!A:A,Remittance_Data!D:D,"CHECK")</f>
        <v>CHECK</v>
      </c>
    </row>
    <row r="349" spans="1:16">
      <c r="A349" t="s">
        <v>669</v>
      </c>
      <c r="B349" t="str">
        <f>SUBSTITUTE(SUBSTITUTE(SUBSTITUTE(SUBSTITUTE(TRIM(Table6[[#This Row],[Constituency]]),"Barisal","Barishal"),"Jessore","Jashore"),"Bogra","Bogura"),"Chapai Nawabganj","Chapainawabganj")</f>
        <v>Madaripur-2</v>
      </c>
      <c r="C349" t="s">
        <v>1302</v>
      </c>
      <c r="D349" t="s">
        <v>1301</v>
      </c>
      <c r="E349">
        <f>_xlfn.XLOOKUP(C349,Population_data!B:B,Population_data!C:C,"")</f>
        <v>229.73</v>
      </c>
      <c r="F349">
        <f>_xlfn.XLOOKUP(C349,Population_data!B:B,Population_data!D:D,"")</f>
        <v>396749</v>
      </c>
      <c r="G349">
        <f>_xlfn.XLOOKUP(C349,Population_data!B:B,Population_data!E:E,"")</f>
        <v>1727.02</v>
      </c>
      <c r="H349">
        <f>_xlfn.XLOOKUP(C349,Population_data!B:B,Population_data!F:F,"")</f>
        <v>4.04</v>
      </c>
      <c r="I349">
        <f>_xlfn.XLOOKUP(C349,Population_data!B:B,Population_data!G:G,"")</f>
        <v>75.73</v>
      </c>
      <c r="J349" t="str">
        <f>_xlfn.XLOOKUP(D349,District_Crime_Unit_Map!A:A,District_Crime_Unit_Map!B:B,"")</f>
        <v>Dhaka Range</v>
      </c>
      <c r="K349">
        <f>_xlfn.XLOOKUP(J349,Crime_Data!A:A,Crime_Data!V:V,"")</f>
        <v>87.055167395391194</v>
      </c>
      <c r="L349">
        <f>_xlfn.XLOOKUP(J349,Crime_Data!A:A,Crime_Data!W:W,"")</f>
        <v>14.083489099923572</v>
      </c>
      <c r="M349" t="str">
        <f>TRIM(Table6[[#This Row],[District]])&amp;"|"&amp;TRIM(Table6[[#This Row],[Upazila]])</f>
        <v>Madaripur|Madaripur Sadar</v>
      </c>
      <c r="N349" t="str">
        <f>_xlfn.XLOOKUP(B349,Remittance_Data!A:A,Remittance_Data!B:B,"CHECK")</f>
        <v>CHECK</v>
      </c>
      <c r="O349" t="str">
        <f>_xlfn.XLOOKUP(B349,Remittance_Data!A:A,Remittance_Data!C:C,"CHECK")</f>
        <v>CHECK</v>
      </c>
      <c r="P349" t="str">
        <f>_xlfn.XLOOKUP(B349,Remittance_Data!A:A,Remittance_Data!D:D,"CHECK")</f>
        <v>CHECK</v>
      </c>
    </row>
    <row r="350" spans="1:16">
      <c r="A350" t="s">
        <v>669</v>
      </c>
      <c r="B350" t="str">
        <f>SUBSTITUTE(SUBSTITUTE(SUBSTITUTE(SUBSTITUTE(TRIM(Table6[[#This Row],[Constituency]]),"Barisal","Barishal"),"Jessore","Jashore"),"Bogra","Bogura"),"Chapai Nawabganj","Chapainawabganj")</f>
        <v>Madaripur-2</v>
      </c>
      <c r="C350" t="s">
        <v>1303</v>
      </c>
      <c r="D350" t="s">
        <v>1301</v>
      </c>
      <c r="E350">
        <f>_xlfn.XLOOKUP(C350,Population_data!B:B,Population_data!C:C,"")</f>
        <v>246.19</v>
      </c>
      <c r="F350">
        <f>_xlfn.XLOOKUP(C350,Population_data!B:B,Population_data!D:D,"")</f>
        <v>245301</v>
      </c>
      <c r="G350">
        <f>_xlfn.XLOOKUP(C350,Population_data!B:B,Population_data!E:E,"")</f>
        <v>996.39</v>
      </c>
      <c r="H350">
        <f>_xlfn.XLOOKUP(C350,Population_data!B:B,Population_data!F:F,"")</f>
        <v>4.16</v>
      </c>
      <c r="I350">
        <f>_xlfn.XLOOKUP(C350,Population_data!B:B,Population_data!G:G,"")</f>
        <v>75.819999999999993</v>
      </c>
      <c r="J350" t="str">
        <f>_xlfn.XLOOKUP(D350,District_Crime_Unit_Map!A:A,District_Crime_Unit_Map!B:B,"")</f>
        <v>Dhaka Range</v>
      </c>
      <c r="K350">
        <f>_xlfn.XLOOKUP(J350,Crime_Data!A:A,Crime_Data!V:V,"")</f>
        <v>87.055167395391194</v>
      </c>
      <c r="L350">
        <f>_xlfn.XLOOKUP(J350,Crime_Data!A:A,Crime_Data!W:W,"")</f>
        <v>14.083489099923572</v>
      </c>
      <c r="M350" t="str">
        <f>TRIM(Table6[[#This Row],[District]])&amp;"|"&amp;TRIM(Table6[[#This Row],[Upazila]])</f>
        <v>Madaripur|Rajoir</v>
      </c>
      <c r="N350" t="str">
        <f>_xlfn.XLOOKUP(B350,Remittance_Data!A:A,Remittance_Data!B:B,"CHECK")</f>
        <v>CHECK</v>
      </c>
      <c r="O350" t="str">
        <f>_xlfn.XLOOKUP(B350,Remittance_Data!A:A,Remittance_Data!C:C,"CHECK")</f>
        <v>CHECK</v>
      </c>
      <c r="P350" t="str">
        <f>_xlfn.XLOOKUP(B350,Remittance_Data!A:A,Remittance_Data!D:D,"CHECK")</f>
        <v>CHECK</v>
      </c>
    </row>
    <row r="351" spans="1:16">
      <c r="A351" t="s">
        <v>672</v>
      </c>
      <c r="B351" t="str">
        <f>SUBSTITUTE(SUBSTITUTE(SUBSTITUTE(SUBSTITUTE(TRIM(Table6[[#This Row],[Constituency]]),"Barisal","Barishal"),"Jessore","Jashore"),"Bogra","Bogura"),"Chapai Nawabganj","Chapainawabganj")</f>
        <v>Madaripur-3</v>
      </c>
      <c r="C351" t="s">
        <v>1304</v>
      </c>
      <c r="D351" t="s">
        <v>1301</v>
      </c>
      <c r="E351">
        <f>_xlfn.XLOOKUP(C351,Population_data!B:B,Population_data!C:C,"")</f>
        <v>181.53</v>
      </c>
      <c r="F351">
        <f>_xlfn.XLOOKUP(C351,Population_data!B:B,Population_data!D:D,"")</f>
        <v>218326</v>
      </c>
      <c r="G351">
        <f>_xlfn.XLOOKUP(C351,Population_data!B:B,Population_data!E:E,"")</f>
        <v>1202.7</v>
      </c>
      <c r="H351">
        <f>_xlfn.XLOOKUP(C351,Population_data!B:B,Population_data!F:F,"")</f>
        <v>4.04</v>
      </c>
      <c r="I351">
        <f>_xlfn.XLOOKUP(C351,Population_data!B:B,Population_data!G:G,"")</f>
        <v>74.28</v>
      </c>
      <c r="J351" t="str">
        <f>_xlfn.XLOOKUP(D351,District_Crime_Unit_Map!A:A,District_Crime_Unit_Map!B:B,"")</f>
        <v>Dhaka Range</v>
      </c>
      <c r="K351">
        <f>_xlfn.XLOOKUP(J351,Crime_Data!A:A,Crime_Data!V:V,"")</f>
        <v>87.055167395391194</v>
      </c>
      <c r="L351">
        <f>_xlfn.XLOOKUP(J351,Crime_Data!A:A,Crime_Data!W:W,"")</f>
        <v>14.083489099923572</v>
      </c>
      <c r="M351" t="str">
        <f>TRIM(Table6[[#This Row],[District]])&amp;"|"&amp;TRIM(Table6[[#This Row],[Upazila]])</f>
        <v>Madaripur|Kalkini</v>
      </c>
      <c r="N351" t="str">
        <f>_xlfn.XLOOKUP(B351,Remittance_Data!A:A,Remittance_Data!B:B,"CHECK")</f>
        <v>CHECK</v>
      </c>
      <c r="O351" t="str">
        <f>_xlfn.XLOOKUP(B351,Remittance_Data!A:A,Remittance_Data!C:C,"CHECK")</f>
        <v>CHECK</v>
      </c>
      <c r="P351" t="str">
        <f>_xlfn.XLOOKUP(B351,Remittance_Data!A:A,Remittance_Data!D:D,"CHECK")</f>
        <v>CHECK</v>
      </c>
    </row>
    <row r="352" spans="1:16">
      <c r="A352" t="s">
        <v>672</v>
      </c>
      <c r="B352" t="str">
        <f>SUBSTITUTE(SUBSTITUTE(SUBSTITUTE(SUBSTITUTE(TRIM(Table6[[#This Row],[Constituency]]),"Barisal","Barishal"),"Jessore","Jashore"),"Bogra","Bogura"),"Chapai Nawabganj","Chapainawabganj")</f>
        <v>Madaripur-3</v>
      </c>
      <c r="C352" t="s">
        <v>1305</v>
      </c>
      <c r="D352" t="s">
        <v>1301</v>
      </c>
      <c r="E352">
        <f>_xlfn.XLOOKUP(C352,Population_data!B:B,Population_data!C:C,"")</f>
        <v>154.9</v>
      </c>
      <c r="F352">
        <f>_xlfn.XLOOKUP(C352,Population_data!B:B,Population_data!D:D,"")</f>
        <v>75171</v>
      </c>
      <c r="G352">
        <f>_xlfn.XLOOKUP(C352,Population_data!B:B,Population_data!E:E,"")</f>
        <v>485.29</v>
      </c>
      <c r="H352">
        <f>_xlfn.XLOOKUP(C352,Population_data!B:B,Population_data!F:F,"")</f>
        <v>4.05</v>
      </c>
      <c r="I352">
        <f>_xlfn.XLOOKUP(C352,Population_data!B:B,Population_data!G:G,"")</f>
        <v>77.33</v>
      </c>
      <c r="J352" t="str">
        <f>_xlfn.XLOOKUP(D352,District_Crime_Unit_Map!A:A,District_Crime_Unit_Map!B:B,"")</f>
        <v>Dhaka Range</v>
      </c>
      <c r="K352">
        <f>_xlfn.XLOOKUP(J352,Crime_Data!A:A,Crime_Data!V:V,"")</f>
        <v>87.055167395391194</v>
      </c>
      <c r="L352">
        <f>_xlfn.XLOOKUP(J352,Crime_Data!A:A,Crime_Data!W:W,"")</f>
        <v>14.083489099923572</v>
      </c>
      <c r="M352" t="str">
        <f>TRIM(Table6[[#This Row],[District]])&amp;"|"&amp;TRIM(Table6[[#This Row],[Upazila]])</f>
        <v>Madaripur|Dasar</v>
      </c>
      <c r="N352" t="str">
        <f>_xlfn.XLOOKUP(B352,Remittance_Data!A:A,Remittance_Data!B:B,"CHECK")</f>
        <v>CHECK</v>
      </c>
      <c r="O352" t="str">
        <f>_xlfn.XLOOKUP(B352,Remittance_Data!A:A,Remittance_Data!C:C,"CHECK")</f>
        <v>CHECK</v>
      </c>
      <c r="P352" t="str">
        <f>_xlfn.XLOOKUP(B352,Remittance_Data!A:A,Remittance_Data!D:D,"CHECK")</f>
        <v>CHECK</v>
      </c>
    </row>
    <row r="353" spans="1:16">
      <c r="A353" t="s">
        <v>675</v>
      </c>
      <c r="B353" t="str">
        <f>SUBSTITUTE(SUBSTITUTE(SUBSTITUTE(SUBSTITUTE(TRIM(Table6[[#This Row],[Constituency]]),"Barisal","Barishal"),"Jessore","Jashore"),"Bogra","Bogura"),"Chapai Nawabganj","Chapainawabganj")</f>
        <v>Shariatpur-1</v>
      </c>
      <c r="C353" t="s">
        <v>1306</v>
      </c>
      <c r="D353" t="s">
        <v>1307</v>
      </c>
      <c r="E353">
        <f>_xlfn.XLOOKUP(C353,Population_data!B:B,Population_data!C:C,"")</f>
        <v>246.9</v>
      </c>
      <c r="F353">
        <f>_xlfn.XLOOKUP(C353,Population_data!B:B,Population_data!D:D,"")</f>
        <v>239572</v>
      </c>
      <c r="G353">
        <f>_xlfn.XLOOKUP(C353,Population_data!B:B,Population_data!E:E,"")</f>
        <v>970.32</v>
      </c>
      <c r="H353">
        <f>_xlfn.XLOOKUP(C353,Population_data!B:B,Population_data!F:F,"")</f>
        <v>4.0599999999999996</v>
      </c>
      <c r="I353">
        <f>_xlfn.XLOOKUP(C353,Population_data!B:B,Population_data!G:G,"")</f>
        <v>74.11</v>
      </c>
      <c r="J353" t="str">
        <f>_xlfn.XLOOKUP(D353,District_Crime_Unit_Map!A:A,District_Crime_Unit_Map!B:B,"")</f>
        <v>Dhaka Range</v>
      </c>
      <c r="K353">
        <f>_xlfn.XLOOKUP(J353,Crime_Data!A:A,Crime_Data!V:V,"")</f>
        <v>87.055167395391194</v>
      </c>
      <c r="L353">
        <f>_xlfn.XLOOKUP(J353,Crime_Data!A:A,Crime_Data!W:W,"")</f>
        <v>14.083489099923572</v>
      </c>
      <c r="M353" t="str">
        <f>TRIM(Table6[[#This Row],[District]])&amp;"|"&amp;TRIM(Table6[[#This Row],[Upazila]])</f>
        <v>Shariatpur|Shariatpur Sadar</v>
      </c>
      <c r="N353" t="str">
        <f>_xlfn.XLOOKUP(B353,Remittance_Data!A:A,Remittance_Data!B:B,"CHECK")</f>
        <v>CHECK</v>
      </c>
      <c r="O353" t="str">
        <f>_xlfn.XLOOKUP(B353,Remittance_Data!A:A,Remittance_Data!C:C,"CHECK")</f>
        <v>CHECK</v>
      </c>
      <c r="P353" t="str">
        <f>_xlfn.XLOOKUP(B353,Remittance_Data!A:A,Remittance_Data!D:D,"CHECK")</f>
        <v>CHECK</v>
      </c>
    </row>
    <row r="354" spans="1:16">
      <c r="A354" t="s">
        <v>675</v>
      </c>
      <c r="B354" t="str">
        <f>SUBSTITUTE(SUBSTITUTE(SUBSTITUTE(SUBSTITUTE(TRIM(Table6[[#This Row],[Constituency]]),"Barisal","Barishal"),"Jessore","Jashore"),"Bogra","Bogura"),"Chapai Nawabganj","Chapainawabganj")</f>
        <v>Shariatpur-1</v>
      </c>
      <c r="C354" t="s">
        <v>1308</v>
      </c>
      <c r="D354" t="s">
        <v>1307</v>
      </c>
      <c r="E354">
        <f>_xlfn.XLOOKUP(C354,Population_data!B:B,Population_data!C:C,"")</f>
        <v>181.84</v>
      </c>
      <c r="F354">
        <f>_xlfn.XLOOKUP(C354,Population_data!B:B,Population_data!D:D,"")</f>
        <v>217764</v>
      </c>
      <c r="G354">
        <f>_xlfn.XLOOKUP(C354,Population_data!B:B,Population_data!E:E,"")</f>
        <v>1197.56</v>
      </c>
      <c r="H354">
        <f>_xlfn.XLOOKUP(C354,Population_data!B:B,Population_data!F:F,"")</f>
        <v>4.2699999999999996</v>
      </c>
      <c r="I354">
        <f>_xlfn.XLOOKUP(C354,Population_data!B:B,Population_data!G:G,"")</f>
        <v>71.03</v>
      </c>
      <c r="J354" t="str">
        <f>_xlfn.XLOOKUP(D354,District_Crime_Unit_Map!A:A,District_Crime_Unit_Map!B:B,"")</f>
        <v>Dhaka Range</v>
      </c>
      <c r="K354">
        <f>_xlfn.XLOOKUP(J354,Crime_Data!A:A,Crime_Data!V:V,"")</f>
        <v>87.055167395391194</v>
      </c>
      <c r="L354">
        <f>_xlfn.XLOOKUP(J354,Crime_Data!A:A,Crime_Data!W:W,"")</f>
        <v>14.083489099923572</v>
      </c>
      <c r="M354" t="str">
        <f>TRIM(Table6[[#This Row],[District]])&amp;"|"&amp;TRIM(Table6[[#This Row],[Upazila]])</f>
        <v>Shariatpur|Zajira</v>
      </c>
      <c r="N354" t="str">
        <f>_xlfn.XLOOKUP(B354,Remittance_Data!A:A,Remittance_Data!B:B,"CHECK")</f>
        <v>CHECK</v>
      </c>
      <c r="O354" t="str">
        <f>_xlfn.XLOOKUP(B354,Remittance_Data!A:A,Remittance_Data!C:C,"CHECK")</f>
        <v>CHECK</v>
      </c>
      <c r="P354" t="str">
        <f>_xlfn.XLOOKUP(B354,Remittance_Data!A:A,Remittance_Data!D:D,"CHECK")</f>
        <v>CHECK</v>
      </c>
    </row>
    <row r="355" spans="1:16">
      <c r="A355" t="s">
        <v>678</v>
      </c>
      <c r="B355" t="str">
        <f>SUBSTITUTE(SUBSTITUTE(SUBSTITUTE(SUBSTITUTE(TRIM(Table6[[#This Row],[Constituency]]),"Barisal","Barishal"),"Jessore","Jashore"),"Bogra","Bogura"),"Chapai Nawabganj","Chapainawabganj")</f>
        <v>Shariatpur-2</v>
      </c>
      <c r="C355" t="s">
        <v>1309</v>
      </c>
      <c r="D355" t="s">
        <v>1307</v>
      </c>
      <c r="E355">
        <f>_xlfn.XLOOKUP(C355,Population_data!B:B,Population_data!C:C,"")</f>
        <v>193.83</v>
      </c>
      <c r="F355">
        <f>_xlfn.XLOOKUP(C355,Population_data!B:B,Population_data!D:D,"")</f>
        <v>260230</v>
      </c>
      <c r="G355">
        <f>_xlfn.XLOOKUP(C355,Population_data!B:B,Population_data!E:E,"")</f>
        <v>1342.57</v>
      </c>
      <c r="H355">
        <f>_xlfn.XLOOKUP(C355,Population_data!B:B,Population_data!F:F,"")</f>
        <v>4.09</v>
      </c>
      <c r="I355">
        <f>_xlfn.XLOOKUP(C355,Population_data!B:B,Population_data!G:G,"")</f>
        <v>75.94</v>
      </c>
      <c r="J355" t="str">
        <f>_xlfn.XLOOKUP(D355,District_Crime_Unit_Map!A:A,District_Crime_Unit_Map!B:B,"")</f>
        <v>Dhaka Range</v>
      </c>
      <c r="K355">
        <f>_xlfn.XLOOKUP(J355,Crime_Data!A:A,Crime_Data!V:V,"")</f>
        <v>87.055167395391194</v>
      </c>
      <c r="L355">
        <f>_xlfn.XLOOKUP(J355,Crime_Data!A:A,Crime_Data!W:W,"")</f>
        <v>14.083489099923572</v>
      </c>
      <c r="M355" t="str">
        <f>TRIM(Table6[[#This Row],[District]])&amp;"|"&amp;TRIM(Table6[[#This Row],[Upazila]])</f>
        <v>Shariatpur|Naria</v>
      </c>
      <c r="N355" t="str">
        <f>_xlfn.XLOOKUP(B355,Remittance_Data!A:A,Remittance_Data!B:B,"CHECK")</f>
        <v>CHECK</v>
      </c>
      <c r="O355" t="str">
        <f>_xlfn.XLOOKUP(B355,Remittance_Data!A:A,Remittance_Data!C:C,"CHECK")</f>
        <v>CHECK</v>
      </c>
      <c r="P355" t="str">
        <f>_xlfn.XLOOKUP(B355,Remittance_Data!A:A,Remittance_Data!D:D,"CHECK")</f>
        <v>CHECK</v>
      </c>
    </row>
    <row r="356" spans="1:16">
      <c r="A356" t="s">
        <v>678</v>
      </c>
      <c r="B356" t="str">
        <f>SUBSTITUTE(SUBSTITUTE(SUBSTITUTE(SUBSTITUTE(TRIM(Table6[[#This Row],[Constituency]]),"Barisal","Barishal"),"Jessore","Jashore"),"Bogra","Bogura"),"Chapai Nawabganj","Chapainawabganj")</f>
        <v>Shariatpur-2</v>
      </c>
      <c r="C356" t="s">
        <v>1218</v>
      </c>
      <c r="D356" t="s">
        <v>1307</v>
      </c>
      <c r="E356">
        <f>_xlfn.XLOOKUP(C356,Population_data!B:B,Population_data!C:C,"")</f>
        <v>266.83999999999997</v>
      </c>
      <c r="F356">
        <f>_xlfn.XLOOKUP(C356,Population_data!B:B,Population_data!D:D,"")</f>
        <v>322307</v>
      </c>
      <c r="G356">
        <f>_xlfn.XLOOKUP(C356,Population_data!B:B,Population_data!E:E,"")</f>
        <v>1207.8699999999999</v>
      </c>
      <c r="H356">
        <f>_xlfn.XLOOKUP(C356,Population_data!B:B,Population_data!F:F,"")</f>
        <v>3.57</v>
      </c>
      <c r="I356">
        <f>_xlfn.XLOOKUP(C356,Population_data!B:B,Population_data!G:G,"")</f>
        <v>66.87</v>
      </c>
      <c r="J356" t="str">
        <f>_xlfn.XLOOKUP(D356,District_Crime_Unit_Map!A:A,District_Crime_Unit_Map!B:B,"")</f>
        <v>Dhaka Range</v>
      </c>
      <c r="K356">
        <f>_xlfn.XLOOKUP(J356,Crime_Data!A:A,Crime_Data!V:V,"")</f>
        <v>87.055167395391194</v>
      </c>
      <c r="L356">
        <f>_xlfn.XLOOKUP(J356,Crime_Data!A:A,Crime_Data!W:W,"")</f>
        <v>14.083489099923572</v>
      </c>
      <c r="M356" t="str">
        <f>TRIM(Table6[[#This Row],[District]])&amp;"|"&amp;TRIM(Table6[[#This Row],[Upazila]])</f>
        <v>Shariatpur|Sakhipur</v>
      </c>
      <c r="N356" t="str">
        <f>_xlfn.XLOOKUP(B356,Remittance_Data!A:A,Remittance_Data!B:B,"CHECK")</f>
        <v>CHECK</v>
      </c>
      <c r="O356" t="str">
        <f>_xlfn.XLOOKUP(B356,Remittance_Data!A:A,Remittance_Data!C:C,"CHECK")</f>
        <v>CHECK</v>
      </c>
      <c r="P356" t="str">
        <f>_xlfn.XLOOKUP(B356,Remittance_Data!A:A,Remittance_Data!D:D,"CHECK")</f>
        <v>CHECK</v>
      </c>
    </row>
    <row r="357" spans="1:16">
      <c r="A357" t="s">
        <v>681</v>
      </c>
      <c r="B357" t="str">
        <f>SUBSTITUTE(SUBSTITUTE(SUBSTITUTE(SUBSTITUTE(TRIM(Table6[[#This Row],[Constituency]]),"Barisal","Barishal"),"Jessore","Jashore"),"Bogra","Bogura"),"Chapai Nawabganj","Chapainawabganj")</f>
        <v>Shariatpur-3</v>
      </c>
      <c r="C357" t="s">
        <v>1310</v>
      </c>
      <c r="D357" t="s">
        <v>1307</v>
      </c>
      <c r="E357">
        <f>_xlfn.XLOOKUP(C357,Population_data!B:B,Population_data!C:C,"")</f>
        <v>70.569999999999993</v>
      </c>
      <c r="F357">
        <f>_xlfn.XLOOKUP(C357,Population_data!B:B,Population_data!D:D,"")</f>
        <v>123636</v>
      </c>
      <c r="G357">
        <f>_xlfn.XLOOKUP(C357,Population_data!B:B,Population_data!E:E,"")</f>
        <v>1751.96</v>
      </c>
      <c r="H357">
        <f>_xlfn.XLOOKUP(C357,Population_data!B:B,Population_data!F:F,"")</f>
        <v>4.0599999999999996</v>
      </c>
      <c r="I357">
        <f>_xlfn.XLOOKUP(C357,Population_data!B:B,Population_data!G:G,"")</f>
        <v>73.95</v>
      </c>
      <c r="J357" t="str">
        <f>_xlfn.XLOOKUP(D357,District_Crime_Unit_Map!A:A,District_Crime_Unit_Map!B:B,"")</f>
        <v>Dhaka Range</v>
      </c>
      <c r="K357">
        <f>_xlfn.XLOOKUP(J357,Crime_Data!A:A,Crime_Data!V:V,"")</f>
        <v>87.055167395391194</v>
      </c>
      <c r="L357">
        <f>_xlfn.XLOOKUP(J357,Crime_Data!A:A,Crime_Data!W:W,"")</f>
        <v>14.083489099923572</v>
      </c>
      <c r="M357" t="str">
        <f>TRIM(Table6[[#This Row],[District]])&amp;"|"&amp;TRIM(Table6[[#This Row],[Upazila]])</f>
        <v>Shariatpur|Damudya</v>
      </c>
      <c r="N357" t="str">
        <f>_xlfn.XLOOKUP(B357,Remittance_Data!A:A,Remittance_Data!B:B,"CHECK")</f>
        <v>CHECK</v>
      </c>
      <c r="O357" t="str">
        <f>_xlfn.XLOOKUP(B357,Remittance_Data!A:A,Remittance_Data!C:C,"CHECK")</f>
        <v>CHECK</v>
      </c>
      <c r="P357" t="str">
        <f>_xlfn.XLOOKUP(B357,Remittance_Data!A:A,Remittance_Data!D:D,"CHECK")</f>
        <v>CHECK</v>
      </c>
    </row>
    <row r="358" spans="1:16">
      <c r="A358" t="s">
        <v>681</v>
      </c>
      <c r="B358" t="str">
        <f>SUBSTITUTE(SUBSTITUTE(SUBSTITUTE(SUBSTITUTE(TRIM(Table6[[#This Row],[Constituency]]),"Barisal","Barishal"),"Jessore","Jashore"),"Bogra","Bogura"),"Chapai Nawabganj","Chapainawabganj")</f>
        <v>Shariatpur-3</v>
      </c>
      <c r="C358" t="s">
        <v>1311</v>
      </c>
      <c r="D358" t="s">
        <v>1307</v>
      </c>
      <c r="E358">
        <f>_xlfn.XLOOKUP(C358,Population_data!B:B,Population_data!C:C,"")</f>
        <v>149.84</v>
      </c>
      <c r="F358">
        <f>_xlfn.XLOOKUP(C358,Population_data!B:B,Population_data!D:D,"")</f>
        <v>175016</v>
      </c>
      <c r="G358">
        <f>_xlfn.XLOOKUP(C358,Population_data!B:B,Population_data!E:E,"")</f>
        <v>1168.02</v>
      </c>
      <c r="H358">
        <f>_xlfn.XLOOKUP(C358,Population_data!B:B,Population_data!F:F,"")</f>
        <v>4.24</v>
      </c>
      <c r="I358">
        <f>_xlfn.XLOOKUP(C358,Population_data!B:B,Population_data!G:G,"")</f>
        <v>70.930000000000007</v>
      </c>
      <c r="J358" t="str">
        <f>_xlfn.XLOOKUP(D358,District_Crime_Unit_Map!A:A,District_Crime_Unit_Map!B:B,"")</f>
        <v>Dhaka Range</v>
      </c>
      <c r="K358">
        <f>_xlfn.XLOOKUP(J358,Crime_Data!A:A,Crime_Data!V:V,"")</f>
        <v>87.055167395391194</v>
      </c>
      <c r="L358">
        <f>_xlfn.XLOOKUP(J358,Crime_Data!A:A,Crime_Data!W:W,"")</f>
        <v>14.083489099923572</v>
      </c>
      <c r="M358" t="str">
        <f>TRIM(Table6[[#This Row],[District]])&amp;"|"&amp;TRIM(Table6[[#This Row],[Upazila]])</f>
        <v>Shariatpur|Gosairhat</v>
      </c>
      <c r="N358" t="str">
        <f>_xlfn.XLOOKUP(B358,Remittance_Data!A:A,Remittance_Data!B:B,"CHECK")</f>
        <v>CHECK</v>
      </c>
      <c r="O358" t="str">
        <f>_xlfn.XLOOKUP(B358,Remittance_Data!A:A,Remittance_Data!C:C,"CHECK")</f>
        <v>CHECK</v>
      </c>
      <c r="P358" t="str">
        <f>_xlfn.XLOOKUP(B358,Remittance_Data!A:A,Remittance_Data!D:D,"CHECK")</f>
        <v>CHECK</v>
      </c>
    </row>
    <row r="359" spans="1:16">
      <c r="A359" t="s">
        <v>685</v>
      </c>
      <c r="B359" t="str">
        <f>SUBSTITUTE(SUBSTITUTE(SUBSTITUTE(SUBSTITUTE(TRIM(Table6[[#This Row],[Constituency]]),"Barisal","Barishal"),"Jessore","Jashore"),"Bogra","Bogura"),"Chapai Nawabganj","Chapainawabganj")</f>
        <v>Sunamganj-1</v>
      </c>
      <c r="C359" t="s">
        <v>1312</v>
      </c>
      <c r="D359" t="s">
        <v>1313</v>
      </c>
      <c r="E359">
        <f>_xlfn.XLOOKUP(C359,Population_data!B:B,Population_data!C:C,"")</f>
        <v>246.58</v>
      </c>
      <c r="F359">
        <f>_xlfn.XLOOKUP(C359,Population_data!B:B,Population_data!D:D,"")</f>
        <v>224841</v>
      </c>
      <c r="G359">
        <f>_xlfn.XLOOKUP(C359,Population_data!B:B,Population_data!E:E,"")</f>
        <v>911.84</v>
      </c>
      <c r="H359">
        <f>_xlfn.XLOOKUP(C359,Population_data!B:B,Population_data!F:F,"")</f>
        <v>5.15</v>
      </c>
      <c r="I359">
        <f>_xlfn.XLOOKUP(C359,Population_data!B:B,Population_data!G:G,"")</f>
        <v>60.71</v>
      </c>
      <c r="J359" t="str">
        <f>_xlfn.XLOOKUP(D359,District_Crime_Unit_Map!A:A,District_Crime_Unit_Map!B:B,"")</f>
        <v>Sylhet Range</v>
      </c>
      <c r="K359">
        <f>_xlfn.XLOOKUP(J359,Crime_Data!A:A,Crime_Data!V:V,"")</f>
        <v>74.251724391082064</v>
      </c>
      <c r="L359">
        <f>_xlfn.XLOOKUP(J359,Crime_Data!A:A,Crime_Data!W:W,"")</f>
        <v>9.6171122896887518</v>
      </c>
      <c r="M359" t="str">
        <f>TRIM(Table6[[#This Row],[District]])&amp;"|"&amp;TRIM(Table6[[#This Row],[Upazila]])</f>
        <v>Sunamganj|Tahirpur</v>
      </c>
      <c r="N359" t="str">
        <f>_xlfn.XLOOKUP(B359,Remittance_Data!A:A,Remittance_Data!B:B,"CHECK")</f>
        <v>CHECK</v>
      </c>
      <c r="O359" t="str">
        <f>_xlfn.XLOOKUP(B359,Remittance_Data!A:A,Remittance_Data!C:C,"CHECK")</f>
        <v>CHECK</v>
      </c>
      <c r="P359" t="str">
        <f>_xlfn.XLOOKUP(B359,Remittance_Data!A:A,Remittance_Data!D:D,"CHECK")</f>
        <v>CHECK</v>
      </c>
    </row>
    <row r="360" spans="1:16">
      <c r="A360" t="s">
        <v>685</v>
      </c>
      <c r="B360" t="str">
        <f>SUBSTITUTE(SUBSTITUTE(SUBSTITUTE(SUBSTITUTE(TRIM(Table6[[#This Row],[Constituency]]),"Barisal","Barishal"),"Jessore","Jashore"),"Bogra","Bogura"),"Chapai Nawabganj","Chapainawabganj")</f>
        <v>Sunamganj-1</v>
      </c>
      <c r="C360" t="s">
        <v>1314</v>
      </c>
      <c r="D360" t="s">
        <v>1313</v>
      </c>
      <c r="E360">
        <f>_xlfn.XLOOKUP(C360,Population_data!B:B,Population_data!C:C,"")</f>
        <v>242.79</v>
      </c>
      <c r="F360">
        <f>_xlfn.XLOOKUP(C360,Population_data!B:B,Population_data!D:D,"")</f>
        <v>185851</v>
      </c>
      <c r="G360">
        <f>_xlfn.XLOOKUP(C360,Population_data!B:B,Population_data!E:E,"")</f>
        <v>765.48</v>
      </c>
      <c r="H360">
        <f>_xlfn.XLOOKUP(C360,Population_data!B:B,Population_data!F:F,"")</f>
        <v>5.17</v>
      </c>
      <c r="I360">
        <f>_xlfn.XLOOKUP(C360,Population_data!B:B,Population_data!G:G,"")</f>
        <v>58.56</v>
      </c>
      <c r="J360" t="str">
        <f>_xlfn.XLOOKUP(D360,District_Crime_Unit_Map!A:A,District_Crime_Unit_Map!B:B,"")</f>
        <v>Sylhet Range</v>
      </c>
      <c r="K360">
        <f>_xlfn.XLOOKUP(J360,Crime_Data!A:A,Crime_Data!V:V,"")</f>
        <v>74.251724391082064</v>
      </c>
      <c r="L360">
        <f>_xlfn.XLOOKUP(J360,Crime_Data!A:A,Crime_Data!W:W,"")</f>
        <v>9.6171122896887518</v>
      </c>
      <c r="M360" t="str">
        <f>TRIM(Table6[[#This Row],[District]])&amp;"|"&amp;TRIM(Table6[[#This Row],[Upazila]])</f>
        <v>Sunamganj|Jamalganj</v>
      </c>
      <c r="N360" t="str">
        <f>_xlfn.XLOOKUP(B360,Remittance_Data!A:A,Remittance_Data!B:B,"CHECK")</f>
        <v>CHECK</v>
      </c>
      <c r="O360" t="str">
        <f>_xlfn.XLOOKUP(B360,Remittance_Data!A:A,Remittance_Data!C:C,"CHECK")</f>
        <v>CHECK</v>
      </c>
      <c r="P360" t="str">
        <f>_xlfn.XLOOKUP(B360,Remittance_Data!A:A,Remittance_Data!D:D,"CHECK")</f>
        <v>CHECK</v>
      </c>
    </row>
    <row r="361" spans="1:16">
      <c r="A361" t="s">
        <v>685</v>
      </c>
      <c r="B361" t="str">
        <f>SUBSTITUTE(SUBSTITUTE(SUBSTITUTE(SUBSTITUTE(TRIM(Table6[[#This Row],[Constituency]]),"Barisal","Barishal"),"Jessore","Jashore"),"Bogra","Bogura"),"Chapai Nawabganj","Chapainawabganj")</f>
        <v>Sunamganj-1</v>
      </c>
      <c r="C361" t="s">
        <v>1315</v>
      </c>
      <c r="D361" t="s">
        <v>1313</v>
      </c>
      <c r="E361">
        <f>_xlfn.XLOOKUP(C361,Population_data!B:B,Population_data!C:C,"")</f>
        <v>368.27</v>
      </c>
      <c r="F361">
        <f>_xlfn.XLOOKUP(C361,Population_data!B:B,Population_data!D:D,"")</f>
        <v>133231</v>
      </c>
      <c r="G361">
        <f>_xlfn.XLOOKUP(C361,Population_data!B:B,Population_data!E:E,"")</f>
        <v>361.78</v>
      </c>
      <c r="H361">
        <f>_xlfn.XLOOKUP(C361,Population_data!B:B,Population_data!F:F,"")</f>
        <v>4.71</v>
      </c>
      <c r="I361">
        <f>_xlfn.XLOOKUP(C361,Population_data!B:B,Population_data!G:G,"")</f>
        <v>56.66</v>
      </c>
      <c r="J361" t="str">
        <f>_xlfn.XLOOKUP(D361,District_Crime_Unit_Map!A:A,District_Crime_Unit_Map!B:B,"")</f>
        <v>Sylhet Range</v>
      </c>
      <c r="K361">
        <f>_xlfn.XLOOKUP(J361,Crime_Data!A:A,Crime_Data!V:V,"")</f>
        <v>74.251724391082064</v>
      </c>
      <c r="L361">
        <f>_xlfn.XLOOKUP(J361,Crime_Data!A:A,Crime_Data!W:W,"")</f>
        <v>9.6171122896887518</v>
      </c>
      <c r="M361" t="str">
        <f>TRIM(Table6[[#This Row],[District]])&amp;"|"&amp;TRIM(Table6[[#This Row],[Upazila]])</f>
        <v>Sunamganj|Dharmapasha</v>
      </c>
      <c r="N361" t="str">
        <f>_xlfn.XLOOKUP(B361,Remittance_Data!A:A,Remittance_Data!B:B,"CHECK")</f>
        <v>CHECK</v>
      </c>
      <c r="O361" t="str">
        <f>_xlfn.XLOOKUP(B361,Remittance_Data!A:A,Remittance_Data!C:C,"CHECK")</f>
        <v>CHECK</v>
      </c>
      <c r="P361" t="str">
        <f>_xlfn.XLOOKUP(B361,Remittance_Data!A:A,Remittance_Data!D:D,"CHECK")</f>
        <v>CHECK</v>
      </c>
    </row>
    <row r="362" spans="1:16">
      <c r="A362" t="s">
        <v>688</v>
      </c>
      <c r="B362" t="str">
        <f>SUBSTITUTE(SUBSTITUTE(SUBSTITUTE(SUBSTITUTE(TRIM(Table6[[#This Row],[Constituency]]),"Barisal","Barishal"),"Jessore","Jashore"),"Bogra","Bogura"),"Chapai Nawabganj","Chapainawabganj")</f>
        <v>Sunamganj-2</v>
      </c>
      <c r="C362" t="s">
        <v>1316</v>
      </c>
      <c r="D362" t="s">
        <v>1313</v>
      </c>
      <c r="E362">
        <f>_xlfn.XLOOKUP(C362,Population_data!B:B,Population_data!C:C,"")</f>
        <v>284.89</v>
      </c>
      <c r="F362">
        <f>_xlfn.XLOOKUP(C362,Population_data!B:B,Population_data!D:D,"")</f>
        <v>253692</v>
      </c>
      <c r="G362">
        <f>_xlfn.XLOOKUP(C362,Population_data!B:B,Population_data!E:E,"")</f>
        <v>890.49</v>
      </c>
      <c r="H362">
        <f>_xlfn.XLOOKUP(C362,Population_data!B:B,Population_data!F:F,"")</f>
        <v>5.09</v>
      </c>
      <c r="I362">
        <f>_xlfn.XLOOKUP(C362,Population_data!B:B,Population_data!G:G,"")</f>
        <v>67.69</v>
      </c>
      <c r="J362" t="str">
        <f>_xlfn.XLOOKUP(D362,District_Crime_Unit_Map!A:A,District_Crime_Unit_Map!B:B,"")</f>
        <v>Sylhet Range</v>
      </c>
      <c r="K362">
        <f>_xlfn.XLOOKUP(J362,Crime_Data!A:A,Crime_Data!V:V,"")</f>
        <v>74.251724391082064</v>
      </c>
      <c r="L362">
        <f>_xlfn.XLOOKUP(J362,Crime_Data!A:A,Crime_Data!W:W,"")</f>
        <v>9.6171122896887518</v>
      </c>
      <c r="M362" t="str">
        <f>TRIM(Table6[[#This Row],[District]])&amp;"|"&amp;TRIM(Table6[[#This Row],[Upazila]])</f>
        <v>Sunamganj|Dirai</v>
      </c>
      <c r="N362" t="str">
        <f>_xlfn.XLOOKUP(B362,Remittance_Data!A:A,Remittance_Data!B:B,"CHECK")</f>
        <v>CHECK</v>
      </c>
      <c r="O362" t="str">
        <f>_xlfn.XLOOKUP(B362,Remittance_Data!A:A,Remittance_Data!C:C,"CHECK")</f>
        <v>CHECK</v>
      </c>
      <c r="P362" t="str">
        <f>_xlfn.XLOOKUP(B362,Remittance_Data!A:A,Remittance_Data!D:D,"CHECK")</f>
        <v>CHECK</v>
      </c>
    </row>
    <row r="363" spans="1:16">
      <c r="A363" t="s">
        <v>688</v>
      </c>
      <c r="B363" t="str">
        <f>SUBSTITUTE(SUBSTITUTE(SUBSTITUTE(SUBSTITUTE(TRIM(Table6[[#This Row],[Constituency]]),"Barisal","Barishal"),"Jessore","Jashore"),"Bogra","Bogura"),"Chapai Nawabganj","Chapainawabganj")</f>
        <v>Sunamganj-2</v>
      </c>
      <c r="C363" t="s">
        <v>1317</v>
      </c>
      <c r="D363" t="s">
        <v>1313</v>
      </c>
      <c r="E363">
        <f>_xlfn.XLOOKUP(C363,Population_data!B:B,Population_data!C:C,"")</f>
        <v>373.28</v>
      </c>
      <c r="F363">
        <f>_xlfn.XLOOKUP(C363,Population_data!B:B,Population_data!D:D,"")</f>
        <v>117626</v>
      </c>
      <c r="G363">
        <f>_xlfn.XLOOKUP(C363,Population_data!B:B,Population_data!E:E,"")</f>
        <v>315.11</v>
      </c>
      <c r="H363">
        <f>_xlfn.XLOOKUP(C363,Population_data!B:B,Population_data!F:F,"")</f>
        <v>5.12</v>
      </c>
      <c r="I363">
        <f>_xlfn.XLOOKUP(C363,Population_data!B:B,Population_data!G:G,"")</f>
        <v>63.82</v>
      </c>
      <c r="J363" t="str">
        <f>_xlfn.XLOOKUP(D363,District_Crime_Unit_Map!A:A,District_Crime_Unit_Map!B:B,"")</f>
        <v>Sylhet Range</v>
      </c>
      <c r="K363">
        <f>_xlfn.XLOOKUP(J363,Crime_Data!A:A,Crime_Data!V:V,"")</f>
        <v>74.251724391082064</v>
      </c>
      <c r="L363">
        <f>_xlfn.XLOOKUP(J363,Crime_Data!A:A,Crime_Data!W:W,"")</f>
        <v>9.6171122896887518</v>
      </c>
      <c r="M363" t="str">
        <f>TRIM(Table6[[#This Row],[District]])&amp;"|"&amp;TRIM(Table6[[#This Row],[Upazila]])</f>
        <v>Sunamganj|Shalla</v>
      </c>
      <c r="N363" t="str">
        <f>_xlfn.XLOOKUP(B363,Remittance_Data!A:A,Remittance_Data!B:B,"CHECK")</f>
        <v>CHECK</v>
      </c>
      <c r="O363" t="str">
        <f>_xlfn.XLOOKUP(B363,Remittance_Data!A:A,Remittance_Data!C:C,"CHECK")</f>
        <v>CHECK</v>
      </c>
      <c r="P363" t="str">
        <f>_xlfn.XLOOKUP(B363,Remittance_Data!A:A,Remittance_Data!D:D,"CHECK")</f>
        <v>CHECK</v>
      </c>
    </row>
    <row r="364" spans="1:16">
      <c r="A364" t="s">
        <v>691</v>
      </c>
      <c r="B364" t="str">
        <f>SUBSTITUTE(SUBSTITUTE(SUBSTITUTE(SUBSTITUTE(TRIM(Table6[[#This Row],[Constituency]]),"Barisal","Barishal"),"Jessore","Jashore"),"Bogra","Bogura"),"Chapai Nawabganj","Chapainawabganj")</f>
        <v>Sunamganj-3</v>
      </c>
      <c r="C364" t="s">
        <v>1318</v>
      </c>
      <c r="D364" t="s">
        <v>1313</v>
      </c>
      <c r="E364">
        <f>_xlfn.XLOOKUP(C364,Population_data!B:B,Population_data!C:C,"")</f>
        <v>398.6</v>
      </c>
      <c r="F364">
        <f>_xlfn.XLOOKUP(C364,Population_data!B:B,Population_data!D:D,"")</f>
        <v>318064</v>
      </c>
      <c r="G364">
        <f>_xlfn.XLOOKUP(C364,Population_data!B:B,Population_data!E:E,"")</f>
        <v>797.95</v>
      </c>
      <c r="H364">
        <f>_xlfn.XLOOKUP(C364,Population_data!B:B,Population_data!F:F,"")</f>
        <v>5</v>
      </c>
      <c r="I364">
        <f>_xlfn.XLOOKUP(C364,Population_data!B:B,Population_data!G:G,"")</f>
        <v>67.989999999999995</v>
      </c>
      <c r="J364" t="str">
        <f>_xlfn.XLOOKUP(D364,District_Crime_Unit_Map!A:A,District_Crime_Unit_Map!B:B,"")</f>
        <v>Sylhet Range</v>
      </c>
      <c r="K364">
        <f>_xlfn.XLOOKUP(J364,Crime_Data!A:A,Crime_Data!V:V,"")</f>
        <v>74.251724391082064</v>
      </c>
      <c r="L364">
        <f>_xlfn.XLOOKUP(J364,Crime_Data!A:A,Crime_Data!W:W,"")</f>
        <v>9.6171122896887518</v>
      </c>
      <c r="M364" t="str">
        <f>TRIM(Table6[[#This Row],[District]])&amp;"|"&amp;TRIM(Table6[[#This Row],[Upazila]])</f>
        <v>Sunamganj|Sunamganj Sadar</v>
      </c>
      <c r="N364" t="str">
        <f>_xlfn.XLOOKUP(B364,Remittance_Data!A:A,Remittance_Data!B:B,"CHECK")</f>
        <v>CHECK</v>
      </c>
      <c r="O364" t="str">
        <f>_xlfn.XLOOKUP(B364,Remittance_Data!A:A,Remittance_Data!C:C,"CHECK")</f>
        <v>CHECK</v>
      </c>
      <c r="P364" t="str">
        <f>_xlfn.XLOOKUP(B364,Remittance_Data!A:A,Remittance_Data!D:D,"CHECK")</f>
        <v>CHECK</v>
      </c>
    </row>
    <row r="365" spans="1:16">
      <c r="A365" t="s">
        <v>691</v>
      </c>
      <c r="B365" t="str">
        <f>SUBSTITUTE(SUBSTITUTE(SUBSTITUTE(SUBSTITUTE(TRIM(Table6[[#This Row],[Constituency]]),"Barisal","Barishal"),"Jessore","Jashore"),"Bogra","Bogura"),"Chapai Nawabganj","Chapainawabganj")</f>
        <v>Sunamganj-3</v>
      </c>
      <c r="C365" t="s">
        <v>1518</v>
      </c>
      <c r="D365" t="s">
        <v>1313</v>
      </c>
      <c r="E365">
        <f>_xlfn.XLOOKUP(C365,Population_data!B:B,Population_data!C:C,"")</f>
        <v>375.52</v>
      </c>
      <c r="F365">
        <f>_xlfn.XLOOKUP(C365,Population_data!B:B,Population_data!D:D,"")</f>
        <v>190332</v>
      </c>
      <c r="G365">
        <f>_xlfn.XLOOKUP(C365,Population_data!B:B,Population_data!E:E,"")</f>
        <v>506.85</v>
      </c>
      <c r="H365">
        <f>_xlfn.XLOOKUP(C365,Population_data!B:B,Population_data!F:F,"")</f>
        <v>5.03</v>
      </c>
      <c r="I365">
        <f>_xlfn.XLOOKUP(C365,Population_data!B:B,Population_data!G:G,"")</f>
        <v>64.17</v>
      </c>
      <c r="J365" t="str">
        <f>_xlfn.XLOOKUP(D365,District_Crime_Unit_Map!A:A,District_Crime_Unit_Map!B:B,"")</f>
        <v>Sylhet Range</v>
      </c>
      <c r="K365">
        <f>_xlfn.XLOOKUP(J365,Crime_Data!A:A,Crime_Data!V:V,"")</f>
        <v>74.251724391082064</v>
      </c>
      <c r="L365">
        <f>_xlfn.XLOOKUP(J365,Crime_Data!A:A,Crime_Data!W:W,"")</f>
        <v>9.6171122896887518</v>
      </c>
      <c r="M365" t="str">
        <f>TRIM(Table6[[#This Row],[District]])&amp;"|"&amp;TRIM(Table6[[#This Row],[Upazila]])</f>
        <v>Sunamganj|Bishwambharpur</v>
      </c>
      <c r="N365" t="str">
        <f>_xlfn.XLOOKUP(B365,Remittance_Data!A:A,Remittance_Data!B:B,"CHECK")</f>
        <v>CHECK</v>
      </c>
      <c r="O365" t="str">
        <f>_xlfn.XLOOKUP(B365,Remittance_Data!A:A,Remittance_Data!C:C,"CHECK")</f>
        <v>CHECK</v>
      </c>
      <c r="P365" t="str">
        <f>_xlfn.XLOOKUP(B365,Remittance_Data!A:A,Remittance_Data!D:D,"CHECK")</f>
        <v>CHECK</v>
      </c>
    </row>
    <row r="366" spans="1:16">
      <c r="A366" t="s">
        <v>694</v>
      </c>
      <c r="B366" t="str">
        <f>SUBSTITUTE(SUBSTITUTE(SUBSTITUTE(SUBSTITUTE(TRIM(Table6[[#This Row],[Constituency]]),"Barisal","Barishal"),"Jessore","Jashore"),"Bogra","Bogura"),"Chapai Nawabganj","Chapainawabganj")</f>
        <v>Sunamganj-4</v>
      </c>
      <c r="C366" t="s">
        <v>1320</v>
      </c>
      <c r="D366" t="s">
        <v>1313</v>
      </c>
      <c r="E366">
        <f>_xlfn.XLOOKUP(C366,Population_data!B:B,Population_data!C:C,"")</f>
        <v>336.11</v>
      </c>
      <c r="F366">
        <f>_xlfn.XLOOKUP(C366,Population_data!B:B,Population_data!D:D,"")</f>
        <v>445769</v>
      </c>
      <c r="G366">
        <f>_xlfn.XLOOKUP(C366,Population_data!B:B,Population_data!E:E,"")</f>
        <v>1326.26</v>
      </c>
      <c r="H366">
        <f>_xlfn.XLOOKUP(C366,Population_data!B:B,Population_data!F:F,"")</f>
        <v>5.21</v>
      </c>
      <c r="I366">
        <f>_xlfn.XLOOKUP(C366,Population_data!B:B,Population_data!G:G,"")</f>
        <v>68.09</v>
      </c>
      <c r="J366" t="str">
        <f>_xlfn.XLOOKUP(D366,District_Crime_Unit_Map!A:A,District_Crime_Unit_Map!B:B,"")</f>
        <v>Sylhet Range</v>
      </c>
      <c r="K366">
        <f>_xlfn.XLOOKUP(J366,Crime_Data!A:A,Crime_Data!V:V,"")</f>
        <v>74.251724391082064</v>
      </c>
      <c r="L366">
        <f>_xlfn.XLOOKUP(J366,Crime_Data!A:A,Crime_Data!W:W,"")</f>
        <v>9.6171122896887518</v>
      </c>
      <c r="M366" t="str">
        <f>TRIM(Table6[[#This Row],[District]])&amp;"|"&amp;TRIM(Table6[[#This Row],[Upazila]])</f>
        <v>Sunamganj|Chhatak</v>
      </c>
      <c r="N366" t="str">
        <f>_xlfn.XLOOKUP(B366,Remittance_Data!A:A,Remittance_Data!B:B,"CHECK")</f>
        <v>CHECK</v>
      </c>
      <c r="O366" t="str">
        <f>_xlfn.XLOOKUP(B366,Remittance_Data!A:A,Remittance_Data!C:C,"CHECK")</f>
        <v>CHECK</v>
      </c>
      <c r="P366" t="str">
        <f>_xlfn.XLOOKUP(B366,Remittance_Data!A:A,Remittance_Data!D:D,"CHECK")</f>
        <v>CHECK</v>
      </c>
    </row>
    <row r="367" spans="1:16">
      <c r="A367" t="s">
        <v>694</v>
      </c>
      <c r="B367" t="str">
        <f>SUBSTITUTE(SUBSTITUTE(SUBSTITUTE(SUBSTITUTE(TRIM(Table6[[#This Row],[Constituency]]),"Barisal","Barishal"),"Jessore","Jashore"),"Bogra","Bogura"),"Chapai Nawabganj","Chapainawabganj")</f>
        <v>Sunamganj-4</v>
      </c>
      <c r="C367" t="s">
        <v>1321</v>
      </c>
      <c r="D367" t="s">
        <v>1313</v>
      </c>
      <c r="E367">
        <f>_xlfn.XLOOKUP(C367,Population_data!B:B,Population_data!C:C,"")</f>
        <v>225.74</v>
      </c>
      <c r="F367">
        <f>_xlfn.XLOOKUP(C367,Population_data!B:B,Population_data!D:D,"")</f>
        <v>260496</v>
      </c>
      <c r="G367">
        <f>_xlfn.XLOOKUP(C367,Population_data!B:B,Population_data!E:E,"")</f>
        <v>1153.96</v>
      </c>
      <c r="H367">
        <f>_xlfn.XLOOKUP(C367,Population_data!B:B,Population_data!F:F,"")</f>
        <v>5.0199999999999996</v>
      </c>
      <c r="I367">
        <f>_xlfn.XLOOKUP(C367,Population_data!B:B,Population_data!G:G,"")</f>
        <v>64.78</v>
      </c>
      <c r="J367" t="str">
        <f>_xlfn.XLOOKUP(D367,District_Crime_Unit_Map!A:A,District_Crime_Unit_Map!B:B,"")</f>
        <v>Sylhet Range</v>
      </c>
      <c r="K367">
        <f>_xlfn.XLOOKUP(J367,Crime_Data!A:A,Crime_Data!V:V,"")</f>
        <v>74.251724391082064</v>
      </c>
      <c r="L367">
        <f>_xlfn.XLOOKUP(J367,Crime_Data!A:A,Crime_Data!W:W,"")</f>
        <v>9.6171122896887518</v>
      </c>
      <c r="M367" t="str">
        <f>TRIM(Table6[[#This Row],[District]])&amp;"|"&amp;TRIM(Table6[[#This Row],[Upazila]])</f>
        <v>Sunamganj|Dowarabazar</v>
      </c>
      <c r="N367" t="str">
        <f>_xlfn.XLOOKUP(B367,Remittance_Data!A:A,Remittance_Data!B:B,"CHECK")</f>
        <v>CHECK</v>
      </c>
      <c r="O367" t="str">
        <f>_xlfn.XLOOKUP(B367,Remittance_Data!A:A,Remittance_Data!C:C,"CHECK")</f>
        <v>CHECK</v>
      </c>
      <c r="P367" t="str">
        <f>_xlfn.XLOOKUP(B367,Remittance_Data!A:A,Remittance_Data!D:D,"CHECK")</f>
        <v>CHECK</v>
      </c>
    </row>
    <row r="368" spans="1:16">
      <c r="A368" t="s">
        <v>697</v>
      </c>
      <c r="B368" t="str">
        <f>SUBSTITUTE(SUBSTITUTE(SUBSTITUTE(SUBSTITUTE(TRIM(Table6[[#This Row],[Constituency]]),"Barisal","Barishal"),"Jessore","Jashore"),"Bogra","Bogura"),"Chapai Nawabganj","Chapainawabganj")</f>
        <v>Sunamganj-5</v>
      </c>
      <c r="C368" t="s">
        <v>1322</v>
      </c>
      <c r="D368" t="s">
        <v>1313</v>
      </c>
      <c r="E368">
        <f>_xlfn.XLOOKUP(C368,Population_data!B:B,Population_data!C:C,"")</f>
        <v>305.32</v>
      </c>
      <c r="F368">
        <f>_xlfn.XLOOKUP(C368,Population_data!B:B,Population_data!D:D,"")</f>
        <v>264172</v>
      </c>
      <c r="G368">
        <f>_xlfn.XLOOKUP(C368,Population_data!B:B,Population_data!E:E,"")</f>
        <v>865.23</v>
      </c>
      <c r="H368">
        <f>_xlfn.XLOOKUP(C368,Population_data!B:B,Population_data!F:F,"")</f>
        <v>5.34</v>
      </c>
      <c r="I368">
        <f>_xlfn.XLOOKUP(C368,Population_data!B:B,Population_data!G:G,"")</f>
        <v>68.66</v>
      </c>
      <c r="J368" t="str">
        <f>_xlfn.XLOOKUP(D368,District_Crime_Unit_Map!A:A,District_Crime_Unit_Map!B:B,"")</f>
        <v>Sylhet Range</v>
      </c>
      <c r="K368">
        <f>_xlfn.XLOOKUP(J368,Crime_Data!A:A,Crime_Data!V:V,"")</f>
        <v>74.251724391082064</v>
      </c>
      <c r="L368">
        <f>_xlfn.XLOOKUP(J368,Crime_Data!A:A,Crime_Data!W:W,"")</f>
        <v>9.6171122896887518</v>
      </c>
      <c r="M368" t="str">
        <f>TRIM(Table6[[#This Row],[District]])&amp;"|"&amp;TRIM(Table6[[#This Row],[Upazila]])</f>
        <v>Sunamganj|Jagannathpur</v>
      </c>
      <c r="N368" t="str">
        <f>_xlfn.XLOOKUP(B368,Remittance_Data!A:A,Remittance_Data!B:B,"CHECK")</f>
        <v>CHECK</v>
      </c>
      <c r="O368" t="str">
        <f>_xlfn.XLOOKUP(B368,Remittance_Data!A:A,Remittance_Data!C:C,"CHECK")</f>
        <v>CHECK</v>
      </c>
      <c r="P368" t="str">
        <f>_xlfn.XLOOKUP(B368,Remittance_Data!A:A,Remittance_Data!D:D,"CHECK")</f>
        <v>CHECK</v>
      </c>
    </row>
    <row r="369" spans="1:16">
      <c r="A369" t="s">
        <v>697</v>
      </c>
      <c r="B369" t="str">
        <f>SUBSTITUTE(SUBSTITUTE(SUBSTITUTE(SUBSTITUTE(TRIM(Table6[[#This Row],[Constituency]]),"Barisal","Barishal"),"Jessore","Jashore"),"Bogra","Bogura"),"Chapai Nawabganj","Chapainawabganj")</f>
        <v>Sunamganj-5</v>
      </c>
      <c r="C369" t="s">
        <v>1520</v>
      </c>
      <c r="D369" t="s">
        <v>1313</v>
      </c>
      <c r="E369">
        <f>_xlfn.XLOOKUP(C369,Population_data!B:B,Population_data!C:C,"")</f>
        <v>289.54000000000002</v>
      </c>
      <c r="F369">
        <f>_xlfn.XLOOKUP(C369,Population_data!B:B,Population_data!D:D,"")</f>
        <v>204983</v>
      </c>
      <c r="G369">
        <f>_xlfn.XLOOKUP(C369,Population_data!B:B,Population_data!E:E,"")</f>
        <v>707.96</v>
      </c>
      <c r="H369">
        <f>_xlfn.XLOOKUP(C369,Population_data!B:B,Population_data!F:F,"")</f>
        <v>5.23</v>
      </c>
      <c r="I369">
        <f>_xlfn.XLOOKUP(C369,Population_data!B:B,Population_data!G:G,"")</f>
        <v>65.17</v>
      </c>
      <c r="J369" t="str">
        <f>_xlfn.XLOOKUP(D369,District_Crime_Unit_Map!A:A,District_Crime_Unit_Map!B:B,"")</f>
        <v>Sylhet Range</v>
      </c>
      <c r="K369">
        <f>_xlfn.XLOOKUP(J369,Crime_Data!A:A,Crime_Data!V:V,"")</f>
        <v>74.251724391082064</v>
      </c>
      <c r="L369">
        <f>_xlfn.XLOOKUP(J369,Crime_Data!A:A,Crime_Data!W:W,"")</f>
        <v>9.6171122896887518</v>
      </c>
      <c r="M369" t="str">
        <f>TRIM(Table6[[#This Row],[District]])&amp;"|"&amp;TRIM(Table6[[#This Row],[Upazila]])</f>
        <v>Sunamganj|Shantiganj</v>
      </c>
      <c r="N369" t="str">
        <f>_xlfn.XLOOKUP(B369,Remittance_Data!A:A,Remittance_Data!B:B,"CHECK")</f>
        <v>CHECK</v>
      </c>
      <c r="O369" t="str">
        <f>_xlfn.XLOOKUP(B369,Remittance_Data!A:A,Remittance_Data!C:C,"CHECK")</f>
        <v>CHECK</v>
      </c>
      <c r="P369" t="str">
        <f>_xlfn.XLOOKUP(B369,Remittance_Data!A:A,Remittance_Data!D:D,"CHECK")</f>
        <v>CHECK</v>
      </c>
    </row>
    <row r="370" spans="1:16">
      <c r="A370" t="s">
        <v>700</v>
      </c>
      <c r="B370" t="str">
        <f>SUBSTITUTE(SUBSTITUTE(SUBSTITUTE(SUBSTITUTE(TRIM(Table6[[#This Row],[Constituency]]),"Barisal","Barishal"),"Jessore","Jashore"),"Bogra","Bogura"),"Chapai Nawabganj","Chapainawabganj")</f>
        <v>Sylhet-1</v>
      </c>
      <c r="C370" t="s">
        <v>1324</v>
      </c>
      <c r="D370" t="s">
        <v>684</v>
      </c>
      <c r="E370">
        <v>79.5</v>
      </c>
      <c r="F370">
        <v>532839</v>
      </c>
      <c r="G370">
        <v>6702</v>
      </c>
      <c r="H370">
        <v>4.53</v>
      </c>
      <c r="I370">
        <v>84.57</v>
      </c>
      <c r="J370" t="str">
        <f>_xlfn.XLOOKUP(D370,District_Crime_Unit_Map!A:A,District_Crime_Unit_Map!B:B,"")</f>
        <v>Sylhet Range</v>
      </c>
      <c r="K370">
        <f>_xlfn.XLOOKUP(J370,Crime_Data!A:A,Crime_Data!V:V,"")</f>
        <v>74.251724391082064</v>
      </c>
      <c r="L370">
        <f>_xlfn.XLOOKUP(J370,Crime_Data!A:A,Crime_Data!W:W,"")</f>
        <v>9.6171122896887518</v>
      </c>
      <c r="M370" t="str">
        <f>TRIM(Table6[[#This Row],[District]])&amp;"|"&amp;TRIM(Table6[[#This Row],[Upazila]])</f>
        <v>Sylhet|Sylhet City Corporation</v>
      </c>
      <c r="N370" t="str">
        <f>_xlfn.XLOOKUP(B370,Remittance_Data!A:A,Remittance_Data!B:B,"CHECK")</f>
        <v>CHECK</v>
      </c>
      <c r="O370" t="str">
        <f>_xlfn.XLOOKUP(B370,Remittance_Data!A:A,Remittance_Data!C:C,"CHECK")</f>
        <v>CHECK</v>
      </c>
      <c r="P370" t="str">
        <f>_xlfn.XLOOKUP(B370,Remittance_Data!A:A,Remittance_Data!D:D,"CHECK")</f>
        <v>CHECK</v>
      </c>
    </row>
    <row r="371" spans="1:16">
      <c r="A371" t="s">
        <v>703</v>
      </c>
      <c r="B371" t="str">
        <f>SUBSTITUTE(SUBSTITUTE(SUBSTITUTE(SUBSTITUTE(TRIM(Table6[[#This Row],[Constituency]]),"Barisal","Barishal"),"Jessore","Jashore"),"Bogra","Bogura"),"Chapai Nawabganj","Chapainawabganj")</f>
        <v>Sylhet-2</v>
      </c>
      <c r="C371" t="s">
        <v>1325</v>
      </c>
      <c r="D371" t="s">
        <v>684</v>
      </c>
      <c r="E371">
        <f>_xlfn.XLOOKUP(C371,Population_data!B:B,Population_data!C:C,"")</f>
        <v>280.76</v>
      </c>
      <c r="F371">
        <f>_xlfn.XLOOKUP(C371,Population_data!B:B,Population_data!D:D,"")</f>
        <v>123352</v>
      </c>
      <c r="G371">
        <f>_xlfn.XLOOKUP(C371,Population_data!B:B,Population_data!E:E,"")</f>
        <v>439.35</v>
      </c>
      <c r="H371">
        <f>_xlfn.XLOOKUP(C371,Population_data!B:B,Population_data!F:F,"")</f>
        <v>5.32</v>
      </c>
      <c r="I371">
        <f>_xlfn.XLOOKUP(C371,Population_data!B:B,Population_data!G:G,"")</f>
        <v>76.63</v>
      </c>
      <c r="J371" t="str">
        <f>_xlfn.XLOOKUP(D371,District_Crime_Unit_Map!A:A,District_Crime_Unit_Map!B:B,"")</f>
        <v>Sylhet Range</v>
      </c>
      <c r="K371">
        <f>_xlfn.XLOOKUP(J371,Crime_Data!A:A,Crime_Data!V:V,"")</f>
        <v>74.251724391082064</v>
      </c>
      <c r="L371">
        <f>_xlfn.XLOOKUP(J371,Crime_Data!A:A,Crime_Data!W:W,"")</f>
        <v>9.6171122896887518</v>
      </c>
      <c r="M371" t="str">
        <f>TRIM(Table6[[#This Row],[District]])&amp;"|"&amp;TRIM(Table6[[#This Row],[Upazila]])</f>
        <v>Sylhet|Balaganj</v>
      </c>
      <c r="N371" t="str">
        <f>_xlfn.XLOOKUP(B371,Remittance_Data!A:A,Remittance_Data!B:B,"CHECK")</f>
        <v>CHECK</v>
      </c>
      <c r="O371" t="str">
        <f>_xlfn.XLOOKUP(B371,Remittance_Data!A:A,Remittance_Data!C:C,"CHECK")</f>
        <v>CHECK</v>
      </c>
      <c r="P371" t="str">
        <f>_xlfn.XLOOKUP(B371,Remittance_Data!A:A,Remittance_Data!D:D,"CHECK")</f>
        <v>CHECK</v>
      </c>
    </row>
    <row r="372" spans="1:16">
      <c r="A372" t="s">
        <v>703</v>
      </c>
      <c r="B372" t="str">
        <f>SUBSTITUTE(SUBSTITUTE(SUBSTITUTE(SUBSTITUTE(TRIM(Table6[[#This Row],[Constituency]]),"Barisal","Barishal"),"Jessore","Jashore"),"Bogra","Bogura"),"Chapai Nawabganj","Chapainawabganj")</f>
        <v>Sylhet-2</v>
      </c>
      <c r="C372" t="s">
        <v>1326</v>
      </c>
      <c r="D372" t="s">
        <v>684</v>
      </c>
      <c r="E372">
        <f>_xlfn.XLOOKUP(C372,Population_data!B:B,Population_data!C:C,"")</f>
        <v>286.44</v>
      </c>
      <c r="F372">
        <f>_xlfn.XLOOKUP(C372,Population_data!B:B,Population_data!D:D,"")</f>
        <v>216406</v>
      </c>
      <c r="G372">
        <f>_xlfn.XLOOKUP(C372,Population_data!B:B,Population_data!E:E,"")</f>
        <v>755.5</v>
      </c>
      <c r="H372">
        <f>_xlfn.XLOOKUP(C372,Population_data!B:B,Population_data!F:F,"")</f>
        <v>5.28</v>
      </c>
      <c r="I372">
        <f>_xlfn.XLOOKUP(C372,Population_data!B:B,Population_data!G:G,"")</f>
        <v>76.739999999999995</v>
      </c>
      <c r="J372" t="str">
        <f>_xlfn.XLOOKUP(D372,District_Crime_Unit_Map!A:A,District_Crime_Unit_Map!B:B,"")</f>
        <v>Sylhet Range</v>
      </c>
      <c r="K372">
        <f>_xlfn.XLOOKUP(J372,Crime_Data!A:A,Crime_Data!V:V,"")</f>
        <v>74.251724391082064</v>
      </c>
      <c r="L372">
        <f>_xlfn.XLOOKUP(J372,Crime_Data!A:A,Crime_Data!W:W,"")</f>
        <v>9.6171122896887518</v>
      </c>
      <c r="M372" t="str">
        <f>TRIM(Table6[[#This Row],[District]])&amp;"|"&amp;TRIM(Table6[[#This Row],[Upazila]])</f>
        <v>Sylhet|Osmaninagar</v>
      </c>
      <c r="N372" t="str">
        <f>_xlfn.XLOOKUP(B372,Remittance_Data!A:A,Remittance_Data!B:B,"CHECK")</f>
        <v>CHECK</v>
      </c>
      <c r="O372" t="str">
        <f>_xlfn.XLOOKUP(B372,Remittance_Data!A:A,Remittance_Data!C:C,"CHECK")</f>
        <v>CHECK</v>
      </c>
      <c r="P372" t="str">
        <f>_xlfn.XLOOKUP(B372,Remittance_Data!A:A,Remittance_Data!D:D,"CHECK")</f>
        <v>CHECK</v>
      </c>
    </row>
    <row r="373" spans="1:16">
      <c r="A373" t="s">
        <v>706</v>
      </c>
      <c r="B373" t="str">
        <f>SUBSTITUTE(SUBSTITUTE(SUBSTITUTE(SUBSTITUTE(TRIM(Table6[[#This Row],[Constituency]]),"Barisal","Barishal"),"Jessore","Jashore"),"Bogra","Bogura"),"Chapai Nawabganj","Chapainawabganj")</f>
        <v>Sylhet-3</v>
      </c>
      <c r="C373" t="s">
        <v>1525</v>
      </c>
      <c r="D373" t="s">
        <v>684</v>
      </c>
      <c r="E373">
        <f>_xlfn.XLOOKUP(C373,Population_data!B:B,Population_data!C:C,"")</f>
        <v>323.17</v>
      </c>
      <c r="F373">
        <f>_xlfn.XLOOKUP(C373,Population_data!B:B,Population_data!D:D,"")</f>
        <v>444912</v>
      </c>
      <c r="G373">
        <f>_xlfn.XLOOKUP(C373,Population_data!B:B,Population_data!E:E,"")</f>
        <v>1376.71</v>
      </c>
      <c r="H373">
        <f>_xlfn.XLOOKUP(C373,Population_data!B:B,Population_data!F:F,"")</f>
        <v>5.05</v>
      </c>
      <c r="I373">
        <f>_xlfn.XLOOKUP(C373,Population_data!B:B,Population_data!G:G,"")</f>
        <v>77.63</v>
      </c>
      <c r="J373" t="str">
        <f>_xlfn.XLOOKUP(D373,District_Crime_Unit_Map!A:A,District_Crime_Unit_Map!B:B,"")</f>
        <v>Sylhet Range</v>
      </c>
      <c r="K373">
        <f>_xlfn.XLOOKUP(J373,Crime_Data!A:A,Crime_Data!V:V,"")</f>
        <v>74.251724391082064</v>
      </c>
      <c r="L373">
        <f>_xlfn.XLOOKUP(J373,Crime_Data!A:A,Crime_Data!W:W,"")</f>
        <v>9.6171122896887518</v>
      </c>
      <c r="M373" t="str">
        <f>TRIM(Table6[[#This Row],[District]])&amp;"|"&amp;TRIM(Table6[[#This Row],[Upazila]])</f>
        <v>Sylhet|Sylhet Sadar</v>
      </c>
      <c r="N373" t="str">
        <f>_xlfn.XLOOKUP(B373,Remittance_Data!A:A,Remittance_Data!B:B,"CHECK")</f>
        <v>CHECK</v>
      </c>
      <c r="O373" t="str">
        <f>_xlfn.XLOOKUP(B373,Remittance_Data!A:A,Remittance_Data!C:C,"CHECK")</f>
        <v>CHECK</v>
      </c>
      <c r="P373" t="str">
        <f>_xlfn.XLOOKUP(B373,Remittance_Data!A:A,Remittance_Data!D:D,"CHECK")</f>
        <v>CHECK</v>
      </c>
    </row>
    <row r="374" spans="1:16">
      <c r="A374" t="s">
        <v>706</v>
      </c>
      <c r="B374" t="str">
        <f>SUBSTITUTE(SUBSTITUTE(SUBSTITUTE(SUBSTITUTE(TRIM(Table6[[#This Row],[Constituency]]),"Barisal","Barishal"),"Jessore","Jashore"),"Bogra","Bogura"),"Chapai Nawabganj","Chapainawabganj")</f>
        <v>Sylhet-3</v>
      </c>
      <c r="C374" t="s">
        <v>1328</v>
      </c>
      <c r="D374" t="s">
        <v>684</v>
      </c>
      <c r="E374">
        <f>_xlfn.XLOOKUP(C374,Population_data!B:B,Population_data!C:C,"")</f>
        <v>154.13</v>
      </c>
      <c r="F374">
        <f>_xlfn.XLOOKUP(C374,Population_data!B:B,Population_data!D:D,"")</f>
        <v>114286</v>
      </c>
      <c r="G374">
        <f>_xlfn.XLOOKUP(C374,Population_data!B:B,Population_data!E:E,"")</f>
        <v>741.49</v>
      </c>
      <c r="H374">
        <f>_xlfn.XLOOKUP(C374,Population_data!B:B,Population_data!F:F,"")</f>
        <v>5.09</v>
      </c>
      <c r="I374">
        <f>_xlfn.XLOOKUP(C374,Population_data!B:B,Population_data!G:G,"")</f>
        <v>80.180000000000007</v>
      </c>
      <c r="J374" t="str">
        <f>_xlfn.XLOOKUP(D374,District_Crime_Unit_Map!A:A,District_Crime_Unit_Map!B:B,"")</f>
        <v>Sylhet Range</v>
      </c>
      <c r="K374">
        <f>_xlfn.XLOOKUP(J374,Crime_Data!A:A,Crime_Data!V:V,"")</f>
        <v>74.251724391082064</v>
      </c>
      <c r="L374">
        <f>_xlfn.XLOOKUP(J374,Crime_Data!A:A,Crime_Data!W:W,"")</f>
        <v>9.6171122896887518</v>
      </c>
      <c r="M374" t="str">
        <f>TRIM(Table6[[#This Row],[District]])&amp;"|"&amp;TRIM(Table6[[#This Row],[Upazila]])</f>
        <v>Sylhet|Fenchuganj</v>
      </c>
      <c r="N374" t="str">
        <f>_xlfn.XLOOKUP(B374,Remittance_Data!A:A,Remittance_Data!B:B,"CHECK")</f>
        <v>CHECK</v>
      </c>
      <c r="O374" t="str">
        <f>_xlfn.XLOOKUP(B374,Remittance_Data!A:A,Remittance_Data!C:C,"CHECK")</f>
        <v>CHECK</v>
      </c>
      <c r="P374" t="str">
        <f>_xlfn.XLOOKUP(B374,Remittance_Data!A:A,Remittance_Data!D:D,"CHECK")</f>
        <v>CHECK</v>
      </c>
    </row>
    <row r="375" spans="1:16">
      <c r="A375" t="s">
        <v>709</v>
      </c>
      <c r="B375" t="str">
        <f>SUBSTITUTE(SUBSTITUTE(SUBSTITUTE(SUBSTITUTE(TRIM(Table6[[#This Row],[Constituency]]),"Barisal","Barishal"),"Jessore","Jashore"),"Bogra","Bogura"),"Chapai Nawabganj","Chapainawabganj")</f>
        <v>Sylhet-4</v>
      </c>
      <c r="C375" t="s">
        <v>1329</v>
      </c>
      <c r="D375" t="s">
        <v>684</v>
      </c>
      <c r="E375">
        <f>_xlfn.XLOOKUP(C375,Population_data!B:B,Population_data!C:C,"")</f>
        <v>297.54000000000002</v>
      </c>
      <c r="F375">
        <f>_xlfn.XLOOKUP(C375,Population_data!B:B,Population_data!D:D,"")</f>
        <v>355969</v>
      </c>
      <c r="G375">
        <f>_xlfn.XLOOKUP(C375,Population_data!B:B,Population_data!E:E,"")</f>
        <v>1196.3699999999999</v>
      </c>
      <c r="H375">
        <f>_xlfn.XLOOKUP(C375,Population_data!B:B,Population_data!F:F,"")</f>
        <v>5.38</v>
      </c>
      <c r="I375">
        <f>_xlfn.XLOOKUP(C375,Population_data!B:B,Population_data!G:G,"")</f>
        <v>65.900000000000006</v>
      </c>
      <c r="J375" t="str">
        <f>_xlfn.XLOOKUP(D375,District_Crime_Unit_Map!A:A,District_Crime_Unit_Map!B:B,"")</f>
        <v>Sylhet Range</v>
      </c>
      <c r="K375">
        <f>_xlfn.XLOOKUP(J375,Crime_Data!A:A,Crime_Data!V:V,"")</f>
        <v>74.251724391082064</v>
      </c>
      <c r="L375">
        <f>_xlfn.XLOOKUP(J375,Crime_Data!A:A,Crime_Data!W:W,"")</f>
        <v>9.6171122896887518</v>
      </c>
      <c r="M375" t="str">
        <f>TRIM(Table6[[#This Row],[District]])&amp;"|"&amp;TRIM(Table6[[#This Row],[Upazila]])</f>
        <v>Sylhet|Gowainghat</v>
      </c>
      <c r="N375" t="str">
        <f>_xlfn.XLOOKUP(B375,Remittance_Data!A:A,Remittance_Data!B:B,"CHECK")</f>
        <v>CHECK</v>
      </c>
      <c r="O375" t="str">
        <f>_xlfn.XLOOKUP(B375,Remittance_Data!A:A,Remittance_Data!C:C,"CHECK")</f>
        <v>CHECK</v>
      </c>
      <c r="P375" t="str">
        <f>_xlfn.XLOOKUP(B375,Remittance_Data!A:A,Remittance_Data!D:D,"CHECK")</f>
        <v>CHECK</v>
      </c>
    </row>
    <row r="376" spans="1:16">
      <c r="A376" t="s">
        <v>709</v>
      </c>
      <c r="B376" t="str">
        <f>SUBSTITUTE(SUBSTITUTE(SUBSTITUTE(SUBSTITUTE(TRIM(Table6[[#This Row],[Constituency]]),"Barisal","Barishal"),"Jessore","Jashore"),"Bogra","Bogura"),"Chapai Nawabganj","Chapainawabganj")</f>
        <v>Sylhet-4</v>
      </c>
      <c r="C376" t="s">
        <v>1524</v>
      </c>
      <c r="D376" t="s">
        <v>684</v>
      </c>
      <c r="E376">
        <f>_xlfn.XLOOKUP(C376,Population_data!B:B,Population_data!C:C,"")</f>
        <v>368.27</v>
      </c>
      <c r="F376">
        <f>_xlfn.XLOOKUP(C376,Population_data!B:B,Population_data!D:D,"")</f>
        <v>200128</v>
      </c>
      <c r="G376">
        <f>_xlfn.XLOOKUP(C376,Population_data!B:B,Population_data!E:E,"")</f>
        <v>543.42999999999995</v>
      </c>
      <c r="H376">
        <f>_xlfn.XLOOKUP(C376,Population_data!B:B,Population_data!F:F,"")</f>
        <v>5.35</v>
      </c>
      <c r="I376">
        <f>_xlfn.XLOOKUP(C376,Population_data!B:B,Population_data!G:G,"")</f>
        <v>71.61</v>
      </c>
      <c r="J376" t="str">
        <f>_xlfn.XLOOKUP(D376,District_Crime_Unit_Map!A:A,District_Crime_Unit_Map!B:B,"")</f>
        <v>Sylhet Range</v>
      </c>
      <c r="K376">
        <f>_xlfn.XLOOKUP(J376,Crime_Data!A:A,Crime_Data!V:V,"")</f>
        <v>74.251724391082064</v>
      </c>
      <c r="L376">
        <f>_xlfn.XLOOKUP(J376,Crime_Data!A:A,Crime_Data!W:W,"")</f>
        <v>9.6171122896887518</v>
      </c>
      <c r="M376" t="str">
        <f>TRIM(Table6[[#This Row],[District]])&amp;"|"&amp;TRIM(Table6[[#This Row],[Upazila]])</f>
        <v>Sylhet|Jaintapur</v>
      </c>
      <c r="N376" t="str">
        <f>_xlfn.XLOOKUP(B376,Remittance_Data!A:A,Remittance_Data!B:B,"CHECK")</f>
        <v>CHECK</v>
      </c>
      <c r="O376" t="str">
        <f>_xlfn.XLOOKUP(B376,Remittance_Data!A:A,Remittance_Data!C:C,"CHECK")</f>
        <v>CHECK</v>
      </c>
      <c r="P376" t="str">
        <f>_xlfn.XLOOKUP(B376,Remittance_Data!A:A,Remittance_Data!D:D,"CHECK")</f>
        <v>CHECK</v>
      </c>
    </row>
    <row r="377" spans="1:16">
      <c r="A377" t="s">
        <v>709</v>
      </c>
      <c r="B377" t="str">
        <f>SUBSTITUTE(SUBSTITUTE(SUBSTITUTE(SUBSTITUTE(TRIM(Table6[[#This Row],[Constituency]]),"Barisal","Barishal"),"Jessore","Jashore"),"Bogra","Bogura"),"Chapai Nawabganj","Chapainawabganj")</f>
        <v>Sylhet-4</v>
      </c>
      <c r="C377" t="s">
        <v>1331</v>
      </c>
      <c r="D377" t="s">
        <v>684</v>
      </c>
      <c r="E377">
        <f>_xlfn.XLOOKUP(C377,Population_data!B:B,Population_data!C:C,"")</f>
        <v>1510.95</v>
      </c>
      <c r="F377">
        <f>_xlfn.XLOOKUP(C377,Population_data!B:B,Population_data!D:D,"")</f>
        <v>301295</v>
      </c>
      <c r="G377">
        <f>_xlfn.XLOOKUP(C377,Population_data!B:B,Population_data!E:E,"")</f>
        <v>199.41</v>
      </c>
      <c r="H377">
        <f>_xlfn.XLOOKUP(C377,Population_data!B:B,Population_data!F:F,"")</f>
        <v>4.58</v>
      </c>
      <c r="I377">
        <f>_xlfn.XLOOKUP(C377,Population_data!B:B,Population_data!G:G,"")</f>
        <v>75.59</v>
      </c>
      <c r="J377" t="str">
        <f>_xlfn.XLOOKUP(D377,District_Crime_Unit_Map!A:A,District_Crime_Unit_Map!B:B,"")</f>
        <v>Sylhet Range</v>
      </c>
      <c r="K377">
        <f>_xlfn.XLOOKUP(J377,Crime_Data!A:A,Crime_Data!V:V,"")</f>
        <v>74.251724391082064</v>
      </c>
      <c r="L377">
        <f>_xlfn.XLOOKUP(J377,Crime_Data!A:A,Crime_Data!W:W,"")</f>
        <v>9.6171122896887518</v>
      </c>
      <c r="M377" t="str">
        <f>TRIM(Table6[[#This Row],[District]])&amp;"|"&amp;TRIM(Table6[[#This Row],[Upazila]])</f>
        <v>Sylhet|Companiganj</v>
      </c>
      <c r="N377" t="str">
        <f>_xlfn.XLOOKUP(B377,Remittance_Data!A:A,Remittance_Data!B:B,"CHECK")</f>
        <v>CHECK</v>
      </c>
      <c r="O377" t="str">
        <f>_xlfn.XLOOKUP(B377,Remittance_Data!A:A,Remittance_Data!C:C,"CHECK")</f>
        <v>CHECK</v>
      </c>
      <c r="P377" t="str">
        <f>_xlfn.XLOOKUP(B377,Remittance_Data!A:A,Remittance_Data!D:D,"CHECK")</f>
        <v>CHECK</v>
      </c>
    </row>
    <row r="378" spans="1:16">
      <c r="A378" t="s">
        <v>712</v>
      </c>
      <c r="B378" t="str">
        <f>SUBSTITUTE(SUBSTITUTE(SUBSTITUTE(SUBSTITUTE(TRIM(Table6[[#This Row],[Constituency]]),"Barisal","Barishal"),"Jessore","Jashore"),"Bogra","Bogura"),"Chapai Nawabganj","Chapainawabganj")</f>
        <v>Sylhet-5</v>
      </c>
      <c r="C378" t="s">
        <v>1332</v>
      </c>
      <c r="D378" t="s">
        <v>684</v>
      </c>
      <c r="E378">
        <f>_xlfn.XLOOKUP(C378,Population_data!B:B,Population_data!C:C,"")</f>
        <v>203.07</v>
      </c>
      <c r="F378">
        <f>_xlfn.XLOOKUP(C378,Population_data!B:B,Population_data!D:D,"")</f>
        <v>317574</v>
      </c>
      <c r="G378">
        <f>_xlfn.XLOOKUP(C378,Population_data!B:B,Population_data!E:E,"")</f>
        <v>1563.86</v>
      </c>
      <c r="H378">
        <f>_xlfn.XLOOKUP(C378,Population_data!B:B,Population_data!F:F,"")</f>
        <v>5.15</v>
      </c>
      <c r="I378">
        <f>_xlfn.XLOOKUP(C378,Population_data!B:B,Population_data!G:G,"")</f>
        <v>71.56</v>
      </c>
      <c r="J378" t="str">
        <f>_xlfn.XLOOKUP(D378,District_Crime_Unit_Map!A:A,District_Crime_Unit_Map!B:B,"")</f>
        <v>Sylhet Range</v>
      </c>
      <c r="K378">
        <f>_xlfn.XLOOKUP(J378,Crime_Data!A:A,Crime_Data!V:V,"")</f>
        <v>74.251724391082064</v>
      </c>
      <c r="L378">
        <f>_xlfn.XLOOKUP(J378,Crime_Data!A:A,Crime_Data!W:W,"")</f>
        <v>9.6171122896887518</v>
      </c>
      <c r="M378" t="str">
        <f>TRIM(Table6[[#This Row],[District]])&amp;"|"&amp;TRIM(Table6[[#This Row],[Upazila]])</f>
        <v>Sylhet|Kanaighat</v>
      </c>
      <c r="N378" t="str">
        <f>_xlfn.XLOOKUP(B378,Remittance_Data!A:A,Remittance_Data!B:B,"CHECK")</f>
        <v>CHECK</v>
      </c>
      <c r="O378" t="str">
        <f>_xlfn.XLOOKUP(B378,Remittance_Data!A:A,Remittance_Data!C:C,"CHECK")</f>
        <v>CHECK</v>
      </c>
      <c r="P378" t="str">
        <f>_xlfn.XLOOKUP(B378,Remittance_Data!A:A,Remittance_Data!D:D,"CHECK")</f>
        <v>CHECK</v>
      </c>
    </row>
    <row r="379" spans="1:16">
      <c r="A379" t="s">
        <v>712</v>
      </c>
      <c r="B379" t="str">
        <f>SUBSTITUTE(SUBSTITUTE(SUBSTITUTE(SUBSTITUTE(TRIM(Table6[[#This Row],[Constituency]]),"Barisal","Barishal"),"Jessore","Jashore"),"Bogra","Bogura"),"Chapai Nawabganj","Chapainawabganj")</f>
        <v>Sylhet-5</v>
      </c>
      <c r="C379" t="s">
        <v>1333</v>
      </c>
      <c r="D379" t="s">
        <v>684</v>
      </c>
      <c r="E379">
        <f>_xlfn.XLOOKUP(C379,Population_data!B:B,Population_data!C:C,"")</f>
        <v>517.80999999999995</v>
      </c>
      <c r="F379">
        <f>_xlfn.XLOOKUP(C379,Population_data!B:B,Population_data!D:D,"")</f>
        <v>267309</v>
      </c>
      <c r="G379">
        <f>_xlfn.XLOOKUP(C379,Population_data!B:B,Population_data!E:E,"")</f>
        <v>516.23</v>
      </c>
      <c r="H379">
        <f>_xlfn.XLOOKUP(C379,Population_data!B:B,Population_data!F:F,"")</f>
        <v>5.28</v>
      </c>
      <c r="I379">
        <f>_xlfn.XLOOKUP(C379,Population_data!B:B,Population_data!G:G,"")</f>
        <v>76.25</v>
      </c>
      <c r="J379" t="str">
        <f>_xlfn.XLOOKUP(D379,District_Crime_Unit_Map!A:A,District_Crime_Unit_Map!B:B,"")</f>
        <v>Sylhet Range</v>
      </c>
      <c r="K379">
        <f>_xlfn.XLOOKUP(J379,Crime_Data!A:A,Crime_Data!V:V,"")</f>
        <v>74.251724391082064</v>
      </c>
      <c r="L379">
        <f>_xlfn.XLOOKUP(J379,Crime_Data!A:A,Crime_Data!W:W,"")</f>
        <v>9.6171122896887518</v>
      </c>
      <c r="M379" t="str">
        <f>TRIM(Table6[[#This Row],[District]])&amp;"|"&amp;TRIM(Table6[[#This Row],[Upazila]])</f>
        <v>Sylhet|Zakiganj</v>
      </c>
      <c r="N379" t="str">
        <f>_xlfn.XLOOKUP(B379,Remittance_Data!A:A,Remittance_Data!B:B,"CHECK")</f>
        <v>CHECK</v>
      </c>
      <c r="O379" t="str">
        <f>_xlfn.XLOOKUP(B379,Remittance_Data!A:A,Remittance_Data!C:C,"CHECK")</f>
        <v>CHECK</v>
      </c>
      <c r="P379" t="str">
        <f>_xlfn.XLOOKUP(B379,Remittance_Data!A:A,Remittance_Data!D:D,"CHECK")</f>
        <v>CHECK</v>
      </c>
    </row>
    <row r="380" spans="1:16">
      <c r="A380" t="s">
        <v>715</v>
      </c>
      <c r="B380" t="str">
        <f>SUBSTITUTE(SUBSTITUTE(SUBSTITUTE(SUBSTITUTE(TRIM(Table6[[#This Row],[Constituency]]),"Barisal","Barishal"),"Jessore","Jashore"),"Bogra","Bogura"),"Chapai Nawabganj","Chapainawabganj")</f>
        <v>Sylhet-6</v>
      </c>
      <c r="C380" t="s">
        <v>1334</v>
      </c>
      <c r="D380" t="s">
        <v>684</v>
      </c>
      <c r="E380">
        <f>_xlfn.XLOOKUP(C380,Population_data!B:B,Population_data!C:C,"")</f>
        <v>253.22</v>
      </c>
      <c r="F380">
        <f>_xlfn.XLOOKUP(C380,Population_data!B:B,Population_data!D:D,"")</f>
        <v>260597</v>
      </c>
      <c r="G380">
        <f>_xlfn.XLOOKUP(C380,Population_data!B:B,Population_data!E:E,"")</f>
        <v>1029.1300000000001</v>
      </c>
      <c r="H380">
        <f>_xlfn.XLOOKUP(C380,Population_data!B:B,Population_data!F:F,"")</f>
        <v>5.17</v>
      </c>
      <c r="I380">
        <f>_xlfn.XLOOKUP(C380,Population_data!B:B,Population_data!G:G,"")</f>
        <v>80.58</v>
      </c>
      <c r="J380" t="str">
        <f>_xlfn.XLOOKUP(D380,District_Crime_Unit_Map!A:A,District_Crime_Unit_Map!B:B,"")</f>
        <v>Sylhet Range</v>
      </c>
      <c r="K380">
        <f>_xlfn.XLOOKUP(J380,Crime_Data!A:A,Crime_Data!V:V,"")</f>
        <v>74.251724391082064</v>
      </c>
      <c r="L380">
        <f>_xlfn.XLOOKUP(J380,Crime_Data!A:A,Crime_Data!W:W,"")</f>
        <v>9.6171122896887518</v>
      </c>
      <c r="M380" t="str">
        <f>TRIM(Table6[[#This Row],[District]])&amp;"|"&amp;TRIM(Table6[[#This Row],[Upazila]])</f>
        <v>Sylhet|Beanibazar</v>
      </c>
      <c r="N380" t="str">
        <f>_xlfn.XLOOKUP(B380,Remittance_Data!A:A,Remittance_Data!B:B,"CHECK")</f>
        <v>CHECK</v>
      </c>
      <c r="O380" t="str">
        <f>_xlfn.XLOOKUP(B380,Remittance_Data!A:A,Remittance_Data!C:C,"CHECK")</f>
        <v>CHECK</v>
      </c>
      <c r="P380" t="str">
        <f>_xlfn.XLOOKUP(B380,Remittance_Data!A:A,Remittance_Data!D:D,"CHECK")</f>
        <v>CHECK</v>
      </c>
    </row>
    <row r="381" spans="1:16">
      <c r="A381" t="s">
        <v>718</v>
      </c>
      <c r="B381" t="str">
        <f>SUBSTITUTE(SUBSTITUTE(SUBSTITUTE(SUBSTITUTE(TRIM(Table6[[#This Row],[Constituency]]),"Barisal","Barishal"),"Jessore","Jashore"),"Bogra","Bogura"),"Chapai Nawabganj","Chapainawabganj")</f>
        <v>Moulvibazar-1</v>
      </c>
      <c r="C381" t="s">
        <v>1517</v>
      </c>
      <c r="D381" t="s">
        <v>1336</v>
      </c>
      <c r="E381">
        <f>_xlfn.XLOOKUP(C381,Population_data!B:B,Population_data!C:C,"")</f>
        <v>315.58</v>
      </c>
      <c r="F381">
        <f>_xlfn.XLOOKUP(C381,Population_data!B:B,Population_data!D:D,"")</f>
        <v>282449</v>
      </c>
      <c r="G381">
        <f>_xlfn.XLOOKUP(C381,Population_data!B:B,Population_data!E:E,"")</f>
        <v>895.02</v>
      </c>
      <c r="H381">
        <f>_xlfn.XLOOKUP(C381,Population_data!B:B,Population_data!F:F,"")</f>
        <v>5.0999999999999996</v>
      </c>
      <c r="I381">
        <f>_xlfn.XLOOKUP(C381,Population_data!B:B,Population_data!G:G,"")</f>
        <v>78.87</v>
      </c>
      <c r="J381" t="str">
        <f>_xlfn.XLOOKUP(D381,District_Crime_Unit_Map!A:A,District_Crime_Unit_Map!B:B,"")</f>
        <v>Sylhet Range</v>
      </c>
      <c r="K381">
        <f>_xlfn.XLOOKUP(J381,Crime_Data!A:A,Crime_Data!V:V,"")</f>
        <v>74.251724391082064</v>
      </c>
      <c r="L381">
        <f>_xlfn.XLOOKUP(J381,Crime_Data!A:A,Crime_Data!W:W,"")</f>
        <v>9.6171122896887518</v>
      </c>
      <c r="M381" t="str">
        <f>TRIM(Table6[[#This Row],[District]])&amp;"|"&amp;TRIM(Table6[[#This Row],[Upazila]])</f>
        <v>Moulvibazar|Baralekha</v>
      </c>
      <c r="N381" t="str">
        <f>_xlfn.XLOOKUP(B381,Remittance_Data!A:A,Remittance_Data!B:B,"CHECK")</f>
        <v>CHECK</v>
      </c>
      <c r="O381" t="str">
        <f>_xlfn.XLOOKUP(B381,Remittance_Data!A:A,Remittance_Data!C:C,"CHECK")</f>
        <v>CHECK</v>
      </c>
      <c r="P381" t="str">
        <f>_xlfn.XLOOKUP(B381,Remittance_Data!A:A,Remittance_Data!D:D,"CHECK")</f>
        <v>CHECK</v>
      </c>
    </row>
    <row r="382" spans="1:16">
      <c r="A382" t="s">
        <v>718</v>
      </c>
      <c r="B382" t="str">
        <f>SUBSTITUTE(SUBSTITUTE(SUBSTITUTE(SUBSTITUTE(TRIM(Table6[[#This Row],[Constituency]]),"Barisal","Barishal"),"Jessore","Jashore"),"Bogra","Bogura"),"Chapai Nawabganj","Chapainawabganj")</f>
        <v>Moulvibazar-1</v>
      </c>
      <c r="C382" t="s">
        <v>1337</v>
      </c>
      <c r="D382" t="s">
        <v>1336</v>
      </c>
      <c r="E382">
        <f>_xlfn.XLOOKUP(C382,Population_data!B:B,Population_data!C:C,"")</f>
        <v>151.22</v>
      </c>
      <c r="F382">
        <f>_xlfn.XLOOKUP(C382,Population_data!B:B,Population_data!D:D,"")</f>
        <v>162560</v>
      </c>
      <c r="G382">
        <f>_xlfn.XLOOKUP(C382,Population_data!B:B,Population_data!E:E,"")</f>
        <v>1074.99</v>
      </c>
      <c r="H382">
        <f>_xlfn.XLOOKUP(C382,Population_data!B:B,Population_data!F:F,"")</f>
        <v>4.8899999999999997</v>
      </c>
      <c r="I382">
        <f>_xlfn.XLOOKUP(C382,Population_data!B:B,Population_data!G:G,"")</f>
        <v>75.56</v>
      </c>
      <c r="J382" t="str">
        <f>_xlfn.XLOOKUP(D382,District_Crime_Unit_Map!A:A,District_Crime_Unit_Map!B:B,"")</f>
        <v>Sylhet Range</v>
      </c>
      <c r="K382">
        <f>_xlfn.XLOOKUP(J382,Crime_Data!A:A,Crime_Data!V:V,"")</f>
        <v>74.251724391082064</v>
      </c>
      <c r="L382">
        <f>_xlfn.XLOOKUP(J382,Crime_Data!A:A,Crime_Data!W:W,"")</f>
        <v>9.6171122896887518</v>
      </c>
      <c r="M382" t="str">
        <f>TRIM(Table6[[#This Row],[District]])&amp;"|"&amp;TRIM(Table6[[#This Row],[Upazila]])</f>
        <v>Moulvibazar|Juri</v>
      </c>
      <c r="N382" t="str">
        <f>_xlfn.XLOOKUP(B382,Remittance_Data!A:A,Remittance_Data!B:B,"CHECK")</f>
        <v>CHECK</v>
      </c>
      <c r="O382" t="str">
        <f>_xlfn.XLOOKUP(B382,Remittance_Data!A:A,Remittance_Data!C:C,"CHECK")</f>
        <v>CHECK</v>
      </c>
      <c r="P382" t="str">
        <f>_xlfn.XLOOKUP(B382,Remittance_Data!A:A,Remittance_Data!D:D,"CHECK")</f>
        <v>CHECK</v>
      </c>
    </row>
    <row r="383" spans="1:16">
      <c r="A383" t="s">
        <v>721</v>
      </c>
      <c r="B383" t="str">
        <f>SUBSTITUTE(SUBSTITUTE(SUBSTITUTE(SUBSTITUTE(TRIM(Table6[[#This Row],[Constituency]]),"Barisal","Barishal"),"Jessore","Jashore"),"Bogra","Bogura"),"Chapai Nawabganj","Chapainawabganj")</f>
        <v>Moulvibazar-2</v>
      </c>
      <c r="C383" t="s">
        <v>1338</v>
      </c>
      <c r="D383" t="s">
        <v>1336</v>
      </c>
      <c r="E383">
        <f>_xlfn.XLOOKUP(C383,Population_data!B:B,Population_data!C:C,"")</f>
        <v>679.54</v>
      </c>
      <c r="F383">
        <f>_xlfn.XLOOKUP(C383,Population_data!B:B,Population_data!D:D,"")</f>
        <v>397736</v>
      </c>
      <c r="G383">
        <f>_xlfn.XLOOKUP(C383,Population_data!B:B,Population_data!E:E,"")</f>
        <v>585.29999999999995</v>
      </c>
      <c r="H383">
        <f>_xlfn.XLOOKUP(C383,Population_data!B:B,Population_data!F:F,"")</f>
        <v>4.7699999999999996</v>
      </c>
      <c r="I383">
        <f>_xlfn.XLOOKUP(C383,Population_data!B:B,Population_data!G:G,"")</f>
        <v>75.53</v>
      </c>
      <c r="J383" t="str">
        <f>_xlfn.XLOOKUP(D383,District_Crime_Unit_Map!A:A,District_Crime_Unit_Map!B:B,"")</f>
        <v>Sylhet Range</v>
      </c>
      <c r="K383">
        <f>_xlfn.XLOOKUP(J383,Crime_Data!A:A,Crime_Data!V:V,"")</f>
        <v>74.251724391082064</v>
      </c>
      <c r="L383">
        <f>_xlfn.XLOOKUP(J383,Crime_Data!A:A,Crime_Data!W:W,"")</f>
        <v>9.6171122896887518</v>
      </c>
      <c r="M383" t="str">
        <f>TRIM(Table6[[#This Row],[District]])&amp;"|"&amp;TRIM(Table6[[#This Row],[Upazila]])</f>
        <v>Moulvibazar|Kulaura</v>
      </c>
      <c r="N383" t="str">
        <f>_xlfn.XLOOKUP(B383,Remittance_Data!A:A,Remittance_Data!B:B,"CHECK")</f>
        <v>CHECK</v>
      </c>
      <c r="O383" t="str">
        <f>_xlfn.XLOOKUP(B383,Remittance_Data!A:A,Remittance_Data!C:C,"CHECK")</f>
        <v>CHECK</v>
      </c>
      <c r="P383" t="str">
        <f>_xlfn.XLOOKUP(B383,Remittance_Data!A:A,Remittance_Data!D:D,"CHECK")</f>
        <v>CHECK</v>
      </c>
    </row>
    <row r="384" spans="1:16">
      <c r="A384" t="s">
        <v>724</v>
      </c>
      <c r="B384" t="str">
        <f>SUBSTITUTE(SUBSTITUTE(SUBSTITUTE(SUBSTITUTE(TRIM(Table6[[#This Row],[Constituency]]),"Barisal","Barishal"),"Jessore","Jashore"),"Bogra","Bogura"),"Chapai Nawabganj","Chapainawabganj")</f>
        <v>Moulvibazar-3</v>
      </c>
      <c r="C384" t="s">
        <v>1339</v>
      </c>
      <c r="D384" t="s">
        <v>1336</v>
      </c>
      <c r="E384">
        <f>_xlfn.XLOOKUP(C384,Population_data!B:B,Population_data!C:C,"")</f>
        <v>344.15</v>
      </c>
      <c r="F384">
        <f>_xlfn.XLOOKUP(C384,Population_data!B:B,Population_data!D:D,"")</f>
        <v>377932</v>
      </c>
      <c r="G384">
        <f>_xlfn.XLOOKUP(C384,Population_data!B:B,Population_data!E:E,"")</f>
        <v>1098.1600000000001</v>
      </c>
      <c r="H384">
        <f>_xlfn.XLOOKUP(C384,Population_data!B:B,Population_data!F:F,"")</f>
        <v>4.78</v>
      </c>
      <c r="I384">
        <f>_xlfn.XLOOKUP(C384,Population_data!B:B,Population_data!G:G,"")</f>
        <v>77.540000000000006</v>
      </c>
      <c r="J384" t="str">
        <f>_xlfn.XLOOKUP(D384,District_Crime_Unit_Map!A:A,District_Crime_Unit_Map!B:B,"")</f>
        <v>Sylhet Range</v>
      </c>
      <c r="K384">
        <f>_xlfn.XLOOKUP(J384,Crime_Data!A:A,Crime_Data!V:V,"")</f>
        <v>74.251724391082064</v>
      </c>
      <c r="L384">
        <f>_xlfn.XLOOKUP(J384,Crime_Data!A:A,Crime_Data!W:W,"")</f>
        <v>9.6171122896887518</v>
      </c>
      <c r="M384" t="str">
        <f>TRIM(Table6[[#This Row],[District]])&amp;"|"&amp;TRIM(Table6[[#This Row],[Upazila]])</f>
        <v>Moulvibazar|Moulvibazar Sadar</v>
      </c>
      <c r="N384" t="str">
        <f>_xlfn.XLOOKUP(B384,Remittance_Data!A:A,Remittance_Data!B:B,"CHECK")</f>
        <v>CHECK</v>
      </c>
      <c r="O384" t="str">
        <f>_xlfn.XLOOKUP(B384,Remittance_Data!A:A,Remittance_Data!C:C,"CHECK")</f>
        <v>CHECK</v>
      </c>
      <c r="P384" t="str">
        <f>_xlfn.XLOOKUP(B384,Remittance_Data!A:A,Remittance_Data!D:D,"CHECK")</f>
        <v>CHECK</v>
      </c>
    </row>
    <row r="385" spans="1:16">
      <c r="A385" t="s">
        <v>724</v>
      </c>
      <c r="B385" t="str">
        <f>SUBSTITUTE(SUBSTITUTE(SUBSTITUTE(SUBSTITUTE(TRIM(Table6[[#This Row],[Constituency]]),"Barisal","Barishal"),"Jessore","Jashore"),"Bogra","Bogura"),"Chapai Nawabganj","Chapainawabganj")</f>
        <v>Moulvibazar-3</v>
      </c>
      <c r="C385" t="s">
        <v>1340</v>
      </c>
      <c r="D385" t="s">
        <v>1336</v>
      </c>
      <c r="E385">
        <f>_xlfn.XLOOKUP(C385,Population_data!B:B,Population_data!C:C,"")</f>
        <v>259.57</v>
      </c>
      <c r="F385">
        <f>_xlfn.XLOOKUP(C385,Population_data!B:B,Population_data!D:D,"")</f>
        <v>250795</v>
      </c>
      <c r="G385">
        <f>_xlfn.XLOOKUP(C385,Population_data!B:B,Population_data!E:E,"")</f>
        <v>966.19</v>
      </c>
      <c r="H385">
        <f>_xlfn.XLOOKUP(C385,Population_data!B:B,Population_data!F:F,"")</f>
        <v>4.78</v>
      </c>
      <c r="I385">
        <f>_xlfn.XLOOKUP(C385,Population_data!B:B,Population_data!G:G,"")</f>
        <v>75.3</v>
      </c>
      <c r="J385" t="str">
        <f>_xlfn.XLOOKUP(D385,District_Crime_Unit_Map!A:A,District_Crime_Unit_Map!B:B,"")</f>
        <v>Sylhet Range</v>
      </c>
      <c r="K385">
        <f>_xlfn.XLOOKUP(J385,Crime_Data!A:A,Crime_Data!V:V,"")</f>
        <v>74.251724391082064</v>
      </c>
      <c r="L385">
        <f>_xlfn.XLOOKUP(J385,Crime_Data!A:A,Crime_Data!W:W,"")</f>
        <v>9.6171122896887518</v>
      </c>
      <c r="M385" t="str">
        <f>TRIM(Table6[[#This Row],[District]])&amp;"|"&amp;TRIM(Table6[[#This Row],[Upazila]])</f>
        <v>Moulvibazar|Rajnagar</v>
      </c>
      <c r="N385" t="str">
        <f>_xlfn.XLOOKUP(B385,Remittance_Data!A:A,Remittance_Data!B:B,"CHECK")</f>
        <v>CHECK</v>
      </c>
      <c r="O385" t="str">
        <f>_xlfn.XLOOKUP(B385,Remittance_Data!A:A,Remittance_Data!C:C,"CHECK")</f>
        <v>CHECK</v>
      </c>
      <c r="P385" t="str">
        <f>_xlfn.XLOOKUP(B385,Remittance_Data!A:A,Remittance_Data!D:D,"CHECK")</f>
        <v>CHECK</v>
      </c>
    </row>
    <row r="386" spans="1:16">
      <c r="A386" t="s">
        <v>726</v>
      </c>
      <c r="B386" t="str">
        <f>SUBSTITUTE(SUBSTITUTE(SUBSTITUTE(SUBSTITUTE(TRIM(Table6[[#This Row],[Constituency]]),"Barisal","Barishal"),"Jessore","Jashore"),"Bogra","Bogura"),"Chapai Nawabganj","Chapainawabganj")</f>
        <v>Moulvibazar-4</v>
      </c>
      <c r="C386" t="s">
        <v>1341</v>
      </c>
      <c r="D386" t="s">
        <v>1336</v>
      </c>
      <c r="E386">
        <f>_xlfn.XLOOKUP(C386,Population_data!B:B,Population_data!C:C,"")</f>
        <v>425.15</v>
      </c>
      <c r="F386">
        <f>_xlfn.XLOOKUP(C386,Population_data!B:B,Population_data!D:D,"")</f>
        <v>361784</v>
      </c>
      <c r="G386">
        <f>_xlfn.XLOOKUP(C386,Population_data!B:B,Population_data!E:E,"")</f>
        <v>850.96</v>
      </c>
      <c r="H386">
        <f>_xlfn.XLOOKUP(C386,Population_data!B:B,Population_data!F:F,"")</f>
        <v>4.4400000000000004</v>
      </c>
      <c r="I386">
        <f>_xlfn.XLOOKUP(C386,Population_data!B:B,Population_data!G:G,"")</f>
        <v>73.37</v>
      </c>
      <c r="J386" t="str">
        <f>_xlfn.XLOOKUP(D386,District_Crime_Unit_Map!A:A,District_Crime_Unit_Map!B:B,"")</f>
        <v>Sylhet Range</v>
      </c>
      <c r="K386">
        <f>_xlfn.XLOOKUP(J386,Crime_Data!A:A,Crime_Data!V:V,"")</f>
        <v>74.251724391082064</v>
      </c>
      <c r="L386">
        <f>_xlfn.XLOOKUP(J386,Crime_Data!A:A,Crime_Data!W:W,"")</f>
        <v>9.6171122896887518</v>
      </c>
      <c r="M386" t="str">
        <f>TRIM(Table6[[#This Row],[District]])&amp;"|"&amp;TRIM(Table6[[#This Row],[Upazila]])</f>
        <v>Moulvibazar|Sreemangal</v>
      </c>
      <c r="N386" t="str">
        <f>_xlfn.XLOOKUP(B386,Remittance_Data!A:A,Remittance_Data!B:B,"CHECK")</f>
        <v>CHECK</v>
      </c>
      <c r="O386" t="str">
        <f>_xlfn.XLOOKUP(B386,Remittance_Data!A:A,Remittance_Data!C:C,"CHECK")</f>
        <v>CHECK</v>
      </c>
      <c r="P386" t="str">
        <f>_xlfn.XLOOKUP(B386,Remittance_Data!A:A,Remittance_Data!D:D,"CHECK")</f>
        <v>CHECK</v>
      </c>
    </row>
    <row r="387" spans="1:16">
      <c r="A387" t="s">
        <v>726</v>
      </c>
      <c r="B387" t="str">
        <f>SUBSTITUTE(SUBSTITUTE(SUBSTITUTE(SUBSTITUTE(TRIM(Table6[[#This Row],[Constituency]]),"Barisal","Barishal"),"Jessore","Jashore"),"Bogra","Bogura"),"Chapai Nawabganj","Chapainawabganj")</f>
        <v>Moulvibazar-4</v>
      </c>
      <c r="C387" t="s">
        <v>1342</v>
      </c>
      <c r="D387" t="s">
        <v>1336</v>
      </c>
      <c r="E387">
        <f>_xlfn.XLOOKUP(C387,Population_data!B:B,Population_data!C:C,"")</f>
        <v>485.27</v>
      </c>
      <c r="F387">
        <f>_xlfn.XLOOKUP(C387,Population_data!B:B,Population_data!D:D,"")</f>
        <v>290093</v>
      </c>
      <c r="G387">
        <f>_xlfn.XLOOKUP(C387,Population_data!B:B,Population_data!E:E,"")</f>
        <v>597.79999999999995</v>
      </c>
      <c r="H387">
        <f>_xlfn.XLOOKUP(C387,Population_data!B:B,Population_data!F:F,"")</f>
        <v>4.51</v>
      </c>
      <c r="I387">
        <f>_xlfn.XLOOKUP(C387,Population_data!B:B,Population_data!G:G,"")</f>
        <v>74.88</v>
      </c>
      <c r="J387" t="str">
        <f>_xlfn.XLOOKUP(D387,District_Crime_Unit_Map!A:A,District_Crime_Unit_Map!B:B,"")</f>
        <v>Sylhet Range</v>
      </c>
      <c r="K387">
        <f>_xlfn.XLOOKUP(J387,Crime_Data!A:A,Crime_Data!V:V,"")</f>
        <v>74.251724391082064</v>
      </c>
      <c r="L387">
        <f>_xlfn.XLOOKUP(J387,Crime_Data!A:A,Crime_Data!W:W,"")</f>
        <v>9.6171122896887518</v>
      </c>
      <c r="M387" t="str">
        <f>TRIM(Table6[[#This Row],[District]])&amp;"|"&amp;TRIM(Table6[[#This Row],[Upazila]])</f>
        <v>Moulvibazar|Kamalganj</v>
      </c>
      <c r="N387" t="str">
        <f>_xlfn.XLOOKUP(B387,Remittance_Data!A:A,Remittance_Data!B:B,"CHECK")</f>
        <v>CHECK</v>
      </c>
      <c r="O387" t="str">
        <f>_xlfn.XLOOKUP(B387,Remittance_Data!A:A,Remittance_Data!C:C,"CHECK")</f>
        <v>CHECK</v>
      </c>
      <c r="P387" t="str">
        <f>_xlfn.XLOOKUP(B387,Remittance_Data!A:A,Remittance_Data!D:D,"CHECK")</f>
        <v>CHECK</v>
      </c>
    </row>
    <row r="388" spans="1:16">
      <c r="A388" t="s">
        <v>729</v>
      </c>
      <c r="B388" t="str">
        <f>SUBSTITUTE(SUBSTITUTE(SUBSTITUTE(SUBSTITUTE(TRIM(Table6[[#This Row],[Constituency]]),"Barisal","Barishal"),"Jessore","Jashore"),"Bogra","Bogura"),"Chapai Nawabganj","Chapainawabganj")</f>
        <v>Habiganj-1</v>
      </c>
      <c r="C388" t="s">
        <v>1343</v>
      </c>
      <c r="D388" t="s">
        <v>1344</v>
      </c>
      <c r="E388">
        <f>_xlfn.XLOOKUP(C388,Population_data!B:B,Population_data!C:C,"")</f>
        <v>349.37</v>
      </c>
      <c r="F388">
        <f>_xlfn.XLOOKUP(C388,Population_data!B:B,Population_data!D:D,"")</f>
        <v>367365</v>
      </c>
      <c r="G388">
        <f>_xlfn.XLOOKUP(C388,Population_data!B:B,Population_data!E:E,"")</f>
        <v>1051.51</v>
      </c>
      <c r="H388">
        <f>_xlfn.XLOOKUP(C388,Population_data!B:B,Population_data!F:F,"")</f>
        <v>5.03</v>
      </c>
      <c r="I388">
        <f>_xlfn.XLOOKUP(C388,Population_data!B:B,Population_data!G:G,"")</f>
        <v>70.55</v>
      </c>
      <c r="J388" t="str">
        <f>_xlfn.XLOOKUP(D388,District_Crime_Unit_Map!A:A,District_Crime_Unit_Map!B:B,"")</f>
        <v>Sylhet Range</v>
      </c>
      <c r="K388">
        <f>_xlfn.XLOOKUP(J388,Crime_Data!A:A,Crime_Data!V:V,"")</f>
        <v>74.251724391082064</v>
      </c>
      <c r="L388">
        <f>_xlfn.XLOOKUP(J388,Crime_Data!A:A,Crime_Data!W:W,"")</f>
        <v>9.6171122896887518</v>
      </c>
      <c r="M388" t="str">
        <f>TRIM(Table6[[#This Row],[District]])&amp;"|"&amp;TRIM(Table6[[#This Row],[Upazila]])</f>
        <v>Habiganj|Nabiganj</v>
      </c>
      <c r="N388" t="str">
        <f>_xlfn.XLOOKUP(B388,Remittance_Data!A:A,Remittance_Data!B:B,"CHECK")</f>
        <v>CHECK</v>
      </c>
      <c r="O388" t="str">
        <f>_xlfn.XLOOKUP(B388,Remittance_Data!A:A,Remittance_Data!C:C,"CHECK")</f>
        <v>CHECK</v>
      </c>
      <c r="P388" t="str">
        <f>_xlfn.XLOOKUP(B388,Remittance_Data!A:A,Remittance_Data!D:D,"CHECK")</f>
        <v>CHECK</v>
      </c>
    </row>
    <row r="389" spans="1:16">
      <c r="A389" t="s">
        <v>729</v>
      </c>
      <c r="B389" t="str">
        <f>SUBSTITUTE(SUBSTITUTE(SUBSTITUTE(SUBSTITUTE(TRIM(Table6[[#This Row],[Constituency]]),"Barisal","Barishal"),"Jessore","Jashore"),"Bogra","Bogura"),"Chapai Nawabganj","Chapainawabganj")</f>
        <v>Habiganj-1</v>
      </c>
      <c r="C389" t="s">
        <v>1345</v>
      </c>
      <c r="D389" t="s">
        <v>1344</v>
      </c>
      <c r="E389">
        <f>_xlfn.XLOOKUP(C389,Population_data!B:B,Population_data!C:C,"")</f>
        <v>327.77</v>
      </c>
      <c r="F389">
        <f>_xlfn.XLOOKUP(C389,Population_data!B:B,Population_data!D:D,"")</f>
        <v>219371</v>
      </c>
      <c r="G389">
        <f>_xlfn.XLOOKUP(C389,Population_data!B:B,Population_data!E:E,"")</f>
        <v>669.28</v>
      </c>
      <c r="H389">
        <f>_xlfn.XLOOKUP(C389,Population_data!B:B,Population_data!F:F,"")</f>
        <v>4.9000000000000004</v>
      </c>
      <c r="I389">
        <f>_xlfn.XLOOKUP(C389,Population_data!B:B,Population_data!G:G,"")</f>
        <v>68.03</v>
      </c>
      <c r="J389" t="str">
        <f>_xlfn.XLOOKUP(D389,District_Crime_Unit_Map!A:A,District_Crime_Unit_Map!B:B,"")</f>
        <v>Sylhet Range</v>
      </c>
      <c r="K389">
        <f>_xlfn.XLOOKUP(J389,Crime_Data!A:A,Crime_Data!V:V,"")</f>
        <v>74.251724391082064</v>
      </c>
      <c r="L389">
        <f>_xlfn.XLOOKUP(J389,Crime_Data!A:A,Crime_Data!W:W,"")</f>
        <v>9.6171122896887518</v>
      </c>
      <c r="M389" t="str">
        <f>TRIM(Table6[[#This Row],[District]])&amp;"|"&amp;TRIM(Table6[[#This Row],[Upazila]])</f>
        <v>Habiganj|Bahubal</v>
      </c>
      <c r="N389" t="str">
        <f>_xlfn.XLOOKUP(B389,Remittance_Data!A:A,Remittance_Data!B:B,"CHECK")</f>
        <v>CHECK</v>
      </c>
      <c r="O389" t="str">
        <f>_xlfn.XLOOKUP(B389,Remittance_Data!A:A,Remittance_Data!C:C,"CHECK")</f>
        <v>CHECK</v>
      </c>
      <c r="P389" t="str">
        <f>_xlfn.XLOOKUP(B389,Remittance_Data!A:A,Remittance_Data!D:D,"CHECK")</f>
        <v>CHECK</v>
      </c>
    </row>
    <row r="390" spans="1:16">
      <c r="A390" t="s">
        <v>732</v>
      </c>
      <c r="B390" t="str">
        <f>SUBSTITUTE(SUBSTITUTE(SUBSTITUTE(SUBSTITUTE(TRIM(Table6[[#This Row],[Constituency]]),"Barisal","Barishal"),"Jessore","Jashore"),"Bogra","Bogura"),"Chapai Nawabganj","Chapainawabganj")</f>
        <v>Habiganj-2</v>
      </c>
      <c r="C390" t="s">
        <v>1346</v>
      </c>
      <c r="D390" t="s">
        <v>1344</v>
      </c>
      <c r="E390">
        <f>_xlfn.XLOOKUP(C390,Population_data!B:B,Population_data!C:C,"")</f>
        <v>412.43</v>
      </c>
      <c r="F390">
        <f>_xlfn.XLOOKUP(C390,Population_data!B:B,Population_data!D:D,"")</f>
        <v>126324</v>
      </c>
      <c r="G390">
        <f>_xlfn.XLOOKUP(C390,Population_data!B:B,Population_data!E:E,"")</f>
        <v>306.29000000000002</v>
      </c>
      <c r="H390">
        <f>_xlfn.XLOOKUP(C390,Population_data!B:B,Population_data!F:F,"")</f>
        <v>5.01</v>
      </c>
      <c r="I390">
        <f>_xlfn.XLOOKUP(C390,Population_data!B:B,Population_data!G:G,"")</f>
        <v>63.71</v>
      </c>
      <c r="J390" t="str">
        <f>_xlfn.XLOOKUP(D390,District_Crime_Unit_Map!A:A,District_Crime_Unit_Map!B:B,"")</f>
        <v>Sylhet Range</v>
      </c>
      <c r="K390">
        <f>_xlfn.XLOOKUP(J390,Crime_Data!A:A,Crime_Data!V:V,"")</f>
        <v>74.251724391082064</v>
      </c>
      <c r="L390">
        <f>_xlfn.XLOOKUP(J390,Crime_Data!A:A,Crime_Data!W:W,"")</f>
        <v>9.6171122896887518</v>
      </c>
      <c r="M390" t="str">
        <f>TRIM(Table6[[#This Row],[District]])&amp;"|"&amp;TRIM(Table6[[#This Row],[Upazila]])</f>
        <v>Habiganj|Ajmiriganj</v>
      </c>
      <c r="N390" t="str">
        <f>_xlfn.XLOOKUP(B390,Remittance_Data!A:A,Remittance_Data!B:B,"CHECK")</f>
        <v>CHECK</v>
      </c>
      <c r="O390" t="str">
        <f>_xlfn.XLOOKUP(B390,Remittance_Data!A:A,Remittance_Data!C:C,"CHECK")</f>
        <v>CHECK</v>
      </c>
      <c r="P390" t="str">
        <f>_xlfn.XLOOKUP(B390,Remittance_Data!A:A,Remittance_Data!D:D,"CHECK")</f>
        <v>CHECK</v>
      </c>
    </row>
    <row r="391" spans="1:16">
      <c r="A391" t="s">
        <v>732</v>
      </c>
      <c r="B391" t="str">
        <f>SUBSTITUTE(SUBSTITUTE(SUBSTITUTE(SUBSTITUTE(TRIM(Table6[[#This Row],[Constituency]]),"Barisal","Barishal"),"Jessore","Jashore"),"Bogra","Bogura"),"Chapai Nawabganj","Chapainawabganj")</f>
        <v>Habiganj-2</v>
      </c>
      <c r="C391" t="s">
        <v>1347</v>
      </c>
      <c r="D391" t="s">
        <v>1344</v>
      </c>
      <c r="E391">
        <f>_xlfn.XLOOKUP(C391,Population_data!B:B,Population_data!C:C,"")</f>
        <v>263.74</v>
      </c>
      <c r="F391">
        <f>_xlfn.XLOOKUP(C391,Population_data!B:B,Population_data!D:D,"")</f>
        <v>356398</v>
      </c>
      <c r="G391">
        <f>_xlfn.XLOOKUP(C391,Population_data!B:B,Population_data!E:E,"")</f>
        <v>1351.32</v>
      </c>
      <c r="H391">
        <f>_xlfn.XLOOKUP(C391,Population_data!B:B,Population_data!F:F,"")</f>
        <v>5.0599999999999996</v>
      </c>
      <c r="I391">
        <f>_xlfn.XLOOKUP(C391,Population_data!B:B,Population_data!G:G,"")</f>
        <v>65.78</v>
      </c>
      <c r="J391" t="str">
        <f>_xlfn.XLOOKUP(D391,District_Crime_Unit_Map!A:A,District_Crime_Unit_Map!B:B,"")</f>
        <v>Sylhet Range</v>
      </c>
      <c r="K391">
        <f>_xlfn.XLOOKUP(J391,Crime_Data!A:A,Crime_Data!V:V,"")</f>
        <v>74.251724391082064</v>
      </c>
      <c r="L391">
        <f>_xlfn.XLOOKUP(J391,Crime_Data!A:A,Crime_Data!W:W,"")</f>
        <v>9.6171122896887518</v>
      </c>
      <c r="M391" t="str">
        <f>TRIM(Table6[[#This Row],[District]])&amp;"|"&amp;TRIM(Table6[[#This Row],[Upazila]])</f>
        <v>Habiganj|Baniachong</v>
      </c>
      <c r="N391" t="str">
        <f>_xlfn.XLOOKUP(B391,Remittance_Data!A:A,Remittance_Data!B:B,"CHECK")</f>
        <v>CHECK</v>
      </c>
      <c r="O391" t="str">
        <f>_xlfn.XLOOKUP(B391,Remittance_Data!A:A,Remittance_Data!C:C,"CHECK")</f>
        <v>CHECK</v>
      </c>
      <c r="P391" t="str">
        <f>_xlfn.XLOOKUP(B391,Remittance_Data!A:A,Remittance_Data!D:D,"CHECK")</f>
        <v>CHECK</v>
      </c>
    </row>
    <row r="392" spans="1:16">
      <c r="A392" t="s">
        <v>735</v>
      </c>
      <c r="B392" t="str">
        <f>SUBSTITUTE(SUBSTITUTE(SUBSTITUTE(SUBSTITUTE(TRIM(Table6[[#This Row],[Constituency]]),"Barisal","Barishal"),"Jessore","Jashore"),"Bogra","Bogura"),"Chapai Nawabganj","Chapainawabganj")</f>
        <v>Habiganj-3</v>
      </c>
      <c r="C392" t="s">
        <v>1348</v>
      </c>
      <c r="D392" t="s">
        <v>1344</v>
      </c>
      <c r="E392">
        <f>_xlfn.XLOOKUP(C392,Population_data!B:B,Population_data!C:C,"")</f>
        <v>318.33999999999997</v>
      </c>
      <c r="F392">
        <f>_xlfn.XLOOKUP(C392,Population_data!B:B,Population_data!D:D,"")</f>
        <v>306687</v>
      </c>
      <c r="G392">
        <f>_xlfn.XLOOKUP(C392,Population_data!B:B,Population_data!E:E,"")</f>
        <v>963.39</v>
      </c>
      <c r="H392">
        <f>_xlfn.XLOOKUP(C392,Population_data!B:B,Population_data!F:F,"")</f>
        <v>4.74</v>
      </c>
      <c r="I392">
        <f>_xlfn.XLOOKUP(C392,Population_data!B:B,Population_data!G:G,"")</f>
        <v>75.27</v>
      </c>
      <c r="J392" t="str">
        <f>_xlfn.XLOOKUP(D392,District_Crime_Unit_Map!A:A,District_Crime_Unit_Map!B:B,"")</f>
        <v>Sylhet Range</v>
      </c>
      <c r="K392">
        <f>_xlfn.XLOOKUP(J392,Crime_Data!A:A,Crime_Data!V:V,"")</f>
        <v>74.251724391082064</v>
      </c>
      <c r="L392">
        <f>_xlfn.XLOOKUP(J392,Crime_Data!A:A,Crime_Data!W:W,"")</f>
        <v>9.6171122896887518</v>
      </c>
      <c r="M392" t="str">
        <f>TRIM(Table6[[#This Row],[District]])&amp;"|"&amp;TRIM(Table6[[#This Row],[Upazila]])</f>
        <v>Habiganj|Habiganj Sadar</v>
      </c>
      <c r="N392" t="str">
        <f>_xlfn.XLOOKUP(B392,Remittance_Data!A:A,Remittance_Data!B:B,"CHECK")</f>
        <v>CHECK</v>
      </c>
      <c r="O392" t="str">
        <f>_xlfn.XLOOKUP(B392,Remittance_Data!A:A,Remittance_Data!C:C,"CHECK")</f>
        <v>CHECK</v>
      </c>
      <c r="P392" t="str">
        <f>_xlfn.XLOOKUP(B392,Remittance_Data!A:A,Remittance_Data!D:D,"CHECK")</f>
        <v>CHECK</v>
      </c>
    </row>
    <row r="393" spans="1:16">
      <c r="A393" t="s">
        <v>735</v>
      </c>
      <c r="B393" t="str">
        <f>SUBSTITUTE(SUBSTITUTE(SUBSTITUTE(SUBSTITUTE(TRIM(Table6[[#This Row],[Constituency]]),"Barisal","Barishal"),"Jessore","Jashore"),"Bogra","Bogura"),"Chapai Nawabganj","Chapainawabganj")</f>
        <v>Habiganj-3</v>
      </c>
      <c r="C393" t="s">
        <v>1349</v>
      </c>
      <c r="D393" t="s">
        <v>1344</v>
      </c>
      <c r="E393">
        <f>_xlfn.XLOOKUP(C393,Population_data!B:B,Population_data!C:C,"")</f>
        <v>284.19</v>
      </c>
      <c r="F393">
        <f>_xlfn.XLOOKUP(C393,Population_data!B:B,Population_data!D:D,"")</f>
        <v>158712</v>
      </c>
      <c r="G393">
        <f>_xlfn.XLOOKUP(C393,Population_data!B:B,Population_data!E:E,"")</f>
        <v>558.47</v>
      </c>
      <c r="H393">
        <f>_xlfn.XLOOKUP(C393,Population_data!B:B,Population_data!F:F,"")</f>
        <v>4.8</v>
      </c>
      <c r="I393">
        <f>_xlfn.XLOOKUP(C393,Population_data!B:B,Population_data!G:G,"")</f>
        <v>63.95</v>
      </c>
      <c r="J393" t="str">
        <f>_xlfn.XLOOKUP(D393,District_Crime_Unit_Map!A:A,District_Crime_Unit_Map!B:B,"")</f>
        <v>Sylhet Range</v>
      </c>
      <c r="K393">
        <f>_xlfn.XLOOKUP(J393,Crime_Data!A:A,Crime_Data!V:V,"")</f>
        <v>74.251724391082064</v>
      </c>
      <c r="L393">
        <f>_xlfn.XLOOKUP(J393,Crime_Data!A:A,Crime_Data!W:W,"")</f>
        <v>9.6171122896887518</v>
      </c>
      <c r="M393" t="str">
        <f>TRIM(Table6[[#This Row],[District]])&amp;"|"&amp;TRIM(Table6[[#This Row],[Upazila]])</f>
        <v>Habiganj|Lakhai</v>
      </c>
      <c r="N393" t="str">
        <f>_xlfn.XLOOKUP(B393,Remittance_Data!A:A,Remittance_Data!B:B,"CHECK")</f>
        <v>CHECK</v>
      </c>
      <c r="O393" t="str">
        <f>_xlfn.XLOOKUP(B393,Remittance_Data!A:A,Remittance_Data!C:C,"CHECK")</f>
        <v>CHECK</v>
      </c>
      <c r="P393" t="str">
        <f>_xlfn.XLOOKUP(B393,Remittance_Data!A:A,Remittance_Data!D:D,"CHECK")</f>
        <v>CHECK</v>
      </c>
    </row>
    <row r="394" spans="1:16">
      <c r="A394" t="s">
        <v>738</v>
      </c>
      <c r="B394" t="str">
        <f>SUBSTITUTE(SUBSTITUTE(SUBSTITUTE(SUBSTITUTE(TRIM(Table6[[#This Row],[Constituency]]),"Barisal","Barishal"),"Jessore","Jashore"),"Bogra","Bogura"),"Chapai Nawabganj","Chapainawabganj")</f>
        <v>Habiganj-4</v>
      </c>
      <c r="C394" t="s">
        <v>1350</v>
      </c>
      <c r="D394" t="s">
        <v>1344</v>
      </c>
      <c r="E394">
        <f>_xlfn.XLOOKUP(C394,Population_data!B:B,Population_data!C:C,"")</f>
        <v>370.54</v>
      </c>
      <c r="F394">
        <f>_xlfn.XLOOKUP(C394,Population_data!B:B,Population_data!D:D,"")</f>
        <v>384212</v>
      </c>
      <c r="G394">
        <f>_xlfn.XLOOKUP(C394,Population_data!B:B,Population_data!E:E,"")</f>
        <v>1036.9000000000001</v>
      </c>
      <c r="H394">
        <f>_xlfn.XLOOKUP(C394,Population_data!B:B,Population_data!F:F,"")</f>
        <v>4.51</v>
      </c>
      <c r="I394">
        <f>_xlfn.XLOOKUP(C394,Population_data!B:B,Population_data!G:G,"")</f>
        <v>68.930000000000007</v>
      </c>
      <c r="J394" t="str">
        <f>_xlfn.XLOOKUP(D394,District_Crime_Unit_Map!A:A,District_Crime_Unit_Map!B:B,"")</f>
        <v>Sylhet Range</v>
      </c>
      <c r="K394">
        <f>_xlfn.XLOOKUP(J394,Crime_Data!A:A,Crime_Data!V:V,"")</f>
        <v>74.251724391082064</v>
      </c>
      <c r="L394">
        <f>_xlfn.XLOOKUP(J394,Crime_Data!A:A,Crime_Data!W:W,"")</f>
        <v>9.6171122896887518</v>
      </c>
      <c r="M394" t="str">
        <f>TRIM(Table6[[#This Row],[District]])&amp;"|"&amp;TRIM(Table6[[#This Row],[Upazila]])</f>
        <v>Habiganj|Madhabpur</v>
      </c>
      <c r="N394" t="str">
        <f>_xlfn.XLOOKUP(B394,Remittance_Data!A:A,Remittance_Data!B:B,"CHECK")</f>
        <v>CHECK</v>
      </c>
      <c r="O394" t="str">
        <f>_xlfn.XLOOKUP(B394,Remittance_Data!A:A,Remittance_Data!C:C,"CHECK")</f>
        <v>CHECK</v>
      </c>
      <c r="P394" t="str">
        <f>_xlfn.XLOOKUP(B394,Remittance_Data!A:A,Remittance_Data!D:D,"CHECK")</f>
        <v>CHECK</v>
      </c>
    </row>
    <row r="395" spans="1:16">
      <c r="A395" t="s">
        <v>738</v>
      </c>
      <c r="B395" t="str">
        <f>SUBSTITUTE(SUBSTITUTE(SUBSTITUTE(SUBSTITUTE(TRIM(Table6[[#This Row],[Constituency]]),"Barisal","Barishal"),"Jessore","Jashore"),"Bogra","Bogura"),"Chapai Nawabganj","Chapainawabganj")</f>
        <v>Habiganj-4</v>
      </c>
      <c r="C395" t="s">
        <v>1352</v>
      </c>
      <c r="D395" t="s">
        <v>1344</v>
      </c>
      <c r="E395">
        <f>_xlfn.XLOOKUP(C395,Population_data!B:B,Population_data!C:C,"")</f>
        <v>495.53</v>
      </c>
      <c r="F395">
        <f>_xlfn.XLOOKUP(C395,Population_data!B:B,Population_data!D:D,"")</f>
        <v>342274</v>
      </c>
      <c r="G395">
        <f>_xlfn.XLOOKUP(C395,Population_data!B:B,Population_data!E:E,"")</f>
        <v>690.72</v>
      </c>
      <c r="H395">
        <f>_xlfn.XLOOKUP(C395,Population_data!B:B,Population_data!F:F,"")</f>
        <v>4.47</v>
      </c>
      <c r="I395">
        <f>_xlfn.XLOOKUP(C395,Population_data!B:B,Population_data!G:G,"")</f>
        <v>70.209999999999994</v>
      </c>
      <c r="J395" t="str">
        <f>_xlfn.XLOOKUP(D395,District_Crime_Unit_Map!A:A,District_Crime_Unit_Map!B:B,"")</f>
        <v>Sylhet Range</v>
      </c>
      <c r="K395">
        <f>_xlfn.XLOOKUP(J395,Crime_Data!A:A,Crime_Data!V:V,"")</f>
        <v>74.251724391082064</v>
      </c>
      <c r="L395">
        <f>_xlfn.XLOOKUP(J395,Crime_Data!A:A,Crime_Data!W:W,"")</f>
        <v>9.6171122896887518</v>
      </c>
      <c r="M395" t="str">
        <f>TRIM(Table6[[#This Row],[District]])&amp;"|"&amp;TRIM(Table6[[#This Row],[Upazila]])</f>
        <v>Habiganj|Chunarughat</v>
      </c>
      <c r="N395" t="str">
        <f>_xlfn.XLOOKUP(B395,Remittance_Data!A:A,Remittance_Data!B:B,"CHECK")</f>
        <v>CHECK</v>
      </c>
      <c r="O395" t="str">
        <f>_xlfn.XLOOKUP(B395,Remittance_Data!A:A,Remittance_Data!C:C,"CHECK")</f>
        <v>CHECK</v>
      </c>
      <c r="P395" t="str">
        <f>_xlfn.XLOOKUP(B395,Remittance_Data!A:A,Remittance_Data!D:D,"CHECK")</f>
        <v>CHECK</v>
      </c>
    </row>
    <row r="396" spans="1:16">
      <c r="A396" t="s">
        <v>735</v>
      </c>
      <c r="B396" t="str">
        <f>SUBSTITUTE(SUBSTITUTE(SUBSTITUTE(SUBSTITUTE(TRIM(Table6[[#This Row],[Constituency]]),"Barisal","Barishal"),"Jessore","Jashore"),"Bogra","Bogura"),"Chapai Nawabganj","Chapainawabganj")</f>
        <v>Habiganj-3</v>
      </c>
      <c r="C396" t="s">
        <v>1354</v>
      </c>
      <c r="D396" t="s">
        <v>1344</v>
      </c>
      <c r="E396">
        <f>_xlfn.XLOOKUP(C396,Population_data!B:B,Population_data!C:C,"")</f>
        <v>247.22</v>
      </c>
      <c r="F396">
        <f>_xlfn.XLOOKUP(C396,Population_data!B:B,Population_data!D:D,"")</f>
        <v>97404</v>
      </c>
      <c r="G396">
        <f>_xlfn.XLOOKUP(C396,Population_data!B:B,Population_data!E:E,"")</f>
        <v>394</v>
      </c>
      <c r="H396">
        <f>_xlfn.XLOOKUP(C396,Population_data!B:B,Population_data!F:F,"")</f>
        <v>4.3499999999999996</v>
      </c>
      <c r="I396">
        <f>_xlfn.XLOOKUP(C396,Population_data!B:B,Population_data!G:G,"")</f>
        <v>78.12</v>
      </c>
      <c r="J396" t="str">
        <f>_xlfn.XLOOKUP(D396,District_Crime_Unit_Map!A:A,District_Crime_Unit_Map!B:B,"")</f>
        <v>Sylhet Range</v>
      </c>
      <c r="K396">
        <f>_xlfn.XLOOKUP(J396,Crime_Data!A:A,Crime_Data!V:V,"")</f>
        <v>74.251724391082064</v>
      </c>
      <c r="L396">
        <f>_xlfn.XLOOKUP(J396,Crime_Data!A:A,Crime_Data!W:W,"")</f>
        <v>9.6171122896887518</v>
      </c>
      <c r="M396" t="str">
        <f>TRIM(Table6[[#This Row],[District]])&amp;"|"&amp;TRIM(Table6[[#This Row],[Upazila]])</f>
        <v>Habiganj|Shayestaganj</v>
      </c>
      <c r="N396" t="str">
        <f>_xlfn.XLOOKUP(B396,Remittance_Data!A:A,Remittance_Data!B:B,"CHECK")</f>
        <v>CHECK</v>
      </c>
      <c r="O396" t="str">
        <f>_xlfn.XLOOKUP(B396,Remittance_Data!A:A,Remittance_Data!C:C,"CHECK")</f>
        <v>CHECK</v>
      </c>
      <c r="P396" t="str">
        <f>_xlfn.XLOOKUP(B396,Remittance_Data!A:A,Remittance_Data!D:D,"CHECK")</f>
        <v>CHECK</v>
      </c>
    </row>
    <row r="397" spans="1:16">
      <c r="A397" t="s">
        <v>743</v>
      </c>
      <c r="B397" t="str">
        <f>SUBSTITUTE(SUBSTITUTE(SUBSTITUTE(SUBSTITUTE(TRIM(Table6[[#This Row],[Constituency]]),"Barisal","Barishal"),"Jessore","Jashore"),"Bogra","Bogura"),"Chapai Nawabganj","Chapainawabganj")</f>
        <v>Brahmanbaria-1</v>
      </c>
      <c r="C397" t="s">
        <v>1355</v>
      </c>
      <c r="D397" t="s">
        <v>1356</v>
      </c>
      <c r="E397">
        <f>_xlfn.XLOOKUP(C397,Population_data!B:B,Population_data!C:C,"")</f>
        <v>869.55</v>
      </c>
      <c r="F397">
        <f>_xlfn.XLOOKUP(C397,Population_data!B:B,Population_data!D:D,"")</f>
        <v>555807</v>
      </c>
      <c r="G397">
        <f>_xlfn.XLOOKUP(C397,Population_data!B:B,Population_data!E:E,"")</f>
        <v>639.19000000000005</v>
      </c>
      <c r="H397">
        <f>_xlfn.XLOOKUP(C397,Population_data!B:B,Population_data!F:F,"")</f>
        <v>4.4800000000000004</v>
      </c>
      <c r="I397">
        <f>_xlfn.XLOOKUP(C397,Population_data!B:B,Population_data!G:G,"")</f>
        <v>70.87</v>
      </c>
      <c r="J397" t="str">
        <f>_xlfn.XLOOKUP(D397,District_Crime_Unit_Map!A:A,District_Crime_Unit_Map!B:B,"")</f>
        <v>Chittagong Range</v>
      </c>
      <c r="K397">
        <f>_xlfn.XLOOKUP(J397,Crime_Data!A:A,Crime_Data!V:V,"")</f>
        <v>84.879645400600893</v>
      </c>
      <c r="L397">
        <f>_xlfn.XLOOKUP(J397,Crime_Data!A:A,Crime_Data!W:W,"")</f>
        <v>10.309673910686193</v>
      </c>
      <c r="M397" t="str">
        <f>TRIM(Table6[[#This Row],[District]])&amp;"|"&amp;TRIM(Table6[[#This Row],[Upazila]])</f>
        <v>Brahmanbaria|Nabinagar</v>
      </c>
      <c r="N397" t="str">
        <f>_xlfn.XLOOKUP(B397,Remittance_Data!A:A,Remittance_Data!B:B,"CHECK")</f>
        <v>CHECK</v>
      </c>
      <c r="O397" t="str">
        <f>_xlfn.XLOOKUP(B397,Remittance_Data!A:A,Remittance_Data!C:C,"CHECK")</f>
        <v>CHECK</v>
      </c>
      <c r="P397" t="str">
        <f>_xlfn.XLOOKUP(B397,Remittance_Data!A:A,Remittance_Data!D:D,"CHECK")</f>
        <v>CHECK</v>
      </c>
    </row>
    <row r="398" spans="1:16">
      <c r="A398" t="s">
        <v>746</v>
      </c>
      <c r="B398" t="str">
        <f>SUBSTITUTE(SUBSTITUTE(SUBSTITUTE(SUBSTITUTE(TRIM(Table6[[#This Row],[Constituency]]),"Barisal","Barishal"),"Jessore","Jashore"),"Bogra","Bogura"),"Chapai Nawabganj","Chapainawabganj")</f>
        <v>Brahmanbaria-2</v>
      </c>
      <c r="C398" t="s">
        <v>1357</v>
      </c>
      <c r="D398" t="s">
        <v>1356</v>
      </c>
      <c r="E398">
        <f>_xlfn.XLOOKUP(C398,Population_data!B:B,Population_data!C:C,"")</f>
        <v>227.22</v>
      </c>
      <c r="F398">
        <f>_xlfn.XLOOKUP(C398,Population_data!B:B,Population_data!D:D,"")</f>
        <v>364352</v>
      </c>
      <c r="G398">
        <f>_xlfn.XLOOKUP(C398,Population_data!B:B,Population_data!E:E,"")</f>
        <v>1603.52</v>
      </c>
      <c r="H398">
        <f>_xlfn.XLOOKUP(C398,Population_data!B:B,Population_data!F:F,"")</f>
        <v>4.8099999999999996</v>
      </c>
      <c r="I398">
        <f>_xlfn.XLOOKUP(C398,Population_data!B:B,Population_data!G:G,"")</f>
        <v>67.8</v>
      </c>
      <c r="J398" t="str">
        <f>_xlfn.XLOOKUP(D398,District_Crime_Unit_Map!A:A,District_Crime_Unit_Map!B:B,"")</f>
        <v>Chittagong Range</v>
      </c>
      <c r="K398">
        <f>_xlfn.XLOOKUP(J398,Crime_Data!A:A,Crime_Data!V:V,"")</f>
        <v>84.879645400600893</v>
      </c>
      <c r="L398">
        <f>_xlfn.XLOOKUP(J398,Crime_Data!A:A,Crime_Data!W:W,"")</f>
        <v>10.309673910686193</v>
      </c>
      <c r="M398" t="str">
        <f>TRIM(Table6[[#This Row],[District]])&amp;"|"&amp;TRIM(Table6[[#This Row],[Upazila]])</f>
        <v>Brahmanbaria|Sarail</v>
      </c>
      <c r="N398" t="str">
        <f>_xlfn.XLOOKUP(B398,Remittance_Data!A:A,Remittance_Data!B:B,"CHECK")</f>
        <v>CHECK</v>
      </c>
      <c r="O398" t="str">
        <f>_xlfn.XLOOKUP(B398,Remittance_Data!A:A,Remittance_Data!C:C,"CHECK")</f>
        <v>CHECK</v>
      </c>
      <c r="P398" t="str">
        <f>_xlfn.XLOOKUP(B398,Remittance_Data!A:A,Remittance_Data!D:D,"CHECK")</f>
        <v>CHECK</v>
      </c>
    </row>
    <row r="399" spans="1:16">
      <c r="A399" t="s">
        <v>746</v>
      </c>
      <c r="B399" t="str">
        <f>SUBSTITUTE(SUBSTITUTE(SUBSTITUTE(SUBSTITUTE(TRIM(Table6[[#This Row],[Constituency]]),"Barisal","Barishal"),"Jessore","Jashore"),"Bogra","Bogura"),"Chapai Nawabganj","Chapainawabganj")</f>
        <v>Brahmanbaria-2</v>
      </c>
      <c r="C399" t="s">
        <v>1358</v>
      </c>
      <c r="D399" t="s">
        <v>1356</v>
      </c>
      <c r="E399">
        <f>_xlfn.XLOOKUP(C399,Population_data!B:B,Population_data!C:C,"")</f>
        <v>67.58</v>
      </c>
      <c r="F399">
        <f>_xlfn.XLOOKUP(C399,Population_data!B:B,Population_data!D:D,"")</f>
        <v>210347</v>
      </c>
      <c r="G399">
        <f>_xlfn.XLOOKUP(C399,Population_data!B:B,Population_data!E:E,"")</f>
        <v>3112.56</v>
      </c>
      <c r="H399">
        <f>_xlfn.XLOOKUP(C399,Population_data!B:B,Population_data!F:F,"")</f>
        <v>4.74</v>
      </c>
      <c r="I399">
        <f>_xlfn.XLOOKUP(C399,Population_data!B:B,Population_data!G:G,"")</f>
        <v>74.06</v>
      </c>
      <c r="J399" t="str">
        <f>_xlfn.XLOOKUP(D399,District_Crime_Unit_Map!A:A,District_Crime_Unit_Map!B:B,"")</f>
        <v>Chittagong Range</v>
      </c>
      <c r="K399">
        <f>_xlfn.XLOOKUP(J399,Crime_Data!A:A,Crime_Data!V:V,"")</f>
        <v>84.879645400600893</v>
      </c>
      <c r="L399">
        <f>_xlfn.XLOOKUP(J399,Crime_Data!A:A,Crime_Data!W:W,"")</f>
        <v>10.309673910686193</v>
      </c>
      <c r="M399" t="str">
        <f>TRIM(Table6[[#This Row],[District]])&amp;"|"&amp;TRIM(Table6[[#This Row],[Upazila]])</f>
        <v>Brahmanbaria|Ashuganj</v>
      </c>
      <c r="N399" t="str">
        <f>_xlfn.XLOOKUP(B399,Remittance_Data!A:A,Remittance_Data!B:B,"CHECK")</f>
        <v>CHECK</v>
      </c>
      <c r="O399" t="str">
        <f>_xlfn.XLOOKUP(B399,Remittance_Data!A:A,Remittance_Data!C:C,"CHECK")</f>
        <v>CHECK</v>
      </c>
      <c r="P399" t="str">
        <f>_xlfn.XLOOKUP(B399,Remittance_Data!A:A,Remittance_Data!D:D,"CHECK")</f>
        <v>CHECK</v>
      </c>
    </row>
    <row r="400" spans="1:16">
      <c r="A400" t="s">
        <v>749</v>
      </c>
      <c r="B400" t="str">
        <f>SUBSTITUTE(SUBSTITUTE(SUBSTITUTE(SUBSTITUTE(TRIM(Table6[[#This Row],[Constituency]]),"Barisal","Barishal"),"Jessore","Jashore"),"Bogra","Bogura"),"Chapai Nawabganj","Chapainawabganj")</f>
        <v>Brahmanbaria-3</v>
      </c>
      <c r="C400" t="s">
        <v>1359</v>
      </c>
      <c r="D400" t="s">
        <v>1356</v>
      </c>
      <c r="E400">
        <f>_xlfn.XLOOKUP(C400,Population_data!B:B,Population_data!C:C,"")</f>
        <v>353.13</v>
      </c>
      <c r="F400">
        <f>_xlfn.XLOOKUP(C400,Population_data!B:B,Population_data!D:D,"")</f>
        <v>677213</v>
      </c>
      <c r="G400">
        <f>_xlfn.XLOOKUP(C400,Population_data!B:B,Population_data!E:E,"")</f>
        <v>1917.74</v>
      </c>
      <c r="H400">
        <f>_xlfn.XLOOKUP(C400,Population_data!B:B,Population_data!F:F,"")</f>
        <v>4.6500000000000004</v>
      </c>
      <c r="I400">
        <f>_xlfn.XLOOKUP(C400,Population_data!B:B,Population_data!G:G,"")</f>
        <v>78.05</v>
      </c>
      <c r="J400" t="str">
        <f>_xlfn.XLOOKUP(D400,District_Crime_Unit_Map!A:A,District_Crime_Unit_Map!B:B,"")</f>
        <v>Chittagong Range</v>
      </c>
      <c r="K400">
        <f>_xlfn.XLOOKUP(J400,Crime_Data!A:A,Crime_Data!V:V,"")</f>
        <v>84.879645400600893</v>
      </c>
      <c r="L400">
        <f>_xlfn.XLOOKUP(J400,Crime_Data!A:A,Crime_Data!W:W,"")</f>
        <v>10.309673910686193</v>
      </c>
      <c r="M400" t="str">
        <f>TRIM(Table6[[#This Row],[District]])&amp;"|"&amp;TRIM(Table6[[#This Row],[Upazila]])</f>
        <v>Brahmanbaria|Brahmanbaria Sadar</v>
      </c>
      <c r="N400" t="str">
        <f>_xlfn.XLOOKUP(B400,Remittance_Data!A:A,Remittance_Data!B:B,"CHECK")</f>
        <v>CHECK</v>
      </c>
      <c r="O400" t="str">
        <f>_xlfn.XLOOKUP(B400,Remittance_Data!A:A,Remittance_Data!C:C,"CHECK")</f>
        <v>CHECK</v>
      </c>
      <c r="P400" t="str">
        <f>_xlfn.XLOOKUP(B400,Remittance_Data!A:A,Remittance_Data!D:D,"CHECK")</f>
        <v>CHECK</v>
      </c>
    </row>
    <row r="401" spans="1:16">
      <c r="A401" t="s">
        <v>749</v>
      </c>
      <c r="B401" t="str">
        <f>SUBSTITUTE(SUBSTITUTE(SUBSTITUTE(SUBSTITUTE(TRIM(Table6[[#This Row],[Constituency]]),"Barisal","Barishal"),"Jessore","Jashore"),"Bogra","Bogura"),"Chapai Nawabganj","Chapainawabganj")</f>
        <v>Brahmanbaria-3</v>
      </c>
      <c r="C401" t="s">
        <v>1473</v>
      </c>
      <c r="D401" t="s">
        <v>1356</v>
      </c>
      <c r="E401">
        <f>_xlfn.XLOOKUP(C401,Population_data!B:B,Population_data!C:C,"")</f>
        <v>247.58</v>
      </c>
      <c r="F401">
        <f>_xlfn.XLOOKUP(C401,Population_data!B:B,Population_data!D:D,"")</f>
        <v>290424</v>
      </c>
      <c r="G401">
        <f>_xlfn.XLOOKUP(C401,Population_data!B:B,Population_data!E:E,"")</f>
        <v>1173.05</v>
      </c>
      <c r="H401">
        <f>_xlfn.XLOOKUP(C401,Population_data!B:B,Population_data!F:F,"")</f>
        <v>4.6500000000000004</v>
      </c>
      <c r="I401">
        <f>_xlfn.XLOOKUP(C401,Population_data!B:B,Population_data!G:G,"")</f>
        <v>71.790000000000006</v>
      </c>
      <c r="J401" t="str">
        <f>_xlfn.XLOOKUP(D401,District_Crime_Unit_Map!A:A,District_Crime_Unit_Map!B:B,"")</f>
        <v>Chittagong Range</v>
      </c>
      <c r="K401">
        <f>_xlfn.XLOOKUP(J401,Crime_Data!A:A,Crime_Data!V:V,"")</f>
        <v>84.879645400600893</v>
      </c>
      <c r="L401">
        <f>_xlfn.XLOOKUP(J401,Crime_Data!A:A,Crime_Data!W:W,"")</f>
        <v>10.309673910686193</v>
      </c>
      <c r="M401" t="str">
        <f>TRIM(Table6[[#This Row],[District]])&amp;"|"&amp;TRIM(Table6[[#This Row],[Upazila]])</f>
        <v>Brahmanbaria|Bijoynagar</v>
      </c>
      <c r="N401" t="str">
        <f>_xlfn.XLOOKUP(B401,Remittance_Data!A:A,Remittance_Data!B:B,"CHECK")</f>
        <v>CHECK</v>
      </c>
      <c r="O401" t="str">
        <f>_xlfn.XLOOKUP(B401,Remittance_Data!A:A,Remittance_Data!C:C,"CHECK")</f>
        <v>CHECK</v>
      </c>
      <c r="P401" t="str">
        <f>_xlfn.XLOOKUP(B401,Remittance_Data!A:A,Remittance_Data!D:D,"CHECK")</f>
        <v>CHECK</v>
      </c>
    </row>
    <row r="402" spans="1:16">
      <c r="A402" t="s">
        <v>752</v>
      </c>
      <c r="B402" t="str">
        <f>SUBSTITUTE(SUBSTITUTE(SUBSTITUTE(SUBSTITUTE(TRIM(Table6[[#This Row],[Constituency]]),"Barisal","Barishal"),"Jessore","Jashore"),"Bogra","Bogura"),"Chapai Nawabganj","Chapainawabganj")</f>
        <v>Brahmanbaria-4</v>
      </c>
      <c r="C402" t="s">
        <v>1361</v>
      </c>
      <c r="D402" t="s">
        <v>1356</v>
      </c>
      <c r="E402">
        <f>_xlfn.XLOOKUP(C402,Population_data!B:B,Population_data!C:C,"")</f>
        <v>209</v>
      </c>
      <c r="F402">
        <f>_xlfn.XLOOKUP(C402,Population_data!B:B,Population_data!D:D,"")</f>
        <v>357954</v>
      </c>
      <c r="G402">
        <f>_xlfn.XLOOKUP(C402,Population_data!B:B,Population_data!E:E,"")</f>
        <v>1712.7</v>
      </c>
      <c r="H402">
        <f>_xlfn.XLOOKUP(C402,Population_data!B:B,Population_data!F:F,"")</f>
        <v>4.41</v>
      </c>
      <c r="I402">
        <f>_xlfn.XLOOKUP(C402,Population_data!B:B,Population_data!G:G,"")</f>
        <v>77.099999999999994</v>
      </c>
      <c r="J402" t="str">
        <f>_xlfn.XLOOKUP(D402,District_Crime_Unit_Map!A:A,District_Crime_Unit_Map!B:B,"")</f>
        <v>Chittagong Range</v>
      </c>
      <c r="K402">
        <f>_xlfn.XLOOKUP(J402,Crime_Data!A:A,Crime_Data!V:V,"")</f>
        <v>84.879645400600893</v>
      </c>
      <c r="L402">
        <f>_xlfn.XLOOKUP(J402,Crime_Data!A:A,Crime_Data!W:W,"")</f>
        <v>10.309673910686193</v>
      </c>
      <c r="M402" t="str">
        <f>TRIM(Table6[[#This Row],[District]])&amp;"|"&amp;TRIM(Table6[[#This Row],[Upazila]])</f>
        <v>Brahmanbaria|Kasba</v>
      </c>
      <c r="N402" t="str">
        <f>_xlfn.XLOOKUP(B402,Remittance_Data!A:A,Remittance_Data!B:B,"CHECK")</f>
        <v>CHECK</v>
      </c>
      <c r="O402" t="str">
        <f>_xlfn.XLOOKUP(B402,Remittance_Data!A:A,Remittance_Data!C:C,"CHECK")</f>
        <v>CHECK</v>
      </c>
      <c r="P402" t="str">
        <f>_xlfn.XLOOKUP(B402,Remittance_Data!A:A,Remittance_Data!D:D,"CHECK")</f>
        <v>CHECK</v>
      </c>
    </row>
    <row r="403" spans="1:16">
      <c r="A403" t="s">
        <v>752</v>
      </c>
      <c r="B403" t="str">
        <f>SUBSTITUTE(SUBSTITUTE(SUBSTITUTE(SUBSTITUTE(TRIM(Table6[[#This Row],[Constituency]]),"Barisal","Barishal"),"Jessore","Jashore"),"Bogra","Bogura"),"Chapai Nawabganj","Chapainawabganj")</f>
        <v>Brahmanbaria-4</v>
      </c>
      <c r="C403" t="s">
        <v>1362</v>
      </c>
      <c r="D403" t="s">
        <v>1356</v>
      </c>
      <c r="E403">
        <f>_xlfn.XLOOKUP(C403,Population_data!B:B,Population_data!C:C,"")</f>
        <v>498.31</v>
      </c>
      <c r="F403">
        <f>_xlfn.XLOOKUP(C403,Population_data!B:B,Population_data!D:D,"")</f>
        <v>168451</v>
      </c>
      <c r="G403">
        <f>_xlfn.XLOOKUP(C403,Population_data!B:B,Population_data!E:E,"")</f>
        <v>338.04</v>
      </c>
      <c r="H403">
        <f>_xlfn.XLOOKUP(C403,Population_data!B:B,Population_data!F:F,"")</f>
        <v>4.46</v>
      </c>
      <c r="I403">
        <f>_xlfn.XLOOKUP(C403,Population_data!B:B,Population_data!G:G,"")</f>
        <v>76.58</v>
      </c>
      <c r="J403" t="str">
        <f>_xlfn.XLOOKUP(D403,District_Crime_Unit_Map!A:A,District_Crime_Unit_Map!B:B,"")</f>
        <v>Chittagong Range</v>
      </c>
      <c r="K403">
        <f>_xlfn.XLOOKUP(J403,Crime_Data!A:A,Crime_Data!V:V,"")</f>
        <v>84.879645400600893</v>
      </c>
      <c r="L403">
        <f>_xlfn.XLOOKUP(J403,Crime_Data!A:A,Crime_Data!W:W,"")</f>
        <v>10.309673910686193</v>
      </c>
      <c r="M403" t="str">
        <f>TRIM(Table6[[#This Row],[District]])&amp;"|"&amp;TRIM(Table6[[#This Row],[Upazila]])</f>
        <v>Brahmanbaria|Akhaura</v>
      </c>
      <c r="N403" t="str">
        <f>_xlfn.XLOOKUP(B403,Remittance_Data!A:A,Remittance_Data!B:B,"CHECK")</f>
        <v>CHECK</v>
      </c>
      <c r="O403" t="str">
        <f>_xlfn.XLOOKUP(B403,Remittance_Data!A:A,Remittance_Data!C:C,"CHECK")</f>
        <v>CHECK</v>
      </c>
      <c r="P403" t="str">
        <f>_xlfn.XLOOKUP(B403,Remittance_Data!A:A,Remittance_Data!D:D,"CHECK")</f>
        <v>CHECK</v>
      </c>
    </row>
    <row r="404" spans="1:16">
      <c r="A404" t="s">
        <v>755</v>
      </c>
      <c r="B404" t="str">
        <f>SUBSTITUTE(SUBSTITUTE(SUBSTITUTE(SUBSTITUTE(TRIM(Table6[[#This Row],[Constituency]]),"Barisal","Barishal"),"Jessore","Jashore"),"Bogra","Bogura"),"Chapai Nawabganj","Chapainawabganj")</f>
        <v>Brahmanbaria-5</v>
      </c>
      <c r="C404" t="s">
        <v>1363</v>
      </c>
      <c r="D404" t="s">
        <v>1356</v>
      </c>
      <c r="E404">
        <f>_xlfn.XLOOKUP(C404,Population_data!B:B,Population_data!C:C,"")</f>
        <v>217.88</v>
      </c>
      <c r="F404">
        <f>_xlfn.XLOOKUP(C404,Population_data!B:B,Population_data!D:D,"")</f>
        <v>335102</v>
      </c>
      <c r="G404">
        <f>_xlfn.XLOOKUP(C404,Population_data!B:B,Population_data!E:E,"")</f>
        <v>1538.01</v>
      </c>
      <c r="H404">
        <f>_xlfn.XLOOKUP(C404,Population_data!B:B,Population_data!F:F,"")</f>
        <v>4.22</v>
      </c>
      <c r="I404">
        <f>_xlfn.XLOOKUP(C404,Population_data!B:B,Population_data!G:G,"")</f>
        <v>68.55</v>
      </c>
      <c r="J404" t="str">
        <f>_xlfn.XLOOKUP(D404,District_Crime_Unit_Map!A:A,District_Crime_Unit_Map!B:B,"")</f>
        <v>Chittagong Range</v>
      </c>
      <c r="K404">
        <f>_xlfn.XLOOKUP(J404,Crime_Data!A:A,Crime_Data!V:V,"")</f>
        <v>84.879645400600893</v>
      </c>
      <c r="L404">
        <f>_xlfn.XLOOKUP(J404,Crime_Data!A:A,Crime_Data!W:W,"")</f>
        <v>10.309673910686193</v>
      </c>
      <c r="M404" t="str">
        <f>TRIM(Table6[[#This Row],[District]])&amp;"|"&amp;TRIM(Table6[[#This Row],[Upazila]])</f>
        <v>Brahmanbaria|Bancharampur</v>
      </c>
      <c r="N404" t="str">
        <f>_xlfn.XLOOKUP(B404,Remittance_Data!A:A,Remittance_Data!B:B,"CHECK")</f>
        <v>CHECK</v>
      </c>
      <c r="O404" t="str">
        <f>_xlfn.XLOOKUP(B404,Remittance_Data!A:A,Remittance_Data!C:C,"CHECK")</f>
        <v>CHECK</v>
      </c>
      <c r="P404" t="str">
        <f>_xlfn.XLOOKUP(B404,Remittance_Data!A:A,Remittance_Data!D:D,"CHECK")</f>
        <v>CHECK</v>
      </c>
    </row>
    <row r="405" spans="1:16">
      <c r="A405" t="s">
        <v>758</v>
      </c>
      <c r="B405" t="str">
        <f>SUBSTITUTE(SUBSTITUTE(SUBSTITUTE(SUBSTITUTE(TRIM(Table6[[#This Row],[Constituency]]),"Barisal","Barishal"),"Jessore","Jashore"),"Bogra","Bogura"),"Chapai Nawabganj","Chapainawabganj")</f>
        <v>Brahmanbaria-6</v>
      </c>
      <c r="C405" t="s">
        <v>1364</v>
      </c>
      <c r="D405" t="s">
        <v>1356</v>
      </c>
      <c r="E405">
        <f>_xlfn.XLOOKUP(C405,Population_data!B:B,Population_data!C:C,"")</f>
        <v>331.61</v>
      </c>
      <c r="F405">
        <f>_xlfn.XLOOKUP(C405,Population_data!B:B,Population_data!D:D,"")</f>
        <v>346757</v>
      </c>
      <c r="G405">
        <f>_xlfn.XLOOKUP(C405,Population_data!B:B,Population_data!E:E,"")</f>
        <v>1045.68</v>
      </c>
      <c r="H405">
        <f>_xlfn.XLOOKUP(C405,Population_data!B:B,Population_data!F:F,"")</f>
        <v>4.83</v>
      </c>
      <c r="I405">
        <f>_xlfn.XLOOKUP(C405,Population_data!B:B,Population_data!G:G,"")</f>
        <v>61.97</v>
      </c>
      <c r="J405" t="str">
        <f>_xlfn.XLOOKUP(D405,District_Crime_Unit_Map!A:A,District_Crime_Unit_Map!B:B,"")</f>
        <v>Chittagong Range</v>
      </c>
      <c r="K405">
        <f>_xlfn.XLOOKUP(J405,Crime_Data!A:A,Crime_Data!V:V,"")</f>
        <v>84.879645400600893</v>
      </c>
      <c r="L405">
        <f>_xlfn.XLOOKUP(J405,Crime_Data!A:A,Crime_Data!W:W,"")</f>
        <v>10.309673910686193</v>
      </c>
      <c r="M405" t="str">
        <f>TRIM(Table6[[#This Row],[District]])&amp;"|"&amp;TRIM(Table6[[#This Row],[Upazila]])</f>
        <v>Brahmanbaria|Nasirnagar</v>
      </c>
      <c r="N405" t="str">
        <f>_xlfn.XLOOKUP(B405,Remittance_Data!A:A,Remittance_Data!B:B,"CHECK")</f>
        <v>CHECK</v>
      </c>
      <c r="O405" t="str">
        <f>_xlfn.XLOOKUP(B405,Remittance_Data!A:A,Remittance_Data!C:C,"CHECK")</f>
        <v>CHECK</v>
      </c>
      <c r="P405" t="str">
        <f>_xlfn.XLOOKUP(B405,Remittance_Data!A:A,Remittance_Data!D:D,"CHECK")</f>
        <v>CHECK</v>
      </c>
    </row>
    <row r="406" spans="1:16">
      <c r="A406" t="s">
        <v>762</v>
      </c>
      <c r="B406" t="str">
        <f>SUBSTITUTE(SUBSTITUTE(SUBSTITUTE(SUBSTITUTE(TRIM(Table6[[#This Row],[Constituency]]),"Barisal","Barishal"),"Jessore","Jashore"),"Bogra","Bogura"),"Chapai Nawabganj","Chapainawabganj")</f>
        <v>Comilla-1</v>
      </c>
      <c r="C406" t="s">
        <v>1365</v>
      </c>
      <c r="D406" t="s">
        <v>1391</v>
      </c>
      <c r="E406">
        <f>_xlfn.XLOOKUP(C406,Population_data!B:B,Population_data!C:C,"")</f>
        <v>308.45999999999998</v>
      </c>
      <c r="F406">
        <f>_xlfn.XLOOKUP(C406,Population_data!B:B,Population_data!D:D,"")</f>
        <v>406394</v>
      </c>
      <c r="G406">
        <f>_xlfn.XLOOKUP(C406,Population_data!B:B,Population_data!E:E,"")</f>
        <v>1317.49</v>
      </c>
      <c r="H406">
        <f>_xlfn.XLOOKUP(C406,Population_data!B:B,Population_data!F:F,"")</f>
        <v>4.24</v>
      </c>
      <c r="I406">
        <f>_xlfn.XLOOKUP(C406,Population_data!B:B,Population_data!G:G,"")</f>
        <v>75.849999999999994</v>
      </c>
      <c r="J406" t="str">
        <f>_xlfn.XLOOKUP(D406,District_Crime_Unit_Map!A:A,District_Crime_Unit_Map!B:B,"")</f>
        <v>Chittagong Range</v>
      </c>
      <c r="K406">
        <f>_xlfn.XLOOKUP(J406,Crime_Data!A:A,Crime_Data!V:V,"")</f>
        <v>84.879645400600893</v>
      </c>
      <c r="L406">
        <f>_xlfn.XLOOKUP(J406,Crime_Data!A:A,Crime_Data!W:W,"")</f>
        <v>10.309673910686193</v>
      </c>
      <c r="M406" t="str">
        <f>TRIM(Table6[[#This Row],[District]])&amp;"|"&amp;TRIM(Table6[[#This Row],[Upazila]])</f>
        <v>Comilla|Daudkandi</v>
      </c>
      <c r="N406" t="str">
        <f>_xlfn.XLOOKUP(B406,Remittance_Data!A:A,Remittance_Data!B:B,"CHECK")</f>
        <v>CHECK</v>
      </c>
      <c r="O406" t="str">
        <f>_xlfn.XLOOKUP(B406,Remittance_Data!A:A,Remittance_Data!C:C,"CHECK")</f>
        <v>CHECK</v>
      </c>
      <c r="P406" t="str">
        <f>_xlfn.XLOOKUP(B406,Remittance_Data!A:A,Remittance_Data!D:D,"CHECK")</f>
        <v>CHECK</v>
      </c>
    </row>
    <row r="407" spans="1:16">
      <c r="A407" t="s">
        <v>762</v>
      </c>
      <c r="B407" t="str">
        <f>SUBSTITUTE(SUBSTITUTE(SUBSTITUTE(SUBSTITUTE(TRIM(Table6[[#This Row],[Constituency]]),"Barisal","Barishal"),"Jessore","Jashore"),"Bogra","Bogura"),"Chapai Nawabganj","Chapainawabganj")</f>
        <v>Comilla-1</v>
      </c>
      <c r="C407" t="s">
        <v>1366</v>
      </c>
      <c r="D407" t="s">
        <v>1391</v>
      </c>
      <c r="E407">
        <f>_xlfn.XLOOKUP(C407,Population_data!B:B,Population_data!C:C,"")</f>
        <v>255.29</v>
      </c>
      <c r="F407">
        <f>_xlfn.XLOOKUP(C407,Population_data!B:B,Population_data!D:D,"")</f>
        <v>118801</v>
      </c>
      <c r="G407">
        <f>_xlfn.XLOOKUP(C407,Population_data!B:B,Population_data!E:E,"")</f>
        <v>465.36</v>
      </c>
      <c r="H407">
        <f>_xlfn.XLOOKUP(C407,Population_data!B:B,Population_data!F:F,"")</f>
        <v>4.17</v>
      </c>
      <c r="I407">
        <f>_xlfn.XLOOKUP(C407,Population_data!B:B,Population_data!G:G,"")</f>
        <v>69.16</v>
      </c>
      <c r="J407" t="str">
        <f>_xlfn.XLOOKUP(D407,District_Crime_Unit_Map!A:A,District_Crime_Unit_Map!B:B,"")</f>
        <v>Chittagong Range</v>
      </c>
      <c r="K407">
        <f>_xlfn.XLOOKUP(J407,Crime_Data!A:A,Crime_Data!V:V,"")</f>
        <v>84.879645400600893</v>
      </c>
      <c r="L407">
        <f>_xlfn.XLOOKUP(J407,Crime_Data!A:A,Crime_Data!W:W,"")</f>
        <v>10.309673910686193</v>
      </c>
      <c r="M407" t="str">
        <f>TRIM(Table6[[#This Row],[District]])&amp;"|"&amp;TRIM(Table6[[#This Row],[Upazila]])</f>
        <v>Comilla|Meghna</v>
      </c>
      <c r="N407" t="str">
        <f>_xlfn.XLOOKUP(B407,Remittance_Data!A:A,Remittance_Data!B:B,"CHECK")</f>
        <v>CHECK</v>
      </c>
      <c r="O407" t="str">
        <f>_xlfn.XLOOKUP(B407,Remittance_Data!A:A,Remittance_Data!C:C,"CHECK")</f>
        <v>CHECK</v>
      </c>
      <c r="P407" t="str">
        <f>_xlfn.XLOOKUP(B407,Remittance_Data!A:A,Remittance_Data!D:D,"CHECK")</f>
        <v>CHECK</v>
      </c>
    </row>
    <row r="408" spans="1:16">
      <c r="A408" t="s">
        <v>764</v>
      </c>
      <c r="B408" t="str">
        <f>SUBSTITUTE(SUBSTITUTE(SUBSTITUTE(SUBSTITUTE(TRIM(Table6[[#This Row],[Constituency]]),"Barisal","Barishal"),"Jessore","Jashore"),"Bogra","Bogura"),"Chapai Nawabganj","Chapainawabganj")</f>
        <v>Comilla-2</v>
      </c>
      <c r="C408" t="s">
        <v>1367</v>
      </c>
      <c r="D408" t="s">
        <v>1391</v>
      </c>
      <c r="E408">
        <f>_xlfn.XLOOKUP(C408,Population_data!B:B,Population_data!C:C,"")</f>
        <v>386.13</v>
      </c>
      <c r="F408">
        <f>_xlfn.XLOOKUP(C408,Population_data!B:B,Population_data!D:D,"")</f>
        <v>227529</v>
      </c>
      <c r="G408">
        <f>_xlfn.XLOOKUP(C408,Population_data!B:B,Population_data!E:E,"")</f>
        <v>589.25</v>
      </c>
      <c r="H408">
        <f>_xlfn.XLOOKUP(C408,Population_data!B:B,Population_data!F:F,"")</f>
        <v>4.22</v>
      </c>
      <c r="I408">
        <f>_xlfn.XLOOKUP(C408,Population_data!B:B,Population_data!G:G,"")</f>
        <v>68.819999999999993</v>
      </c>
      <c r="J408" t="str">
        <f>_xlfn.XLOOKUP(D408,District_Crime_Unit_Map!A:A,District_Crime_Unit_Map!B:B,"")</f>
        <v>Chittagong Range</v>
      </c>
      <c r="K408">
        <f>_xlfn.XLOOKUP(J408,Crime_Data!A:A,Crime_Data!V:V,"")</f>
        <v>84.879645400600893</v>
      </c>
      <c r="L408">
        <f>_xlfn.XLOOKUP(J408,Crime_Data!A:A,Crime_Data!W:W,"")</f>
        <v>10.309673910686193</v>
      </c>
      <c r="M408" t="str">
        <f>TRIM(Table6[[#This Row],[District]])&amp;"|"&amp;TRIM(Table6[[#This Row],[Upazila]])</f>
        <v>Comilla|Homna</v>
      </c>
      <c r="N408" t="str">
        <f>_xlfn.XLOOKUP(B408,Remittance_Data!A:A,Remittance_Data!B:B,"CHECK")</f>
        <v>CHECK</v>
      </c>
      <c r="O408" t="str">
        <f>_xlfn.XLOOKUP(B408,Remittance_Data!A:A,Remittance_Data!C:C,"CHECK")</f>
        <v>CHECK</v>
      </c>
      <c r="P408" t="str">
        <f>_xlfn.XLOOKUP(B408,Remittance_Data!A:A,Remittance_Data!D:D,"CHECK")</f>
        <v>CHECK</v>
      </c>
    </row>
    <row r="409" spans="1:16">
      <c r="A409" t="s">
        <v>764</v>
      </c>
      <c r="B409" t="str">
        <f>SUBSTITUTE(SUBSTITUTE(SUBSTITUTE(SUBSTITUTE(TRIM(Table6[[#This Row],[Constituency]]),"Barisal","Barishal"),"Jessore","Jashore"),"Bogra","Bogura"),"Chapai Nawabganj","Chapainawabganj")</f>
        <v>Comilla-2</v>
      </c>
      <c r="C409" t="s">
        <v>1368</v>
      </c>
      <c r="D409" t="s">
        <v>1391</v>
      </c>
      <c r="E409">
        <f>_xlfn.XLOOKUP(C409,Population_data!B:B,Population_data!C:C,"")</f>
        <v>134.47</v>
      </c>
      <c r="F409">
        <f>_xlfn.XLOOKUP(C409,Population_data!B:B,Population_data!D:D,"")</f>
        <v>203940</v>
      </c>
      <c r="G409">
        <f>_xlfn.XLOOKUP(C409,Population_data!B:B,Population_data!E:E,"")</f>
        <v>1516.62</v>
      </c>
      <c r="H409">
        <f>_xlfn.XLOOKUP(C409,Population_data!B:B,Population_data!F:F,"")</f>
        <v>4.2300000000000004</v>
      </c>
      <c r="I409">
        <f>_xlfn.XLOOKUP(C409,Population_data!B:B,Population_data!G:G,"")</f>
        <v>65.17</v>
      </c>
      <c r="J409" t="str">
        <f>_xlfn.XLOOKUP(D409,District_Crime_Unit_Map!A:A,District_Crime_Unit_Map!B:B,"")</f>
        <v>Chittagong Range</v>
      </c>
      <c r="K409">
        <f>_xlfn.XLOOKUP(J409,Crime_Data!A:A,Crime_Data!V:V,"")</f>
        <v>84.879645400600893</v>
      </c>
      <c r="L409">
        <f>_xlfn.XLOOKUP(J409,Crime_Data!A:A,Crime_Data!W:W,"")</f>
        <v>10.309673910686193</v>
      </c>
      <c r="M409" t="str">
        <f>TRIM(Table6[[#This Row],[District]])&amp;"|"&amp;TRIM(Table6[[#This Row],[Upazila]])</f>
        <v>Comilla|Titas</v>
      </c>
      <c r="N409" t="str">
        <f>_xlfn.XLOOKUP(B409,Remittance_Data!A:A,Remittance_Data!B:B,"CHECK")</f>
        <v>CHECK</v>
      </c>
      <c r="O409" t="str">
        <f>_xlfn.XLOOKUP(B409,Remittance_Data!A:A,Remittance_Data!C:C,"CHECK")</f>
        <v>CHECK</v>
      </c>
      <c r="P409" t="str">
        <f>_xlfn.XLOOKUP(B409,Remittance_Data!A:A,Remittance_Data!D:D,"CHECK")</f>
        <v>CHECK</v>
      </c>
    </row>
    <row r="410" spans="1:16">
      <c r="A410" t="s">
        <v>766</v>
      </c>
      <c r="B410" t="str">
        <f>SUBSTITUTE(SUBSTITUTE(SUBSTITUTE(SUBSTITUTE(TRIM(Table6[[#This Row],[Constituency]]),"Barisal","Barishal"),"Jessore","Jashore"),"Bogra","Bogura"),"Chapai Nawabganj","Chapainawabganj")</f>
        <v>Comilla-3</v>
      </c>
      <c r="C410" t="s">
        <v>1369</v>
      </c>
      <c r="D410" t="s">
        <v>1391</v>
      </c>
      <c r="E410">
        <f>_xlfn.XLOOKUP(C410,Population_data!B:B,Population_data!C:C,"")</f>
        <v>340.68</v>
      </c>
      <c r="F410">
        <f>_xlfn.XLOOKUP(C410,Population_data!B:B,Population_data!D:D,"")</f>
        <v>582934</v>
      </c>
      <c r="G410">
        <f>_xlfn.XLOOKUP(C410,Population_data!B:B,Population_data!E:E,"")</f>
        <v>1711.09</v>
      </c>
      <c r="H410">
        <f>_xlfn.XLOOKUP(C410,Population_data!B:B,Population_data!F:F,"")</f>
        <v>4.33</v>
      </c>
      <c r="I410">
        <f>_xlfn.XLOOKUP(C410,Population_data!B:B,Population_data!G:G,"")</f>
        <v>72.36</v>
      </c>
      <c r="J410" t="str">
        <f>_xlfn.XLOOKUP(D410,District_Crime_Unit_Map!A:A,District_Crime_Unit_Map!B:B,"")</f>
        <v>Chittagong Range</v>
      </c>
      <c r="K410">
        <f>_xlfn.XLOOKUP(J410,Crime_Data!A:A,Crime_Data!V:V,"")</f>
        <v>84.879645400600893</v>
      </c>
      <c r="L410">
        <f>_xlfn.XLOOKUP(J410,Crime_Data!A:A,Crime_Data!W:W,"")</f>
        <v>10.309673910686193</v>
      </c>
      <c r="M410" t="str">
        <f>TRIM(Table6[[#This Row],[District]])&amp;"|"&amp;TRIM(Table6[[#This Row],[Upazila]])</f>
        <v>Comilla|Muradnagar</v>
      </c>
      <c r="N410" t="str">
        <f>_xlfn.XLOOKUP(B410,Remittance_Data!A:A,Remittance_Data!B:B,"CHECK")</f>
        <v>CHECK</v>
      </c>
      <c r="O410" t="str">
        <f>_xlfn.XLOOKUP(B410,Remittance_Data!A:A,Remittance_Data!C:C,"CHECK")</f>
        <v>CHECK</v>
      </c>
      <c r="P410" t="str">
        <f>_xlfn.XLOOKUP(B410,Remittance_Data!A:A,Remittance_Data!D:D,"CHECK")</f>
        <v>CHECK</v>
      </c>
    </row>
    <row r="411" spans="1:16">
      <c r="A411" t="s">
        <v>769</v>
      </c>
      <c r="B411" t="str">
        <f>SUBSTITUTE(SUBSTITUTE(SUBSTITUTE(SUBSTITUTE(TRIM(Table6[[#This Row],[Constituency]]),"Barisal","Barishal"),"Jessore","Jashore"),"Bogra","Bogura"),"Chapai Nawabganj","Chapainawabganj")</f>
        <v>Comilla-4</v>
      </c>
      <c r="C411" t="s">
        <v>1370</v>
      </c>
      <c r="D411" t="s">
        <v>1391</v>
      </c>
      <c r="E411">
        <f>_xlfn.XLOOKUP(C411,Population_data!B:B,Population_data!C:C,"")</f>
        <v>148.41</v>
      </c>
      <c r="F411">
        <f>_xlfn.XLOOKUP(C411,Population_data!B:B,Population_data!D:D,"")</f>
        <v>471917</v>
      </c>
      <c r="G411">
        <f>_xlfn.XLOOKUP(C411,Population_data!B:B,Population_data!E:E,"")</f>
        <v>3179.82</v>
      </c>
      <c r="H411">
        <f>_xlfn.XLOOKUP(C411,Population_data!B:B,Population_data!F:F,"")</f>
        <v>4.3499999999999996</v>
      </c>
      <c r="I411">
        <f>_xlfn.XLOOKUP(C411,Population_data!B:B,Population_data!G:G,"")</f>
        <v>76.56</v>
      </c>
      <c r="J411" t="str">
        <f>_xlfn.XLOOKUP(D411,District_Crime_Unit_Map!A:A,District_Crime_Unit_Map!B:B,"")</f>
        <v>Chittagong Range</v>
      </c>
      <c r="K411">
        <f>_xlfn.XLOOKUP(J411,Crime_Data!A:A,Crime_Data!V:V,"")</f>
        <v>84.879645400600893</v>
      </c>
      <c r="L411">
        <f>_xlfn.XLOOKUP(J411,Crime_Data!A:A,Crime_Data!W:W,"")</f>
        <v>10.309673910686193</v>
      </c>
      <c r="M411" t="str">
        <f>TRIM(Table6[[#This Row],[District]])&amp;"|"&amp;TRIM(Table6[[#This Row],[Upazila]])</f>
        <v>Comilla|Debidwar</v>
      </c>
      <c r="N411" t="str">
        <f>_xlfn.XLOOKUP(B411,Remittance_Data!A:A,Remittance_Data!B:B,"CHECK")</f>
        <v>CHECK</v>
      </c>
      <c r="O411" t="str">
        <f>_xlfn.XLOOKUP(B411,Remittance_Data!A:A,Remittance_Data!C:C,"CHECK")</f>
        <v>CHECK</v>
      </c>
      <c r="P411" t="str">
        <f>_xlfn.XLOOKUP(B411,Remittance_Data!A:A,Remittance_Data!D:D,"CHECK")</f>
        <v>CHECK</v>
      </c>
    </row>
    <row r="412" spans="1:16">
      <c r="A412" t="s">
        <v>772</v>
      </c>
      <c r="B412" t="str">
        <f>SUBSTITUTE(SUBSTITUTE(SUBSTITUTE(SUBSTITUTE(TRIM(Table6[[#This Row],[Constituency]]),"Barisal","Barishal"),"Jessore","Jashore"),"Bogra","Bogura"),"Chapai Nawabganj","Chapainawabganj")</f>
        <v>Comilla-5</v>
      </c>
      <c r="C412" t="s">
        <v>1371</v>
      </c>
      <c r="D412" t="s">
        <v>1391</v>
      </c>
      <c r="E412">
        <f>_xlfn.XLOOKUP(C412,Population_data!B:B,Population_data!C:C,"")</f>
        <v>344.15</v>
      </c>
      <c r="F412">
        <f>_xlfn.XLOOKUP(C412,Population_data!B:B,Population_data!D:D,"")</f>
        <v>232626</v>
      </c>
      <c r="G412">
        <f>_xlfn.XLOOKUP(C412,Population_data!B:B,Population_data!E:E,"")</f>
        <v>675.94</v>
      </c>
      <c r="H412">
        <f>_xlfn.XLOOKUP(C412,Population_data!B:B,Population_data!F:F,"")</f>
        <v>4.5599999999999996</v>
      </c>
      <c r="I412">
        <f>_xlfn.XLOOKUP(C412,Population_data!B:B,Population_data!G:G,"")</f>
        <v>77.31</v>
      </c>
      <c r="J412" t="str">
        <f>_xlfn.XLOOKUP(D412,District_Crime_Unit_Map!A:A,District_Crime_Unit_Map!B:B,"")</f>
        <v>Chittagong Range</v>
      </c>
      <c r="K412">
        <f>_xlfn.XLOOKUP(J412,Crime_Data!A:A,Crime_Data!V:V,"")</f>
        <v>84.879645400600893</v>
      </c>
      <c r="L412">
        <f>_xlfn.XLOOKUP(J412,Crime_Data!A:A,Crime_Data!W:W,"")</f>
        <v>10.309673910686193</v>
      </c>
      <c r="M412" t="str">
        <f>TRIM(Table6[[#This Row],[District]])&amp;"|"&amp;TRIM(Table6[[#This Row],[Upazila]])</f>
        <v>Comilla|Brahmanpara</v>
      </c>
      <c r="N412" t="str">
        <f>_xlfn.XLOOKUP(B412,Remittance_Data!A:A,Remittance_Data!B:B,"CHECK")</f>
        <v>CHECK</v>
      </c>
      <c r="O412" t="str">
        <f>_xlfn.XLOOKUP(B412,Remittance_Data!A:A,Remittance_Data!C:C,"CHECK")</f>
        <v>CHECK</v>
      </c>
      <c r="P412" t="str">
        <f>_xlfn.XLOOKUP(B412,Remittance_Data!A:A,Remittance_Data!D:D,"CHECK")</f>
        <v>CHECK</v>
      </c>
    </row>
    <row r="413" spans="1:16">
      <c r="A413" t="s">
        <v>772</v>
      </c>
      <c r="B413" t="str">
        <f>SUBSTITUTE(SUBSTITUTE(SUBSTITUTE(SUBSTITUTE(TRIM(Table6[[#This Row],[Constituency]]),"Barisal","Barishal"),"Jessore","Jashore"),"Bogra","Bogura"),"Chapai Nawabganj","Chapainawabganj")</f>
        <v>Comilla-5</v>
      </c>
      <c r="C413" t="s">
        <v>1372</v>
      </c>
      <c r="D413" t="s">
        <v>1391</v>
      </c>
      <c r="E413">
        <f>_xlfn.XLOOKUP(C413,Population_data!B:B,Population_data!C:C,"")</f>
        <v>201.82</v>
      </c>
      <c r="F413">
        <f>_xlfn.XLOOKUP(C413,Population_data!B:B,Population_data!D:D,"")</f>
        <v>349628</v>
      </c>
      <c r="G413">
        <f>_xlfn.XLOOKUP(C413,Population_data!B:B,Population_data!E:E,"")</f>
        <v>1732.38</v>
      </c>
      <c r="H413">
        <f>_xlfn.XLOOKUP(C413,Population_data!B:B,Population_data!F:F,"")</f>
        <v>4.41</v>
      </c>
      <c r="I413">
        <f>_xlfn.XLOOKUP(C413,Population_data!B:B,Population_data!G:G,"")</f>
        <v>79.63</v>
      </c>
      <c r="J413" t="str">
        <f>_xlfn.XLOOKUP(D413,District_Crime_Unit_Map!A:A,District_Crime_Unit_Map!B:B,"")</f>
        <v>Chittagong Range</v>
      </c>
      <c r="K413">
        <f>_xlfn.XLOOKUP(J413,Crime_Data!A:A,Crime_Data!V:V,"")</f>
        <v>84.879645400600893</v>
      </c>
      <c r="L413">
        <f>_xlfn.XLOOKUP(J413,Crime_Data!A:A,Crime_Data!W:W,"")</f>
        <v>10.309673910686193</v>
      </c>
      <c r="M413" t="str">
        <f>TRIM(Table6[[#This Row],[District]])&amp;"|"&amp;TRIM(Table6[[#This Row],[Upazila]])</f>
        <v>Comilla|Burichang</v>
      </c>
      <c r="N413" t="str">
        <f>_xlfn.XLOOKUP(B413,Remittance_Data!A:A,Remittance_Data!B:B,"CHECK")</f>
        <v>CHECK</v>
      </c>
      <c r="O413" t="str">
        <f>_xlfn.XLOOKUP(B413,Remittance_Data!A:A,Remittance_Data!C:C,"CHECK")</f>
        <v>CHECK</v>
      </c>
      <c r="P413" t="str">
        <f>_xlfn.XLOOKUP(B413,Remittance_Data!A:A,Remittance_Data!D:D,"CHECK")</f>
        <v>CHECK</v>
      </c>
    </row>
    <row r="414" spans="1:16">
      <c r="A414" t="s">
        <v>775</v>
      </c>
      <c r="B414" t="str">
        <f>SUBSTITUTE(SUBSTITUTE(SUBSTITUTE(SUBSTITUTE(TRIM(Table6[[#This Row],[Constituency]]),"Barisal","Barishal"),"Jessore","Jashore"),"Bogra","Bogura"),"Chapai Nawabganj","Chapainawabganj")</f>
        <v>Comilla-6</v>
      </c>
      <c r="C414" t="s">
        <v>1477</v>
      </c>
      <c r="D414" t="s">
        <v>1391</v>
      </c>
      <c r="E414">
        <f>_xlfn.XLOOKUP(C414,Population_data!B:B,Population_data!C:C,"")</f>
        <v>362.44</v>
      </c>
      <c r="F414">
        <f>_xlfn.XLOOKUP(C414,Population_data!B:B,Population_data!D:D,"")</f>
        <v>388414</v>
      </c>
      <c r="G414">
        <f>_xlfn.XLOOKUP(C414,Population_data!B:B,Population_data!E:E,"")</f>
        <v>1071.6600000000001</v>
      </c>
      <c r="H414">
        <f>_xlfn.XLOOKUP(C414,Population_data!B:B,Population_data!F:F,"")</f>
        <v>4.3499999999999996</v>
      </c>
      <c r="I414">
        <f>_xlfn.XLOOKUP(C414,Population_data!B:B,Population_data!G:G,"")</f>
        <v>81.069999999999993</v>
      </c>
      <c r="J414" t="str">
        <f>_xlfn.XLOOKUP(D414,District_Crime_Unit_Map!A:A,District_Crime_Unit_Map!B:B,"")</f>
        <v>Chittagong Range</v>
      </c>
      <c r="K414">
        <f>_xlfn.XLOOKUP(J414,Crime_Data!A:A,Crime_Data!V:V,"")</f>
        <v>84.879645400600893</v>
      </c>
      <c r="L414">
        <f>_xlfn.XLOOKUP(J414,Crime_Data!A:A,Crime_Data!W:W,"")</f>
        <v>10.309673910686193</v>
      </c>
      <c r="M414" t="str">
        <f>TRIM(Table6[[#This Row],[District]])&amp;"|"&amp;TRIM(Table6[[#This Row],[Upazila]])</f>
        <v>Comilla|Adarsha Sadar</v>
      </c>
      <c r="N414" t="str">
        <f>_xlfn.XLOOKUP(B414,Remittance_Data!A:A,Remittance_Data!B:B,"CHECK")</f>
        <v>CHECK</v>
      </c>
      <c r="O414" t="str">
        <f>_xlfn.XLOOKUP(B414,Remittance_Data!A:A,Remittance_Data!C:C,"CHECK")</f>
        <v>CHECK</v>
      </c>
      <c r="P414" t="str">
        <f>_xlfn.XLOOKUP(B414,Remittance_Data!A:A,Remittance_Data!D:D,"CHECK")</f>
        <v>CHECK</v>
      </c>
    </row>
    <row r="415" spans="1:16">
      <c r="A415" t="s">
        <v>778</v>
      </c>
      <c r="B415" t="str">
        <f>SUBSTITUTE(SUBSTITUTE(SUBSTITUTE(SUBSTITUTE(TRIM(Table6[[#This Row],[Constituency]]),"Barisal","Barishal"),"Jessore","Jashore"),"Bogra","Bogura"),"Chapai Nawabganj","Chapainawabganj")</f>
        <v>Comilla-7</v>
      </c>
      <c r="C415" t="s">
        <v>1373</v>
      </c>
      <c r="D415" t="s">
        <v>1391</v>
      </c>
      <c r="E415">
        <f>_xlfn.XLOOKUP(C415,Population_data!B:B,Population_data!C:C,"")</f>
        <v>413.94</v>
      </c>
      <c r="F415">
        <f>_xlfn.XLOOKUP(C415,Population_data!B:B,Population_data!D:D,"")</f>
        <v>394860</v>
      </c>
      <c r="G415">
        <f>_xlfn.XLOOKUP(C415,Population_data!B:B,Population_data!E:E,"")</f>
        <v>953.91</v>
      </c>
      <c r="H415">
        <f>_xlfn.XLOOKUP(C415,Population_data!B:B,Population_data!F:F,"")</f>
        <v>4.17</v>
      </c>
      <c r="I415">
        <f>_xlfn.XLOOKUP(C415,Population_data!B:B,Population_data!G:G,"")</f>
        <v>74.239999999999995</v>
      </c>
      <c r="J415" t="str">
        <f>_xlfn.XLOOKUP(D415,District_Crime_Unit_Map!A:A,District_Crime_Unit_Map!B:B,"")</f>
        <v>Chittagong Range</v>
      </c>
      <c r="K415">
        <f>_xlfn.XLOOKUP(J415,Crime_Data!A:A,Crime_Data!V:V,"")</f>
        <v>84.879645400600893</v>
      </c>
      <c r="L415">
        <f>_xlfn.XLOOKUP(J415,Crime_Data!A:A,Crime_Data!W:W,"")</f>
        <v>10.309673910686193</v>
      </c>
      <c r="M415" t="str">
        <f>TRIM(Table6[[#This Row],[District]])&amp;"|"&amp;TRIM(Table6[[#This Row],[Upazila]])</f>
        <v>Comilla|Chandina</v>
      </c>
      <c r="N415" t="str">
        <f>_xlfn.XLOOKUP(B415,Remittance_Data!A:A,Remittance_Data!B:B,"CHECK")</f>
        <v>CHECK</v>
      </c>
      <c r="O415" t="str">
        <f>_xlfn.XLOOKUP(B415,Remittance_Data!A:A,Remittance_Data!C:C,"CHECK")</f>
        <v>CHECK</v>
      </c>
      <c r="P415" t="str">
        <f>_xlfn.XLOOKUP(B415,Remittance_Data!A:A,Remittance_Data!D:D,"CHECK")</f>
        <v>CHECK</v>
      </c>
    </row>
    <row r="416" spans="1:16">
      <c r="A416" t="s">
        <v>781</v>
      </c>
      <c r="B416" t="str">
        <f>SUBSTITUTE(SUBSTITUTE(SUBSTITUTE(SUBSTITUTE(TRIM(Table6[[#This Row],[Constituency]]),"Barisal","Barishal"),"Jessore","Jashore"),"Bogra","Bogura"),"Chapai Nawabganj","Chapainawabganj")</f>
        <v>Comilla-8</v>
      </c>
      <c r="C416" t="s">
        <v>1374</v>
      </c>
      <c r="D416" t="s">
        <v>1391</v>
      </c>
      <c r="E416">
        <f>_xlfn.XLOOKUP(C416,Population_data!B:B,Population_data!C:C,"")</f>
        <v>248.58</v>
      </c>
      <c r="F416">
        <f>_xlfn.XLOOKUP(C416,Population_data!B:B,Population_data!D:D,"")</f>
        <v>456328</v>
      </c>
      <c r="G416">
        <f>_xlfn.XLOOKUP(C416,Population_data!B:B,Population_data!E:E,"")</f>
        <v>1835.74</v>
      </c>
      <c r="H416">
        <f>_xlfn.XLOOKUP(C416,Population_data!B:B,Population_data!F:F,"")</f>
        <v>4.1900000000000004</v>
      </c>
      <c r="I416">
        <f>_xlfn.XLOOKUP(C416,Population_data!B:B,Population_data!G:G,"")</f>
        <v>74.83</v>
      </c>
      <c r="J416" t="str">
        <f>_xlfn.XLOOKUP(D416,District_Crime_Unit_Map!A:A,District_Crime_Unit_Map!B:B,"")</f>
        <v>Chittagong Range</v>
      </c>
      <c r="K416">
        <f>_xlfn.XLOOKUP(J416,Crime_Data!A:A,Crime_Data!V:V,"")</f>
        <v>84.879645400600893</v>
      </c>
      <c r="L416">
        <f>_xlfn.XLOOKUP(J416,Crime_Data!A:A,Crime_Data!W:W,"")</f>
        <v>10.309673910686193</v>
      </c>
      <c r="M416" t="str">
        <f>TRIM(Table6[[#This Row],[District]])&amp;"|"&amp;TRIM(Table6[[#This Row],[Upazila]])</f>
        <v>Comilla|Barura</v>
      </c>
      <c r="N416" t="str">
        <f>_xlfn.XLOOKUP(B416,Remittance_Data!A:A,Remittance_Data!B:B,"CHECK")</f>
        <v>CHECK</v>
      </c>
      <c r="O416" t="str">
        <f>_xlfn.XLOOKUP(B416,Remittance_Data!A:A,Remittance_Data!C:C,"CHECK")</f>
        <v>CHECK</v>
      </c>
      <c r="P416" t="str">
        <f>_xlfn.XLOOKUP(B416,Remittance_Data!A:A,Remittance_Data!D:D,"CHECK")</f>
        <v>CHECK</v>
      </c>
    </row>
    <row r="417" spans="1:16">
      <c r="A417" t="s">
        <v>784</v>
      </c>
      <c r="B417" t="str">
        <f>SUBSTITUTE(SUBSTITUTE(SUBSTITUTE(SUBSTITUTE(TRIM(Table6[[#This Row],[Constituency]]),"Barisal","Barishal"),"Jessore","Jashore"),"Bogra","Bogura"),"Chapai Nawabganj","Chapainawabganj")</f>
        <v>Comilla-9</v>
      </c>
      <c r="C417" t="s">
        <v>1375</v>
      </c>
      <c r="D417" t="s">
        <v>1391</v>
      </c>
      <c r="E417">
        <f>_xlfn.XLOOKUP(C417,Population_data!B:B,Population_data!C:C,"")</f>
        <v>246.9</v>
      </c>
      <c r="F417">
        <f>_xlfn.XLOOKUP(C417,Population_data!B:B,Population_data!D:D,"")</f>
        <v>333706</v>
      </c>
      <c r="G417">
        <f>_xlfn.XLOOKUP(C417,Population_data!B:B,Population_data!E:E,"")</f>
        <v>1351.58</v>
      </c>
      <c r="H417">
        <f>_xlfn.XLOOKUP(C417,Population_data!B:B,Population_data!F:F,"")</f>
        <v>4.3899999999999997</v>
      </c>
      <c r="I417">
        <f>_xlfn.XLOOKUP(C417,Population_data!B:B,Population_data!G:G,"")</f>
        <v>77.34</v>
      </c>
      <c r="J417" t="str">
        <f>_xlfn.XLOOKUP(D417,District_Crime_Unit_Map!A:A,District_Crime_Unit_Map!B:B,"")</f>
        <v>Chittagong Range</v>
      </c>
      <c r="K417">
        <f>_xlfn.XLOOKUP(J417,Crime_Data!A:A,Crime_Data!V:V,"")</f>
        <v>84.879645400600893</v>
      </c>
      <c r="L417">
        <f>_xlfn.XLOOKUP(J417,Crime_Data!A:A,Crime_Data!W:W,"")</f>
        <v>10.309673910686193</v>
      </c>
      <c r="M417" t="str">
        <f>TRIM(Table6[[#This Row],[District]])&amp;"|"&amp;TRIM(Table6[[#This Row],[Upazila]])</f>
        <v>Comilla|Laksam</v>
      </c>
      <c r="N417" t="str">
        <f>_xlfn.XLOOKUP(B417,Remittance_Data!A:A,Remittance_Data!B:B,"CHECK")</f>
        <v>CHECK</v>
      </c>
      <c r="O417" t="str">
        <f>_xlfn.XLOOKUP(B417,Remittance_Data!A:A,Remittance_Data!C:C,"CHECK")</f>
        <v>CHECK</v>
      </c>
      <c r="P417" t="str">
        <f>_xlfn.XLOOKUP(B417,Remittance_Data!A:A,Remittance_Data!D:D,"CHECK")</f>
        <v>CHECK</v>
      </c>
    </row>
    <row r="418" spans="1:16">
      <c r="A418" t="s">
        <v>787</v>
      </c>
      <c r="B418" t="str">
        <f>SUBSTITUTE(SUBSTITUTE(SUBSTITUTE(SUBSTITUTE(TRIM(Table6[[#This Row],[Constituency]]),"Barisal","Barishal"),"Jessore","Jashore"),"Bogra","Bogura"),"Chapai Nawabganj","Chapainawabganj")</f>
        <v>Comilla-10</v>
      </c>
      <c r="C418" t="s">
        <v>1376</v>
      </c>
      <c r="D418" t="s">
        <v>1391</v>
      </c>
      <c r="E418">
        <f>_xlfn.XLOOKUP(C418,Population_data!B:B,Population_data!C:C,"")</f>
        <v>276.33</v>
      </c>
      <c r="F418">
        <f>_xlfn.XLOOKUP(C418,Population_data!B:B,Population_data!D:D,"")</f>
        <v>427876</v>
      </c>
      <c r="G418">
        <f>_xlfn.XLOOKUP(C418,Population_data!B:B,Population_data!E:E,"")</f>
        <v>1548.42</v>
      </c>
      <c r="H418">
        <f>_xlfn.XLOOKUP(C418,Population_data!B:B,Population_data!F:F,"")</f>
        <v>4.47</v>
      </c>
      <c r="I418">
        <f>_xlfn.XLOOKUP(C418,Population_data!B:B,Population_data!G:G,"")</f>
        <v>76.47</v>
      </c>
      <c r="J418" t="str">
        <f>_xlfn.XLOOKUP(D418,District_Crime_Unit_Map!A:A,District_Crime_Unit_Map!B:B,"")</f>
        <v>Chittagong Range</v>
      </c>
      <c r="K418">
        <f>_xlfn.XLOOKUP(J418,Crime_Data!A:A,Crime_Data!V:V,"")</f>
        <v>84.879645400600893</v>
      </c>
      <c r="L418">
        <f>_xlfn.XLOOKUP(J418,Crime_Data!A:A,Crime_Data!W:W,"")</f>
        <v>10.309673910686193</v>
      </c>
      <c r="M418" t="str">
        <f>TRIM(Table6[[#This Row],[District]])&amp;"|"&amp;TRIM(Table6[[#This Row],[Upazila]])</f>
        <v>Comilla|Nangalkot</v>
      </c>
      <c r="N418" t="str">
        <f>_xlfn.XLOOKUP(B418,Remittance_Data!A:A,Remittance_Data!B:B,"CHECK")</f>
        <v>CHECK</v>
      </c>
      <c r="O418" t="str">
        <f>_xlfn.XLOOKUP(B418,Remittance_Data!A:A,Remittance_Data!C:C,"CHECK")</f>
        <v>CHECK</v>
      </c>
      <c r="P418" t="str">
        <f>_xlfn.XLOOKUP(B418,Remittance_Data!A:A,Remittance_Data!D:D,"CHECK")</f>
        <v>CHECK</v>
      </c>
    </row>
    <row r="419" spans="1:16">
      <c r="A419" t="s">
        <v>790</v>
      </c>
      <c r="B419" t="str">
        <f>SUBSTITUTE(SUBSTITUTE(SUBSTITUTE(SUBSTITUTE(TRIM(Table6[[#This Row],[Constituency]]),"Barisal","Barishal"),"Jessore","Jashore"),"Bogra","Bogura"),"Chapai Nawabganj","Chapainawabganj")</f>
        <v>Comilla-11</v>
      </c>
      <c r="C419" t="s">
        <v>1377</v>
      </c>
      <c r="D419" t="s">
        <v>1391</v>
      </c>
      <c r="E419">
        <f>_xlfn.XLOOKUP(C419,Population_data!B:B,Population_data!C:C,"")</f>
        <v>271.91000000000003</v>
      </c>
      <c r="F419">
        <f>_xlfn.XLOOKUP(C419,Population_data!B:B,Population_data!D:D,"")</f>
        <v>501803</v>
      </c>
      <c r="G419">
        <f>_xlfn.XLOOKUP(C419,Population_data!B:B,Population_data!E:E,"")</f>
        <v>1845.47</v>
      </c>
      <c r="H419">
        <f>_xlfn.XLOOKUP(C419,Population_data!B:B,Population_data!F:F,"")</f>
        <v>4.41</v>
      </c>
      <c r="I419">
        <f>_xlfn.XLOOKUP(C419,Population_data!B:B,Population_data!G:G,"")</f>
        <v>79.290000000000006</v>
      </c>
      <c r="J419" t="str">
        <f>_xlfn.XLOOKUP(D419,District_Crime_Unit_Map!A:A,District_Crime_Unit_Map!B:B,"")</f>
        <v>Chittagong Range</v>
      </c>
      <c r="K419">
        <f>_xlfn.XLOOKUP(J419,Crime_Data!A:A,Crime_Data!V:V,"")</f>
        <v>84.879645400600893</v>
      </c>
      <c r="L419">
        <f>_xlfn.XLOOKUP(J419,Crime_Data!A:A,Crime_Data!W:W,"")</f>
        <v>10.309673910686193</v>
      </c>
      <c r="M419" t="str">
        <f>TRIM(Table6[[#This Row],[District]])&amp;"|"&amp;TRIM(Table6[[#This Row],[Upazila]])</f>
        <v>Comilla|Chauddagram</v>
      </c>
      <c r="N419" t="str">
        <f>_xlfn.XLOOKUP(B419,Remittance_Data!A:A,Remittance_Data!B:B,"CHECK")</f>
        <v>CHECK</v>
      </c>
      <c r="O419" t="str">
        <f>_xlfn.XLOOKUP(B419,Remittance_Data!A:A,Remittance_Data!C:C,"CHECK")</f>
        <v>CHECK</v>
      </c>
      <c r="P419" t="str">
        <f>_xlfn.XLOOKUP(B419,Remittance_Data!A:A,Remittance_Data!D:D,"CHECK")</f>
        <v>CHECK</v>
      </c>
    </row>
    <row r="420" spans="1:16">
      <c r="A420" t="s">
        <v>793</v>
      </c>
      <c r="B420" t="str">
        <f>SUBSTITUTE(SUBSTITUTE(SUBSTITUTE(SUBSTITUTE(TRIM(Table6[[#This Row],[Constituency]]),"Barisal","Barishal"),"Jessore","Jashore"),"Bogra","Bogura"),"Chapai Nawabganj","Chapainawabganj")</f>
        <v>Chandpur-1</v>
      </c>
      <c r="C420" t="s">
        <v>1107</v>
      </c>
      <c r="D420" t="s">
        <v>1378</v>
      </c>
      <c r="E420">
        <f>_xlfn.XLOOKUP(C420,Population_data!B:B,Population_data!C:C,"")</f>
        <v>235.82</v>
      </c>
      <c r="F420">
        <f>_xlfn.XLOOKUP(C420,Population_data!B:B,Population_data!D:D,"")</f>
        <v>405483</v>
      </c>
      <c r="G420">
        <f>_xlfn.XLOOKUP(C420,Population_data!B:B,Population_data!E:E,"")</f>
        <v>1719.46</v>
      </c>
      <c r="H420">
        <f>_xlfn.XLOOKUP(C420,Population_data!B:B,Population_data!F:F,"")</f>
        <v>4.17</v>
      </c>
      <c r="I420">
        <f>_xlfn.XLOOKUP(C420,Population_data!B:B,Population_data!G:G,"")</f>
        <v>75.02</v>
      </c>
      <c r="J420" t="str">
        <f>_xlfn.XLOOKUP(D420,District_Crime_Unit_Map!A:A,District_Crime_Unit_Map!B:B,"")</f>
        <v>Chittagong Range</v>
      </c>
      <c r="K420">
        <f>_xlfn.XLOOKUP(J420,Crime_Data!A:A,Crime_Data!V:V,"")</f>
        <v>84.879645400600893</v>
      </c>
      <c r="L420">
        <f>_xlfn.XLOOKUP(J420,Crime_Data!A:A,Crime_Data!W:W,"")</f>
        <v>10.309673910686193</v>
      </c>
      <c r="M420" t="str">
        <f>TRIM(Table6[[#This Row],[District]])&amp;"|"&amp;TRIM(Table6[[#This Row],[Upazila]])</f>
        <v>Chandpur|Kachua</v>
      </c>
      <c r="N420" t="str">
        <f>_xlfn.XLOOKUP(B420,Remittance_Data!A:A,Remittance_Data!B:B,"CHECK")</f>
        <v>CHECK</v>
      </c>
      <c r="O420" t="str">
        <f>_xlfn.XLOOKUP(B420,Remittance_Data!A:A,Remittance_Data!C:C,"CHECK")</f>
        <v>CHECK</v>
      </c>
      <c r="P420" t="str">
        <f>_xlfn.XLOOKUP(B420,Remittance_Data!A:A,Remittance_Data!D:D,"CHECK")</f>
        <v>CHECK</v>
      </c>
    </row>
    <row r="421" spans="1:16">
      <c r="A421" t="s">
        <v>796</v>
      </c>
      <c r="B421" t="str">
        <f>SUBSTITUTE(SUBSTITUTE(SUBSTITUTE(SUBSTITUTE(TRIM(Table6[[#This Row],[Constituency]]),"Barisal","Barishal"),"Jessore","Jashore"),"Bogra","Bogura"),"Chapai Nawabganj","Chapainawabganj")</f>
        <v>Chandpur-2</v>
      </c>
      <c r="C421" t="s">
        <v>1379</v>
      </c>
      <c r="D421" t="s">
        <v>1378</v>
      </c>
      <c r="E421">
        <f>_xlfn.XLOOKUP(C421,Population_data!B:B,Population_data!C:C,"")</f>
        <v>204.65</v>
      </c>
      <c r="F421">
        <f>_xlfn.XLOOKUP(C421,Population_data!B:B,Population_data!D:D,"")</f>
        <v>295814</v>
      </c>
      <c r="G421">
        <f>_xlfn.XLOOKUP(C421,Population_data!B:B,Population_data!E:E,"")</f>
        <v>1445.46</v>
      </c>
      <c r="H421">
        <f>_xlfn.XLOOKUP(C421,Population_data!B:B,Population_data!F:F,"")</f>
        <v>3.95</v>
      </c>
      <c r="I421">
        <f>_xlfn.XLOOKUP(C421,Population_data!B:B,Population_data!G:G,"")</f>
        <v>76.97</v>
      </c>
      <c r="J421" t="str">
        <f>_xlfn.XLOOKUP(D421,District_Crime_Unit_Map!A:A,District_Crime_Unit_Map!B:B,"")</f>
        <v>Chittagong Range</v>
      </c>
      <c r="K421">
        <f>_xlfn.XLOOKUP(J421,Crime_Data!A:A,Crime_Data!V:V,"")</f>
        <v>84.879645400600893</v>
      </c>
      <c r="L421">
        <f>_xlfn.XLOOKUP(J421,Crime_Data!A:A,Crime_Data!W:W,"")</f>
        <v>10.309673910686193</v>
      </c>
      <c r="M421" t="str">
        <f>TRIM(Table6[[#This Row],[District]])&amp;"|"&amp;TRIM(Table6[[#This Row],[Upazila]])</f>
        <v>Chandpur|Matlab Uttar</v>
      </c>
      <c r="N421" t="str">
        <f>_xlfn.XLOOKUP(B421,Remittance_Data!A:A,Remittance_Data!B:B,"CHECK")</f>
        <v>CHECK</v>
      </c>
      <c r="O421" t="str">
        <f>_xlfn.XLOOKUP(B421,Remittance_Data!A:A,Remittance_Data!C:C,"CHECK")</f>
        <v>CHECK</v>
      </c>
      <c r="P421" t="str">
        <f>_xlfn.XLOOKUP(B421,Remittance_Data!A:A,Remittance_Data!D:D,"CHECK")</f>
        <v>CHECK</v>
      </c>
    </row>
    <row r="422" spans="1:16">
      <c r="A422" t="s">
        <v>796</v>
      </c>
      <c r="B422" t="str">
        <f>SUBSTITUTE(SUBSTITUTE(SUBSTITUTE(SUBSTITUTE(TRIM(Table6[[#This Row],[Constituency]]),"Barisal","Barishal"),"Jessore","Jashore"),"Bogra","Bogura"),"Chapai Nawabganj","Chapainawabganj")</f>
        <v>Chandpur-2</v>
      </c>
      <c r="C422" t="s">
        <v>1475</v>
      </c>
      <c r="D422" t="s">
        <v>1378</v>
      </c>
      <c r="E422">
        <f>_xlfn.XLOOKUP(C422,Population_data!B:B,Population_data!C:C,"")</f>
        <v>386.05</v>
      </c>
      <c r="F422">
        <f>_xlfn.XLOOKUP(C422,Population_data!B:B,Population_data!D:D,"")</f>
        <v>226718</v>
      </c>
      <c r="G422">
        <f>_xlfn.XLOOKUP(C422,Population_data!B:B,Population_data!E:E,"")</f>
        <v>587.28</v>
      </c>
      <c r="H422">
        <f>_xlfn.XLOOKUP(C422,Population_data!B:B,Population_data!F:F,"")</f>
        <v>4.01</v>
      </c>
      <c r="I422">
        <f>_xlfn.XLOOKUP(C422,Population_data!B:B,Population_data!G:G,"")</f>
        <v>75.819999999999993</v>
      </c>
      <c r="J422" t="str">
        <f>_xlfn.XLOOKUP(D422,District_Crime_Unit_Map!A:A,District_Crime_Unit_Map!B:B,"")</f>
        <v>Chittagong Range</v>
      </c>
      <c r="K422">
        <f>_xlfn.XLOOKUP(J422,Crime_Data!A:A,Crime_Data!V:V,"")</f>
        <v>84.879645400600893</v>
      </c>
      <c r="L422">
        <f>_xlfn.XLOOKUP(J422,Crime_Data!A:A,Crime_Data!W:W,"")</f>
        <v>10.309673910686193</v>
      </c>
      <c r="M422" t="str">
        <f>TRIM(Table6[[#This Row],[District]])&amp;"|"&amp;TRIM(Table6[[#This Row],[Upazila]])</f>
        <v>Chandpur|Matlab Dakkhin</v>
      </c>
      <c r="N422" t="str">
        <f>_xlfn.XLOOKUP(B422,Remittance_Data!A:A,Remittance_Data!B:B,"CHECK")</f>
        <v>CHECK</v>
      </c>
      <c r="O422" t="str">
        <f>_xlfn.XLOOKUP(B422,Remittance_Data!A:A,Remittance_Data!C:C,"CHECK")</f>
        <v>CHECK</v>
      </c>
      <c r="P422" t="str">
        <f>_xlfn.XLOOKUP(B422,Remittance_Data!A:A,Remittance_Data!D:D,"CHECK")</f>
        <v>CHECK</v>
      </c>
    </row>
    <row r="423" spans="1:16">
      <c r="A423" t="s">
        <v>799</v>
      </c>
      <c r="B423" t="str">
        <f>SUBSTITUTE(SUBSTITUTE(SUBSTITUTE(SUBSTITUTE(TRIM(Table6[[#This Row],[Constituency]]),"Barisal","Barishal"),"Jessore","Jashore"),"Bogra","Bogura"),"Chapai Nawabganj","Chapainawabganj")</f>
        <v>Chandpur-3</v>
      </c>
      <c r="C423" t="s">
        <v>1381</v>
      </c>
      <c r="D423" t="s">
        <v>1378</v>
      </c>
      <c r="E423">
        <f>_xlfn.XLOOKUP(C423,Population_data!B:B,Population_data!C:C,"")</f>
        <v>308.77</v>
      </c>
      <c r="F423">
        <f>_xlfn.XLOOKUP(C423,Population_data!B:B,Population_data!D:D,"")</f>
        <v>534577</v>
      </c>
      <c r="G423">
        <f>_xlfn.XLOOKUP(C423,Population_data!B:B,Population_data!E:E,"")</f>
        <v>1731.31</v>
      </c>
      <c r="H423">
        <f>_xlfn.XLOOKUP(C423,Population_data!B:B,Population_data!F:F,"")</f>
        <v>4.0999999999999996</v>
      </c>
      <c r="I423">
        <f>_xlfn.XLOOKUP(C423,Population_data!B:B,Population_data!G:G,"")</f>
        <v>79.03</v>
      </c>
      <c r="J423" t="str">
        <f>_xlfn.XLOOKUP(D423,District_Crime_Unit_Map!A:A,District_Crime_Unit_Map!B:B,"")</f>
        <v>Chittagong Range</v>
      </c>
      <c r="K423">
        <f>_xlfn.XLOOKUP(J423,Crime_Data!A:A,Crime_Data!V:V,"")</f>
        <v>84.879645400600893</v>
      </c>
      <c r="L423">
        <f>_xlfn.XLOOKUP(J423,Crime_Data!A:A,Crime_Data!W:W,"")</f>
        <v>10.309673910686193</v>
      </c>
      <c r="M423" t="str">
        <f>TRIM(Table6[[#This Row],[District]])&amp;"|"&amp;TRIM(Table6[[#This Row],[Upazila]])</f>
        <v>Chandpur|Chandpur Sadar</v>
      </c>
      <c r="N423" t="str">
        <f>_xlfn.XLOOKUP(B423,Remittance_Data!A:A,Remittance_Data!B:B,"CHECK")</f>
        <v>CHECK</v>
      </c>
      <c r="O423" t="str">
        <f>_xlfn.XLOOKUP(B423,Remittance_Data!A:A,Remittance_Data!C:C,"CHECK")</f>
        <v>CHECK</v>
      </c>
      <c r="P423" t="str">
        <f>_xlfn.XLOOKUP(B423,Remittance_Data!A:A,Remittance_Data!D:D,"CHECK")</f>
        <v>CHECK</v>
      </c>
    </row>
    <row r="424" spans="1:16">
      <c r="A424" t="s">
        <v>801</v>
      </c>
      <c r="B424" t="str">
        <f>SUBSTITUTE(SUBSTITUTE(SUBSTITUTE(SUBSTITUTE(TRIM(Table6[[#This Row],[Constituency]]),"Barisal","Barishal"),"Jessore","Jashore"),"Bogra","Bogura"),"Chapai Nawabganj","Chapainawabganj")</f>
        <v>Chandpur-4</v>
      </c>
      <c r="C424" t="s">
        <v>1382</v>
      </c>
      <c r="D424" t="s">
        <v>1378</v>
      </c>
      <c r="E424">
        <f>_xlfn.XLOOKUP(C424,Population_data!B:B,Population_data!C:C,"")</f>
        <v>427.79</v>
      </c>
      <c r="F424">
        <f>_xlfn.XLOOKUP(C424,Population_data!B:B,Population_data!D:D,"")</f>
        <v>433244</v>
      </c>
      <c r="G424">
        <f>_xlfn.XLOOKUP(C424,Population_data!B:B,Population_data!E:E,"")</f>
        <v>1012.75</v>
      </c>
      <c r="H424">
        <f>_xlfn.XLOOKUP(C424,Population_data!B:B,Population_data!F:F,"")</f>
        <v>4</v>
      </c>
      <c r="I424">
        <f>_xlfn.XLOOKUP(C424,Population_data!B:B,Population_data!G:G,"")</f>
        <v>79.89</v>
      </c>
      <c r="J424" t="str">
        <f>_xlfn.XLOOKUP(D424,District_Crime_Unit_Map!A:A,District_Crime_Unit_Map!B:B,"")</f>
        <v>Chittagong Range</v>
      </c>
      <c r="K424">
        <f>_xlfn.XLOOKUP(J424,Crime_Data!A:A,Crime_Data!V:V,"")</f>
        <v>84.879645400600893</v>
      </c>
      <c r="L424">
        <f>_xlfn.XLOOKUP(J424,Crime_Data!A:A,Crime_Data!W:W,"")</f>
        <v>10.309673910686193</v>
      </c>
      <c r="M424" t="str">
        <f>TRIM(Table6[[#This Row],[District]])&amp;"|"&amp;TRIM(Table6[[#This Row],[Upazila]])</f>
        <v>Chandpur|Faridganj</v>
      </c>
      <c r="N424" t="str">
        <f>_xlfn.XLOOKUP(B424,Remittance_Data!A:A,Remittance_Data!B:B,"CHECK")</f>
        <v>CHECK</v>
      </c>
      <c r="O424" t="str">
        <f>_xlfn.XLOOKUP(B424,Remittance_Data!A:A,Remittance_Data!C:C,"CHECK")</f>
        <v>CHECK</v>
      </c>
      <c r="P424" t="str">
        <f>_xlfn.XLOOKUP(B424,Remittance_Data!A:A,Remittance_Data!D:D,"CHECK")</f>
        <v>CHECK</v>
      </c>
    </row>
    <row r="425" spans="1:16">
      <c r="A425" t="s">
        <v>804</v>
      </c>
      <c r="B425" t="str">
        <f>SUBSTITUTE(SUBSTITUTE(SUBSTITUTE(SUBSTITUTE(TRIM(Table6[[#This Row],[Constituency]]),"Barisal","Barishal"),"Jessore","Jashore"),"Bogra","Bogura"),"Chapai Nawabganj","Chapainawabganj")</f>
        <v>Chandpur-5</v>
      </c>
      <c r="C425" t="s">
        <v>1383</v>
      </c>
      <c r="D425" t="s">
        <v>1378</v>
      </c>
      <c r="E425">
        <f>_xlfn.XLOOKUP(C425,Population_data!B:B,Population_data!C:C,"")</f>
        <v>193.87</v>
      </c>
      <c r="F425">
        <f>_xlfn.XLOOKUP(C425,Population_data!B:B,Population_data!D:D,"")</f>
        <v>360346</v>
      </c>
      <c r="G425">
        <f>_xlfn.XLOOKUP(C425,Population_data!B:B,Population_data!E:E,"")</f>
        <v>1858.7</v>
      </c>
      <c r="H425">
        <f>_xlfn.XLOOKUP(C425,Population_data!B:B,Population_data!F:F,"")</f>
        <v>4.22</v>
      </c>
      <c r="I425">
        <f>_xlfn.XLOOKUP(C425,Population_data!B:B,Population_data!G:G,"")</f>
        <v>80.459999999999994</v>
      </c>
      <c r="J425" t="str">
        <f>_xlfn.XLOOKUP(D425,District_Crime_Unit_Map!A:A,District_Crime_Unit_Map!B:B,"")</f>
        <v>Chittagong Range</v>
      </c>
      <c r="K425">
        <f>_xlfn.XLOOKUP(J425,Crime_Data!A:A,Crime_Data!V:V,"")</f>
        <v>84.879645400600893</v>
      </c>
      <c r="L425">
        <f>_xlfn.XLOOKUP(J425,Crime_Data!A:A,Crime_Data!W:W,"")</f>
        <v>10.309673910686193</v>
      </c>
      <c r="M425" t="str">
        <f>TRIM(Table6[[#This Row],[District]])&amp;"|"&amp;TRIM(Table6[[#This Row],[Upazila]])</f>
        <v>Chandpur|Hajiganj</v>
      </c>
      <c r="N425" t="str">
        <f>_xlfn.XLOOKUP(B425,Remittance_Data!A:A,Remittance_Data!B:B,"CHECK")</f>
        <v>CHECK</v>
      </c>
      <c r="O425" t="str">
        <f>_xlfn.XLOOKUP(B425,Remittance_Data!A:A,Remittance_Data!C:C,"CHECK")</f>
        <v>CHECK</v>
      </c>
      <c r="P425" t="str">
        <f>_xlfn.XLOOKUP(B425,Remittance_Data!A:A,Remittance_Data!D:D,"CHECK")</f>
        <v>CHECK</v>
      </c>
    </row>
    <row r="426" spans="1:16">
      <c r="A426" t="s">
        <v>804</v>
      </c>
      <c r="B426" t="str">
        <f>SUBSTITUTE(SUBSTITUTE(SUBSTITUTE(SUBSTITUTE(TRIM(Table6[[#This Row],[Constituency]]),"Barisal","Barishal"),"Jessore","Jashore"),"Bogra","Bogura"),"Chapai Nawabganj","Chapainawabganj")</f>
        <v>Chandpur-5</v>
      </c>
      <c r="C426" t="s">
        <v>1384</v>
      </c>
      <c r="D426" t="s">
        <v>1378</v>
      </c>
      <c r="E426">
        <f>_xlfn.XLOOKUP(C426,Population_data!B:B,Population_data!C:C,"")</f>
        <v>154.13</v>
      </c>
      <c r="F426">
        <f>_xlfn.XLOOKUP(C426,Population_data!B:B,Population_data!D:D,"")</f>
        <v>254653</v>
      </c>
      <c r="G426">
        <f>_xlfn.XLOOKUP(C426,Population_data!B:B,Population_data!E:E,"")</f>
        <v>1652.2</v>
      </c>
      <c r="H426">
        <f>_xlfn.XLOOKUP(C426,Population_data!B:B,Population_data!F:F,"")</f>
        <v>4.3</v>
      </c>
      <c r="I426">
        <f>_xlfn.XLOOKUP(C426,Population_data!B:B,Population_data!G:G,"")</f>
        <v>82.33</v>
      </c>
      <c r="J426" t="str">
        <f>_xlfn.XLOOKUP(D426,District_Crime_Unit_Map!A:A,District_Crime_Unit_Map!B:B,"")</f>
        <v>Chittagong Range</v>
      </c>
      <c r="K426">
        <f>_xlfn.XLOOKUP(J426,Crime_Data!A:A,Crime_Data!V:V,"")</f>
        <v>84.879645400600893</v>
      </c>
      <c r="L426">
        <f>_xlfn.XLOOKUP(J426,Crime_Data!A:A,Crime_Data!W:W,"")</f>
        <v>10.309673910686193</v>
      </c>
      <c r="M426" t="str">
        <f>TRIM(Table6[[#This Row],[District]])&amp;"|"&amp;TRIM(Table6[[#This Row],[Upazila]])</f>
        <v>Chandpur|Shahrasti</v>
      </c>
      <c r="N426" t="str">
        <f>_xlfn.XLOOKUP(B426,Remittance_Data!A:A,Remittance_Data!B:B,"CHECK")</f>
        <v>CHECK</v>
      </c>
      <c r="O426" t="str">
        <f>_xlfn.XLOOKUP(B426,Remittance_Data!A:A,Remittance_Data!C:C,"CHECK")</f>
        <v>CHECK</v>
      </c>
      <c r="P426" t="str">
        <f>_xlfn.XLOOKUP(B426,Remittance_Data!A:A,Remittance_Data!D:D,"CHECK")</f>
        <v>CHECK</v>
      </c>
    </row>
    <row r="427" spans="1:16">
      <c r="A427" t="s">
        <v>807</v>
      </c>
      <c r="B427" t="str">
        <f>SUBSTITUTE(SUBSTITUTE(SUBSTITUTE(SUBSTITUTE(TRIM(Table6[[#This Row],[Constituency]]),"Barisal","Barishal"),"Jessore","Jashore"),"Bogra","Bogura"),"Chapai Nawabganj","Chapainawabganj")</f>
        <v>Feni-1</v>
      </c>
      <c r="C427" t="s">
        <v>1385</v>
      </c>
      <c r="D427" t="s">
        <v>1386</v>
      </c>
      <c r="E427">
        <f>_xlfn.XLOOKUP(C427,Population_data!B:B,Population_data!C:C,"")</f>
        <v>133.49</v>
      </c>
      <c r="F427">
        <f>_xlfn.XLOOKUP(C427,Population_data!B:B,Population_data!D:D,"")</f>
        <v>208223</v>
      </c>
      <c r="G427">
        <f>_xlfn.XLOOKUP(C427,Population_data!B:B,Population_data!E:E,"")</f>
        <v>1559.84</v>
      </c>
      <c r="H427">
        <f>_xlfn.XLOOKUP(C427,Population_data!B:B,Population_data!F:F,"")</f>
        <v>4.22</v>
      </c>
      <c r="I427">
        <f>_xlfn.XLOOKUP(C427,Population_data!B:B,Population_data!G:G,"")</f>
        <v>81.680000000000007</v>
      </c>
      <c r="J427" t="str">
        <f>_xlfn.XLOOKUP(D427,District_Crime_Unit_Map!A:A,District_Crime_Unit_Map!B:B,"")</f>
        <v>Chittagong Range</v>
      </c>
      <c r="K427">
        <f>_xlfn.XLOOKUP(J427,Crime_Data!A:A,Crime_Data!V:V,"")</f>
        <v>84.879645400600893</v>
      </c>
      <c r="L427">
        <f>_xlfn.XLOOKUP(J427,Crime_Data!A:A,Crime_Data!W:W,"")</f>
        <v>10.309673910686193</v>
      </c>
      <c r="M427" t="str">
        <f>TRIM(Table6[[#This Row],[District]])&amp;"|"&amp;TRIM(Table6[[#This Row],[Upazila]])</f>
        <v>Feni|Chhagalnaiya</v>
      </c>
      <c r="N427" t="str">
        <f>_xlfn.XLOOKUP(B427,Remittance_Data!A:A,Remittance_Data!B:B,"CHECK")</f>
        <v>CHECK</v>
      </c>
      <c r="O427" t="str">
        <f>_xlfn.XLOOKUP(B427,Remittance_Data!A:A,Remittance_Data!C:C,"CHECK")</f>
        <v>CHECK</v>
      </c>
      <c r="P427" t="str">
        <f>_xlfn.XLOOKUP(B427,Remittance_Data!A:A,Remittance_Data!D:D,"CHECK")</f>
        <v>CHECK</v>
      </c>
    </row>
    <row r="428" spans="1:16">
      <c r="A428" t="s">
        <v>807</v>
      </c>
      <c r="B428" t="str">
        <f>SUBSTITUTE(SUBSTITUTE(SUBSTITUTE(SUBSTITUTE(TRIM(Table6[[#This Row],[Constituency]]),"Barisal","Barishal"),"Jessore","Jashore"),"Bogra","Bogura"),"Chapai Nawabganj","Chapainawabganj")</f>
        <v>Feni-1</v>
      </c>
      <c r="C428" t="s">
        <v>1387</v>
      </c>
      <c r="D428" t="s">
        <v>1386</v>
      </c>
      <c r="E428">
        <f>_xlfn.XLOOKUP(C428,Population_data!B:B,Population_data!C:C,"")</f>
        <v>154.33000000000001</v>
      </c>
      <c r="F428">
        <f>_xlfn.XLOOKUP(C428,Population_data!B:B,Population_data!D:D,"")</f>
        <v>113312</v>
      </c>
      <c r="G428">
        <f>_xlfn.XLOOKUP(C428,Population_data!B:B,Population_data!E:E,"")</f>
        <v>734.22</v>
      </c>
      <c r="H428">
        <f>_xlfn.XLOOKUP(C428,Population_data!B:B,Population_data!F:F,"")</f>
        <v>4.3099999999999996</v>
      </c>
      <c r="I428">
        <f>_xlfn.XLOOKUP(C428,Population_data!B:B,Population_data!G:G,"")</f>
        <v>79.209999999999994</v>
      </c>
      <c r="J428" t="str">
        <f>_xlfn.XLOOKUP(D428,District_Crime_Unit_Map!A:A,District_Crime_Unit_Map!B:B,"")</f>
        <v>Chittagong Range</v>
      </c>
      <c r="K428">
        <f>_xlfn.XLOOKUP(J428,Crime_Data!A:A,Crime_Data!V:V,"")</f>
        <v>84.879645400600893</v>
      </c>
      <c r="L428">
        <f>_xlfn.XLOOKUP(J428,Crime_Data!A:A,Crime_Data!W:W,"")</f>
        <v>10.309673910686193</v>
      </c>
      <c r="M428" t="str">
        <f>TRIM(Table6[[#This Row],[District]])&amp;"|"&amp;TRIM(Table6[[#This Row],[Upazila]])</f>
        <v>Feni|Parshuram</v>
      </c>
      <c r="N428" t="str">
        <f>_xlfn.XLOOKUP(B428,Remittance_Data!A:A,Remittance_Data!B:B,"CHECK")</f>
        <v>CHECK</v>
      </c>
      <c r="O428" t="str">
        <f>_xlfn.XLOOKUP(B428,Remittance_Data!A:A,Remittance_Data!C:C,"CHECK")</f>
        <v>CHECK</v>
      </c>
      <c r="P428" t="str">
        <f>_xlfn.XLOOKUP(B428,Remittance_Data!A:A,Remittance_Data!D:D,"CHECK")</f>
        <v>CHECK</v>
      </c>
    </row>
    <row r="429" spans="1:16">
      <c r="A429" t="s">
        <v>810</v>
      </c>
      <c r="B429" t="str">
        <f>SUBSTITUTE(SUBSTITUTE(SUBSTITUTE(SUBSTITUTE(TRIM(Table6[[#This Row],[Constituency]]),"Barisal","Barishal"),"Jessore","Jashore"),"Bogra","Bogura"),"Chapai Nawabganj","Chapainawabganj")</f>
        <v>Feni-2</v>
      </c>
      <c r="C429" t="s">
        <v>1388</v>
      </c>
      <c r="D429" t="s">
        <v>1386</v>
      </c>
      <c r="E429">
        <f>_xlfn.XLOOKUP(C429,Population_data!B:B,Population_data!C:C,"")</f>
        <v>421.92</v>
      </c>
      <c r="F429">
        <f>_xlfn.XLOOKUP(C429,Population_data!B:B,Population_data!D:D,"")</f>
        <v>634303</v>
      </c>
      <c r="G429">
        <f>_xlfn.XLOOKUP(C429,Population_data!B:B,Population_data!E:E,"")</f>
        <v>1503.37</v>
      </c>
      <c r="H429">
        <f>_xlfn.XLOOKUP(C429,Population_data!B:B,Population_data!F:F,"")</f>
        <v>4.2699999999999996</v>
      </c>
      <c r="I429">
        <f>_xlfn.XLOOKUP(C429,Population_data!B:B,Population_data!G:G,"")</f>
        <v>83.17</v>
      </c>
      <c r="J429" t="str">
        <f>_xlfn.XLOOKUP(D429,District_Crime_Unit_Map!A:A,District_Crime_Unit_Map!B:B,"")</f>
        <v>Chittagong Range</v>
      </c>
      <c r="K429">
        <f>_xlfn.XLOOKUP(J429,Crime_Data!A:A,Crime_Data!V:V,"")</f>
        <v>84.879645400600893</v>
      </c>
      <c r="L429">
        <f>_xlfn.XLOOKUP(J429,Crime_Data!A:A,Crime_Data!W:W,"")</f>
        <v>10.309673910686193</v>
      </c>
      <c r="M429" t="str">
        <f>TRIM(Table6[[#This Row],[District]])&amp;"|"&amp;TRIM(Table6[[#This Row],[Upazila]])</f>
        <v>Feni|Feni Sadar</v>
      </c>
      <c r="N429" t="str">
        <f>_xlfn.XLOOKUP(B429,Remittance_Data!A:A,Remittance_Data!B:B,"CHECK")</f>
        <v>CHECK</v>
      </c>
      <c r="O429" t="str">
        <f>_xlfn.XLOOKUP(B429,Remittance_Data!A:A,Remittance_Data!C:C,"CHECK")</f>
        <v>CHECK</v>
      </c>
      <c r="P429" t="str">
        <f>_xlfn.XLOOKUP(B429,Remittance_Data!A:A,Remittance_Data!D:D,"CHECK")</f>
        <v>CHECK</v>
      </c>
    </row>
    <row r="430" spans="1:16">
      <c r="A430" t="s">
        <v>813</v>
      </c>
      <c r="B430" t="str">
        <f>SUBSTITUTE(SUBSTITUTE(SUBSTITUTE(SUBSTITUTE(TRIM(Table6[[#This Row],[Constituency]]),"Barisal","Barishal"),"Jessore","Jashore"),"Bogra","Bogura"),"Chapai Nawabganj","Chapainawabganj")</f>
        <v>Feni-3</v>
      </c>
      <c r="C430" t="s">
        <v>1389</v>
      </c>
      <c r="D430" t="s">
        <v>1386</v>
      </c>
      <c r="E430">
        <f>_xlfn.XLOOKUP(C430,Population_data!B:B,Population_data!C:C,"")</f>
        <v>238.49</v>
      </c>
      <c r="F430">
        <f>_xlfn.XLOOKUP(C430,Population_data!B:B,Population_data!D:D,"")</f>
        <v>290664</v>
      </c>
      <c r="G430">
        <f>_xlfn.XLOOKUP(C430,Population_data!B:B,Population_data!E:E,"")</f>
        <v>1218.77</v>
      </c>
      <c r="H430">
        <f>_xlfn.XLOOKUP(C430,Population_data!B:B,Population_data!F:F,"")</f>
        <v>4.28</v>
      </c>
      <c r="I430">
        <f>_xlfn.XLOOKUP(C430,Population_data!B:B,Population_data!G:G,"")</f>
        <v>75.84</v>
      </c>
      <c r="J430" t="str">
        <f>_xlfn.XLOOKUP(D430,District_Crime_Unit_Map!A:A,District_Crime_Unit_Map!B:B,"")</f>
        <v>Chittagong Range</v>
      </c>
      <c r="K430">
        <f>_xlfn.XLOOKUP(J430,Crime_Data!A:A,Crime_Data!V:V,"")</f>
        <v>84.879645400600893</v>
      </c>
      <c r="L430">
        <f>_xlfn.XLOOKUP(J430,Crime_Data!A:A,Crime_Data!W:W,"")</f>
        <v>10.309673910686193</v>
      </c>
      <c r="M430" t="str">
        <f>TRIM(Table6[[#This Row],[District]])&amp;"|"&amp;TRIM(Table6[[#This Row],[Upazila]])</f>
        <v>Feni|Sonagazi</v>
      </c>
      <c r="N430" t="str">
        <f>_xlfn.XLOOKUP(B430,Remittance_Data!A:A,Remittance_Data!B:B,"CHECK")</f>
        <v>CHECK</v>
      </c>
      <c r="O430" t="str">
        <f>_xlfn.XLOOKUP(B430,Remittance_Data!A:A,Remittance_Data!C:C,"CHECK")</f>
        <v>CHECK</v>
      </c>
      <c r="P430" t="str">
        <f>_xlfn.XLOOKUP(B430,Remittance_Data!A:A,Remittance_Data!D:D,"CHECK")</f>
        <v>CHECK</v>
      </c>
    </row>
    <row r="431" spans="1:16">
      <c r="A431" t="s">
        <v>813</v>
      </c>
      <c r="B431" t="str">
        <f>SUBSTITUTE(SUBSTITUTE(SUBSTITUTE(SUBSTITUTE(TRIM(Table6[[#This Row],[Constituency]]),"Barisal","Barishal"),"Jessore","Jashore"),"Bogra","Bogura"),"Chapai Nawabganj","Chapainawabganj")</f>
        <v>Feni-3</v>
      </c>
      <c r="C431" t="s">
        <v>1390</v>
      </c>
      <c r="D431" t="s">
        <v>1386</v>
      </c>
      <c r="E431">
        <f>_xlfn.XLOOKUP(C431,Population_data!B:B,Population_data!C:C,"")</f>
        <v>165.84</v>
      </c>
      <c r="F431">
        <f>_xlfn.XLOOKUP(C431,Population_data!B:B,Population_data!D:D,"")</f>
        <v>276906</v>
      </c>
      <c r="G431">
        <f>_xlfn.XLOOKUP(C431,Population_data!B:B,Population_data!E:E,"")</f>
        <v>1669.72</v>
      </c>
      <c r="H431">
        <f>_xlfn.XLOOKUP(C431,Population_data!B:B,Population_data!F:F,"")</f>
        <v>4.41</v>
      </c>
      <c r="I431">
        <f>_xlfn.XLOOKUP(C431,Population_data!B:B,Population_data!G:G,"")</f>
        <v>80.099999999999994</v>
      </c>
      <c r="J431" t="str">
        <f>_xlfn.XLOOKUP(D431,District_Crime_Unit_Map!A:A,District_Crime_Unit_Map!B:B,"")</f>
        <v>Chittagong Range</v>
      </c>
      <c r="K431">
        <f>_xlfn.XLOOKUP(J431,Crime_Data!A:A,Crime_Data!V:V,"")</f>
        <v>84.879645400600893</v>
      </c>
      <c r="L431">
        <f>_xlfn.XLOOKUP(J431,Crime_Data!A:A,Crime_Data!W:W,"")</f>
        <v>10.309673910686193</v>
      </c>
      <c r="M431" t="str">
        <f>TRIM(Table6[[#This Row],[District]])&amp;"|"&amp;TRIM(Table6[[#This Row],[Upazila]])</f>
        <v>Feni|Daganbhuiyan</v>
      </c>
      <c r="N431" t="str">
        <f>_xlfn.XLOOKUP(B431,Remittance_Data!A:A,Remittance_Data!B:B,"CHECK")</f>
        <v>CHECK</v>
      </c>
      <c r="O431" t="str">
        <f>_xlfn.XLOOKUP(B431,Remittance_Data!A:A,Remittance_Data!C:C,"CHECK")</f>
        <v>CHECK</v>
      </c>
      <c r="P431" t="str">
        <f>_xlfn.XLOOKUP(B431,Remittance_Data!A:A,Remittance_Data!D:D,"CHECK")</f>
        <v>CHECK</v>
      </c>
    </row>
    <row r="432" spans="1:16">
      <c r="A432" t="s">
        <v>816</v>
      </c>
      <c r="B432" t="str">
        <f>SUBSTITUTE(SUBSTITUTE(SUBSTITUTE(SUBSTITUTE(TRIM(Table6[[#This Row],[Constituency]]),"Barisal","Barishal"),"Jessore","Jashore"),"Bogra","Bogura"),"Chapai Nawabganj","Chapainawabganj")</f>
        <v>Noakhali-1</v>
      </c>
      <c r="C432" t="s">
        <v>1393</v>
      </c>
      <c r="D432" t="s">
        <v>1394</v>
      </c>
      <c r="E432">
        <f>_xlfn.XLOOKUP(C432,Population_data!B:B,Population_data!C:C,"")</f>
        <v>305.63</v>
      </c>
      <c r="F432">
        <f>_xlfn.XLOOKUP(C432,Population_data!B:B,Population_data!D:D,"")</f>
        <v>258786</v>
      </c>
      <c r="G432">
        <f>_xlfn.XLOOKUP(C432,Population_data!B:B,Population_data!E:E,"")</f>
        <v>846.73</v>
      </c>
      <c r="H432">
        <f>_xlfn.XLOOKUP(C432,Population_data!B:B,Population_data!F:F,"")</f>
        <v>4.32</v>
      </c>
      <c r="I432">
        <f>_xlfn.XLOOKUP(C432,Population_data!B:B,Population_data!G:G,"")</f>
        <v>85.27</v>
      </c>
      <c r="J432" t="str">
        <f>_xlfn.XLOOKUP(D432,District_Crime_Unit_Map!A:A,District_Crime_Unit_Map!B:B,"")</f>
        <v>Chittagong Range</v>
      </c>
      <c r="K432">
        <f>_xlfn.XLOOKUP(J432,Crime_Data!A:A,Crime_Data!V:V,"")</f>
        <v>84.879645400600893</v>
      </c>
      <c r="L432">
        <f>_xlfn.XLOOKUP(J432,Crime_Data!A:A,Crime_Data!W:W,"")</f>
        <v>10.309673910686193</v>
      </c>
      <c r="M432" t="str">
        <f>TRIM(Table6[[#This Row],[District]])&amp;"|"&amp;TRIM(Table6[[#This Row],[Upazila]])</f>
        <v>Noakhali|Chatkhil</v>
      </c>
      <c r="N432" t="str">
        <f>_xlfn.XLOOKUP(B432,Remittance_Data!A:A,Remittance_Data!B:B,"CHECK")</f>
        <v>CHECK</v>
      </c>
      <c r="O432" t="str">
        <f>_xlfn.XLOOKUP(B432,Remittance_Data!A:A,Remittance_Data!C:C,"CHECK")</f>
        <v>CHECK</v>
      </c>
      <c r="P432" t="str">
        <f>_xlfn.XLOOKUP(B432,Remittance_Data!A:A,Remittance_Data!D:D,"CHECK")</f>
        <v>CHECK</v>
      </c>
    </row>
    <row r="433" spans="1:16">
      <c r="A433" t="s">
        <v>816</v>
      </c>
      <c r="B433" t="str">
        <f>SUBSTITUTE(SUBSTITUTE(SUBSTITUTE(SUBSTITUTE(TRIM(Table6[[#This Row],[Constituency]]),"Barisal","Barishal"),"Jessore","Jashore"),"Bogra","Bogura"),"Chapai Nawabganj","Chapainawabganj")</f>
        <v>Noakhali-1</v>
      </c>
      <c r="C433" t="s">
        <v>1331</v>
      </c>
      <c r="D433" t="s">
        <v>1394</v>
      </c>
      <c r="E433">
        <f>_xlfn.XLOOKUP(C433,Population_data!B:B,Population_data!C:C,"")</f>
        <v>1510.95</v>
      </c>
      <c r="F433">
        <f>_xlfn.XLOOKUP(C433,Population_data!B:B,Population_data!D:D,"")</f>
        <v>301295</v>
      </c>
      <c r="G433">
        <f>_xlfn.XLOOKUP(C433,Population_data!B:B,Population_data!E:E,"")</f>
        <v>199.41</v>
      </c>
      <c r="H433">
        <f>_xlfn.XLOOKUP(C433,Population_data!B:B,Population_data!F:F,"")</f>
        <v>4.58</v>
      </c>
      <c r="I433">
        <f>_xlfn.XLOOKUP(C433,Population_data!B:B,Population_data!G:G,"")</f>
        <v>75.59</v>
      </c>
      <c r="J433" t="str">
        <f>_xlfn.XLOOKUP(D433,District_Crime_Unit_Map!A:A,District_Crime_Unit_Map!B:B,"")</f>
        <v>Chittagong Range</v>
      </c>
      <c r="K433">
        <f>_xlfn.XLOOKUP(J433,Crime_Data!A:A,Crime_Data!V:V,"")</f>
        <v>84.879645400600893</v>
      </c>
      <c r="L433">
        <f>_xlfn.XLOOKUP(J433,Crime_Data!A:A,Crime_Data!W:W,"")</f>
        <v>10.309673910686193</v>
      </c>
      <c r="M433" t="str">
        <f>TRIM(Table6[[#This Row],[District]])&amp;"|"&amp;TRIM(Table6[[#This Row],[Upazila]])</f>
        <v>Noakhali|Companiganj</v>
      </c>
      <c r="N433" t="str">
        <f>_xlfn.XLOOKUP(B433,Remittance_Data!A:A,Remittance_Data!B:B,"CHECK")</f>
        <v>CHECK</v>
      </c>
      <c r="O433" t="str">
        <f>_xlfn.XLOOKUP(B433,Remittance_Data!A:A,Remittance_Data!C:C,"CHECK")</f>
        <v>CHECK</v>
      </c>
      <c r="P433" t="str">
        <f>_xlfn.XLOOKUP(B433,Remittance_Data!A:A,Remittance_Data!D:D,"CHECK")</f>
        <v>CHECK</v>
      </c>
    </row>
    <row r="434" spans="1:16">
      <c r="A434" t="s">
        <v>819</v>
      </c>
      <c r="B434" t="str">
        <f>SUBSTITUTE(SUBSTITUTE(SUBSTITUTE(SUBSTITUTE(TRIM(Table6[[#This Row],[Constituency]]),"Barisal","Barishal"),"Jessore","Jashore"),"Bogra","Bogura"),"Chapai Nawabganj","Chapainawabganj")</f>
        <v>Noakhali-2</v>
      </c>
      <c r="C434" t="s">
        <v>1483</v>
      </c>
      <c r="D434" t="s">
        <v>1394</v>
      </c>
      <c r="E434">
        <f>_xlfn.XLOOKUP(C434,Population_data!B:B,Population_data!C:C,"")</f>
        <v>344.98</v>
      </c>
      <c r="F434">
        <f>_xlfn.XLOOKUP(C434,Population_data!B:B,Population_data!D:D,"")</f>
        <v>310871</v>
      </c>
      <c r="G434">
        <f>_xlfn.XLOOKUP(C434,Population_data!B:B,Population_data!E:E,"")</f>
        <v>901.13</v>
      </c>
      <c r="H434">
        <f>_xlfn.XLOOKUP(C434,Population_data!B:B,Population_data!F:F,"")</f>
        <v>4.55</v>
      </c>
      <c r="I434">
        <f>_xlfn.XLOOKUP(C434,Population_data!B:B,Population_data!G:G,"")</f>
        <v>80.260000000000005</v>
      </c>
      <c r="J434" t="str">
        <f>_xlfn.XLOOKUP(D434,District_Crime_Unit_Map!A:A,District_Crime_Unit_Map!B:B,"")</f>
        <v>Chittagong Range</v>
      </c>
      <c r="K434">
        <f>_xlfn.XLOOKUP(J434,Crime_Data!A:A,Crime_Data!V:V,"")</f>
        <v>84.879645400600893</v>
      </c>
      <c r="L434">
        <f>_xlfn.XLOOKUP(J434,Crime_Data!A:A,Crime_Data!W:W,"")</f>
        <v>10.309673910686193</v>
      </c>
      <c r="M434" t="str">
        <f>TRIM(Table6[[#This Row],[District]])&amp;"|"&amp;TRIM(Table6[[#This Row],[Upazila]])</f>
        <v>Noakhali|Senbag</v>
      </c>
      <c r="N434" t="str">
        <f>_xlfn.XLOOKUP(B434,Remittance_Data!A:A,Remittance_Data!B:B,"CHECK")</f>
        <v>CHECK</v>
      </c>
      <c r="O434" t="str">
        <f>_xlfn.XLOOKUP(B434,Remittance_Data!A:A,Remittance_Data!C:C,"CHECK")</f>
        <v>CHECK</v>
      </c>
      <c r="P434" t="str">
        <f>_xlfn.XLOOKUP(B434,Remittance_Data!A:A,Remittance_Data!D:D,"CHECK")</f>
        <v>CHECK</v>
      </c>
    </row>
    <row r="435" spans="1:16">
      <c r="A435" t="s">
        <v>819</v>
      </c>
      <c r="B435" t="str">
        <f>SUBSTITUTE(SUBSTITUTE(SUBSTITUTE(SUBSTITUTE(TRIM(Table6[[#This Row],[Constituency]]),"Barisal","Barishal"),"Jessore","Jashore"),"Bogra","Bogura"),"Chapai Nawabganj","Chapainawabganj")</f>
        <v>Noakhali-2</v>
      </c>
      <c r="C435" t="s">
        <v>1396</v>
      </c>
      <c r="D435" t="s">
        <v>1394</v>
      </c>
      <c r="E435">
        <f>_xlfn.XLOOKUP(C435,Population_data!B:B,Population_data!C:C,"")</f>
        <v>219.84</v>
      </c>
      <c r="F435">
        <f>_xlfn.XLOOKUP(C435,Population_data!B:B,Population_data!D:D,"")</f>
        <v>368828</v>
      </c>
      <c r="G435">
        <f>_xlfn.XLOOKUP(C435,Population_data!B:B,Population_data!E:E,"")</f>
        <v>1677.71</v>
      </c>
      <c r="H435">
        <f>_xlfn.XLOOKUP(C435,Population_data!B:B,Population_data!F:F,"")</f>
        <v>4.57</v>
      </c>
      <c r="I435">
        <f>_xlfn.XLOOKUP(C435,Population_data!B:B,Population_data!G:G,"")</f>
        <v>81.819999999999993</v>
      </c>
      <c r="J435" t="str">
        <f>_xlfn.XLOOKUP(D435,District_Crime_Unit_Map!A:A,District_Crime_Unit_Map!B:B,"")</f>
        <v>Chittagong Range</v>
      </c>
      <c r="K435">
        <f>_xlfn.XLOOKUP(J435,Crime_Data!A:A,Crime_Data!V:V,"")</f>
        <v>84.879645400600893</v>
      </c>
      <c r="L435">
        <f>_xlfn.XLOOKUP(J435,Crime_Data!A:A,Crime_Data!W:W,"")</f>
        <v>10.309673910686193</v>
      </c>
      <c r="M435" t="str">
        <f>TRIM(Table6[[#This Row],[District]])&amp;"|"&amp;TRIM(Table6[[#This Row],[Upazila]])</f>
        <v>Noakhali|Sonaimuri</v>
      </c>
      <c r="N435" t="str">
        <f>_xlfn.XLOOKUP(B435,Remittance_Data!A:A,Remittance_Data!B:B,"CHECK")</f>
        <v>CHECK</v>
      </c>
      <c r="O435" t="str">
        <f>_xlfn.XLOOKUP(B435,Remittance_Data!A:A,Remittance_Data!C:C,"CHECK")</f>
        <v>CHECK</v>
      </c>
      <c r="P435" t="str">
        <f>_xlfn.XLOOKUP(B435,Remittance_Data!A:A,Remittance_Data!D:D,"CHECK")</f>
        <v>CHECK</v>
      </c>
    </row>
    <row r="436" spans="1:16">
      <c r="A436" t="s">
        <v>822</v>
      </c>
      <c r="B436" t="str">
        <f>SUBSTITUTE(SUBSTITUTE(SUBSTITUTE(SUBSTITUTE(TRIM(Table6[[#This Row],[Constituency]]),"Barisal","Barishal"),"Jessore","Jashore"),"Bogra","Bogura"),"Chapai Nawabganj","Chapainawabganj")</f>
        <v>Noakhali-3</v>
      </c>
      <c r="C436" t="s">
        <v>1397</v>
      </c>
      <c r="D436" t="s">
        <v>1394</v>
      </c>
      <c r="E436">
        <f>_xlfn.XLOOKUP(C436,Population_data!B:B,Population_data!C:C,"")</f>
        <v>1072.8499999999999</v>
      </c>
      <c r="F436">
        <f>_xlfn.XLOOKUP(C436,Population_data!B:B,Population_data!D:D,"")</f>
        <v>642471</v>
      </c>
      <c r="G436">
        <f>_xlfn.XLOOKUP(C436,Population_data!B:B,Population_data!E:E,"")</f>
        <v>598.85</v>
      </c>
      <c r="H436">
        <f>_xlfn.XLOOKUP(C436,Population_data!B:B,Population_data!F:F,"")</f>
        <v>4.57</v>
      </c>
      <c r="I436">
        <f>_xlfn.XLOOKUP(C436,Population_data!B:B,Population_data!G:G,"")</f>
        <v>75.099999999999994</v>
      </c>
      <c r="J436" t="str">
        <f>_xlfn.XLOOKUP(D436,District_Crime_Unit_Map!A:A,District_Crime_Unit_Map!B:B,"")</f>
        <v>Chittagong Range</v>
      </c>
      <c r="K436">
        <f>_xlfn.XLOOKUP(J436,Crime_Data!A:A,Crime_Data!V:V,"")</f>
        <v>84.879645400600893</v>
      </c>
      <c r="L436">
        <f>_xlfn.XLOOKUP(J436,Crime_Data!A:A,Crime_Data!W:W,"")</f>
        <v>10.309673910686193</v>
      </c>
      <c r="M436" t="str">
        <f>TRIM(Table6[[#This Row],[District]])&amp;"|"&amp;TRIM(Table6[[#This Row],[Upazila]])</f>
        <v>Noakhali|Noakhali Sadar</v>
      </c>
      <c r="N436" t="str">
        <f>_xlfn.XLOOKUP(B436,Remittance_Data!A:A,Remittance_Data!B:B,"CHECK")</f>
        <v>CHECK</v>
      </c>
      <c r="O436" t="str">
        <f>_xlfn.XLOOKUP(B436,Remittance_Data!A:A,Remittance_Data!C:C,"CHECK")</f>
        <v>CHECK</v>
      </c>
      <c r="P436" t="str">
        <f>_xlfn.XLOOKUP(B436,Remittance_Data!A:A,Remittance_Data!D:D,"CHECK")</f>
        <v>CHECK</v>
      </c>
    </row>
    <row r="437" spans="1:16">
      <c r="A437" t="s">
        <v>825</v>
      </c>
      <c r="B437" t="str">
        <f>SUBSTITUTE(SUBSTITUTE(SUBSTITUTE(SUBSTITUTE(TRIM(Table6[[#This Row],[Constituency]]),"Barisal","Barishal"),"Jessore","Jashore"),"Bogra","Bogura"),"Chapai Nawabganj","Chapainawabganj")</f>
        <v>Noakhali-4</v>
      </c>
      <c r="C437" t="s">
        <v>1398</v>
      </c>
      <c r="D437" t="s">
        <v>1394</v>
      </c>
      <c r="E437">
        <f>_xlfn.XLOOKUP(C437,Population_data!B:B,Population_data!C:C,"")</f>
        <v>576.14</v>
      </c>
      <c r="F437">
        <f>_xlfn.XLOOKUP(C437,Population_data!B:B,Population_data!D:D,"")</f>
        <v>355902</v>
      </c>
      <c r="G437">
        <f>_xlfn.XLOOKUP(C437,Population_data!B:B,Population_data!E:E,"")</f>
        <v>617.74</v>
      </c>
      <c r="H437">
        <f>_xlfn.XLOOKUP(C437,Population_data!B:B,Population_data!F:F,"")</f>
        <v>4.82</v>
      </c>
      <c r="I437">
        <f>_xlfn.XLOOKUP(C437,Population_data!B:B,Population_data!G:G,"")</f>
        <v>63.63</v>
      </c>
      <c r="J437" t="str">
        <f>_xlfn.XLOOKUP(D437,District_Crime_Unit_Map!A:A,District_Crime_Unit_Map!B:B,"")</f>
        <v>Chittagong Range</v>
      </c>
      <c r="K437">
        <f>_xlfn.XLOOKUP(J437,Crime_Data!A:A,Crime_Data!V:V,"")</f>
        <v>84.879645400600893</v>
      </c>
      <c r="L437">
        <f>_xlfn.XLOOKUP(J437,Crime_Data!A:A,Crime_Data!W:W,"")</f>
        <v>10.309673910686193</v>
      </c>
      <c r="M437" t="str">
        <f>TRIM(Table6[[#This Row],[District]])&amp;"|"&amp;TRIM(Table6[[#This Row],[Upazila]])</f>
        <v>Noakhali|Subarnachar</v>
      </c>
      <c r="N437" t="str">
        <f>_xlfn.XLOOKUP(B437,Remittance_Data!A:A,Remittance_Data!B:B,"CHECK")</f>
        <v>CHECK</v>
      </c>
      <c r="O437" t="str">
        <f>_xlfn.XLOOKUP(B437,Remittance_Data!A:A,Remittance_Data!C:C,"CHECK")</f>
        <v>CHECK</v>
      </c>
      <c r="P437" t="str">
        <f>_xlfn.XLOOKUP(B437,Remittance_Data!A:A,Remittance_Data!D:D,"CHECK")</f>
        <v>CHECK</v>
      </c>
    </row>
    <row r="438" spans="1:16">
      <c r="A438" t="s">
        <v>828</v>
      </c>
      <c r="B438" t="str">
        <f>SUBSTITUTE(SUBSTITUTE(SUBSTITUTE(SUBSTITUTE(TRIM(Table6[[#This Row],[Constituency]]),"Barisal","Barishal"),"Jessore","Jashore"),"Bogra","Bogura"),"Chapai Nawabganj","Chapainawabganj")</f>
        <v>Noakhali-5</v>
      </c>
      <c r="C438" t="s">
        <v>1399</v>
      </c>
      <c r="D438" t="s">
        <v>1394</v>
      </c>
      <c r="E438">
        <f>_xlfn.XLOOKUP(C438,Population_data!B:B,Population_data!C:C,"")</f>
        <v>155.66</v>
      </c>
      <c r="F438">
        <f>_xlfn.XLOOKUP(C438,Population_data!B:B,Population_data!D:D,"")</f>
        <v>238733</v>
      </c>
      <c r="G438">
        <f>_xlfn.XLOOKUP(C438,Population_data!B:B,Population_data!E:E,"")</f>
        <v>1533.68</v>
      </c>
      <c r="H438">
        <f>_xlfn.XLOOKUP(C438,Population_data!B:B,Population_data!F:F,"")</f>
        <v>4.83</v>
      </c>
      <c r="I438">
        <f>_xlfn.XLOOKUP(C438,Population_data!B:B,Population_data!G:G,"")</f>
        <v>75.760000000000005</v>
      </c>
      <c r="J438" t="str">
        <f>_xlfn.XLOOKUP(D438,District_Crime_Unit_Map!A:A,District_Crime_Unit_Map!B:B,"")</f>
        <v>Chittagong Range</v>
      </c>
      <c r="K438">
        <f>_xlfn.XLOOKUP(J438,Crime_Data!A:A,Crime_Data!V:V,"")</f>
        <v>84.879645400600893</v>
      </c>
      <c r="L438">
        <f>_xlfn.XLOOKUP(J438,Crime_Data!A:A,Crime_Data!W:W,"")</f>
        <v>10.309673910686193</v>
      </c>
      <c r="M438" t="str">
        <f>TRIM(Table6[[#This Row],[District]])&amp;"|"&amp;TRIM(Table6[[#This Row],[Upazila]])</f>
        <v>Noakhali|Kabirhat</v>
      </c>
      <c r="N438" t="str">
        <f>_xlfn.XLOOKUP(B438,Remittance_Data!A:A,Remittance_Data!B:B,"CHECK")</f>
        <v>CHECK</v>
      </c>
      <c r="O438" t="str">
        <f>_xlfn.XLOOKUP(B438,Remittance_Data!A:A,Remittance_Data!C:C,"CHECK")</f>
        <v>CHECK</v>
      </c>
      <c r="P438" t="str">
        <f>_xlfn.XLOOKUP(B438,Remittance_Data!A:A,Remittance_Data!D:D,"CHECK")</f>
        <v>CHECK</v>
      </c>
    </row>
    <row r="439" spans="1:16">
      <c r="A439" t="s">
        <v>828</v>
      </c>
      <c r="B439" t="str">
        <f>SUBSTITUTE(SUBSTITUTE(SUBSTITUTE(SUBSTITUTE(TRIM(Table6[[#This Row],[Constituency]]),"Barisal","Barishal"),"Jessore","Jashore"),"Bogra","Bogura"),"Chapai Nawabganj","Chapainawabganj")</f>
        <v>Noakhali-5</v>
      </c>
      <c r="C439" t="s">
        <v>1400</v>
      </c>
      <c r="D439" t="s">
        <v>1394</v>
      </c>
      <c r="E439">
        <f>_xlfn.XLOOKUP(C439,Population_data!B:B,Population_data!C:C,"")</f>
        <v>325.92</v>
      </c>
      <c r="F439">
        <f>_xlfn.XLOOKUP(C439,Population_data!B:B,Population_data!D:D,"")</f>
        <v>537355</v>
      </c>
      <c r="G439">
        <f>_xlfn.XLOOKUP(C439,Population_data!B:B,Population_data!E:E,"")</f>
        <v>1648.73</v>
      </c>
      <c r="H439">
        <f>_xlfn.XLOOKUP(C439,Population_data!B:B,Population_data!F:F,"")</f>
        <v>4.78</v>
      </c>
      <c r="I439">
        <f>_xlfn.XLOOKUP(C439,Population_data!B:B,Population_data!G:G,"")</f>
        <v>64.400000000000006</v>
      </c>
      <c r="J439" t="str">
        <f>_xlfn.XLOOKUP(D439,District_Crime_Unit_Map!A:A,District_Crime_Unit_Map!B:B,"")</f>
        <v>Chittagong Range</v>
      </c>
      <c r="K439">
        <f>_xlfn.XLOOKUP(J439,Crime_Data!A:A,Crime_Data!V:V,"")</f>
        <v>84.879645400600893</v>
      </c>
      <c r="L439">
        <f>_xlfn.XLOOKUP(J439,Crime_Data!A:A,Crime_Data!W:W,"")</f>
        <v>10.309673910686193</v>
      </c>
      <c r="M439" t="str">
        <f>TRIM(Table6[[#This Row],[District]])&amp;"|"&amp;TRIM(Table6[[#This Row],[Upazila]])</f>
        <v>Noakhali|Hatia</v>
      </c>
      <c r="N439" t="str">
        <f>_xlfn.XLOOKUP(B439,Remittance_Data!A:A,Remittance_Data!B:B,"CHECK")</f>
        <v>CHECK</v>
      </c>
      <c r="O439" t="str">
        <f>_xlfn.XLOOKUP(B439,Remittance_Data!A:A,Remittance_Data!C:C,"CHECK")</f>
        <v>CHECK</v>
      </c>
      <c r="P439" t="str">
        <f>_xlfn.XLOOKUP(B439,Remittance_Data!A:A,Remittance_Data!D:D,"CHECK")</f>
        <v>CHECK</v>
      </c>
    </row>
    <row r="440" spans="1:16">
      <c r="A440" t="s">
        <v>831</v>
      </c>
      <c r="B440" t="str">
        <f>SUBSTITUTE(SUBSTITUTE(SUBSTITUTE(SUBSTITUTE(TRIM(Table6[[#This Row],[Constituency]]),"Barisal","Barishal"),"Jessore","Jashore"),"Bogra","Bogura"),"Chapai Nawabganj","Chapainawabganj")</f>
        <v>Noakhali-6</v>
      </c>
      <c r="C440" t="s">
        <v>1401</v>
      </c>
      <c r="D440" t="s">
        <v>1394</v>
      </c>
      <c r="E440">
        <f>_xlfn.XLOOKUP(C440,Population_data!B:B,Population_data!C:C,"")</f>
        <v>134.46</v>
      </c>
      <c r="F440">
        <f>_xlfn.XLOOKUP(C440,Population_data!B:B,Population_data!D:D,"")</f>
        <v>611081</v>
      </c>
      <c r="G440">
        <f>_xlfn.XLOOKUP(C440,Population_data!B:B,Population_data!E:E,"")</f>
        <v>4544.7</v>
      </c>
      <c r="H440">
        <f>_xlfn.XLOOKUP(C440,Population_data!B:B,Population_data!F:F,"")</f>
        <v>4.55</v>
      </c>
      <c r="I440">
        <f>_xlfn.XLOOKUP(C440,Population_data!B:B,Population_data!G:G,"")</f>
        <v>81.459999999999994</v>
      </c>
      <c r="J440" t="str">
        <f>_xlfn.XLOOKUP(D440,District_Crime_Unit_Map!A:A,District_Crime_Unit_Map!B:B,"")</f>
        <v>Chittagong Range</v>
      </c>
      <c r="K440">
        <f>_xlfn.XLOOKUP(J440,Crime_Data!A:A,Crime_Data!V:V,"")</f>
        <v>84.879645400600893</v>
      </c>
      <c r="L440">
        <f>_xlfn.XLOOKUP(J440,Crime_Data!A:A,Crime_Data!W:W,"")</f>
        <v>10.309673910686193</v>
      </c>
      <c r="M440" t="str">
        <f>TRIM(Table6[[#This Row],[District]])&amp;"|"&amp;TRIM(Table6[[#This Row],[Upazila]])</f>
        <v>Noakhali|Begumganj</v>
      </c>
      <c r="N440" t="str">
        <f>_xlfn.XLOOKUP(B440,Remittance_Data!A:A,Remittance_Data!B:B,"CHECK")</f>
        <v>CHECK</v>
      </c>
      <c r="O440" t="str">
        <f>_xlfn.XLOOKUP(B440,Remittance_Data!A:A,Remittance_Data!C:C,"CHECK")</f>
        <v>CHECK</v>
      </c>
      <c r="P440" t="str">
        <f>_xlfn.XLOOKUP(B440,Remittance_Data!A:A,Remittance_Data!D:D,"CHECK")</f>
        <v>CHECK</v>
      </c>
    </row>
    <row r="441" spans="1:16">
      <c r="A441" t="s">
        <v>834</v>
      </c>
      <c r="B441" t="str">
        <f>SUBSTITUTE(SUBSTITUTE(SUBSTITUTE(SUBSTITUTE(TRIM(Table6[[#This Row],[Constituency]]),"Barisal","Barishal"),"Jessore","Jashore"),"Bogra","Bogura"),"Chapai Nawabganj","Chapainawabganj")</f>
        <v>Lakshmipur-1</v>
      </c>
      <c r="C441" t="s">
        <v>1402</v>
      </c>
      <c r="D441" t="s">
        <v>1403</v>
      </c>
      <c r="E441">
        <f>_xlfn.XLOOKUP(C441,Population_data!B:B,Population_data!C:C,"")</f>
        <v>570.54999999999995</v>
      </c>
      <c r="F441">
        <f>_xlfn.XLOOKUP(C441,Population_data!B:B,Population_data!D:D,"")</f>
        <v>313209</v>
      </c>
      <c r="G441">
        <f>_xlfn.XLOOKUP(C441,Population_data!B:B,Population_data!E:E,"")</f>
        <v>548.96</v>
      </c>
      <c r="H441">
        <f>_xlfn.XLOOKUP(C441,Population_data!B:B,Population_data!F:F,"")</f>
        <v>4.1500000000000004</v>
      </c>
      <c r="I441">
        <f>_xlfn.XLOOKUP(C441,Population_data!B:B,Population_data!G:G,"")</f>
        <v>82.9</v>
      </c>
      <c r="J441" t="str">
        <f>_xlfn.XLOOKUP(D441,District_Crime_Unit_Map!A:A,District_Crime_Unit_Map!B:B,"")</f>
        <v>Chittagong Range</v>
      </c>
      <c r="K441">
        <f>_xlfn.XLOOKUP(J441,Crime_Data!A:A,Crime_Data!V:V,"")</f>
        <v>84.879645400600893</v>
      </c>
      <c r="L441">
        <f>_xlfn.XLOOKUP(J441,Crime_Data!A:A,Crime_Data!W:W,"")</f>
        <v>10.309673910686193</v>
      </c>
      <c r="M441" t="str">
        <f>TRIM(Table6[[#This Row],[District]])&amp;"|"&amp;TRIM(Table6[[#This Row],[Upazila]])</f>
        <v>Lakshmipur|Ramganj</v>
      </c>
      <c r="N441" t="str">
        <f>_xlfn.XLOOKUP(B441,Remittance_Data!A:A,Remittance_Data!B:B,"CHECK")</f>
        <v>CHECK</v>
      </c>
      <c r="O441" t="str">
        <f>_xlfn.XLOOKUP(B441,Remittance_Data!A:A,Remittance_Data!C:C,"CHECK")</f>
        <v>CHECK</v>
      </c>
      <c r="P441" t="str">
        <f>_xlfn.XLOOKUP(B441,Remittance_Data!A:A,Remittance_Data!D:D,"CHECK")</f>
        <v>CHECK</v>
      </c>
    </row>
    <row r="442" spans="1:16">
      <c r="A442" t="s">
        <v>837</v>
      </c>
      <c r="B442" t="str">
        <f>SUBSTITUTE(SUBSTITUTE(SUBSTITUTE(SUBSTITUTE(TRIM(Table6[[#This Row],[Constituency]]),"Barisal","Barishal"),"Jessore","Jashore"),"Bogra","Bogura"),"Chapai Nawabganj","Chapainawabganj")</f>
        <v>Lakshmipur-2</v>
      </c>
      <c r="C442" t="s">
        <v>1404</v>
      </c>
      <c r="D442" t="s">
        <v>1403</v>
      </c>
      <c r="E442">
        <f>_xlfn.XLOOKUP(C442,Population_data!B:B,Population_data!C:C,"")</f>
        <v>169.31</v>
      </c>
      <c r="F442">
        <f>_xlfn.XLOOKUP(C442,Population_data!B:B,Population_data!D:D,"")</f>
        <v>313648</v>
      </c>
      <c r="G442">
        <f>_xlfn.XLOOKUP(C442,Population_data!B:B,Population_data!E:E,"")</f>
        <v>1852.51</v>
      </c>
      <c r="H442">
        <f>_xlfn.XLOOKUP(C442,Population_data!B:B,Population_data!F:F,"")</f>
        <v>3.93</v>
      </c>
      <c r="I442">
        <f>_xlfn.XLOOKUP(C442,Population_data!B:B,Population_data!G:G,"")</f>
        <v>76.319999999999993</v>
      </c>
      <c r="J442" t="str">
        <f>_xlfn.XLOOKUP(D442,District_Crime_Unit_Map!A:A,District_Crime_Unit_Map!B:B,"")</f>
        <v>Chittagong Range</v>
      </c>
      <c r="K442">
        <f>_xlfn.XLOOKUP(J442,Crime_Data!A:A,Crime_Data!V:V,"")</f>
        <v>84.879645400600893</v>
      </c>
      <c r="L442">
        <f>_xlfn.XLOOKUP(J442,Crime_Data!A:A,Crime_Data!W:W,"")</f>
        <v>10.309673910686193</v>
      </c>
      <c r="M442" t="str">
        <f>TRIM(Table6[[#This Row],[District]])&amp;"|"&amp;TRIM(Table6[[#This Row],[Upazila]])</f>
        <v>Lakshmipur|Raipur</v>
      </c>
      <c r="N442" t="str">
        <f>_xlfn.XLOOKUP(B442,Remittance_Data!A:A,Remittance_Data!B:B,"CHECK")</f>
        <v>CHECK</v>
      </c>
      <c r="O442" t="str">
        <f>_xlfn.XLOOKUP(B442,Remittance_Data!A:A,Remittance_Data!C:C,"CHECK")</f>
        <v>CHECK</v>
      </c>
      <c r="P442" t="str">
        <f>_xlfn.XLOOKUP(B442,Remittance_Data!A:A,Remittance_Data!D:D,"CHECK")</f>
        <v>CHECK</v>
      </c>
    </row>
    <row r="443" spans="1:16">
      <c r="A443" t="s">
        <v>840</v>
      </c>
      <c r="B443" t="str">
        <f>SUBSTITUTE(SUBSTITUTE(SUBSTITUTE(SUBSTITUTE(TRIM(Table6[[#This Row],[Constituency]]),"Barisal","Barishal"),"Jessore","Jashore"),"Bogra","Bogura"),"Chapai Nawabganj","Chapainawabganj")</f>
        <v>Lakshmipur-3</v>
      </c>
      <c r="C443" t="s">
        <v>1405</v>
      </c>
      <c r="D443" t="s">
        <v>1403</v>
      </c>
      <c r="E443">
        <f>_xlfn.XLOOKUP(C443,Population_data!B:B,Population_data!C:C,"")</f>
        <v>514.80999999999995</v>
      </c>
      <c r="F443">
        <f>_xlfn.XLOOKUP(C443,Population_data!B:B,Population_data!D:D,"")</f>
        <v>814813</v>
      </c>
      <c r="G443">
        <f>_xlfn.XLOOKUP(C443,Population_data!B:B,Population_data!E:E,"")</f>
        <v>1582.75</v>
      </c>
      <c r="H443">
        <f>_xlfn.XLOOKUP(C443,Population_data!B:B,Population_data!F:F,"")</f>
        <v>4.16</v>
      </c>
      <c r="I443">
        <f>_xlfn.XLOOKUP(C443,Population_data!B:B,Population_data!G:G,"")</f>
        <v>75.459999999999994</v>
      </c>
      <c r="J443" t="str">
        <f>_xlfn.XLOOKUP(D443,District_Crime_Unit_Map!A:A,District_Crime_Unit_Map!B:B,"")</f>
        <v>Chittagong Range</v>
      </c>
      <c r="K443">
        <f>_xlfn.XLOOKUP(J443,Crime_Data!A:A,Crime_Data!V:V,"")</f>
        <v>84.879645400600893</v>
      </c>
      <c r="L443">
        <f>_xlfn.XLOOKUP(J443,Crime_Data!A:A,Crime_Data!W:W,"")</f>
        <v>10.309673910686193</v>
      </c>
      <c r="M443" t="str">
        <f>TRIM(Table6[[#This Row],[District]])&amp;"|"&amp;TRIM(Table6[[#This Row],[Upazila]])</f>
        <v>Lakshmipur|Lakshmipur Sadar</v>
      </c>
      <c r="N443" t="str">
        <f>_xlfn.XLOOKUP(B443,Remittance_Data!A:A,Remittance_Data!B:B,"CHECK")</f>
        <v>CHECK</v>
      </c>
      <c r="O443" t="str">
        <f>_xlfn.XLOOKUP(B443,Remittance_Data!A:A,Remittance_Data!C:C,"CHECK")</f>
        <v>CHECK</v>
      </c>
      <c r="P443" t="str">
        <f>_xlfn.XLOOKUP(B443,Remittance_Data!A:A,Remittance_Data!D:D,"CHECK")</f>
        <v>CHECK</v>
      </c>
    </row>
    <row r="444" spans="1:16">
      <c r="A444" t="s">
        <v>843</v>
      </c>
      <c r="B444" t="str">
        <f>SUBSTITUTE(SUBSTITUTE(SUBSTITUTE(SUBSTITUTE(TRIM(Table6[[#This Row],[Constituency]]),"Barisal","Barishal"),"Jessore","Jashore"),"Bogra","Bogura"),"Chapai Nawabganj","Chapainawabganj")</f>
        <v>Lakshmipur-4</v>
      </c>
      <c r="C444" t="s">
        <v>1406</v>
      </c>
      <c r="D444" t="s">
        <v>1403</v>
      </c>
      <c r="E444">
        <f>_xlfn.XLOOKUP(C444,Population_data!B:B,Population_data!C:C,"")</f>
        <v>867.58</v>
      </c>
      <c r="F444">
        <f>_xlfn.XLOOKUP(C444,Population_data!B:B,Population_data!D:D,"")</f>
        <v>278917</v>
      </c>
      <c r="G444">
        <f>_xlfn.XLOOKUP(C444,Population_data!B:B,Population_data!E:E,"")</f>
        <v>321.49</v>
      </c>
      <c r="H444">
        <f>_xlfn.XLOOKUP(C444,Population_data!B:B,Population_data!F:F,"")</f>
        <v>4.4800000000000004</v>
      </c>
      <c r="I444">
        <f>_xlfn.XLOOKUP(C444,Population_data!B:B,Population_data!G:G,"")</f>
        <v>65.459999999999994</v>
      </c>
      <c r="J444" t="str">
        <f>_xlfn.XLOOKUP(D444,District_Crime_Unit_Map!A:A,District_Crime_Unit_Map!B:B,"")</f>
        <v>Chittagong Range</v>
      </c>
      <c r="K444">
        <f>_xlfn.XLOOKUP(J444,Crime_Data!A:A,Crime_Data!V:V,"")</f>
        <v>84.879645400600893</v>
      </c>
      <c r="L444">
        <f>_xlfn.XLOOKUP(J444,Crime_Data!A:A,Crime_Data!W:W,"")</f>
        <v>10.309673910686193</v>
      </c>
      <c r="M444" t="str">
        <f>TRIM(Table6[[#This Row],[District]])&amp;"|"&amp;TRIM(Table6[[#This Row],[Upazila]])</f>
        <v>Lakshmipur|Ramgati</v>
      </c>
      <c r="N444" t="str">
        <f>_xlfn.XLOOKUP(B444,Remittance_Data!A:A,Remittance_Data!B:B,"CHECK")</f>
        <v>CHECK</v>
      </c>
      <c r="O444" t="str">
        <f>_xlfn.XLOOKUP(B444,Remittance_Data!A:A,Remittance_Data!C:C,"CHECK")</f>
        <v>CHECK</v>
      </c>
      <c r="P444" t="str">
        <f>_xlfn.XLOOKUP(B444,Remittance_Data!A:A,Remittance_Data!D:D,"CHECK")</f>
        <v>CHECK</v>
      </c>
    </row>
    <row r="445" spans="1:16">
      <c r="A445" t="s">
        <v>843</v>
      </c>
      <c r="B445" t="str">
        <f>SUBSTITUTE(SUBSTITUTE(SUBSTITUTE(SUBSTITUTE(TRIM(Table6[[#This Row],[Constituency]]),"Barisal","Barishal"),"Jessore","Jashore"),"Bogra","Bogura"),"Chapai Nawabganj","Chapainawabganj")</f>
        <v>Lakshmipur-4</v>
      </c>
      <c r="C445" t="s">
        <v>1407</v>
      </c>
      <c r="D445" t="s">
        <v>1403</v>
      </c>
      <c r="E445">
        <f>_xlfn.XLOOKUP(C445,Population_data!B:B,Population_data!C:C,"")</f>
        <v>191.7</v>
      </c>
      <c r="F445">
        <f>_xlfn.XLOOKUP(C445,Population_data!B:B,Population_data!D:D,"")</f>
        <v>217275</v>
      </c>
      <c r="G445">
        <f>_xlfn.XLOOKUP(C445,Population_data!B:B,Population_data!E:E,"")</f>
        <v>1133.4100000000001</v>
      </c>
      <c r="H445">
        <f>_xlfn.XLOOKUP(C445,Population_data!B:B,Population_data!F:F,"")</f>
        <v>4.2</v>
      </c>
      <c r="I445">
        <f>_xlfn.XLOOKUP(C445,Population_data!B:B,Population_data!G:G,"")</f>
        <v>62.65</v>
      </c>
      <c r="J445" t="str">
        <f>_xlfn.XLOOKUP(D445,District_Crime_Unit_Map!A:A,District_Crime_Unit_Map!B:B,"")</f>
        <v>Chittagong Range</v>
      </c>
      <c r="K445">
        <f>_xlfn.XLOOKUP(J445,Crime_Data!A:A,Crime_Data!V:V,"")</f>
        <v>84.879645400600893</v>
      </c>
      <c r="L445">
        <f>_xlfn.XLOOKUP(J445,Crime_Data!A:A,Crime_Data!W:W,"")</f>
        <v>10.309673910686193</v>
      </c>
      <c r="M445" t="str">
        <f>TRIM(Table6[[#This Row],[District]])&amp;"|"&amp;TRIM(Table6[[#This Row],[Upazila]])</f>
        <v>Lakshmipur|Kamalnagar</v>
      </c>
      <c r="N445" t="str">
        <f>_xlfn.XLOOKUP(B445,Remittance_Data!A:A,Remittance_Data!B:B,"CHECK")</f>
        <v>CHECK</v>
      </c>
      <c r="O445" t="str">
        <f>_xlfn.XLOOKUP(B445,Remittance_Data!A:A,Remittance_Data!C:C,"CHECK")</f>
        <v>CHECK</v>
      </c>
      <c r="P445" t="str">
        <f>_xlfn.XLOOKUP(B445,Remittance_Data!A:A,Remittance_Data!D:D,"CHECK")</f>
        <v>CHECK</v>
      </c>
    </row>
    <row r="446" spans="1:16">
      <c r="A446" t="s">
        <v>846</v>
      </c>
      <c r="B446" t="str">
        <f>SUBSTITUTE(SUBSTITUTE(SUBSTITUTE(SUBSTITUTE(TRIM(Table6[[#This Row],[Constituency]]),"Barisal","Barishal"),"Jessore","Jashore"),"Bogra","Bogura"),"Chapai Nawabganj","Chapainawabganj")</f>
        <v>Chittagong-1</v>
      </c>
      <c r="C446" t="s">
        <v>1408</v>
      </c>
      <c r="D446" t="s">
        <v>742</v>
      </c>
      <c r="E446">
        <f>_xlfn.XLOOKUP(C446,Population_data!B:B,Population_data!C:C,"")</f>
        <v>324.13</v>
      </c>
      <c r="F446">
        <f>_xlfn.XLOOKUP(C446,Population_data!B:B,Population_data!D:D,"")</f>
        <v>472777</v>
      </c>
      <c r="G446">
        <f>_xlfn.XLOOKUP(C446,Population_data!B:B,Population_data!E:E,"")</f>
        <v>1458.6</v>
      </c>
      <c r="H446">
        <f>_xlfn.XLOOKUP(C446,Population_data!B:B,Population_data!F:F,"")</f>
        <v>4.1900000000000004</v>
      </c>
      <c r="I446">
        <f>_xlfn.XLOOKUP(C446,Population_data!B:B,Population_data!G:G,"")</f>
        <v>79.61</v>
      </c>
      <c r="J446" t="str">
        <f>_xlfn.XLOOKUP(D446,District_Crime_Unit_Map!A:A,District_Crime_Unit_Map!B:B,"")</f>
        <v>Chittagong Range</v>
      </c>
      <c r="K446">
        <f>_xlfn.XLOOKUP(J446,Crime_Data!A:A,Crime_Data!V:V,"")</f>
        <v>84.879645400600893</v>
      </c>
      <c r="L446">
        <f>_xlfn.XLOOKUP(J446,Crime_Data!A:A,Crime_Data!W:W,"")</f>
        <v>10.309673910686193</v>
      </c>
      <c r="M446" t="str">
        <f>TRIM(Table6[[#This Row],[District]])&amp;"|"&amp;TRIM(Table6[[#This Row],[Upazila]])</f>
        <v>Chittagong|Mirsharai</v>
      </c>
      <c r="N446" t="str">
        <f>_xlfn.XLOOKUP(B446,Remittance_Data!A:A,Remittance_Data!B:B,"CHECK")</f>
        <v>CHECK</v>
      </c>
      <c r="O446" t="str">
        <f>_xlfn.XLOOKUP(B446,Remittance_Data!A:A,Remittance_Data!C:C,"CHECK")</f>
        <v>CHECK</v>
      </c>
      <c r="P446" t="str">
        <f>_xlfn.XLOOKUP(B446,Remittance_Data!A:A,Remittance_Data!D:D,"CHECK")</f>
        <v>CHECK</v>
      </c>
    </row>
    <row r="447" spans="1:16">
      <c r="A447" t="s">
        <v>849</v>
      </c>
      <c r="B447" t="str">
        <f>SUBSTITUTE(SUBSTITUTE(SUBSTITUTE(SUBSTITUTE(TRIM(Table6[[#This Row],[Constituency]]),"Barisal","Barishal"),"Jessore","Jashore"),"Bogra","Bogura"),"Chapai Nawabganj","Chapainawabganj")</f>
        <v>Chittagong-2</v>
      </c>
      <c r="C447" t="s">
        <v>1409</v>
      </c>
      <c r="D447" t="s">
        <v>742</v>
      </c>
      <c r="E447">
        <f>_xlfn.XLOOKUP(C447,Population_data!B:B,Population_data!C:C,"")</f>
        <v>773.55</v>
      </c>
      <c r="F447">
        <f>_xlfn.XLOOKUP(C447,Population_data!B:B,Population_data!D:D,"")</f>
        <v>642076</v>
      </c>
      <c r="G447">
        <f>_xlfn.XLOOKUP(C447,Population_data!B:B,Population_data!E:E,"")</f>
        <v>830.04</v>
      </c>
      <c r="H447">
        <f>_xlfn.XLOOKUP(C447,Population_data!B:B,Population_data!F:F,"")</f>
        <v>4.3899999999999997</v>
      </c>
      <c r="I447">
        <f>_xlfn.XLOOKUP(C447,Population_data!B:B,Population_data!G:G,"")</f>
        <v>76.11</v>
      </c>
      <c r="J447" t="str">
        <f>_xlfn.XLOOKUP(D447,District_Crime_Unit_Map!A:A,District_Crime_Unit_Map!B:B,"")</f>
        <v>Chittagong Range</v>
      </c>
      <c r="K447">
        <f>_xlfn.XLOOKUP(J447,Crime_Data!A:A,Crime_Data!V:V,"")</f>
        <v>84.879645400600893</v>
      </c>
      <c r="L447">
        <f>_xlfn.XLOOKUP(J447,Crime_Data!A:A,Crime_Data!W:W,"")</f>
        <v>10.309673910686193</v>
      </c>
      <c r="M447" t="str">
        <f>TRIM(Table6[[#This Row],[District]])&amp;"|"&amp;TRIM(Table6[[#This Row],[Upazila]])</f>
        <v>Chittagong|Fatikchhari</v>
      </c>
      <c r="N447" t="str">
        <f>_xlfn.XLOOKUP(B447,Remittance_Data!A:A,Remittance_Data!B:B,"CHECK")</f>
        <v>CHECK</v>
      </c>
      <c r="O447" t="str">
        <f>_xlfn.XLOOKUP(B447,Remittance_Data!A:A,Remittance_Data!C:C,"CHECK")</f>
        <v>CHECK</v>
      </c>
      <c r="P447" t="str">
        <f>_xlfn.XLOOKUP(B447,Remittance_Data!A:A,Remittance_Data!D:D,"CHECK")</f>
        <v>CHECK</v>
      </c>
    </row>
    <row r="448" spans="1:16">
      <c r="A448" t="s">
        <v>851</v>
      </c>
      <c r="B448" t="str">
        <f>SUBSTITUTE(SUBSTITUTE(SUBSTITUTE(SUBSTITUTE(TRIM(Table6[[#This Row],[Constituency]]),"Barisal","Barishal"),"Jessore","Jashore"),"Bogra","Bogura"),"Chapai Nawabganj","Chapainawabganj")</f>
        <v>Chittagong-3</v>
      </c>
      <c r="C448" t="s">
        <v>1410</v>
      </c>
      <c r="D448" t="s">
        <v>742</v>
      </c>
      <c r="E448">
        <f>_xlfn.XLOOKUP(C448,Population_data!B:B,Population_data!C:C,"")</f>
        <v>762.42</v>
      </c>
      <c r="F448">
        <f>_xlfn.XLOOKUP(C448,Population_data!B:B,Population_data!D:D,"")</f>
        <v>327553</v>
      </c>
      <c r="G448">
        <f>_xlfn.XLOOKUP(C448,Population_data!B:B,Population_data!E:E,"")</f>
        <v>429.62</v>
      </c>
      <c r="H448">
        <f>_xlfn.XLOOKUP(C448,Population_data!B:B,Population_data!F:F,"")</f>
        <v>4.4000000000000004</v>
      </c>
      <c r="I448">
        <f>_xlfn.XLOOKUP(C448,Population_data!B:B,Population_data!G:G,"")</f>
        <v>74.14</v>
      </c>
      <c r="J448" t="str">
        <f>_xlfn.XLOOKUP(D448,District_Crime_Unit_Map!A:A,District_Crime_Unit_Map!B:B,"")</f>
        <v>Chittagong Range</v>
      </c>
      <c r="K448">
        <f>_xlfn.XLOOKUP(J448,Crime_Data!A:A,Crime_Data!V:V,"")</f>
        <v>84.879645400600893</v>
      </c>
      <c r="L448">
        <f>_xlfn.XLOOKUP(J448,Crime_Data!A:A,Crime_Data!W:W,"")</f>
        <v>10.309673910686193</v>
      </c>
      <c r="M448" t="str">
        <f>TRIM(Table6[[#This Row],[District]])&amp;"|"&amp;TRIM(Table6[[#This Row],[Upazila]])</f>
        <v>Chittagong|Sandwip</v>
      </c>
      <c r="N448" t="str">
        <f>_xlfn.XLOOKUP(B448,Remittance_Data!A:A,Remittance_Data!B:B,"CHECK")</f>
        <v>CHECK</v>
      </c>
      <c r="O448" t="str">
        <f>_xlfn.XLOOKUP(B448,Remittance_Data!A:A,Remittance_Data!C:C,"CHECK")</f>
        <v>CHECK</v>
      </c>
      <c r="P448" t="str">
        <f>_xlfn.XLOOKUP(B448,Remittance_Data!A:A,Remittance_Data!D:D,"CHECK")</f>
        <v>CHECK</v>
      </c>
    </row>
    <row r="449" spans="1:16">
      <c r="A449" t="s">
        <v>854</v>
      </c>
      <c r="B449" t="str">
        <f>SUBSTITUTE(SUBSTITUTE(SUBSTITUTE(SUBSTITUTE(TRIM(Table6[[#This Row],[Constituency]]),"Barisal","Barishal"),"Jessore","Jashore"),"Bogra","Bogura"),"Chapai Nawabganj","Chapainawabganj")</f>
        <v>Chittagong-4</v>
      </c>
      <c r="C449" t="s">
        <v>1411</v>
      </c>
      <c r="D449" t="s">
        <v>742</v>
      </c>
      <c r="E449">
        <f>_xlfn.XLOOKUP(C449,Population_data!B:B,Population_data!C:C,"")</f>
        <v>336.59</v>
      </c>
      <c r="F449">
        <f>_xlfn.XLOOKUP(C449,Population_data!B:B,Population_data!D:D,"")</f>
        <v>457368</v>
      </c>
      <c r="G449">
        <f>_xlfn.XLOOKUP(C449,Population_data!B:B,Population_data!E:E,"")</f>
        <v>1358.83</v>
      </c>
      <c r="H449">
        <f>_xlfn.XLOOKUP(C449,Population_data!B:B,Population_data!F:F,"")</f>
        <v>4.3</v>
      </c>
      <c r="I449">
        <f>_xlfn.XLOOKUP(C449,Population_data!B:B,Population_data!G:G,"")</f>
        <v>78.33</v>
      </c>
      <c r="J449" t="str">
        <f>_xlfn.XLOOKUP(D449,District_Crime_Unit_Map!A:A,District_Crime_Unit_Map!B:B,"")</f>
        <v>Chittagong Range</v>
      </c>
      <c r="K449">
        <f>_xlfn.XLOOKUP(J449,Crime_Data!A:A,Crime_Data!V:V,"")</f>
        <v>84.879645400600893</v>
      </c>
      <c r="L449">
        <f>_xlfn.XLOOKUP(J449,Crime_Data!A:A,Crime_Data!W:W,"")</f>
        <v>10.309673910686193</v>
      </c>
      <c r="M449" t="str">
        <f>TRIM(Table6[[#This Row],[District]])&amp;"|"&amp;TRIM(Table6[[#This Row],[Upazila]])</f>
        <v>Chittagong|Sitakunda</v>
      </c>
      <c r="N449" t="str">
        <f>_xlfn.XLOOKUP(B449,Remittance_Data!A:A,Remittance_Data!B:B,"CHECK")</f>
        <v>CHECK</v>
      </c>
      <c r="O449" t="str">
        <f>_xlfn.XLOOKUP(B449,Remittance_Data!A:A,Remittance_Data!C:C,"CHECK")</f>
        <v>CHECK</v>
      </c>
      <c r="P449" t="str">
        <f>_xlfn.XLOOKUP(B449,Remittance_Data!A:A,Remittance_Data!D:D,"CHECK")</f>
        <v>CHECK</v>
      </c>
    </row>
    <row r="450" spans="1:16">
      <c r="A450" t="s">
        <v>855</v>
      </c>
      <c r="B450" t="str">
        <f>SUBSTITUTE(SUBSTITUTE(SUBSTITUTE(SUBSTITUTE(TRIM(Table6[[#This Row],[Constituency]]),"Barisal","Barishal"),"Jessore","Jashore"),"Bogra","Bogura"),"Chapai Nawabganj","Chapainawabganj")</f>
        <v>Chittagong-5</v>
      </c>
      <c r="C450" t="s">
        <v>1412</v>
      </c>
      <c r="D450" t="s">
        <v>742</v>
      </c>
      <c r="E450">
        <f>_xlfn.XLOOKUP(C450,Population_data!B:B,Population_data!C:C,"")</f>
        <v>293.5</v>
      </c>
      <c r="F450">
        <f>_xlfn.XLOOKUP(C450,Population_data!B:B,Population_data!D:D,"")</f>
        <v>498179</v>
      </c>
      <c r="G450">
        <f>_xlfn.XLOOKUP(C450,Population_data!B:B,Population_data!E:E,"")</f>
        <v>1697.37</v>
      </c>
      <c r="H450">
        <f>_xlfn.XLOOKUP(C450,Population_data!B:B,Population_data!F:F,"")</f>
        <v>4.37</v>
      </c>
      <c r="I450">
        <f>_xlfn.XLOOKUP(C450,Population_data!B:B,Population_data!G:G,"")</f>
        <v>86.28</v>
      </c>
      <c r="J450" t="str">
        <f>_xlfn.XLOOKUP(D450,District_Crime_Unit_Map!A:A,District_Crime_Unit_Map!B:B,"")</f>
        <v>Chittagong Range</v>
      </c>
      <c r="K450">
        <f>_xlfn.XLOOKUP(J450,Crime_Data!A:A,Crime_Data!V:V,"")</f>
        <v>84.879645400600893</v>
      </c>
      <c r="L450">
        <f>_xlfn.XLOOKUP(J450,Crime_Data!A:A,Crime_Data!W:W,"")</f>
        <v>10.309673910686193</v>
      </c>
      <c r="M450" t="str">
        <f>TRIM(Table6[[#This Row],[District]])&amp;"|"&amp;TRIM(Table6[[#This Row],[Upazila]])</f>
        <v>Chittagong|Hathazari</v>
      </c>
      <c r="N450" t="str">
        <f>_xlfn.XLOOKUP(B450,Remittance_Data!A:A,Remittance_Data!B:B,"CHECK")</f>
        <v>CHECK</v>
      </c>
      <c r="O450" t="str">
        <f>_xlfn.XLOOKUP(B450,Remittance_Data!A:A,Remittance_Data!C:C,"CHECK")</f>
        <v>CHECK</v>
      </c>
      <c r="P450" t="str">
        <f>_xlfn.XLOOKUP(B450,Remittance_Data!A:A,Remittance_Data!D:D,"CHECK")</f>
        <v>CHECK</v>
      </c>
    </row>
    <row r="451" spans="1:16">
      <c r="A451" t="s">
        <v>858</v>
      </c>
      <c r="B451" t="str">
        <f>SUBSTITUTE(SUBSTITUTE(SUBSTITUTE(SUBSTITUTE(TRIM(Table6[[#This Row],[Constituency]]),"Barisal","Barishal"),"Jessore","Jashore"),"Bogra","Bogura"),"Chapai Nawabganj","Chapainawabganj")</f>
        <v>Chittagong-6</v>
      </c>
      <c r="C451" t="s">
        <v>1413</v>
      </c>
      <c r="D451" t="s">
        <v>742</v>
      </c>
      <c r="E451">
        <f>_xlfn.XLOOKUP(C451,Population_data!B:B,Population_data!C:C,"")</f>
        <v>198.53</v>
      </c>
      <c r="F451">
        <f>_xlfn.XLOOKUP(C451,Population_data!B:B,Population_data!D:D,"")</f>
        <v>396350</v>
      </c>
      <c r="G451">
        <f>_xlfn.XLOOKUP(C451,Population_data!B:B,Population_data!E:E,"")</f>
        <v>1996.42</v>
      </c>
      <c r="H451">
        <f>_xlfn.XLOOKUP(C451,Population_data!B:B,Population_data!F:F,"")</f>
        <v>4.42</v>
      </c>
      <c r="I451">
        <f>_xlfn.XLOOKUP(C451,Population_data!B:B,Population_data!G:G,"")</f>
        <v>84.87</v>
      </c>
      <c r="J451" t="str">
        <f>_xlfn.XLOOKUP(D451,District_Crime_Unit_Map!A:A,District_Crime_Unit_Map!B:B,"")</f>
        <v>Chittagong Range</v>
      </c>
      <c r="K451">
        <f>_xlfn.XLOOKUP(J451,Crime_Data!A:A,Crime_Data!V:V,"")</f>
        <v>84.879645400600893</v>
      </c>
      <c r="L451">
        <f>_xlfn.XLOOKUP(J451,Crime_Data!A:A,Crime_Data!W:W,"")</f>
        <v>10.309673910686193</v>
      </c>
      <c r="M451" t="str">
        <f>TRIM(Table6[[#This Row],[District]])&amp;"|"&amp;TRIM(Table6[[#This Row],[Upazila]])</f>
        <v>Chittagong|Raozan</v>
      </c>
      <c r="N451" t="str">
        <f>_xlfn.XLOOKUP(B451,Remittance_Data!A:A,Remittance_Data!B:B,"CHECK")</f>
        <v>CHECK</v>
      </c>
      <c r="O451" t="str">
        <f>_xlfn.XLOOKUP(B451,Remittance_Data!A:A,Remittance_Data!C:C,"CHECK")</f>
        <v>CHECK</v>
      </c>
      <c r="P451" t="str">
        <f>_xlfn.XLOOKUP(B451,Remittance_Data!A:A,Remittance_Data!D:D,"CHECK")</f>
        <v>CHECK</v>
      </c>
    </row>
    <row r="452" spans="1:16">
      <c r="A452" t="s">
        <v>861</v>
      </c>
      <c r="B452" t="str">
        <f>SUBSTITUTE(SUBSTITUTE(SUBSTITUTE(SUBSTITUTE(TRIM(Table6[[#This Row],[Constituency]]),"Barisal","Barishal"),"Jessore","Jashore"),"Bogra","Bogura"),"Chapai Nawabganj","Chapainawabganj")</f>
        <v>Chittagong-7</v>
      </c>
      <c r="C452" t="s">
        <v>1414</v>
      </c>
      <c r="D452" t="s">
        <v>742</v>
      </c>
      <c r="E452">
        <f>_xlfn.XLOOKUP(C452,Population_data!B:B,Population_data!C:C,"")</f>
        <v>351.32</v>
      </c>
      <c r="F452">
        <f>_xlfn.XLOOKUP(C452,Population_data!B:B,Population_data!D:D,"")</f>
        <v>392898</v>
      </c>
      <c r="G452">
        <f>_xlfn.XLOOKUP(C452,Population_data!B:B,Population_data!E:E,"")</f>
        <v>1118.3499999999999</v>
      </c>
      <c r="H452">
        <f>_xlfn.XLOOKUP(C452,Population_data!B:B,Population_data!F:F,"")</f>
        <v>4.29</v>
      </c>
      <c r="I452">
        <f>_xlfn.XLOOKUP(C452,Population_data!B:B,Population_data!G:G,"")</f>
        <v>77.599999999999994</v>
      </c>
      <c r="J452" t="str">
        <f>_xlfn.XLOOKUP(D452,District_Crime_Unit_Map!A:A,District_Crime_Unit_Map!B:B,"")</f>
        <v>Chittagong Range</v>
      </c>
      <c r="K452">
        <f>_xlfn.XLOOKUP(J452,Crime_Data!A:A,Crime_Data!V:V,"")</f>
        <v>84.879645400600893</v>
      </c>
      <c r="L452">
        <f>_xlfn.XLOOKUP(J452,Crime_Data!A:A,Crime_Data!W:W,"")</f>
        <v>10.309673910686193</v>
      </c>
      <c r="M452" t="str">
        <f>TRIM(Table6[[#This Row],[District]])&amp;"|"&amp;TRIM(Table6[[#This Row],[Upazila]])</f>
        <v>Chittagong|Rangunia</v>
      </c>
      <c r="N452" t="str">
        <f>_xlfn.XLOOKUP(B452,Remittance_Data!A:A,Remittance_Data!B:B,"CHECK")</f>
        <v>CHECK</v>
      </c>
      <c r="O452" t="str">
        <f>_xlfn.XLOOKUP(B452,Remittance_Data!A:A,Remittance_Data!C:C,"CHECK")</f>
        <v>CHECK</v>
      </c>
      <c r="P452" t="str">
        <f>_xlfn.XLOOKUP(B452,Remittance_Data!A:A,Remittance_Data!D:D,"CHECK")</f>
        <v>CHECK</v>
      </c>
    </row>
    <row r="453" spans="1:16">
      <c r="A453" t="s">
        <v>864</v>
      </c>
      <c r="B453" t="str">
        <f>SUBSTITUTE(SUBSTITUTE(SUBSTITUTE(SUBSTITUTE(TRIM(Table6[[#This Row],[Constituency]]),"Barisal","Barishal"),"Jessore","Jashore"),"Bogra","Bogura"),"Chapai Nawabganj","Chapainawabganj")</f>
        <v>Chittagong-8</v>
      </c>
      <c r="C453" t="s">
        <v>1415</v>
      </c>
      <c r="D453" t="s">
        <v>742</v>
      </c>
      <c r="E453">
        <f>_xlfn.XLOOKUP(C453,Population_data!B:B,Population_data!C:C,"")</f>
        <v>145.66999999999999</v>
      </c>
      <c r="F453">
        <f>_xlfn.XLOOKUP(C453,Population_data!B:B,Population_data!D:D,"")</f>
        <v>258675</v>
      </c>
      <c r="G453">
        <f>_xlfn.XLOOKUP(C453,Population_data!B:B,Population_data!E:E,"")</f>
        <v>1775.76</v>
      </c>
      <c r="H453">
        <f>_xlfn.XLOOKUP(C453,Population_data!B:B,Population_data!F:F,"")</f>
        <v>4.4400000000000004</v>
      </c>
      <c r="I453">
        <f>_xlfn.XLOOKUP(C453,Population_data!B:B,Population_data!G:G,"")</f>
        <v>83.45</v>
      </c>
      <c r="J453" t="str">
        <f>_xlfn.XLOOKUP(D453,District_Crime_Unit_Map!A:A,District_Crime_Unit_Map!B:B,"")</f>
        <v>Chittagong Range</v>
      </c>
      <c r="K453">
        <f>_xlfn.XLOOKUP(J453,Crime_Data!A:A,Crime_Data!V:V,"")</f>
        <v>84.879645400600893</v>
      </c>
      <c r="L453">
        <f>_xlfn.XLOOKUP(J453,Crime_Data!A:A,Crime_Data!W:W,"")</f>
        <v>10.309673910686193</v>
      </c>
      <c r="M453" t="str">
        <f>TRIM(Table6[[#This Row],[District]])&amp;"|"&amp;TRIM(Table6[[#This Row],[Upazila]])</f>
        <v>Chittagong|Boalkhali</v>
      </c>
      <c r="N453" t="str">
        <f>_xlfn.XLOOKUP(B453,Remittance_Data!A:A,Remittance_Data!B:B,"CHECK")</f>
        <v>CHECK</v>
      </c>
      <c r="O453" t="str">
        <f>_xlfn.XLOOKUP(B453,Remittance_Data!A:A,Remittance_Data!C:C,"CHECK")</f>
        <v>CHECK</v>
      </c>
      <c r="P453" t="str">
        <f>_xlfn.XLOOKUP(B453,Remittance_Data!A:A,Remittance_Data!D:D,"CHECK")</f>
        <v>CHECK</v>
      </c>
    </row>
    <row r="454" spans="1:16">
      <c r="A454" t="s">
        <v>864</v>
      </c>
      <c r="B454" t="str">
        <f>SUBSTITUTE(SUBSTITUTE(SUBSTITUTE(SUBSTITUTE(TRIM(Table6[[#This Row],[Constituency]]),"Barisal","Barishal"),"Jessore","Jashore"),"Bogra","Bogura"),"Chapai Nawabganj","Chapainawabganj")</f>
        <v>Chittagong-8</v>
      </c>
      <c r="C454" t="s">
        <v>1416</v>
      </c>
      <c r="D454" t="s">
        <v>742</v>
      </c>
      <c r="E454">
        <f>_xlfn.XLOOKUP(C454,Population_data!B:B,Population_data!C:C,"")</f>
        <v>324.13</v>
      </c>
      <c r="F454">
        <f>_xlfn.XLOOKUP(C454,Population_data!B:B,Population_data!D:D,"")</f>
        <v>252238</v>
      </c>
      <c r="G454">
        <f>_xlfn.XLOOKUP(C454,Population_data!B:B,Population_data!E:E,"")</f>
        <v>778.2</v>
      </c>
      <c r="H454">
        <f>_xlfn.XLOOKUP(C454,Population_data!B:B,Population_data!F:F,"")</f>
        <v>4.4400000000000004</v>
      </c>
      <c r="I454">
        <f>_xlfn.XLOOKUP(C454,Population_data!B:B,Population_data!G:G,"")</f>
        <v>79.69</v>
      </c>
      <c r="J454" t="str">
        <f>_xlfn.XLOOKUP(D454,District_Crime_Unit_Map!A:A,District_Crime_Unit_Map!B:B,"")</f>
        <v>Chittagong Range</v>
      </c>
      <c r="K454">
        <f>_xlfn.XLOOKUP(J454,Crime_Data!A:A,Crime_Data!V:V,"")</f>
        <v>84.879645400600893</v>
      </c>
      <c r="L454">
        <f>_xlfn.XLOOKUP(J454,Crime_Data!A:A,Crime_Data!W:W,"")</f>
        <v>10.309673910686193</v>
      </c>
      <c r="M454" t="str">
        <f>TRIM(Table6[[#This Row],[District]])&amp;"|"&amp;TRIM(Table6[[#This Row],[Upazila]])</f>
        <v>Chittagong|Chandanaish</v>
      </c>
      <c r="N454" t="str">
        <f>_xlfn.XLOOKUP(B454,Remittance_Data!A:A,Remittance_Data!B:B,"CHECK")</f>
        <v>CHECK</v>
      </c>
      <c r="O454" t="str">
        <f>_xlfn.XLOOKUP(B454,Remittance_Data!A:A,Remittance_Data!C:C,"CHECK")</f>
        <v>CHECK</v>
      </c>
      <c r="P454" t="str">
        <f>_xlfn.XLOOKUP(B454,Remittance_Data!A:A,Remittance_Data!D:D,"CHECK")</f>
        <v>CHECK</v>
      </c>
    </row>
    <row r="455" spans="1:16">
      <c r="A455" t="s">
        <v>867</v>
      </c>
      <c r="B455" t="str">
        <f>SUBSTITUTE(SUBSTITUTE(SUBSTITUTE(SUBSTITUTE(TRIM(Table6[[#This Row],[Constituency]]),"Barisal","Barishal"),"Jessore","Jashore"),"Bogra","Bogura"),"Chapai Nawabganj","Chapainawabganj")</f>
        <v>Chittagong-9</v>
      </c>
      <c r="C455" t="s">
        <v>1247</v>
      </c>
      <c r="D455" t="s">
        <v>742</v>
      </c>
      <c r="E455">
        <v>9.99</v>
      </c>
      <c r="F455">
        <v>207738</v>
      </c>
      <c r="G455">
        <v>20788</v>
      </c>
      <c r="H455">
        <v>4.0599999999999996</v>
      </c>
      <c r="I455">
        <v>83.08</v>
      </c>
      <c r="J455" t="str">
        <f>_xlfn.XLOOKUP(D455,District_Crime_Unit_Map!A:A,District_Crime_Unit_Map!B:B,"")</f>
        <v>Chittagong Range</v>
      </c>
      <c r="K455">
        <f>_xlfn.XLOOKUP(J455,Crime_Data!A:A,Crime_Data!V:V,"")</f>
        <v>84.879645400600893</v>
      </c>
      <c r="L455">
        <f>_xlfn.XLOOKUP(J455,Crime_Data!A:A,Crime_Data!W:W,"")</f>
        <v>10.309673910686193</v>
      </c>
      <c r="M455" t="str">
        <f>TRIM(Table6[[#This Row],[District]])&amp;"|"&amp;TRIM(Table6[[#This Row],[Upazila]])</f>
        <v>Chittagong|Kotwali</v>
      </c>
      <c r="N455" t="str">
        <f>_xlfn.XLOOKUP(B455,Remittance_Data!A:A,Remittance_Data!B:B,"CHECK")</f>
        <v>CHECK</v>
      </c>
      <c r="O455" t="str">
        <f>_xlfn.XLOOKUP(B455,Remittance_Data!A:A,Remittance_Data!C:C,"CHECK")</f>
        <v>CHECK</v>
      </c>
      <c r="P455" t="str">
        <f>_xlfn.XLOOKUP(B455,Remittance_Data!A:A,Remittance_Data!D:D,"CHECK")</f>
        <v>CHECK</v>
      </c>
    </row>
    <row r="456" spans="1:16">
      <c r="A456" t="s">
        <v>870</v>
      </c>
      <c r="B456" t="str">
        <f>SUBSTITUTE(SUBSTITUTE(SUBSTITUTE(SUBSTITUTE(TRIM(Table6[[#This Row],[Constituency]]),"Barisal","Barishal"),"Jessore","Jashore"),"Bogra","Bogura"),"Chapai Nawabganj","Chapainawabganj")</f>
        <v>Chittagong-10</v>
      </c>
      <c r="C456" t="s">
        <v>1417</v>
      </c>
      <c r="D456" t="s">
        <v>742</v>
      </c>
      <c r="E456">
        <v>11.99</v>
      </c>
      <c r="F456">
        <v>249327</v>
      </c>
      <c r="G456">
        <v>20788</v>
      </c>
      <c r="H456">
        <v>4.0199999999999996</v>
      </c>
      <c r="I456">
        <v>84.57</v>
      </c>
      <c r="J456" t="str">
        <f>_xlfn.XLOOKUP(D456,District_Crime_Unit_Map!A:A,District_Crime_Unit_Map!B:B,"")</f>
        <v>Chittagong Range</v>
      </c>
      <c r="K456">
        <f>_xlfn.XLOOKUP(J456,Crime_Data!A:A,Crime_Data!V:V,"")</f>
        <v>84.879645400600893</v>
      </c>
      <c r="L456">
        <f>_xlfn.XLOOKUP(J456,Crime_Data!A:A,Crime_Data!W:W,"")</f>
        <v>10.309673910686193</v>
      </c>
      <c r="M456" t="str">
        <f>TRIM(Table6[[#This Row],[District]])&amp;"|"&amp;TRIM(Table6[[#This Row],[Upazila]])</f>
        <v>Chittagong|Double Mooring</v>
      </c>
      <c r="N456" t="str">
        <f>_xlfn.XLOOKUP(B456,Remittance_Data!A:A,Remittance_Data!B:B,"CHECK")</f>
        <v>CHECK</v>
      </c>
      <c r="O456" t="str">
        <f>_xlfn.XLOOKUP(B456,Remittance_Data!A:A,Remittance_Data!C:C,"CHECK")</f>
        <v>CHECK</v>
      </c>
      <c r="P456" t="str">
        <f>_xlfn.XLOOKUP(B456,Remittance_Data!A:A,Remittance_Data!D:D,"CHECK")</f>
        <v>CHECK</v>
      </c>
    </row>
    <row r="457" spans="1:16">
      <c r="A457" t="s">
        <v>873</v>
      </c>
      <c r="B457" t="str">
        <f>SUBSTITUTE(SUBSTITUTE(SUBSTITUTE(SUBSTITUTE(TRIM(Table6[[#This Row],[Constituency]]),"Barisal","Barishal"),"Jessore","Jashore"),"Bogra","Bogura"),"Chapai Nawabganj","Chapainawabganj")</f>
        <v>Chittagong-11</v>
      </c>
      <c r="C457" t="s">
        <v>1418</v>
      </c>
      <c r="D457" t="s">
        <v>742</v>
      </c>
      <c r="E457">
        <f>_xlfn.XLOOKUP(C457,Population_data!B:B,Population_data!C:C,"")</f>
        <v>55.84</v>
      </c>
      <c r="F457">
        <f>_xlfn.XLOOKUP(C457,Population_data!B:B,Population_data!D:D,"")</f>
        <v>204768</v>
      </c>
      <c r="G457">
        <f>_xlfn.XLOOKUP(C457,Population_data!B:B,Population_data!E:E,"")</f>
        <v>3667.05</v>
      </c>
      <c r="H457">
        <f>_xlfn.XLOOKUP(C457,Population_data!B:B,Population_data!F:F,"")</f>
        <v>3.91</v>
      </c>
      <c r="I457">
        <f>_xlfn.XLOOKUP(C457,Population_data!B:B,Population_data!G:G,"")</f>
        <v>78.5</v>
      </c>
      <c r="J457" t="str">
        <f>_xlfn.XLOOKUP(D457,District_Crime_Unit_Map!A:A,District_Crime_Unit_Map!B:B,"")</f>
        <v>Chittagong Range</v>
      </c>
      <c r="K457">
        <f>_xlfn.XLOOKUP(J457,Crime_Data!A:A,Crime_Data!V:V,"")</f>
        <v>84.879645400600893</v>
      </c>
      <c r="L457">
        <f>_xlfn.XLOOKUP(J457,Crime_Data!A:A,Crime_Data!W:W,"")</f>
        <v>10.309673910686193</v>
      </c>
      <c r="M457" t="str">
        <f>TRIM(Table6[[#This Row],[District]])&amp;"|"&amp;TRIM(Table6[[#This Row],[Upazila]])</f>
        <v>Chittagong|Bandar</v>
      </c>
      <c r="N457" t="str">
        <f>_xlfn.XLOOKUP(B457,Remittance_Data!A:A,Remittance_Data!B:B,"CHECK")</f>
        <v>CHECK</v>
      </c>
      <c r="O457" t="str">
        <f>_xlfn.XLOOKUP(B457,Remittance_Data!A:A,Remittance_Data!C:C,"CHECK")</f>
        <v>CHECK</v>
      </c>
      <c r="P457" t="str">
        <f>_xlfn.XLOOKUP(B457,Remittance_Data!A:A,Remittance_Data!D:D,"CHECK")</f>
        <v>CHECK</v>
      </c>
    </row>
    <row r="458" spans="1:16">
      <c r="A458" t="s">
        <v>876</v>
      </c>
      <c r="B458" t="str">
        <f>SUBSTITUTE(SUBSTITUTE(SUBSTITUTE(SUBSTITUTE(TRIM(Table6[[#This Row],[Constituency]]),"Barisal","Barishal"),"Jessore","Jashore"),"Bogra","Bogura"),"Chapai Nawabganj","Chapainawabganj")</f>
        <v>Chittagong-12</v>
      </c>
      <c r="C458" t="s">
        <v>1419</v>
      </c>
      <c r="D458" t="s">
        <v>742</v>
      </c>
      <c r="E458">
        <f>_xlfn.XLOOKUP(C458,Population_data!B:B,Population_data!C:C,"")</f>
        <v>203.92</v>
      </c>
      <c r="F458">
        <f>_xlfn.XLOOKUP(C458,Population_data!B:B,Population_data!D:D,"")</f>
        <v>397672</v>
      </c>
      <c r="G458">
        <f>_xlfn.XLOOKUP(C458,Population_data!B:B,Population_data!E:E,"")</f>
        <v>1950.14</v>
      </c>
      <c r="H458">
        <f>_xlfn.XLOOKUP(C458,Population_data!B:B,Population_data!F:F,"")</f>
        <v>4.4800000000000004</v>
      </c>
      <c r="I458">
        <f>_xlfn.XLOOKUP(C458,Population_data!B:B,Population_data!G:G,"")</f>
        <v>81.099999999999994</v>
      </c>
      <c r="J458" t="str">
        <f>_xlfn.XLOOKUP(D458,District_Crime_Unit_Map!A:A,District_Crime_Unit_Map!B:B,"")</f>
        <v>Chittagong Range</v>
      </c>
      <c r="K458">
        <f>_xlfn.XLOOKUP(J458,Crime_Data!A:A,Crime_Data!V:V,"")</f>
        <v>84.879645400600893</v>
      </c>
      <c r="L458">
        <f>_xlfn.XLOOKUP(J458,Crime_Data!A:A,Crime_Data!W:W,"")</f>
        <v>10.309673910686193</v>
      </c>
      <c r="M458" t="str">
        <f>TRIM(Table6[[#This Row],[District]])&amp;"|"&amp;TRIM(Table6[[#This Row],[Upazila]])</f>
        <v>Chittagong|Patiya</v>
      </c>
      <c r="N458" t="str">
        <f>_xlfn.XLOOKUP(B458,Remittance_Data!A:A,Remittance_Data!B:B,"CHECK")</f>
        <v>CHECK</v>
      </c>
      <c r="O458" t="str">
        <f>_xlfn.XLOOKUP(B458,Remittance_Data!A:A,Remittance_Data!C:C,"CHECK")</f>
        <v>CHECK</v>
      </c>
      <c r="P458" t="str">
        <f>_xlfn.XLOOKUP(B458,Remittance_Data!A:A,Remittance_Data!D:D,"CHECK")</f>
        <v>CHECK</v>
      </c>
    </row>
    <row r="459" spans="1:16">
      <c r="A459" t="s">
        <v>879</v>
      </c>
      <c r="B459" t="str">
        <f>SUBSTITUTE(SUBSTITUTE(SUBSTITUTE(SUBSTITUTE(TRIM(Table6[[#This Row],[Constituency]]),"Barisal","Barishal"),"Jessore","Jashore"),"Bogra","Bogura"),"Chapai Nawabganj","Chapainawabganj")</f>
        <v>Chittagong-13</v>
      </c>
      <c r="C459" t="s">
        <v>1420</v>
      </c>
      <c r="D459" t="s">
        <v>742</v>
      </c>
      <c r="E459">
        <f>_xlfn.XLOOKUP(C459,Population_data!B:B,Population_data!C:C,"")</f>
        <v>164.13</v>
      </c>
      <c r="F459">
        <f>_xlfn.XLOOKUP(C459,Population_data!B:B,Population_data!D:D,"")</f>
        <v>319482</v>
      </c>
      <c r="G459">
        <f>_xlfn.XLOOKUP(C459,Population_data!B:B,Population_data!E:E,"")</f>
        <v>1946.52</v>
      </c>
      <c r="H459">
        <f>_xlfn.XLOOKUP(C459,Population_data!B:B,Population_data!F:F,"")</f>
        <v>4.55</v>
      </c>
      <c r="I459">
        <f>_xlfn.XLOOKUP(C459,Population_data!B:B,Population_data!G:G,"")</f>
        <v>75.900000000000006</v>
      </c>
      <c r="J459" t="str">
        <f>_xlfn.XLOOKUP(D459,District_Crime_Unit_Map!A:A,District_Crime_Unit_Map!B:B,"")</f>
        <v>Chittagong Range</v>
      </c>
      <c r="K459">
        <f>_xlfn.XLOOKUP(J459,Crime_Data!A:A,Crime_Data!V:V,"")</f>
        <v>84.879645400600893</v>
      </c>
      <c r="L459">
        <f>_xlfn.XLOOKUP(J459,Crime_Data!A:A,Crime_Data!W:W,"")</f>
        <v>10.309673910686193</v>
      </c>
      <c r="M459" t="str">
        <f>TRIM(Table6[[#This Row],[District]])&amp;"|"&amp;TRIM(Table6[[#This Row],[Upazila]])</f>
        <v>Chittagong|Anwara</v>
      </c>
      <c r="N459" t="str">
        <f>_xlfn.XLOOKUP(B459,Remittance_Data!A:A,Remittance_Data!B:B,"CHECK")</f>
        <v>CHECK</v>
      </c>
      <c r="O459" t="str">
        <f>_xlfn.XLOOKUP(B459,Remittance_Data!A:A,Remittance_Data!C:C,"CHECK")</f>
        <v>CHECK</v>
      </c>
      <c r="P459" t="str">
        <f>_xlfn.XLOOKUP(B459,Remittance_Data!A:A,Remittance_Data!D:D,"CHECK")</f>
        <v>CHECK</v>
      </c>
    </row>
    <row r="460" spans="1:16">
      <c r="A460" t="s">
        <v>879</v>
      </c>
      <c r="B460" t="str">
        <f>SUBSTITUTE(SUBSTITUTE(SUBSTITUTE(SUBSTITUTE(TRIM(Table6[[#This Row],[Constituency]]),"Barisal","Barishal"),"Jessore","Jashore"),"Bogra","Bogura"),"Chapai Nawabganj","Chapainawabganj")</f>
        <v>Chittagong-13</v>
      </c>
      <c r="C460" t="s">
        <v>1421</v>
      </c>
      <c r="D460" t="s">
        <v>742</v>
      </c>
      <c r="E460">
        <f>_xlfn.XLOOKUP(C460,Population_data!B:B,Population_data!C:C,"")</f>
        <v>99.87</v>
      </c>
      <c r="F460">
        <f>_xlfn.XLOOKUP(C460,Population_data!B:B,Population_data!D:D,"")</f>
        <v>203697</v>
      </c>
      <c r="G460">
        <f>_xlfn.XLOOKUP(C460,Population_data!B:B,Population_data!E:E,"")</f>
        <v>2039.62</v>
      </c>
      <c r="H460">
        <f>_xlfn.XLOOKUP(C460,Population_data!B:B,Population_data!F:F,"")</f>
        <v>4.62</v>
      </c>
      <c r="I460">
        <f>_xlfn.XLOOKUP(C460,Population_data!B:B,Population_data!G:G,"")</f>
        <v>77.150000000000006</v>
      </c>
      <c r="J460" t="str">
        <f>_xlfn.XLOOKUP(D460,District_Crime_Unit_Map!A:A,District_Crime_Unit_Map!B:B,"")</f>
        <v>Chittagong Range</v>
      </c>
      <c r="K460">
        <f>_xlfn.XLOOKUP(J460,Crime_Data!A:A,Crime_Data!V:V,"")</f>
        <v>84.879645400600893</v>
      </c>
      <c r="L460">
        <f>_xlfn.XLOOKUP(J460,Crime_Data!A:A,Crime_Data!W:W,"")</f>
        <v>10.309673910686193</v>
      </c>
      <c r="M460" t="str">
        <f>TRIM(Table6[[#This Row],[District]])&amp;"|"&amp;TRIM(Table6[[#This Row],[Upazila]])</f>
        <v>Chittagong|Karnaphuli</v>
      </c>
      <c r="N460" t="str">
        <f>_xlfn.XLOOKUP(B460,Remittance_Data!A:A,Remittance_Data!B:B,"CHECK")</f>
        <v>CHECK</v>
      </c>
      <c r="O460" t="str">
        <f>_xlfn.XLOOKUP(B460,Remittance_Data!A:A,Remittance_Data!C:C,"CHECK")</f>
        <v>CHECK</v>
      </c>
      <c r="P460" t="str">
        <f>_xlfn.XLOOKUP(B460,Remittance_Data!A:A,Remittance_Data!D:D,"CHECK")</f>
        <v>CHECK</v>
      </c>
    </row>
    <row r="461" spans="1:16">
      <c r="A461" t="s">
        <v>882</v>
      </c>
      <c r="B461" t="str">
        <f>SUBSTITUTE(SUBSTITUTE(SUBSTITUTE(SUBSTITUTE(TRIM(Table6[[#This Row],[Constituency]]),"Barisal","Barishal"),"Jessore","Jashore"),"Bogra","Bogura"),"Chapai Nawabganj","Chapainawabganj")</f>
        <v>Chittagong-14</v>
      </c>
      <c r="C461" t="s">
        <v>1416</v>
      </c>
      <c r="D461" t="s">
        <v>742</v>
      </c>
      <c r="E461">
        <f>_xlfn.XLOOKUP(C461,Population_data!B:B,Population_data!C:C,"")</f>
        <v>324.13</v>
      </c>
      <c r="F461">
        <f>_xlfn.XLOOKUP(C461,Population_data!B:B,Population_data!D:D,"")</f>
        <v>252238</v>
      </c>
      <c r="G461">
        <f>_xlfn.XLOOKUP(C461,Population_data!B:B,Population_data!E:E,"")</f>
        <v>778.2</v>
      </c>
      <c r="H461">
        <f>_xlfn.XLOOKUP(C461,Population_data!B:B,Population_data!F:F,"")</f>
        <v>4.4400000000000004</v>
      </c>
      <c r="I461">
        <f>_xlfn.XLOOKUP(C461,Population_data!B:B,Population_data!G:G,"")</f>
        <v>79.69</v>
      </c>
      <c r="J461" t="str">
        <f>_xlfn.XLOOKUP(D461,District_Crime_Unit_Map!A:A,District_Crime_Unit_Map!B:B,"")</f>
        <v>Chittagong Range</v>
      </c>
      <c r="K461">
        <f>_xlfn.XLOOKUP(J461,Crime_Data!A:A,Crime_Data!V:V,"")</f>
        <v>84.879645400600893</v>
      </c>
      <c r="L461">
        <f>_xlfn.XLOOKUP(J461,Crime_Data!A:A,Crime_Data!W:W,"")</f>
        <v>10.309673910686193</v>
      </c>
      <c r="M461" t="str">
        <f>TRIM(Table6[[#This Row],[District]])&amp;"|"&amp;TRIM(Table6[[#This Row],[Upazila]])</f>
        <v>Chittagong|Chandanaish</v>
      </c>
      <c r="N461" t="str">
        <f>_xlfn.XLOOKUP(B461,Remittance_Data!A:A,Remittance_Data!B:B,"CHECK")</f>
        <v>CHECK</v>
      </c>
      <c r="O461" t="str">
        <f>_xlfn.XLOOKUP(B461,Remittance_Data!A:A,Remittance_Data!C:C,"CHECK")</f>
        <v>CHECK</v>
      </c>
      <c r="P461" t="str">
        <f>_xlfn.XLOOKUP(B461,Remittance_Data!A:A,Remittance_Data!D:D,"CHECK")</f>
        <v>CHECK</v>
      </c>
    </row>
    <row r="462" spans="1:16">
      <c r="A462" t="s">
        <v>882</v>
      </c>
      <c r="B462" t="str">
        <f>SUBSTITUTE(SUBSTITUTE(SUBSTITUTE(SUBSTITUTE(TRIM(Table6[[#This Row],[Constituency]]),"Barisal","Barishal"),"Jessore","Jashore"),"Bogra","Bogura"),"Chapai Nawabganj","Chapainawabganj")</f>
        <v>Chittagong-14</v>
      </c>
      <c r="C462" t="s">
        <v>1422</v>
      </c>
      <c r="D462" t="s">
        <v>742</v>
      </c>
      <c r="E462">
        <f>_xlfn.XLOOKUP(C462,Population_data!B:B,Population_data!C:C,"")</f>
        <v>412.7</v>
      </c>
      <c r="F462">
        <f>_xlfn.XLOOKUP(C462,Population_data!B:B,Population_data!D:D,"")</f>
        <v>454051</v>
      </c>
      <c r="G462">
        <f>_xlfn.XLOOKUP(C462,Population_data!B:B,Population_data!E:E,"")</f>
        <v>1100.2</v>
      </c>
      <c r="H462">
        <f>_xlfn.XLOOKUP(C462,Population_data!B:B,Population_data!F:F,"")</f>
        <v>4.43</v>
      </c>
      <c r="I462">
        <f>_xlfn.XLOOKUP(C462,Population_data!B:B,Population_data!G:G,"")</f>
        <v>80.84</v>
      </c>
      <c r="J462" t="str">
        <f>_xlfn.XLOOKUP(D462,District_Crime_Unit_Map!A:A,District_Crime_Unit_Map!B:B,"")</f>
        <v>Chittagong Range</v>
      </c>
      <c r="K462">
        <f>_xlfn.XLOOKUP(J462,Crime_Data!A:A,Crime_Data!V:V,"")</f>
        <v>84.879645400600893</v>
      </c>
      <c r="L462">
        <f>_xlfn.XLOOKUP(J462,Crime_Data!A:A,Crime_Data!W:W,"")</f>
        <v>10.309673910686193</v>
      </c>
      <c r="M462" t="str">
        <f>TRIM(Table6[[#This Row],[District]])&amp;"|"&amp;TRIM(Table6[[#This Row],[Upazila]])</f>
        <v>Chittagong|Satkania</v>
      </c>
      <c r="N462" t="str">
        <f>_xlfn.XLOOKUP(B462,Remittance_Data!A:A,Remittance_Data!B:B,"CHECK")</f>
        <v>CHECK</v>
      </c>
      <c r="O462" t="str">
        <f>_xlfn.XLOOKUP(B462,Remittance_Data!A:A,Remittance_Data!C:C,"CHECK")</f>
        <v>CHECK</v>
      </c>
      <c r="P462" t="str">
        <f>_xlfn.XLOOKUP(B462,Remittance_Data!A:A,Remittance_Data!D:D,"CHECK")</f>
        <v>CHECK</v>
      </c>
    </row>
    <row r="463" spans="1:16">
      <c r="A463" t="s">
        <v>885</v>
      </c>
      <c r="B463" t="str">
        <f>SUBSTITUTE(SUBSTITUTE(SUBSTITUTE(SUBSTITUTE(TRIM(Table6[[#This Row],[Constituency]]),"Barisal","Barishal"),"Jessore","Jashore"),"Bogra","Bogura"),"Chapai Nawabganj","Chapainawabganj")</f>
        <v>Chittagong-15</v>
      </c>
      <c r="C463" t="s">
        <v>1101</v>
      </c>
      <c r="D463" t="s">
        <v>742</v>
      </c>
      <c r="E463">
        <f>_xlfn.XLOOKUP(C463,Population_data!B:B,Population_data!C:C,"")</f>
        <v>258.87</v>
      </c>
      <c r="F463">
        <f>_xlfn.XLOOKUP(C463,Population_data!B:B,Population_data!D:D,"")</f>
        <v>328206</v>
      </c>
      <c r="G463">
        <f>_xlfn.XLOOKUP(C463,Population_data!B:B,Population_data!E:E,"")</f>
        <v>1267.8399999999999</v>
      </c>
      <c r="H463">
        <f>_xlfn.XLOOKUP(C463,Population_data!B:B,Population_data!F:F,"")</f>
        <v>4.5</v>
      </c>
      <c r="I463">
        <f>_xlfn.XLOOKUP(C463,Population_data!B:B,Population_data!G:G,"")</f>
        <v>82.41</v>
      </c>
      <c r="J463" t="str">
        <f>_xlfn.XLOOKUP(D463,District_Crime_Unit_Map!A:A,District_Crime_Unit_Map!B:B,"")</f>
        <v>Chittagong Range</v>
      </c>
      <c r="K463">
        <f>_xlfn.XLOOKUP(J463,Crime_Data!A:A,Crime_Data!V:V,"")</f>
        <v>84.879645400600893</v>
      </c>
      <c r="L463">
        <f>_xlfn.XLOOKUP(J463,Crime_Data!A:A,Crime_Data!W:W,"")</f>
        <v>10.309673910686193</v>
      </c>
      <c r="M463" t="str">
        <f>TRIM(Table6[[#This Row],[District]])&amp;"|"&amp;TRIM(Table6[[#This Row],[Upazila]])</f>
        <v>Chittagong|Lohagara</v>
      </c>
      <c r="N463" t="str">
        <f>_xlfn.XLOOKUP(B463,Remittance_Data!A:A,Remittance_Data!B:B,"CHECK")</f>
        <v>CHECK</v>
      </c>
      <c r="O463" t="str">
        <f>_xlfn.XLOOKUP(B463,Remittance_Data!A:A,Remittance_Data!C:C,"CHECK")</f>
        <v>CHECK</v>
      </c>
      <c r="P463" t="str">
        <f>_xlfn.XLOOKUP(B463,Remittance_Data!A:A,Remittance_Data!D:D,"CHECK")</f>
        <v>CHECK</v>
      </c>
    </row>
    <row r="464" spans="1:16">
      <c r="A464" t="s">
        <v>888</v>
      </c>
      <c r="B464" t="str">
        <f>SUBSTITUTE(SUBSTITUTE(SUBSTITUTE(SUBSTITUTE(TRIM(Table6[[#This Row],[Constituency]]),"Barisal","Barishal"),"Jessore","Jashore"),"Bogra","Bogura"),"Chapai Nawabganj","Chapainawabganj")</f>
        <v>Chittagong-16</v>
      </c>
      <c r="C464" t="s">
        <v>1423</v>
      </c>
      <c r="D464" t="s">
        <v>742</v>
      </c>
      <c r="E464">
        <f>_xlfn.XLOOKUP(C464,Population_data!B:B,Population_data!C:C,"")</f>
        <v>390.5</v>
      </c>
      <c r="F464">
        <f>_xlfn.XLOOKUP(C464,Population_data!B:B,Population_data!D:D,"")</f>
        <v>537555</v>
      </c>
      <c r="G464">
        <f>_xlfn.XLOOKUP(C464,Population_data!B:B,Population_data!E:E,"")</f>
        <v>1376.58</v>
      </c>
      <c r="H464">
        <f>_xlfn.XLOOKUP(C464,Population_data!B:B,Population_data!F:F,"")</f>
        <v>4.75</v>
      </c>
      <c r="I464">
        <f>_xlfn.XLOOKUP(C464,Population_data!B:B,Population_data!G:G,"")</f>
        <v>71.319999999999993</v>
      </c>
      <c r="J464" t="str">
        <f>_xlfn.XLOOKUP(D464,District_Crime_Unit_Map!A:A,District_Crime_Unit_Map!B:B,"")</f>
        <v>Chittagong Range</v>
      </c>
      <c r="K464">
        <f>_xlfn.XLOOKUP(J464,Crime_Data!A:A,Crime_Data!V:V,"")</f>
        <v>84.879645400600893</v>
      </c>
      <c r="L464">
        <f>_xlfn.XLOOKUP(J464,Crime_Data!A:A,Crime_Data!W:W,"")</f>
        <v>10.309673910686193</v>
      </c>
      <c r="M464" t="str">
        <f>TRIM(Table6[[#This Row],[District]])&amp;"|"&amp;TRIM(Table6[[#This Row],[Upazila]])</f>
        <v>Chittagong|Banshkhali</v>
      </c>
      <c r="N464" t="str">
        <f>_xlfn.XLOOKUP(B464,Remittance_Data!A:A,Remittance_Data!B:B,"CHECK")</f>
        <v>CHECK</v>
      </c>
      <c r="O464" t="str">
        <f>_xlfn.XLOOKUP(B464,Remittance_Data!A:A,Remittance_Data!C:C,"CHECK")</f>
        <v>CHECK</v>
      </c>
      <c r="P464" t="str">
        <f>_xlfn.XLOOKUP(B464,Remittance_Data!A:A,Remittance_Data!D:D,"CHECK")</f>
        <v>CHECK</v>
      </c>
    </row>
    <row r="465" spans="1:16">
      <c r="A465" t="s">
        <v>891</v>
      </c>
      <c r="B465" t="str">
        <f>SUBSTITUTE(SUBSTITUTE(SUBSTITUTE(SUBSTITUTE(TRIM(Table6[[#This Row],[Constituency]]),"Barisal","Barishal"),"Jessore","Jashore"),"Bogra","Bogura"),"Chapai Nawabganj","Chapainawabganj")</f>
        <v>Cox's Bazar-1</v>
      </c>
      <c r="C465" t="s">
        <v>1424</v>
      </c>
      <c r="D465" t="s">
        <v>1425</v>
      </c>
      <c r="E465">
        <f>_xlfn.XLOOKUP(C465,Population_data!B:B,Population_data!C:C,"")</f>
        <v>243.23</v>
      </c>
      <c r="F465">
        <f>_xlfn.XLOOKUP(C465,Population_data!B:B,Population_data!D:D,"")</f>
        <v>571274</v>
      </c>
      <c r="G465">
        <f>_xlfn.XLOOKUP(C465,Population_data!B:B,Population_data!E:E,"")</f>
        <v>2348.6999999999998</v>
      </c>
      <c r="H465">
        <f>_xlfn.XLOOKUP(C465,Population_data!B:B,Population_data!F:F,"")</f>
        <v>4.79</v>
      </c>
      <c r="I465">
        <f>_xlfn.XLOOKUP(C465,Population_data!B:B,Population_data!G:G,"")</f>
        <v>76.38</v>
      </c>
      <c r="J465" t="str">
        <f>_xlfn.XLOOKUP(D465,District_Crime_Unit_Map!A:A,District_Crime_Unit_Map!B:B,"")</f>
        <v>Chittagong Range</v>
      </c>
      <c r="K465">
        <f>_xlfn.XLOOKUP(J465,Crime_Data!A:A,Crime_Data!V:V,"")</f>
        <v>84.879645400600893</v>
      </c>
      <c r="L465">
        <f>_xlfn.XLOOKUP(J465,Crime_Data!A:A,Crime_Data!W:W,"")</f>
        <v>10.309673910686193</v>
      </c>
      <c r="M465" t="str">
        <f>TRIM(Table6[[#This Row],[District]])&amp;"|"&amp;TRIM(Table6[[#This Row],[Upazila]])</f>
        <v>Cox's Bazar|Chakaria</v>
      </c>
      <c r="N465" t="str">
        <f>_xlfn.XLOOKUP(B465,Remittance_Data!A:A,Remittance_Data!B:B,"CHECK")</f>
        <v>CHECK</v>
      </c>
      <c r="O465" t="str">
        <f>_xlfn.XLOOKUP(B465,Remittance_Data!A:A,Remittance_Data!C:C,"CHECK")</f>
        <v>CHECK</v>
      </c>
      <c r="P465" t="str">
        <f>_xlfn.XLOOKUP(B465,Remittance_Data!A:A,Remittance_Data!D:D,"CHECK")</f>
        <v>CHECK</v>
      </c>
    </row>
    <row r="466" spans="1:16">
      <c r="A466" t="s">
        <v>891</v>
      </c>
      <c r="B466" t="str">
        <f>SUBSTITUTE(SUBSTITUTE(SUBSTITUTE(SUBSTITUTE(TRIM(Table6[[#This Row],[Constituency]]),"Barisal","Barishal"),"Jessore","Jashore"),"Bogra","Bogura"),"Chapai Nawabganj","Chapainawabganj")</f>
        <v>Cox's Bazar-1</v>
      </c>
      <c r="C466" t="s">
        <v>1426</v>
      </c>
      <c r="D466" t="s">
        <v>1425</v>
      </c>
      <c r="E466">
        <f>_xlfn.XLOOKUP(C466,Population_data!B:B,Population_data!C:C,"")</f>
        <v>179.14</v>
      </c>
      <c r="F466">
        <f>_xlfn.XLOOKUP(C466,Population_data!B:B,Population_data!D:D,"")</f>
        <v>214349</v>
      </c>
      <c r="G466">
        <f>_xlfn.XLOOKUP(C466,Population_data!B:B,Population_data!E:E,"")</f>
        <v>1196.54</v>
      </c>
      <c r="H466">
        <f>_xlfn.XLOOKUP(C466,Population_data!B:B,Population_data!F:F,"")</f>
        <v>4.62</v>
      </c>
      <c r="I466">
        <f>_xlfn.XLOOKUP(C466,Population_data!B:B,Population_data!G:G,"")</f>
        <v>70.62</v>
      </c>
      <c r="J466" t="str">
        <f>_xlfn.XLOOKUP(D466,District_Crime_Unit_Map!A:A,District_Crime_Unit_Map!B:B,"")</f>
        <v>Chittagong Range</v>
      </c>
      <c r="K466">
        <f>_xlfn.XLOOKUP(J466,Crime_Data!A:A,Crime_Data!V:V,"")</f>
        <v>84.879645400600893</v>
      </c>
      <c r="L466">
        <f>_xlfn.XLOOKUP(J466,Crime_Data!A:A,Crime_Data!W:W,"")</f>
        <v>10.309673910686193</v>
      </c>
      <c r="M466" t="str">
        <f>TRIM(Table6[[#This Row],[District]])&amp;"|"&amp;TRIM(Table6[[#This Row],[Upazila]])</f>
        <v>Cox's Bazar|Pekua</v>
      </c>
      <c r="N466" t="str">
        <f>_xlfn.XLOOKUP(B466,Remittance_Data!A:A,Remittance_Data!B:B,"CHECK")</f>
        <v>CHECK</v>
      </c>
      <c r="O466" t="str">
        <f>_xlfn.XLOOKUP(B466,Remittance_Data!A:A,Remittance_Data!C:C,"CHECK")</f>
        <v>CHECK</v>
      </c>
      <c r="P466" t="str">
        <f>_xlfn.XLOOKUP(B466,Remittance_Data!A:A,Remittance_Data!D:D,"CHECK")</f>
        <v>CHECK</v>
      </c>
    </row>
    <row r="467" spans="1:16">
      <c r="A467" t="s">
        <v>894</v>
      </c>
      <c r="B467" t="str">
        <f>SUBSTITUTE(SUBSTITUTE(SUBSTITUTE(SUBSTITUTE(TRIM(Table6[[#This Row],[Constituency]]),"Barisal","Barishal"),"Jessore","Jashore"),"Bogra","Bogura"),"Chapai Nawabganj","Chapainawabganj")</f>
        <v>Cox's Bazar-2</v>
      </c>
      <c r="C467" t="s">
        <v>1427</v>
      </c>
      <c r="D467" t="s">
        <v>1425</v>
      </c>
      <c r="E467">
        <f>_xlfn.XLOOKUP(C467,Population_data!B:B,Population_data!C:C,"")</f>
        <v>362.18</v>
      </c>
      <c r="F467">
        <f>_xlfn.XLOOKUP(C467,Population_data!B:B,Population_data!D:D,"")</f>
        <v>385500</v>
      </c>
      <c r="G467">
        <f>_xlfn.XLOOKUP(C467,Population_data!B:B,Population_data!E:E,"")</f>
        <v>1064.3900000000001</v>
      </c>
      <c r="H467">
        <f>_xlfn.XLOOKUP(C467,Population_data!B:B,Population_data!F:F,"")</f>
        <v>4.76</v>
      </c>
      <c r="I467">
        <f>_xlfn.XLOOKUP(C467,Population_data!B:B,Population_data!G:G,"")</f>
        <v>63.85</v>
      </c>
      <c r="J467" t="str">
        <f>_xlfn.XLOOKUP(D467,District_Crime_Unit_Map!A:A,District_Crime_Unit_Map!B:B,"")</f>
        <v>Chittagong Range</v>
      </c>
      <c r="K467">
        <f>_xlfn.XLOOKUP(J467,Crime_Data!A:A,Crime_Data!V:V,"")</f>
        <v>84.879645400600893</v>
      </c>
      <c r="L467">
        <f>_xlfn.XLOOKUP(J467,Crime_Data!A:A,Crime_Data!W:W,"")</f>
        <v>10.309673910686193</v>
      </c>
      <c r="M467" t="str">
        <f>TRIM(Table6[[#This Row],[District]])&amp;"|"&amp;TRIM(Table6[[#This Row],[Upazila]])</f>
        <v>Cox's Bazar|Maheshkhali</v>
      </c>
      <c r="N467" t="str">
        <f>_xlfn.XLOOKUP(B467,Remittance_Data!A:A,Remittance_Data!B:B,"CHECK")</f>
        <v>CHECK</v>
      </c>
      <c r="O467" t="str">
        <f>_xlfn.XLOOKUP(B467,Remittance_Data!A:A,Remittance_Data!C:C,"CHECK")</f>
        <v>CHECK</v>
      </c>
      <c r="P467" t="str">
        <f>_xlfn.XLOOKUP(B467,Remittance_Data!A:A,Remittance_Data!D:D,"CHECK")</f>
        <v>CHECK</v>
      </c>
    </row>
    <row r="468" spans="1:16">
      <c r="A468" t="s">
        <v>894</v>
      </c>
      <c r="B468" t="str">
        <f>SUBSTITUTE(SUBSTITUTE(SUBSTITUTE(SUBSTITUTE(TRIM(Table6[[#This Row],[Constituency]]),"Barisal","Barishal"),"Jessore","Jashore"),"Bogra","Bogura"),"Chapai Nawabganj","Chapainawabganj")</f>
        <v>Cox's Bazar-2</v>
      </c>
      <c r="C468" t="s">
        <v>1428</v>
      </c>
      <c r="D468" t="s">
        <v>1425</v>
      </c>
      <c r="E468">
        <f>_xlfn.XLOOKUP(C468,Population_data!B:B,Population_data!C:C,"")</f>
        <v>215.8</v>
      </c>
      <c r="F468">
        <f>_xlfn.XLOOKUP(C468,Population_data!B:B,Population_data!D:D,"")</f>
        <v>143619</v>
      </c>
      <c r="G468">
        <f>_xlfn.XLOOKUP(C468,Population_data!B:B,Population_data!E:E,"")</f>
        <v>665.52</v>
      </c>
      <c r="H468">
        <f>_xlfn.XLOOKUP(C468,Population_data!B:B,Population_data!F:F,"")</f>
        <v>5.03</v>
      </c>
      <c r="I468">
        <f>_xlfn.XLOOKUP(C468,Population_data!B:B,Population_data!G:G,"")</f>
        <v>70.37</v>
      </c>
      <c r="J468" t="str">
        <f>_xlfn.XLOOKUP(D468,District_Crime_Unit_Map!A:A,District_Crime_Unit_Map!B:B,"")</f>
        <v>Chittagong Range</v>
      </c>
      <c r="K468">
        <f>_xlfn.XLOOKUP(J468,Crime_Data!A:A,Crime_Data!V:V,"")</f>
        <v>84.879645400600893</v>
      </c>
      <c r="L468">
        <f>_xlfn.XLOOKUP(J468,Crime_Data!A:A,Crime_Data!W:W,"")</f>
        <v>10.309673910686193</v>
      </c>
      <c r="M468" t="str">
        <f>TRIM(Table6[[#This Row],[District]])&amp;"|"&amp;TRIM(Table6[[#This Row],[Upazila]])</f>
        <v>Cox's Bazar|Kutubdia</v>
      </c>
      <c r="N468" t="str">
        <f>_xlfn.XLOOKUP(B468,Remittance_Data!A:A,Remittance_Data!B:B,"CHECK")</f>
        <v>CHECK</v>
      </c>
      <c r="O468" t="str">
        <f>_xlfn.XLOOKUP(B468,Remittance_Data!A:A,Remittance_Data!C:C,"CHECK")</f>
        <v>CHECK</v>
      </c>
      <c r="P468" t="str">
        <f>_xlfn.XLOOKUP(B468,Remittance_Data!A:A,Remittance_Data!D:D,"CHECK")</f>
        <v>CHECK</v>
      </c>
    </row>
    <row r="469" spans="1:16">
      <c r="A469" t="s">
        <v>897</v>
      </c>
      <c r="B469" t="str">
        <f>SUBSTITUTE(SUBSTITUTE(SUBSTITUTE(SUBSTITUTE(TRIM(Table6[[#This Row],[Constituency]]),"Barisal","Barishal"),"Jessore","Jashore"),"Bogra","Bogura"),"Chapai Nawabganj","Chapainawabganj")</f>
        <v>Cox's Bazar-3</v>
      </c>
      <c r="C469" t="s">
        <v>1429</v>
      </c>
      <c r="D469" t="s">
        <v>1425</v>
      </c>
      <c r="E469">
        <f>_xlfn.XLOOKUP(C469,Population_data!B:B,Population_data!C:C,"")</f>
        <v>229.15</v>
      </c>
      <c r="F469">
        <f>_xlfn.XLOOKUP(C469,Population_data!B:B,Population_data!D:D,"")</f>
        <v>417354</v>
      </c>
      <c r="G469">
        <f>_xlfn.XLOOKUP(C469,Population_data!B:B,Population_data!E:E,"")</f>
        <v>1821.31</v>
      </c>
      <c r="H469">
        <f>_xlfn.XLOOKUP(C469,Population_data!B:B,Population_data!F:F,"")</f>
        <v>4.55</v>
      </c>
      <c r="I469">
        <f>_xlfn.XLOOKUP(C469,Population_data!B:B,Population_data!G:G,"")</f>
        <v>77.59</v>
      </c>
      <c r="J469" t="str">
        <f>_xlfn.XLOOKUP(D469,District_Crime_Unit_Map!A:A,District_Crime_Unit_Map!B:B,"")</f>
        <v>Chittagong Range</v>
      </c>
      <c r="K469">
        <f>_xlfn.XLOOKUP(J469,Crime_Data!A:A,Crime_Data!V:V,"")</f>
        <v>84.879645400600893</v>
      </c>
      <c r="L469">
        <f>_xlfn.XLOOKUP(J469,Crime_Data!A:A,Crime_Data!W:W,"")</f>
        <v>10.309673910686193</v>
      </c>
      <c r="M469" t="str">
        <f>TRIM(Table6[[#This Row],[District]])&amp;"|"&amp;TRIM(Table6[[#This Row],[Upazila]])</f>
        <v>Cox's Bazar|Cox's Bazar Sadar</v>
      </c>
      <c r="N469" t="str">
        <f>_xlfn.XLOOKUP(B469,Remittance_Data!A:A,Remittance_Data!B:B,"CHECK")</f>
        <v>CHECK</v>
      </c>
      <c r="O469" t="str">
        <f>_xlfn.XLOOKUP(B469,Remittance_Data!A:A,Remittance_Data!C:C,"CHECK")</f>
        <v>CHECK</v>
      </c>
      <c r="P469" t="str">
        <f>_xlfn.XLOOKUP(B469,Remittance_Data!A:A,Remittance_Data!D:D,"CHECK")</f>
        <v>CHECK</v>
      </c>
    </row>
    <row r="470" spans="1:16">
      <c r="A470" t="s">
        <v>897</v>
      </c>
      <c r="B470" t="str">
        <f>SUBSTITUTE(SUBSTITUTE(SUBSTITUTE(SUBSTITUTE(TRIM(Table6[[#This Row],[Constituency]]),"Barisal","Barishal"),"Jessore","Jashore"),"Bogra","Bogura"),"Chapai Nawabganj","Chapainawabganj")</f>
        <v>Cox's Bazar-3</v>
      </c>
      <c r="C470" t="s">
        <v>1430</v>
      </c>
      <c r="D470" t="s">
        <v>1425</v>
      </c>
      <c r="E470">
        <f>_xlfn.XLOOKUP(C470,Population_data!B:B,Population_data!C:C,"")</f>
        <v>391.74</v>
      </c>
      <c r="F470">
        <f>_xlfn.XLOOKUP(C470,Population_data!B:B,Population_data!D:D,"")</f>
        <v>344541</v>
      </c>
      <c r="G470">
        <f>_xlfn.XLOOKUP(C470,Population_data!B:B,Population_data!E:E,"")</f>
        <v>879.51</v>
      </c>
      <c r="H470">
        <f>_xlfn.XLOOKUP(C470,Population_data!B:B,Population_data!F:F,"")</f>
        <v>4.76</v>
      </c>
      <c r="I470">
        <f>_xlfn.XLOOKUP(C470,Population_data!B:B,Population_data!G:G,"")</f>
        <v>72.06</v>
      </c>
      <c r="J470" t="str">
        <f>_xlfn.XLOOKUP(D470,District_Crime_Unit_Map!A:A,District_Crime_Unit_Map!B:B,"")</f>
        <v>Chittagong Range</v>
      </c>
      <c r="K470">
        <f>_xlfn.XLOOKUP(J470,Crime_Data!A:A,Crime_Data!V:V,"")</f>
        <v>84.879645400600893</v>
      </c>
      <c r="L470">
        <f>_xlfn.XLOOKUP(J470,Crime_Data!A:A,Crime_Data!W:W,"")</f>
        <v>10.309673910686193</v>
      </c>
      <c r="M470" t="str">
        <f>TRIM(Table6[[#This Row],[District]])&amp;"|"&amp;TRIM(Table6[[#This Row],[Upazila]])</f>
        <v>Cox's Bazar|Ramu</v>
      </c>
      <c r="N470" t="str">
        <f>_xlfn.XLOOKUP(B470,Remittance_Data!A:A,Remittance_Data!B:B,"CHECK")</f>
        <v>CHECK</v>
      </c>
      <c r="O470" t="str">
        <f>_xlfn.XLOOKUP(B470,Remittance_Data!A:A,Remittance_Data!C:C,"CHECK")</f>
        <v>CHECK</v>
      </c>
      <c r="P470" t="str">
        <f>_xlfn.XLOOKUP(B470,Remittance_Data!A:A,Remittance_Data!D:D,"CHECK")</f>
        <v>CHECK</v>
      </c>
    </row>
    <row r="471" spans="1:16">
      <c r="A471" t="s">
        <v>900</v>
      </c>
      <c r="B471" t="str">
        <f>SUBSTITUTE(SUBSTITUTE(SUBSTITUTE(SUBSTITUTE(TRIM(Table6[[#This Row],[Constituency]]),"Barisal","Barishal"),"Jessore","Jashore"),"Bogra","Bogura"),"Chapai Nawabganj","Chapainawabganj")</f>
        <v>Cox's Bazar-4</v>
      </c>
      <c r="C471" t="s">
        <v>1431</v>
      </c>
      <c r="D471" t="s">
        <v>1425</v>
      </c>
      <c r="E471">
        <f>_xlfn.XLOOKUP(C471,Population_data!B:B,Population_data!C:C,"")</f>
        <v>388.68</v>
      </c>
      <c r="F471">
        <f>_xlfn.XLOOKUP(C471,Population_data!B:B,Population_data!D:D,"")</f>
        <v>333840</v>
      </c>
      <c r="G471">
        <f>_xlfn.XLOOKUP(C471,Population_data!B:B,Population_data!E:E,"")</f>
        <v>858.91</v>
      </c>
      <c r="H471">
        <f>_xlfn.XLOOKUP(C471,Population_data!B:B,Population_data!F:F,"")</f>
        <v>4.9800000000000004</v>
      </c>
      <c r="I471">
        <f>_xlfn.XLOOKUP(C471,Population_data!B:B,Population_data!G:G,"")</f>
        <v>64.349999999999994</v>
      </c>
      <c r="J471" t="str">
        <f>_xlfn.XLOOKUP(D471,District_Crime_Unit_Map!A:A,District_Crime_Unit_Map!B:B,"")</f>
        <v>Chittagong Range</v>
      </c>
      <c r="K471">
        <f>_xlfn.XLOOKUP(J471,Crime_Data!A:A,Crime_Data!V:V,"")</f>
        <v>84.879645400600893</v>
      </c>
      <c r="L471">
        <f>_xlfn.XLOOKUP(J471,Crime_Data!A:A,Crime_Data!W:W,"")</f>
        <v>10.309673910686193</v>
      </c>
      <c r="M471" t="str">
        <f>TRIM(Table6[[#This Row],[District]])&amp;"|"&amp;TRIM(Table6[[#This Row],[Upazila]])</f>
        <v>Cox's Bazar|Teknaf</v>
      </c>
      <c r="N471" t="str">
        <f>_xlfn.XLOOKUP(B471,Remittance_Data!A:A,Remittance_Data!B:B,"CHECK")</f>
        <v>CHECK</v>
      </c>
      <c r="O471" t="str">
        <f>_xlfn.XLOOKUP(B471,Remittance_Data!A:A,Remittance_Data!C:C,"CHECK")</f>
        <v>CHECK</v>
      </c>
      <c r="P471" t="str">
        <f>_xlfn.XLOOKUP(B471,Remittance_Data!A:A,Remittance_Data!D:D,"CHECK")</f>
        <v>CHECK</v>
      </c>
    </row>
    <row r="472" spans="1:16">
      <c r="A472" t="s">
        <v>900</v>
      </c>
      <c r="B472" t="str">
        <f>SUBSTITUTE(SUBSTITUTE(SUBSTITUTE(SUBSTITUTE(TRIM(Table6[[#This Row],[Constituency]]),"Barisal","Barishal"),"Jessore","Jashore"),"Bogra","Bogura"),"Chapai Nawabganj","Chapainawabganj")</f>
        <v>Cox's Bazar-4</v>
      </c>
      <c r="C472" t="s">
        <v>1432</v>
      </c>
      <c r="D472" t="s">
        <v>1425</v>
      </c>
      <c r="E472">
        <f>_xlfn.XLOOKUP(C472,Population_data!B:B,Population_data!C:C,"")</f>
        <v>261.91000000000003</v>
      </c>
      <c r="F472">
        <f>_xlfn.XLOOKUP(C472,Population_data!B:B,Population_data!D:D,"")</f>
        <v>263143</v>
      </c>
      <c r="G472">
        <f>_xlfn.XLOOKUP(C472,Population_data!B:B,Population_data!E:E,"")</f>
        <v>1004.71</v>
      </c>
      <c r="H472">
        <f>_xlfn.XLOOKUP(C472,Population_data!B:B,Population_data!F:F,"")</f>
        <v>4.6900000000000004</v>
      </c>
      <c r="I472">
        <f>_xlfn.XLOOKUP(C472,Population_data!B:B,Population_data!G:G,"")</f>
        <v>69.95</v>
      </c>
      <c r="J472" t="str">
        <f>_xlfn.XLOOKUP(D472,District_Crime_Unit_Map!A:A,District_Crime_Unit_Map!B:B,"")</f>
        <v>Chittagong Range</v>
      </c>
      <c r="K472">
        <f>_xlfn.XLOOKUP(J472,Crime_Data!A:A,Crime_Data!V:V,"")</f>
        <v>84.879645400600893</v>
      </c>
      <c r="L472">
        <f>_xlfn.XLOOKUP(J472,Crime_Data!A:A,Crime_Data!W:W,"")</f>
        <v>10.309673910686193</v>
      </c>
      <c r="M472" t="str">
        <f>TRIM(Table6[[#This Row],[District]])&amp;"|"&amp;TRIM(Table6[[#This Row],[Upazila]])</f>
        <v>Cox's Bazar|Ukhia</v>
      </c>
      <c r="N472" t="str">
        <f>_xlfn.XLOOKUP(B472,Remittance_Data!A:A,Remittance_Data!B:B,"CHECK")</f>
        <v>CHECK</v>
      </c>
      <c r="O472" t="str">
        <f>_xlfn.XLOOKUP(B472,Remittance_Data!A:A,Remittance_Data!C:C,"CHECK")</f>
        <v>CHECK</v>
      </c>
      <c r="P472" t="str">
        <f>_xlfn.XLOOKUP(B472,Remittance_Data!A:A,Remittance_Data!D:D,"CHECK")</f>
        <v>CHECK</v>
      </c>
    </row>
    <row r="473" spans="1:16">
      <c r="A473" t="s">
        <v>1433</v>
      </c>
      <c r="B473" t="str">
        <f>SUBSTITUTE(SUBSTITUTE(SUBSTITUTE(SUBSTITUTE(TRIM(Table6[[#This Row],[Constituency]]),"Barisal","Barishal"),"Jessore","Jashore"),"Bogra","Bogura"),"Chapai Nawabganj","Chapainawabganj")</f>
        <v>Khagrachhari-1</v>
      </c>
      <c r="C473" t="s">
        <v>1434</v>
      </c>
      <c r="D473" t="s">
        <v>903</v>
      </c>
      <c r="E473">
        <f>_xlfn.XLOOKUP(C473,Population_data!B:B,Population_data!C:C,"")</f>
        <v>273.57</v>
      </c>
      <c r="F473">
        <f>_xlfn.XLOOKUP(C473,Population_data!B:B,Population_data!D:D,"")</f>
        <v>136134</v>
      </c>
      <c r="G473">
        <f>_xlfn.XLOOKUP(C473,Population_data!B:B,Population_data!E:E,"")</f>
        <v>497.62</v>
      </c>
      <c r="H473">
        <f>_xlfn.XLOOKUP(C473,Population_data!B:B,Population_data!F:F,"")</f>
        <v>4.12</v>
      </c>
      <c r="I473">
        <f>_xlfn.XLOOKUP(C473,Population_data!B:B,Population_data!G:G,"")</f>
        <v>77.36</v>
      </c>
      <c r="J473" t="str">
        <f>_xlfn.XLOOKUP(D473,District_Crime_Unit_Map!A:A,District_Crime_Unit_Map!B:B,"")</f>
        <v>Chittagong Range</v>
      </c>
      <c r="K473">
        <f>_xlfn.XLOOKUP(J473,Crime_Data!A:A,Crime_Data!V:V,"")</f>
        <v>84.879645400600893</v>
      </c>
      <c r="L473">
        <f>_xlfn.XLOOKUP(J473,Crime_Data!A:A,Crime_Data!W:W,"")</f>
        <v>10.309673910686193</v>
      </c>
      <c r="M473" t="str">
        <f>TRIM(Table6[[#This Row],[District]])&amp;"|"&amp;TRIM(Table6[[#This Row],[Upazila]])</f>
        <v>Khagrachhari|Khagrachhari Sadar</v>
      </c>
      <c r="N473" t="str">
        <f>_xlfn.XLOOKUP(B473,Remittance_Data!A:A,Remittance_Data!B:B,"CHECK")</f>
        <v>CHECK</v>
      </c>
      <c r="O473" t="str">
        <f>_xlfn.XLOOKUP(B473,Remittance_Data!A:A,Remittance_Data!C:C,"CHECK")</f>
        <v>CHECK</v>
      </c>
      <c r="P473" t="str">
        <f>_xlfn.XLOOKUP(B473,Remittance_Data!A:A,Remittance_Data!D:D,"CHECK")</f>
        <v>CHECK</v>
      </c>
    </row>
    <row r="474" spans="1:16">
      <c r="A474" t="s">
        <v>1433</v>
      </c>
      <c r="B474" t="str">
        <f>SUBSTITUTE(SUBSTITUTE(SUBSTITUTE(SUBSTITUTE(TRIM(Table6[[#This Row],[Constituency]]),"Barisal","Barishal"),"Jessore","Jashore"),"Bogra","Bogura"),"Chapai Nawabganj","Chapainawabganj")</f>
        <v>Khagrachhari-1</v>
      </c>
      <c r="C474" t="s">
        <v>1435</v>
      </c>
      <c r="D474" t="s">
        <v>903</v>
      </c>
      <c r="E474">
        <f>_xlfn.XLOOKUP(C474,Population_data!B:B,Population_data!C:C,"")</f>
        <v>694.53</v>
      </c>
      <c r="F474">
        <f>_xlfn.XLOOKUP(C474,Population_data!B:B,Population_data!D:D,"")</f>
        <v>115436</v>
      </c>
      <c r="G474">
        <f>_xlfn.XLOOKUP(C474,Population_data!B:B,Population_data!E:E,"")</f>
        <v>166.21</v>
      </c>
      <c r="H474">
        <f>_xlfn.XLOOKUP(C474,Population_data!B:B,Population_data!F:F,"")</f>
        <v>4.01</v>
      </c>
      <c r="I474">
        <f>_xlfn.XLOOKUP(C474,Population_data!B:B,Population_data!G:G,"")</f>
        <v>69.94</v>
      </c>
      <c r="J474" t="str">
        <f>_xlfn.XLOOKUP(D474,District_Crime_Unit_Map!A:A,District_Crime_Unit_Map!B:B,"")</f>
        <v>Chittagong Range</v>
      </c>
      <c r="K474">
        <f>_xlfn.XLOOKUP(J474,Crime_Data!A:A,Crime_Data!V:V,"")</f>
        <v>84.879645400600893</v>
      </c>
      <c r="L474">
        <f>_xlfn.XLOOKUP(J474,Crime_Data!A:A,Crime_Data!W:W,"")</f>
        <v>10.309673910686193</v>
      </c>
      <c r="M474" t="str">
        <f>TRIM(Table6[[#This Row],[District]])&amp;"|"&amp;TRIM(Table6[[#This Row],[Upazila]])</f>
        <v>Khagrachhari|Dighinala</v>
      </c>
      <c r="N474" t="str">
        <f>_xlfn.XLOOKUP(B474,Remittance_Data!A:A,Remittance_Data!B:B,"CHECK")</f>
        <v>CHECK</v>
      </c>
      <c r="O474" t="str">
        <f>_xlfn.XLOOKUP(B474,Remittance_Data!A:A,Remittance_Data!C:C,"CHECK")</f>
        <v>CHECK</v>
      </c>
      <c r="P474" t="str">
        <f>_xlfn.XLOOKUP(B474,Remittance_Data!A:A,Remittance_Data!D:D,"CHECK")</f>
        <v>CHECK</v>
      </c>
    </row>
    <row r="475" spans="1:16">
      <c r="A475" t="s">
        <v>1433</v>
      </c>
      <c r="B475" t="str">
        <f>SUBSTITUTE(SUBSTITUTE(SUBSTITUTE(SUBSTITUTE(TRIM(Table6[[#This Row],[Constituency]]),"Barisal","Barishal"),"Jessore","Jashore"),"Bogra","Bogura"),"Chapai Nawabganj","Chapainawabganj")</f>
        <v>Khagrachhari-1</v>
      </c>
      <c r="C475" t="s">
        <v>1436</v>
      </c>
      <c r="D475" t="s">
        <v>903</v>
      </c>
      <c r="E475">
        <f>_xlfn.XLOOKUP(C475,Population_data!B:B,Population_data!C:C,"")</f>
        <v>334.27</v>
      </c>
      <c r="F475">
        <f>_xlfn.XLOOKUP(C475,Population_data!B:B,Population_data!D:D,"")</f>
        <v>68673</v>
      </c>
      <c r="G475">
        <f>_xlfn.XLOOKUP(C475,Population_data!B:B,Population_data!E:E,"")</f>
        <v>205.44</v>
      </c>
      <c r="H475">
        <f>_xlfn.XLOOKUP(C475,Population_data!B:B,Population_data!F:F,"")</f>
        <v>3.95</v>
      </c>
      <c r="I475">
        <f>_xlfn.XLOOKUP(C475,Population_data!B:B,Population_data!G:G,"")</f>
        <v>68.010000000000005</v>
      </c>
      <c r="J475" t="str">
        <f>_xlfn.XLOOKUP(D475,District_Crime_Unit_Map!A:A,District_Crime_Unit_Map!B:B,"")</f>
        <v>Chittagong Range</v>
      </c>
      <c r="K475">
        <f>_xlfn.XLOOKUP(J475,Crime_Data!A:A,Crime_Data!V:V,"")</f>
        <v>84.879645400600893</v>
      </c>
      <c r="L475">
        <f>_xlfn.XLOOKUP(J475,Crime_Data!A:A,Crime_Data!W:W,"")</f>
        <v>10.309673910686193</v>
      </c>
      <c r="M475" t="str">
        <f>TRIM(Table6[[#This Row],[District]])&amp;"|"&amp;TRIM(Table6[[#This Row],[Upazila]])</f>
        <v>Khagrachhari|Panchhari</v>
      </c>
      <c r="N475" t="str">
        <f>_xlfn.XLOOKUP(B475,Remittance_Data!A:A,Remittance_Data!B:B,"CHECK")</f>
        <v>CHECK</v>
      </c>
      <c r="O475" t="str">
        <f>_xlfn.XLOOKUP(B475,Remittance_Data!A:A,Remittance_Data!C:C,"CHECK")</f>
        <v>CHECK</v>
      </c>
      <c r="P475" t="str">
        <f>_xlfn.XLOOKUP(B475,Remittance_Data!A:A,Remittance_Data!D:D,"CHECK")</f>
        <v>CHECK</v>
      </c>
    </row>
    <row r="476" spans="1:16">
      <c r="A476" t="s">
        <v>1433</v>
      </c>
      <c r="B476" t="str">
        <f>SUBSTITUTE(SUBSTITUTE(SUBSTITUTE(SUBSTITUTE(TRIM(Table6[[#This Row],[Constituency]]),"Barisal","Barishal"),"Jessore","Jashore"),"Bogra","Bogura"),"Chapai Nawabganj","Chapainawabganj")</f>
        <v>Khagrachhari-1</v>
      </c>
      <c r="C476" t="s">
        <v>1437</v>
      </c>
      <c r="D476" t="s">
        <v>903</v>
      </c>
      <c r="E476">
        <f>_xlfn.XLOOKUP(C476,Population_data!B:B,Population_data!C:C,"")</f>
        <v>867.98</v>
      </c>
      <c r="F476">
        <f>_xlfn.XLOOKUP(C476,Population_data!B:B,Population_data!D:D,"")</f>
        <v>49076</v>
      </c>
      <c r="G476">
        <f>_xlfn.XLOOKUP(C476,Population_data!B:B,Population_data!E:E,"")</f>
        <v>56.54</v>
      </c>
      <c r="H476">
        <f>_xlfn.XLOOKUP(C476,Population_data!B:B,Population_data!F:F,"")</f>
        <v>4.17</v>
      </c>
      <c r="I476">
        <f>_xlfn.XLOOKUP(C476,Population_data!B:B,Population_data!G:G,"")</f>
        <v>71.2</v>
      </c>
      <c r="J476" t="str">
        <f>_xlfn.XLOOKUP(D476,District_Crime_Unit_Map!A:A,District_Crime_Unit_Map!B:B,"")</f>
        <v>Chittagong Range</v>
      </c>
      <c r="K476">
        <f>_xlfn.XLOOKUP(J476,Crime_Data!A:A,Crime_Data!V:V,"")</f>
        <v>84.879645400600893</v>
      </c>
      <c r="L476">
        <f>_xlfn.XLOOKUP(J476,Crime_Data!A:A,Crime_Data!W:W,"")</f>
        <v>10.309673910686193</v>
      </c>
      <c r="M476" t="str">
        <f>TRIM(Table6[[#This Row],[District]])&amp;"|"&amp;TRIM(Table6[[#This Row],[Upazila]])</f>
        <v>Khagrachhari|Mahalchhari</v>
      </c>
      <c r="N476" t="str">
        <f>_xlfn.XLOOKUP(B476,Remittance_Data!A:A,Remittance_Data!B:B,"CHECK")</f>
        <v>CHECK</v>
      </c>
      <c r="O476" t="str">
        <f>_xlfn.XLOOKUP(B476,Remittance_Data!A:A,Remittance_Data!C:C,"CHECK")</f>
        <v>CHECK</v>
      </c>
      <c r="P476" t="str">
        <f>_xlfn.XLOOKUP(B476,Remittance_Data!A:A,Remittance_Data!D:D,"CHECK")</f>
        <v>CHECK</v>
      </c>
    </row>
    <row r="477" spans="1:16">
      <c r="A477" t="s">
        <v>1433</v>
      </c>
      <c r="B477" t="str">
        <f>SUBSTITUTE(SUBSTITUTE(SUBSTITUTE(SUBSTITUTE(TRIM(Table6[[#This Row],[Constituency]]),"Barisal","Barishal"),"Jessore","Jashore"),"Bogra","Bogura"),"Chapai Nawabganj","Chapainawabganj")</f>
        <v>Khagrachhari-1</v>
      </c>
      <c r="C477" t="s">
        <v>1438</v>
      </c>
      <c r="D477" t="s">
        <v>903</v>
      </c>
      <c r="E477">
        <f>_xlfn.XLOOKUP(C477,Population_data!B:B,Population_data!C:C,"")</f>
        <v>705.18</v>
      </c>
      <c r="F477">
        <f>_xlfn.XLOOKUP(C477,Population_data!B:B,Population_data!D:D,"")</f>
        <v>126604</v>
      </c>
      <c r="G477">
        <f>_xlfn.XLOOKUP(C477,Population_data!B:B,Population_data!E:E,"")</f>
        <v>179.53</v>
      </c>
      <c r="H477">
        <f>_xlfn.XLOOKUP(C477,Population_data!B:B,Population_data!F:F,"")</f>
        <v>4.16</v>
      </c>
      <c r="I477">
        <f>_xlfn.XLOOKUP(C477,Population_data!B:B,Population_data!G:G,"")</f>
        <v>71.59</v>
      </c>
      <c r="J477" t="str">
        <f>_xlfn.XLOOKUP(D477,District_Crime_Unit_Map!A:A,District_Crime_Unit_Map!B:B,"")</f>
        <v>Chittagong Range</v>
      </c>
      <c r="K477">
        <f>_xlfn.XLOOKUP(J477,Crime_Data!A:A,Crime_Data!V:V,"")</f>
        <v>84.879645400600893</v>
      </c>
      <c r="L477">
        <f>_xlfn.XLOOKUP(J477,Crime_Data!A:A,Crime_Data!W:W,"")</f>
        <v>10.309673910686193</v>
      </c>
      <c r="M477" t="str">
        <f>TRIM(Table6[[#This Row],[District]])&amp;"|"&amp;TRIM(Table6[[#This Row],[Upazila]])</f>
        <v>Khagrachhari|Matiranga</v>
      </c>
      <c r="N477" t="str">
        <f>_xlfn.XLOOKUP(B477,Remittance_Data!A:A,Remittance_Data!B:B,"CHECK")</f>
        <v>CHECK</v>
      </c>
      <c r="O477" t="str">
        <f>_xlfn.XLOOKUP(B477,Remittance_Data!A:A,Remittance_Data!C:C,"CHECK")</f>
        <v>CHECK</v>
      </c>
      <c r="P477" t="str">
        <f>_xlfn.XLOOKUP(B477,Remittance_Data!A:A,Remittance_Data!D:D,"CHECK")</f>
        <v>CHECK</v>
      </c>
    </row>
    <row r="478" spans="1:16">
      <c r="A478" t="s">
        <v>1433</v>
      </c>
      <c r="B478" t="str">
        <f>SUBSTITUTE(SUBSTITUTE(SUBSTITUTE(SUBSTITUTE(TRIM(Table6[[#This Row],[Constituency]]),"Barisal","Barishal"),"Jessore","Jashore"),"Bogra","Bogura"),"Chapai Nawabganj","Chapainawabganj")</f>
        <v>Khagrachhari-1</v>
      </c>
      <c r="C478" t="s">
        <v>1439</v>
      </c>
      <c r="D478" t="s">
        <v>903</v>
      </c>
      <c r="E478">
        <f>_xlfn.XLOOKUP(C478,Population_data!B:B,Population_data!C:C,"")</f>
        <v>287.89</v>
      </c>
      <c r="F478">
        <f>_xlfn.XLOOKUP(C478,Population_data!B:B,Population_data!D:D,"")</f>
        <v>60734</v>
      </c>
      <c r="G478">
        <f>_xlfn.XLOOKUP(C478,Population_data!B:B,Population_data!E:E,"")</f>
        <v>210.96</v>
      </c>
      <c r="H478">
        <f>_xlfn.XLOOKUP(C478,Population_data!B:B,Population_data!F:F,"")</f>
        <v>4.3899999999999997</v>
      </c>
      <c r="I478">
        <f>_xlfn.XLOOKUP(C478,Population_data!B:B,Population_data!G:G,"")</f>
        <v>76.08</v>
      </c>
      <c r="J478" t="str">
        <f>_xlfn.XLOOKUP(D478,District_Crime_Unit_Map!A:A,District_Crime_Unit_Map!B:B,"")</f>
        <v>Chittagong Range</v>
      </c>
      <c r="K478">
        <f>_xlfn.XLOOKUP(J478,Crime_Data!A:A,Crime_Data!V:V,"")</f>
        <v>84.879645400600893</v>
      </c>
      <c r="L478">
        <f>_xlfn.XLOOKUP(J478,Crime_Data!A:A,Crime_Data!W:W,"")</f>
        <v>10.309673910686193</v>
      </c>
      <c r="M478" t="str">
        <f>TRIM(Table6[[#This Row],[District]])&amp;"|"&amp;TRIM(Table6[[#This Row],[Upazila]])</f>
        <v>Khagrachhari|Ramgarh</v>
      </c>
      <c r="N478" t="str">
        <f>_xlfn.XLOOKUP(B478,Remittance_Data!A:A,Remittance_Data!B:B,"CHECK")</f>
        <v>CHECK</v>
      </c>
      <c r="O478" t="str">
        <f>_xlfn.XLOOKUP(B478,Remittance_Data!A:A,Remittance_Data!C:C,"CHECK")</f>
        <v>CHECK</v>
      </c>
      <c r="P478" t="str">
        <f>_xlfn.XLOOKUP(B478,Remittance_Data!A:A,Remittance_Data!D:D,"CHECK")</f>
        <v>CHECK</v>
      </c>
    </row>
    <row r="479" spans="1:16">
      <c r="A479" t="s">
        <v>1433</v>
      </c>
      <c r="B479" t="str">
        <f>SUBSTITUTE(SUBSTITUTE(SUBSTITUTE(SUBSTITUTE(TRIM(Table6[[#This Row],[Constituency]]),"Barisal","Barishal"),"Jessore","Jashore"),"Bogra","Bogura"),"Chapai Nawabganj","Chapainawabganj")</f>
        <v>Khagrachhari-1</v>
      </c>
      <c r="C479" t="s">
        <v>1440</v>
      </c>
      <c r="D479" t="s">
        <v>903</v>
      </c>
      <c r="E479">
        <f>_xlfn.XLOOKUP(C479,Population_data!B:B,Population_data!C:C,"")</f>
        <v>214.39</v>
      </c>
      <c r="F479">
        <f>_xlfn.XLOOKUP(C479,Population_data!B:B,Population_data!D:D,"")</f>
        <v>77024</v>
      </c>
      <c r="G479">
        <f>_xlfn.XLOOKUP(C479,Population_data!B:B,Population_data!E:E,"")</f>
        <v>359.27</v>
      </c>
      <c r="H479">
        <f>_xlfn.XLOOKUP(C479,Population_data!B:B,Population_data!F:F,"")</f>
        <v>4.29</v>
      </c>
      <c r="I479">
        <f>_xlfn.XLOOKUP(C479,Population_data!B:B,Population_data!G:G,"")</f>
        <v>72.44</v>
      </c>
      <c r="J479" t="str">
        <f>_xlfn.XLOOKUP(D479,District_Crime_Unit_Map!A:A,District_Crime_Unit_Map!B:B,"")</f>
        <v>Chittagong Range</v>
      </c>
      <c r="K479">
        <f>_xlfn.XLOOKUP(J479,Crime_Data!A:A,Crime_Data!V:V,"")</f>
        <v>84.879645400600893</v>
      </c>
      <c r="L479">
        <f>_xlfn.XLOOKUP(J479,Crime_Data!A:A,Crime_Data!W:W,"")</f>
        <v>10.309673910686193</v>
      </c>
      <c r="M479" t="str">
        <f>TRIM(Table6[[#This Row],[District]])&amp;"|"&amp;TRIM(Table6[[#This Row],[Upazila]])</f>
        <v>Khagrachhari|Manikchhari</v>
      </c>
      <c r="N479" t="str">
        <f>_xlfn.XLOOKUP(B479,Remittance_Data!A:A,Remittance_Data!B:B,"CHECK")</f>
        <v>CHECK</v>
      </c>
      <c r="O479" t="str">
        <f>_xlfn.XLOOKUP(B479,Remittance_Data!A:A,Remittance_Data!C:C,"CHECK")</f>
        <v>CHECK</v>
      </c>
      <c r="P479" t="str">
        <f>_xlfn.XLOOKUP(B479,Remittance_Data!A:A,Remittance_Data!D:D,"CHECK")</f>
        <v>CHECK</v>
      </c>
    </row>
    <row r="480" spans="1:16">
      <c r="A480" t="s">
        <v>1433</v>
      </c>
      <c r="B480" t="str">
        <f>SUBSTITUTE(SUBSTITUTE(SUBSTITUTE(SUBSTITUTE(TRIM(Table6[[#This Row],[Constituency]]),"Barisal","Barishal"),"Jessore","Jashore"),"Bogra","Bogura"),"Chapai Nawabganj","Chapainawabganj")</f>
        <v>Khagrachhari-1</v>
      </c>
      <c r="C480" t="s">
        <v>1441</v>
      </c>
      <c r="D480" t="s">
        <v>903</v>
      </c>
      <c r="E480">
        <f>_xlfn.XLOOKUP(C480,Population_data!B:B,Population_data!C:C,"")</f>
        <v>296.36</v>
      </c>
      <c r="F480">
        <f>_xlfn.XLOOKUP(C480,Population_data!B:B,Population_data!D:D,"")</f>
        <v>27148</v>
      </c>
      <c r="G480">
        <f>_xlfn.XLOOKUP(C480,Population_data!B:B,Population_data!E:E,"")</f>
        <v>91.6</v>
      </c>
      <c r="H480">
        <f>_xlfn.XLOOKUP(C480,Population_data!B:B,Population_data!F:F,"")</f>
        <v>4.0999999999999996</v>
      </c>
      <c r="I480">
        <f>_xlfn.XLOOKUP(C480,Population_data!B:B,Population_data!G:G,"")</f>
        <v>62.59</v>
      </c>
      <c r="J480" t="str">
        <f>_xlfn.XLOOKUP(D480,District_Crime_Unit_Map!A:A,District_Crime_Unit_Map!B:B,"")</f>
        <v>Chittagong Range</v>
      </c>
      <c r="K480">
        <f>_xlfn.XLOOKUP(J480,Crime_Data!A:A,Crime_Data!V:V,"")</f>
        <v>84.879645400600893</v>
      </c>
      <c r="L480">
        <f>_xlfn.XLOOKUP(J480,Crime_Data!A:A,Crime_Data!W:W,"")</f>
        <v>10.309673910686193</v>
      </c>
      <c r="M480" t="str">
        <f>TRIM(Table6[[#This Row],[District]])&amp;"|"&amp;TRIM(Table6[[#This Row],[Upazila]])</f>
        <v>Khagrachhari|Lakshmichhari</v>
      </c>
      <c r="N480" t="str">
        <f>_xlfn.XLOOKUP(B480,Remittance_Data!A:A,Remittance_Data!B:B,"CHECK")</f>
        <v>CHECK</v>
      </c>
      <c r="O480" t="str">
        <f>_xlfn.XLOOKUP(B480,Remittance_Data!A:A,Remittance_Data!C:C,"CHECK")</f>
        <v>CHECK</v>
      </c>
      <c r="P480" t="str">
        <f>_xlfn.XLOOKUP(B480,Remittance_Data!A:A,Remittance_Data!D:D,"CHECK")</f>
        <v>CHECK</v>
      </c>
    </row>
    <row r="481" spans="1:16">
      <c r="A481" t="s">
        <v>1442</v>
      </c>
      <c r="B481" t="str">
        <f>SUBSTITUTE(SUBSTITUTE(SUBSTITUTE(SUBSTITUTE(TRIM(Table6[[#This Row],[Constituency]]),"Barisal","Barishal"),"Jessore","Jashore"),"Bogra","Bogura"),"Chapai Nawabganj","Chapainawabganj")</f>
        <v>Rangamati-1</v>
      </c>
      <c r="C481" t="s">
        <v>1443</v>
      </c>
      <c r="D481" t="s">
        <v>906</v>
      </c>
      <c r="E481">
        <f>_xlfn.XLOOKUP(C481,Population_data!B:B,Population_data!C:C,"")</f>
        <v>546.49</v>
      </c>
      <c r="F481">
        <f>_xlfn.XLOOKUP(C481,Population_data!B:B,Population_data!D:D,"")</f>
        <v>146591</v>
      </c>
      <c r="G481">
        <f>_xlfn.XLOOKUP(C481,Population_data!B:B,Population_data!E:E,"")</f>
        <v>268.24</v>
      </c>
      <c r="H481">
        <f>_xlfn.XLOOKUP(C481,Population_data!B:B,Population_data!F:F,"")</f>
        <v>4.0599999999999996</v>
      </c>
      <c r="I481">
        <f>_xlfn.XLOOKUP(C481,Population_data!B:B,Population_data!G:G,"")</f>
        <v>80.510000000000005</v>
      </c>
      <c r="J481" t="str">
        <f>_xlfn.XLOOKUP(D481,District_Crime_Unit_Map!A:A,District_Crime_Unit_Map!B:B,"")</f>
        <v>Chittagong Range</v>
      </c>
      <c r="K481">
        <f>_xlfn.XLOOKUP(J481,Crime_Data!A:A,Crime_Data!V:V,"")</f>
        <v>84.879645400600893</v>
      </c>
      <c r="L481">
        <f>_xlfn.XLOOKUP(J481,Crime_Data!A:A,Crime_Data!W:W,"")</f>
        <v>10.309673910686193</v>
      </c>
      <c r="M481" t="str">
        <f>TRIM(Table6[[#This Row],[District]])&amp;"|"&amp;TRIM(Table6[[#This Row],[Upazila]])</f>
        <v>Rangamati|Rangamati Sadar</v>
      </c>
      <c r="N481" t="str">
        <f>_xlfn.XLOOKUP(B481,Remittance_Data!A:A,Remittance_Data!B:B,"CHECK")</f>
        <v>CHECK</v>
      </c>
      <c r="O481" t="str">
        <f>_xlfn.XLOOKUP(B481,Remittance_Data!A:A,Remittance_Data!C:C,"CHECK")</f>
        <v>CHECK</v>
      </c>
      <c r="P481" t="str">
        <f>_xlfn.XLOOKUP(B481,Remittance_Data!A:A,Remittance_Data!D:D,"CHECK")</f>
        <v>CHECK</v>
      </c>
    </row>
    <row r="482" spans="1:16">
      <c r="A482" t="s">
        <v>1442</v>
      </c>
      <c r="B482" t="str">
        <f>SUBSTITUTE(SUBSTITUTE(SUBSTITUTE(SUBSTITUTE(TRIM(Table6[[#This Row],[Constituency]]),"Barisal","Barishal"),"Jessore","Jashore"),"Bogra","Bogura"),"Chapai Nawabganj","Chapainawabganj")</f>
        <v>Rangamati-1</v>
      </c>
      <c r="C482" t="s">
        <v>1444</v>
      </c>
      <c r="D482" t="s">
        <v>906</v>
      </c>
      <c r="E482">
        <f>_xlfn.XLOOKUP(C482,Population_data!B:B,Population_data!C:C,"")</f>
        <v>259</v>
      </c>
      <c r="F482">
        <f>_xlfn.XLOOKUP(C482,Population_data!B:B,Population_data!D:D,"")</f>
        <v>55408</v>
      </c>
      <c r="G482">
        <f>_xlfn.XLOOKUP(C482,Population_data!B:B,Population_data!E:E,"")</f>
        <v>213.93</v>
      </c>
      <c r="H482">
        <f>_xlfn.XLOOKUP(C482,Population_data!B:B,Population_data!F:F,"")</f>
        <v>4.09</v>
      </c>
      <c r="I482">
        <f>_xlfn.XLOOKUP(C482,Population_data!B:B,Population_data!G:G,"")</f>
        <v>73.239999999999995</v>
      </c>
      <c r="J482" t="str">
        <f>_xlfn.XLOOKUP(D482,District_Crime_Unit_Map!A:A,District_Crime_Unit_Map!B:B,"")</f>
        <v>Chittagong Range</v>
      </c>
      <c r="K482">
        <f>_xlfn.XLOOKUP(J482,Crime_Data!A:A,Crime_Data!V:V,"")</f>
        <v>84.879645400600893</v>
      </c>
      <c r="L482">
        <f>_xlfn.XLOOKUP(J482,Crime_Data!A:A,Crime_Data!W:W,"")</f>
        <v>10.309673910686193</v>
      </c>
      <c r="M482" t="str">
        <f>TRIM(Table6[[#This Row],[District]])&amp;"|"&amp;TRIM(Table6[[#This Row],[Upazila]])</f>
        <v>Rangamati|Kaptai</v>
      </c>
      <c r="N482" t="str">
        <f>_xlfn.XLOOKUP(B482,Remittance_Data!A:A,Remittance_Data!B:B,"CHECK")</f>
        <v>CHECK</v>
      </c>
      <c r="O482" t="str">
        <f>_xlfn.XLOOKUP(B482,Remittance_Data!A:A,Remittance_Data!C:C,"CHECK")</f>
        <v>CHECK</v>
      </c>
      <c r="P482" t="str">
        <f>_xlfn.XLOOKUP(B482,Remittance_Data!A:A,Remittance_Data!D:D,"CHECK")</f>
        <v>CHECK</v>
      </c>
    </row>
    <row r="483" spans="1:16">
      <c r="A483" t="s">
        <v>1442</v>
      </c>
      <c r="B483" t="str">
        <f>SUBSTITUTE(SUBSTITUTE(SUBSTITUTE(SUBSTITUTE(TRIM(Table6[[#This Row],[Constituency]]),"Barisal","Barishal"),"Jessore","Jashore"),"Bogra","Bogura"),"Chapai Nawabganj","Chapainawabganj")</f>
        <v>Rangamati-1</v>
      </c>
      <c r="C483" t="s">
        <v>1176</v>
      </c>
      <c r="D483" t="s">
        <v>906</v>
      </c>
      <c r="E483">
        <f>_xlfn.XLOOKUP(C483,Population_data!B:B,Population_data!C:C,"")</f>
        <v>233.65</v>
      </c>
      <c r="F483">
        <f>_xlfn.XLOOKUP(C483,Population_data!B:B,Population_data!D:D,"")</f>
        <v>70781</v>
      </c>
      <c r="G483">
        <f>_xlfn.XLOOKUP(C483,Population_data!B:B,Population_data!E:E,"")</f>
        <v>302.94</v>
      </c>
      <c r="H483">
        <f>_xlfn.XLOOKUP(C483,Population_data!B:B,Population_data!F:F,"")</f>
        <v>3.85</v>
      </c>
      <c r="I483">
        <f>_xlfn.XLOOKUP(C483,Population_data!B:B,Population_data!G:G,"")</f>
        <v>86.92</v>
      </c>
      <c r="J483" t="str">
        <f>_xlfn.XLOOKUP(D483,District_Crime_Unit_Map!A:A,District_Crime_Unit_Map!B:B,"")</f>
        <v>Chittagong Range</v>
      </c>
      <c r="K483">
        <f>_xlfn.XLOOKUP(J483,Crime_Data!A:A,Crime_Data!V:V,"")</f>
        <v>84.879645400600893</v>
      </c>
      <c r="L483">
        <f>_xlfn.XLOOKUP(J483,Crime_Data!A:A,Crime_Data!W:W,"")</f>
        <v>10.309673910686193</v>
      </c>
      <c r="M483" t="str">
        <f>TRIM(Table6[[#This Row],[District]])&amp;"|"&amp;TRIM(Table6[[#This Row],[Upazila]])</f>
        <v>Rangamati|Kawkhali</v>
      </c>
      <c r="N483" t="str">
        <f>_xlfn.XLOOKUP(B483,Remittance_Data!A:A,Remittance_Data!B:B,"CHECK")</f>
        <v>CHECK</v>
      </c>
      <c r="O483" t="str">
        <f>_xlfn.XLOOKUP(B483,Remittance_Data!A:A,Remittance_Data!C:C,"CHECK")</f>
        <v>CHECK</v>
      </c>
      <c r="P483" t="str">
        <f>_xlfn.XLOOKUP(B483,Remittance_Data!A:A,Remittance_Data!D:D,"CHECK")</f>
        <v>CHECK</v>
      </c>
    </row>
    <row r="484" spans="1:16">
      <c r="A484" t="s">
        <v>1442</v>
      </c>
      <c r="B484" t="str">
        <f>SUBSTITUTE(SUBSTITUTE(SUBSTITUTE(SUBSTITUTE(TRIM(Table6[[#This Row],[Constituency]]),"Barisal","Barishal"),"Jessore","Jashore"),"Bogra","Bogura"),"Chapai Nawabganj","Chapainawabganj")</f>
        <v>Rangamati-1</v>
      </c>
      <c r="C484" t="s">
        <v>1445</v>
      </c>
      <c r="D484" t="s">
        <v>906</v>
      </c>
      <c r="E484">
        <f>_xlfn.XLOOKUP(C484,Population_data!B:B,Population_data!C:C,"")</f>
        <v>970.7</v>
      </c>
      <c r="F484">
        <f>_xlfn.XLOOKUP(C484,Population_data!B:B,Population_data!D:D,"")</f>
        <v>29540</v>
      </c>
      <c r="G484">
        <f>_xlfn.XLOOKUP(C484,Population_data!B:B,Population_data!E:E,"")</f>
        <v>30.43</v>
      </c>
      <c r="H484">
        <f>_xlfn.XLOOKUP(C484,Population_data!B:B,Population_data!F:F,"")</f>
        <v>3.95</v>
      </c>
      <c r="I484">
        <f>_xlfn.XLOOKUP(C484,Population_data!B:B,Population_data!G:G,"")</f>
        <v>55.88</v>
      </c>
      <c r="J484" t="str">
        <f>_xlfn.XLOOKUP(D484,District_Crime_Unit_Map!A:A,District_Crime_Unit_Map!B:B,"")</f>
        <v>Chittagong Range</v>
      </c>
      <c r="K484">
        <f>_xlfn.XLOOKUP(J484,Crime_Data!A:A,Crime_Data!V:V,"")</f>
        <v>84.879645400600893</v>
      </c>
      <c r="L484">
        <f>_xlfn.XLOOKUP(J484,Crime_Data!A:A,Crime_Data!W:W,"")</f>
        <v>10.309673910686193</v>
      </c>
      <c r="M484" t="str">
        <f>TRIM(Table6[[#This Row],[District]])&amp;"|"&amp;TRIM(Table6[[#This Row],[Upazila]])</f>
        <v>Rangamati|Belaichhari</v>
      </c>
      <c r="N484" t="str">
        <f>_xlfn.XLOOKUP(B484,Remittance_Data!A:A,Remittance_Data!B:B,"CHECK")</f>
        <v>CHECK</v>
      </c>
      <c r="O484" t="str">
        <f>_xlfn.XLOOKUP(B484,Remittance_Data!A:A,Remittance_Data!C:C,"CHECK")</f>
        <v>CHECK</v>
      </c>
      <c r="P484" t="str">
        <f>_xlfn.XLOOKUP(B484,Remittance_Data!A:A,Remittance_Data!D:D,"CHECK")</f>
        <v>CHECK</v>
      </c>
    </row>
    <row r="485" spans="1:16">
      <c r="A485" t="s">
        <v>1442</v>
      </c>
      <c r="B485" t="str">
        <f>SUBSTITUTE(SUBSTITUTE(SUBSTITUTE(SUBSTITUTE(TRIM(Table6[[#This Row],[Constituency]]),"Barisal","Barishal"),"Jessore","Jashore"),"Bogra","Bogura"),"Chapai Nawabganj","Chapainawabganj")</f>
        <v>Rangamati-1</v>
      </c>
      <c r="C485" t="s">
        <v>1484</v>
      </c>
      <c r="D485" t="s">
        <v>906</v>
      </c>
      <c r="E485">
        <f>_xlfn.XLOOKUP(C485,Population_data!B:B,Population_data!C:C,"")</f>
        <v>760.18</v>
      </c>
      <c r="F485">
        <f>_xlfn.XLOOKUP(C485,Population_data!B:B,Population_data!D:D,"")</f>
        <v>106282</v>
      </c>
      <c r="G485">
        <f>_xlfn.XLOOKUP(C485,Population_data!B:B,Population_data!E:E,"")</f>
        <v>139.81</v>
      </c>
      <c r="H485">
        <f>_xlfn.XLOOKUP(C485,Population_data!B:B,Population_data!F:F,"")</f>
        <v>4.22</v>
      </c>
      <c r="I485">
        <f>_xlfn.XLOOKUP(C485,Population_data!B:B,Population_data!G:G,"")</f>
        <v>67.72</v>
      </c>
      <c r="J485" t="str">
        <f>_xlfn.XLOOKUP(D485,District_Crime_Unit_Map!A:A,District_Crime_Unit_Map!B:B,"")</f>
        <v>Chittagong Range</v>
      </c>
      <c r="K485">
        <f>_xlfn.XLOOKUP(J485,Crime_Data!A:A,Crime_Data!V:V,"")</f>
        <v>84.879645400600893</v>
      </c>
      <c r="L485">
        <f>_xlfn.XLOOKUP(J485,Crime_Data!A:A,Crime_Data!W:W,"")</f>
        <v>10.309673910686193</v>
      </c>
      <c r="M485" t="str">
        <f>TRIM(Table6[[#This Row],[District]])&amp;"|"&amp;TRIM(Table6[[#This Row],[Upazila]])</f>
        <v>Rangamati|Baghaichhari</v>
      </c>
      <c r="N485" t="str">
        <f>_xlfn.XLOOKUP(B485,Remittance_Data!A:A,Remittance_Data!B:B,"CHECK")</f>
        <v>CHECK</v>
      </c>
      <c r="O485" t="str">
        <f>_xlfn.XLOOKUP(B485,Remittance_Data!A:A,Remittance_Data!C:C,"CHECK")</f>
        <v>CHECK</v>
      </c>
      <c r="P485" t="str">
        <f>_xlfn.XLOOKUP(B485,Remittance_Data!A:A,Remittance_Data!D:D,"CHECK")</f>
        <v>CHECK</v>
      </c>
    </row>
    <row r="486" spans="1:16">
      <c r="A486" t="s">
        <v>1442</v>
      </c>
      <c r="B486" t="str">
        <f>SUBSTITUTE(SUBSTITUTE(SUBSTITUTE(SUBSTITUTE(TRIM(Table6[[#This Row],[Constituency]]),"Barisal","Barishal"),"Jessore","Jashore"),"Bogra","Bogura"),"Chapai Nawabganj","Chapainawabganj")</f>
        <v>Rangamati-1</v>
      </c>
      <c r="C486" t="s">
        <v>1447</v>
      </c>
      <c r="D486" t="s">
        <v>906</v>
      </c>
      <c r="E486">
        <f>_xlfn.XLOOKUP(C486,Population_data!B:B,Population_data!C:C,"")</f>
        <v>622.44000000000005</v>
      </c>
      <c r="F486">
        <f>_xlfn.XLOOKUP(C486,Population_data!B:B,Population_data!D:D,"")</f>
        <v>49707</v>
      </c>
      <c r="G486">
        <f>_xlfn.XLOOKUP(C486,Population_data!B:B,Population_data!E:E,"")</f>
        <v>79.86</v>
      </c>
      <c r="H486">
        <f>_xlfn.XLOOKUP(C486,Population_data!B:B,Population_data!F:F,"")</f>
        <v>4.3600000000000003</v>
      </c>
      <c r="I486">
        <f>_xlfn.XLOOKUP(C486,Population_data!B:B,Population_data!G:G,"")</f>
        <v>70.150000000000006</v>
      </c>
      <c r="J486" t="str">
        <f>_xlfn.XLOOKUP(D486,District_Crime_Unit_Map!A:A,District_Crime_Unit_Map!B:B,"")</f>
        <v>Chittagong Range</v>
      </c>
      <c r="K486">
        <f>_xlfn.XLOOKUP(J486,Crime_Data!A:A,Crime_Data!V:V,"")</f>
        <v>84.879645400600893</v>
      </c>
      <c r="L486">
        <f>_xlfn.XLOOKUP(J486,Crime_Data!A:A,Crime_Data!W:W,"")</f>
        <v>10.309673910686193</v>
      </c>
      <c r="M486" t="str">
        <f>TRIM(Table6[[#This Row],[District]])&amp;"|"&amp;TRIM(Table6[[#This Row],[Upazila]])</f>
        <v>Rangamati|Barkal</v>
      </c>
      <c r="N486" t="str">
        <f>_xlfn.XLOOKUP(B486,Remittance_Data!A:A,Remittance_Data!B:B,"CHECK")</f>
        <v>CHECK</v>
      </c>
      <c r="O486" t="str">
        <f>_xlfn.XLOOKUP(B486,Remittance_Data!A:A,Remittance_Data!C:C,"CHECK")</f>
        <v>CHECK</v>
      </c>
      <c r="P486" t="str">
        <f>_xlfn.XLOOKUP(B486,Remittance_Data!A:A,Remittance_Data!D:D,"CHECK")</f>
        <v>CHECK</v>
      </c>
    </row>
    <row r="487" spans="1:16">
      <c r="A487" t="s">
        <v>1442</v>
      </c>
      <c r="B487" t="str">
        <f>SUBSTITUTE(SUBSTITUTE(SUBSTITUTE(SUBSTITUTE(TRIM(Table6[[#This Row],[Constituency]]),"Barisal","Barishal"),"Jessore","Jashore"),"Bogra","Bogura"),"Chapai Nawabganj","Chapainawabganj")</f>
        <v>Rangamati-1</v>
      </c>
      <c r="C487" t="s">
        <v>1448</v>
      </c>
      <c r="D487" t="s">
        <v>906</v>
      </c>
      <c r="E487">
        <f>_xlfn.XLOOKUP(C487,Population_data!B:B,Population_data!C:C,"")</f>
        <v>692.56</v>
      </c>
      <c r="F487">
        <f>_xlfn.XLOOKUP(C487,Population_data!B:B,Population_data!D:D,"")</f>
        <v>26932</v>
      </c>
      <c r="G487">
        <f>_xlfn.XLOOKUP(C487,Population_data!B:B,Population_data!E:E,"")</f>
        <v>38.89</v>
      </c>
      <c r="H487">
        <f>_xlfn.XLOOKUP(C487,Population_data!B:B,Population_data!F:F,"")</f>
        <v>4.05</v>
      </c>
      <c r="I487">
        <f>_xlfn.XLOOKUP(C487,Population_data!B:B,Population_data!G:G,"")</f>
        <v>61.17</v>
      </c>
      <c r="J487" t="str">
        <f>_xlfn.XLOOKUP(D487,District_Crime_Unit_Map!A:A,District_Crime_Unit_Map!B:B,"")</f>
        <v>Chittagong Range</v>
      </c>
      <c r="K487">
        <f>_xlfn.XLOOKUP(J487,Crime_Data!A:A,Crime_Data!V:V,"")</f>
        <v>84.879645400600893</v>
      </c>
      <c r="L487">
        <f>_xlfn.XLOOKUP(J487,Crime_Data!A:A,Crime_Data!W:W,"")</f>
        <v>10.309673910686193</v>
      </c>
      <c r="M487" t="str">
        <f>TRIM(Table6[[#This Row],[District]])&amp;"|"&amp;TRIM(Table6[[#This Row],[Upazila]])</f>
        <v>Rangamati|Jurachhari</v>
      </c>
      <c r="N487" t="str">
        <f>_xlfn.XLOOKUP(B487,Remittance_Data!A:A,Remittance_Data!B:B,"CHECK")</f>
        <v>CHECK</v>
      </c>
      <c r="O487" t="str">
        <f>_xlfn.XLOOKUP(B487,Remittance_Data!A:A,Remittance_Data!C:C,"CHECK")</f>
        <v>CHECK</v>
      </c>
      <c r="P487" t="str">
        <f>_xlfn.XLOOKUP(B487,Remittance_Data!A:A,Remittance_Data!D:D,"CHECK")</f>
        <v>CHECK</v>
      </c>
    </row>
    <row r="488" spans="1:16">
      <c r="A488" t="s">
        <v>1442</v>
      </c>
      <c r="B488" t="str">
        <f>SUBSTITUTE(SUBSTITUTE(SUBSTITUTE(SUBSTITUTE(TRIM(Table6[[#This Row],[Constituency]]),"Barisal","Barishal"),"Jessore","Jashore"),"Bogra","Bogura"),"Chapai Nawabganj","Chapainawabganj")</f>
        <v>Rangamati-1</v>
      </c>
      <c r="C488" t="s">
        <v>1449</v>
      </c>
      <c r="D488" t="s">
        <v>906</v>
      </c>
      <c r="E488">
        <f>_xlfn.XLOOKUP(C488,Population_data!B:B,Population_data!C:C,"")</f>
        <v>220.15</v>
      </c>
      <c r="F488">
        <f>_xlfn.XLOOKUP(C488,Population_data!B:B,Population_data!D:D,"")</f>
        <v>27864</v>
      </c>
      <c r="G488">
        <f>_xlfn.XLOOKUP(C488,Population_data!B:B,Population_data!E:E,"")</f>
        <v>126.57</v>
      </c>
      <c r="H488">
        <f>_xlfn.XLOOKUP(C488,Population_data!B:B,Population_data!F:F,"")</f>
        <v>3.83</v>
      </c>
      <c r="I488">
        <f>_xlfn.XLOOKUP(C488,Population_data!B:B,Population_data!G:G,"")</f>
        <v>68.02</v>
      </c>
      <c r="J488" t="str">
        <f>_xlfn.XLOOKUP(D488,District_Crime_Unit_Map!A:A,District_Crime_Unit_Map!B:B,"")</f>
        <v>Chittagong Range</v>
      </c>
      <c r="K488">
        <f>_xlfn.XLOOKUP(J488,Crime_Data!A:A,Crime_Data!V:V,"")</f>
        <v>84.879645400600893</v>
      </c>
      <c r="L488">
        <f>_xlfn.XLOOKUP(J488,Crime_Data!A:A,Crime_Data!W:W,"")</f>
        <v>10.309673910686193</v>
      </c>
      <c r="M488" t="str">
        <f>TRIM(Table6[[#This Row],[District]])&amp;"|"&amp;TRIM(Table6[[#This Row],[Upazila]])</f>
        <v>Rangamati|Rajasthali</v>
      </c>
      <c r="N488" t="str">
        <f>_xlfn.XLOOKUP(B488,Remittance_Data!A:A,Remittance_Data!B:B,"CHECK")</f>
        <v>CHECK</v>
      </c>
      <c r="O488" t="str">
        <f>_xlfn.XLOOKUP(B488,Remittance_Data!A:A,Remittance_Data!C:C,"CHECK")</f>
        <v>CHECK</v>
      </c>
      <c r="P488" t="str">
        <f>_xlfn.XLOOKUP(B488,Remittance_Data!A:A,Remittance_Data!D:D,"CHECK")</f>
        <v>CHECK</v>
      </c>
    </row>
    <row r="489" spans="1:16">
      <c r="A489" t="s">
        <v>1450</v>
      </c>
      <c r="B489" t="str">
        <f>SUBSTITUTE(SUBSTITUTE(SUBSTITUTE(SUBSTITUTE(TRIM(Table6[[#This Row],[Constituency]]),"Barisal","Barishal"),"Jessore","Jashore"),"Bogra","Bogura"),"Chapai Nawabganj","Chapainawabganj")</f>
        <v>Bandarban-1</v>
      </c>
      <c r="C489" t="s">
        <v>1451</v>
      </c>
      <c r="D489" t="s">
        <v>909</v>
      </c>
      <c r="E489">
        <f>_xlfn.XLOOKUP(C489,Population_data!B:B,Population_data!C:C,"")</f>
        <v>671.84</v>
      </c>
      <c r="F489">
        <f>_xlfn.XLOOKUP(C489,Population_data!B:B,Population_data!D:D,"")</f>
        <v>111096</v>
      </c>
      <c r="G489">
        <f>_xlfn.XLOOKUP(C489,Population_data!B:B,Population_data!E:E,"")</f>
        <v>165.36</v>
      </c>
      <c r="H489">
        <f>_xlfn.XLOOKUP(C489,Population_data!B:B,Population_data!F:F,"")</f>
        <v>4.13</v>
      </c>
      <c r="I489">
        <f>_xlfn.XLOOKUP(C489,Population_data!B:B,Population_data!G:G,"")</f>
        <v>73.86</v>
      </c>
      <c r="J489" t="str">
        <f>_xlfn.XLOOKUP(D489,District_Crime_Unit_Map!A:A,District_Crime_Unit_Map!B:B,"")</f>
        <v>Chittagong Range</v>
      </c>
      <c r="K489">
        <f>_xlfn.XLOOKUP(J489,Crime_Data!A:A,Crime_Data!V:V,"")</f>
        <v>84.879645400600893</v>
      </c>
      <c r="L489">
        <f>_xlfn.XLOOKUP(J489,Crime_Data!A:A,Crime_Data!W:W,"")</f>
        <v>10.309673910686193</v>
      </c>
      <c r="M489" t="str">
        <f>TRIM(Table6[[#This Row],[District]])&amp;"|"&amp;TRIM(Table6[[#This Row],[Upazila]])</f>
        <v>Bandarban|Bandarban Sadar</v>
      </c>
      <c r="N489" t="str">
        <f>_xlfn.XLOOKUP(B489,Remittance_Data!A:A,Remittance_Data!B:B,"CHECK")</f>
        <v>CHECK</v>
      </c>
      <c r="O489" t="str">
        <f>_xlfn.XLOOKUP(B489,Remittance_Data!A:A,Remittance_Data!C:C,"CHECK")</f>
        <v>CHECK</v>
      </c>
      <c r="P489" t="str">
        <f>_xlfn.XLOOKUP(B489,Remittance_Data!A:A,Remittance_Data!D:D,"CHECK")</f>
        <v>CHECK</v>
      </c>
    </row>
    <row r="490" spans="1:16">
      <c r="A490" t="s">
        <v>1450</v>
      </c>
      <c r="B490" t="str">
        <f>SUBSTITUTE(SUBSTITUTE(SUBSTITUTE(SUBSTITUTE(TRIM(Table6[[#This Row],[Constituency]]),"Barisal","Barishal"),"Jessore","Jashore"),"Bogra","Bogura"),"Chapai Nawabganj","Chapainawabganj")</f>
        <v>Bandarban-1</v>
      </c>
      <c r="C490" t="s">
        <v>1452</v>
      </c>
      <c r="D490" t="s">
        <v>909</v>
      </c>
      <c r="E490">
        <f>_xlfn.XLOOKUP(C490,Population_data!B:B,Population_data!C:C,"")</f>
        <v>1021.8</v>
      </c>
      <c r="F490">
        <f>_xlfn.XLOOKUP(C490,Population_data!B:B,Population_data!D:D,"")</f>
        <v>29790</v>
      </c>
      <c r="G490">
        <f>_xlfn.XLOOKUP(C490,Population_data!B:B,Population_data!E:E,"")</f>
        <v>29.15</v>
      </c>
      <c r="H490">
        <f>_xlfn.XLOOKUP(C490,Population_data!B:B,Population_data!F:F,"")</f>
        <v>4.57</v>
      </c>
      <c r="I490">
        <f>_xlfn.XLOOKUP(C490,Population_data!B:B,Population_data!G:G,"")</f>
        <v>50.68</v>
      </c>
      <c r="J490" t="str">
        <f>_xlfn.XLOOKUP(D490,District_Crime_Unit_Map!A:A,District_Crime_Unit_Map!B:B,"")</f>
        <v>Chittagong Range</v>
      </c>
      <c r="K490">
        <f>_xlfn.XLOOKUP(J490,Crime_Data!A:A,Crime_Data!V:V,"")</f>
        <v>84.879645400600893</v>
      </c>
      <c r="L490">
        <f>_xlfn.XLOOKUP(J490,Crime_Data!A:A,Crime_Data!W:W,"")</f>
        <v>10.309673910686193</v>
      </c>
      <c r="M490" t="str">
        <f>TRIM(Table6[[#This Row],[District]])&amp;"|"&amp;TRIM(Table6[[#This Row],[Upazila]])</f>
        <v>Bandarban|Thanchi</v>
      </c>
      <c r="N490" t="str">
        <f>_xlfn.XLOOKUP(B490,Remittance_Data!A:A,Remittance_Data!B:B,"CHECK")</f>
        <v>CHECK</v>
      </c>
      <c r="O490" t="str">
        <f>_xlfn.XLOOKUP(B490,Remittance_Data!A:A,Remittance_Data!C:C,"CHECK")</f>
        <v>CHECK</v>
      </c>
      <c r="P490" t="str">
        <f>_xlfn.XLOOKUP(B490,Remittance_Data!A:A,Remittance_Data!D:D,"CHECK")</f>
        <v>CHECK</v>
      </c>
    </row>
    <row r="491" spans="1:16">
      <c r="A491" t="s">
        <v>1450</v>
      </c>
      <c r="B491" t="str">
        <f>SUBSTITUTE(SUBSTITUTE(SUBSTITUTE(SUBSTITUTE(TRIM(Table6[[#This Row],[Constituency]]),"Barisal","Barishal"),"Jessore","Jashore"),"Bogra","Bogura"),"Chapai Nawabganj","Chapainawabganj")</f>
        <v>Bandarban-1</v>
      </c>
      <c r="C491" t="s">
        <v>1453</v>
      </c>
      <c r="D491" t="s">
        <v>909</v>
      </c>
      <c r="E491">
        <f>_xlfn.XLOOKUP(C491,Population_data!B:B,Population_data!C:C,"")</f>
        <v>314.73</v>
      </c>
      <c r="F491">
        <f>_xlfn.XLOOKUP(C491,Population_data!B:B,Population_data!D:D,"")</f>
        <v>139681</v>
      </c>
      <c r="G491">
        <f>_xlfn.XLOOKUP(C491,Population_data!B:B,Population_data!E:E,"")</f>
        <v>443.81</v>
      </c>
      <c r="H491">
        <f>_xlfn.XLOOKUP(C491,Population_data!B:B,Population_data!F:F,"")</f>
        <v>4.47</v>
      </c>
      <c r="I491">
        <f>_xlfn.XLOOKUP(C491,Population_data!B:B,Population_data!G:G,"")</f>
        <v>65.73</v>
      </c>
      <c r="J491" t="str">
        <f>_xlfn.XLOOKUP(D491,District_Crime_Unit_Map!A:A,District_Crime_Unit_Map!B:B,"")</f>
        <v>Chittagong Range</v>
      </c>
      <c r="K491">
        <f>_xlfn.XLOOKUP(J491,Crime_Data!A:A,Crime_Data!V:V,"")</f>
        <v>84.879645400600893</v>
      </c>
      <c r="L491">
        <f>_xlfn.XLOOKUP(J491,Crime_Data!A:A,Crime_Data!W:W,"")</f>
        <v>10.309673910686193</v>
      </c>
      <c r="M491" t="str">
        <f>TRIM(Table6[[#This Row],[District]])&amp;"|"&amp;TRIM(Table6[[#This Row],[Upazila]])</f>
        <v>Bandarban|Lama</v>
      </c>
      <c r="N491" t="str">
        <f>_xlfn.XLOOKUP(B491,Remittance_Data!A:A,Remittance_Data!B:B,"CHECK")</f>
        <v>CHECK</v>
      </c>
      <c r="O491" t="str">
        <f>_xlfn.XLOOKUP(B491,Remittance_Data!A:A,Remittance_Data!C:C,"CHECK")</f>
        <v>CHECK</v>
      </c>
      <c r="P491" t="str">
        <f>_xlfn.XLOOKUP(B491,Remittance_Data!A:A,Remittance_Data!D:D,"CHECK")</f>
        <v>CHECK</v>
      </c>
    </row>
    <row r="492" spans="1:16">
      <c r="A492" t="s">
        <v>1450</v>
      </c>
      <c r="B492" t="str">
        <f>SUBSTITUTE(SUBSTITUTE(SUBSTITUTE(SUBSTITUTE(TRIM(Table6[[#This Row],[Constituency]]),"Barisal","Barishal"),"Jessore","Jashore"),"Bogra","Bogura"),"Chapai Nawabganj","Chapainawabganj")</f>
        <v>Bandarban-1</v>
      </c>
      <c r="C492" t="s">
        <v>1454</v>
      </c>
      <c r="D492" t="s">
        <v>909</v>
      </c>
      <c r="E492">
        <f>_xlfn.XLOOKUP(C492,Population_data!B:B,Population_data!C:C,"")</f>
        <v>546.49</v>
      </c>
      <c r="F492">
        <f>_xlfn.XLOOKUP(C492,Population_data!B:B,Population_data!D:D,"")</f>
        <v>76475</v>
      </c>
      <c r="G492">
        <f>_xlfn.XLOOKUP(C492,Population_data!B:B,Population_data!E:E,"")</f>
        <v>139.94</v>
      </c>
      <c r="H492">
        <f>_xlfn.XLOOKUP(C492,Population_data!B:B,Population_data!F:F,"")</f>
        <v>4.67</v>
      </c>
      <c r="I492">
        <f>_xlfn.XLOOKUP(C492,Population_data!B:B,Population_data!G:G,"")</f>
        <v>64.11</v>
      </c>
      <c r="J492" t="str">
        <f>_xlfn.XLOOKUP(D492,District_Crime_Unit_Map!A:A,District_Crime_Unit_Map!B:B,"")</f>
        <v>Chittagong Range</v>
      </c>
      <c r="K492">
        <f>_xlfn.XLOOKUP(J492,Crime_Data!A:A,Crime_Data!V:V,"")</f>
        <v>84.879645400600893</v>
      </c>
      <c r="L492">
        <f>_xlfn.XLOOKUP(J492,Crime_Data!A:A,Crime_Data!W:W,"")</f>
        <v>10.309673910686193</v>
      </c>
      <c r="M492" t="str">
        <f>TRIM(Table6[[#This Row],[District]])&amp;"|"&amp;TRIM(Table6[[#This Row],[Upazila]])</f>
        <v>Bandarban|Naikhongchhari</v>
      </c>
      <c r="N492" t="str">
        <f>_xlfn.XLOOKUP(B492,Remittance_Data!A:A,Remittance_Data!B:B,"CHECK")</f>
        <v>CHECK</v>
      </c>
      <c r="O492" t="str">
        <f>_xlfn.XLOOKUP(B492,Remittance_Data!A:A,Remittance_Data!C:C,"CHECK")</f>
        <v>CHECK</v>
      </c>
      <c r="P492" t="str">
        <f>_xlfn.XLOOKUP(B492,Remittance_Data!A:A,Remittance_Data!D:D,"CHECK")</f>
        <v>CHECK</v>
      </c>
    </row>
    <row r="493" spans="1:16">
      <c r="A493" t="s">
        <v>1450</v>
      </c>
      <c r="B493" t="str">
        <f>SUBSTITUTE(SUBSTITUTE(SUBSTITUTE(SUBSTITUTE(TRIM(Table6[[#This Row],[Constituency]]),"Barisal","Barishal"),"Jessore","Jashore"),"Bogra","Bogura"),"Chapai Nawabganj","Chapainawabganj")</f>
        <v>Bandarban-1</v>
      </c>
      <c r="C493" t="s">
        <v>1455</v>
      </c>
      <c r="D493" t="s">
        <v>909</v>
      </c>
      <c r="E493">
        <f>_xlfn.XLOOKUP(C493,Population_data!B:B,Population_data!C:C,"")</f>
        <v>447.7</v>
      </c>
      <c r="F493">
        <f>_xlfn.XLOOKUP(C493,Population_data!B:B,Population_data!D:D,"")</f>
        <v>63799</v>
      </c>
      <c r="G493">
        <f>_xlfn.XLOOKUP(C493,Population_data!B:B,Population_data!E:E,"")</f>
        <v>142.5</v>
      </c>
      <c r="H493">
        <f>_xlfn.XLOOKUP(C493,Population_data!B:B,Population_data!F:F,"")</f>
        <v>4.7300000000000004</v>
      </c>
      <c r="I493">
        <f>_xlfn.XLOOKUP(C493,Population_data!B:B,Population_data!G:G,"")</f>
        <v>57.14</v>
      </c>
      <c r="J493" t="str">
        <f>_xlfn.XLOOKUP(D493,District_Crime_Unit_Map!A:A,District_Crime_Unit_Map!B:B,"")</f>
        <v>Chittagong Range</v>
      </c>
      <c r="K493">
        <f>_xlfn.XLOOKUP(J493,Crime_Data!A:A,Crime_Data!V:V,"")</f>
        <v>84.879645400600893</v>
      </c>
      <c r="L493">
        <f>_xlfn.XLOOKUP(J493,Crime_Data!A:A,Crime_Data!W:W,"")</f>
        <v>10.309673910686193</v>
      </c>
      <c r="M493" t="str">
        <f>TRIM(Table6[[#This Row],[District]])&amp;"|"&amp;TRIM(Table6[[#This Row],[Upazila]])</f>
        <v>Bandarban|Ali Kadam</v>
      </c>
      <c r="N493" t="str">
        <f>_xlfn.XLOOKUP(B493,Remittance_Data!A:A,Remittance_Data!B:B,"CHECK")</f>
        <v>CHECK</v>
      </c>
      <c r="O493" t="str">
        <f>_xlfn.XLOOKUP(B493,Remittance_Data!A:A,Remittance_Data!C:C,"CHECK")</f>
        <v>CHECK</v>
      </c>
      <c r="P493" t="str">
        <f>_xlfn.XLOOKUP(B493,Remittance_Data!A:A,Remittance_Data!D:D,"CHECK")</f>
        <v>CHECK</v>
      </c>
    </row>
    <row r="494" spans="1:16">
      <c r="A494" t="s">
        <v>1450</v>
      </c>
      <c r="B494" t="str">
        <f>SUBSTITUTE(SUBSTITUTE(SUBSTITUTE(SUBSTITUTE(TRIM(Table6[[#This Row],[Constituency]]),"Barisal","Barishal"),"Jessore","Jashore"),"Bogra","Bogura"),"Chapai Nawabganj","Chapainawabganj")</f>
        <v>Bandarban-1</v>
      </c>
      <c r="C494" t="s">
        <v>1456</v>
      </c>
      <c r="D494" t="s">
        <v>909</v>
      </c>
      <c r="E494">
        <f>_xlfn.XLOOKUP(C494,Population_data!B:B,Population_data!C:C,"")</f>
        <v>386.87</v>
      </c>
      <c r="F494">
        <f>_xlfn.XLOOKUP(C494,Population_data!B:B,Population_data!D:D,"")</f>
        <v>27719</v>
      </c>
      <c r="G494">
        <f>_xlfn.XLOOKUP(C494,Population_data!B:B,Population_data!E:E,"")</f>
        <v>71.650000000000006</v>
      </c>
      <c r="H494">
        <f>_xlfn.XLOOKUP(C494,Population_data!B:B,Population_data!F:F,"")</f>
        <v>3.81</v>
      </c>
      <c r="I494">
        <f>_xlfn.XLOOKUP(C494,Population_data!B:B,Population_data!G:G,"")</f>
        <v>55.27</v>
      </c>
      <c r="J494" t="str">
        <f>_xlfn.XLOOKUP(D494,District_Crime_Unit_Map!A:A,District_Crime_Unit_Map!B:B,"")</f>
        <v>Chittagong Range</v>
      </c>
      <c r="K494">
        <f>_xlfn.XLOOKUP(J494,Crime_Data!A:A,Crime_Data!V:V,"")</f>
        <v>84.879645400600893</v>
      </c>
      <c r="L494">
        <f>_xlfn.XLOOKUP(J494,Crime_Data!A:A,Crime_Data!W:W,"")</f>
        <v>10.309673910686193</v>
      </c>
      <c r="M494" t="str">
        <f>TRIM(Table6[[#This Row],[District]])&amp;"|"&amp;TRIM(Table6[[#This Row],[Upazila]])</f>
        <v>Bandarban|Rowangchhari</v>
      </c>
      <c r="N494" t="str">
        <f>_xlfn.XLOOKUP(B494,Remittance_Data!A:A,Remittance_Data!B:B,"CHECK")</f>
        <v>CHECK</v>
      </c>
      <c r="O494" t="str">
        <f>_xlfn.XLOOKUP(B494,Remittance_Data!A:A,Remittance_Data!C:C,"CHECK")</f>
        <v>CHECK</v>
      </c>
      <c r="P494" t="str">
        <f>_xlfn.XLOOKUP(B494,Remittance_Data!A:A,Remittance_Data!D:D,"CHECK")</f>
        <v>CHECK</v>
      </c>
    </row>
    <row r="495" spans="1:16">
      <c r="A495" t="s">
        <v>1450</v>
      </c>
      <c r="B495" t="str">
        <f>SUBSTITUTE(SUBSTITUTE(SUBSTITUTE(SUBSTITUTE(TRIM(Table6[[#This Row],[Constituency]]),"Barisal","Barishal"),"Jessore","Jashore"),"Bogra","Bogura"),"Chapai Nawabganj","Chapainawabganj")</f>
        <v>Bandarban-1</v>
      </c>
      <c r="C495" t="s">
        <v>1457</v>
      </c>
      <c r="D495" t="s">
        <v>909</v>
      </c>
      <c r="E495">
        <f>_xlfn.XLOOKUP(C495,Population_data!B:B,Population_data!C:C,"")</f>
        <v>915</v>
      </c>
      <c r="F495">
        <f>_xlfn.XLOOKUP(C495,Population_data!B:B,Population_data!D:D,"")</f>
        <v>32533</v>
      </c>
      <c r="G495">
        <f>_xlfn.XLOOKUP(C495,Population_data!B:B,Population_data!E:E,"")</f>
        <v>35.56</v>
      </c>
      <c r="H495">
        <f>_xlfn.XLOOKUP(C495,Population_data!B:B,Population_data!F:F,"")</f>
        <v>4.3499999999999996</v>
      </c>
      <c r="I495">
        <f>_xlfn.XLOOKUP(C495,Population_data!B:B,Population_data!G:G,"")</f>
        <v>50.26</v>
      </c>
      <c r="J495" t="str">
        <f>_xlfn.XLOOKUP(D495,District_Crime_Unit_Map!A:A,District_Crime_Unit_Map!B:B,"")</f>
        <v>Chittagong Range</v>
      </c>
      <c r="K495">
        <f>_xlfn.XLOOKUP(J495,Crime_Data!A:A,Crime_Data!V:V,"")</f>
        <v>84.879645400600893</v>
      </c>
      <c r="L495">
        <f>_xlfn.XLOOKUP(J495,Crime_Data!A:A,Crime_Data!W:W,"")</f>
        <v>10.309673910686193</v>
      </c>
      <c r="M495" t="str">
        <f>TRIM(Table6[[#This Row],[District]])&amp;"|"&amp;TRIM(Table6[[#This Row],[Upazila]])</f>
        <v>Bandarban|Ruma</v>
      </c>
      <c r="N495" t="str">
        <f>_xlfn.XLOOKUP(B495,Remittance_Data!A:A,Remittance_Data!B:B,"CHECK")</f>
        <v>CHECK</v>
      </c>
      <c r="O495" t="str">
        <f>_xlfn.XLOOKUP(B495,Remittance_Data!A:A,Remittance_Data!C:C,"CHECK")</f>
        <v>CHECK</v>
      </c>
      <c r="P495" t="str">
        <f>_xlfn.XLOOKUP(B495,Remittance_Data!A:A,Remittance_Data!D:D,"CHECK")</f>
        <v>CHECK</v>
      </c>
    </row>
    <row r="496" spans="1:16">
      <c r="A496" t="s">
        <v>419</v>
      </c>
      <c r="B496" t="s">
        <v>419</v>
      </c>
      <c r="C496" t="s">
        <v>1503</v>
      </c>
      <c r="D496" t="s">
        <v>999</v>
      </c>
      <c r="E496">
        <f>_xlfn.XLOOKUP(C496,Population_data!B:B,Population_data!C:C,"")</f>
        <v>366.52</v>
      </c>
      <c r="F496">
        <f>_xlfn.XLOOKUP(C496,Population_data!B:B,Population_data!D:D,"")</f>
        <v>563817</v>
      </c>
      <c r="G496">
        <f>_xlfn.XLOOKUP(C496,Population_data!B:B,Population_data!E:E,"")</f>
        <v>1538.3</v>
      </c>
      <c r="H496">
        <f>_xlfn.XLOOKUP(C496,Population_data!B:B,Population_data!F:F,"")</f>
        <v>3.83</v>
      </c>
      <c r="I496">
        <f>_xlfn.XLOOKUP(C496,Population_data!B:B,Population_data!G:G,"")</f>
        <v>63.89</v>
      </c>
      <c r="J496" t="str">
        <f>_xlfn.XLOOKUP(D496,District_Crime_Unit_Map!A:A,District_Crime_Unit_Map!B:B,"")</f>
        <v>Mymensingh Range</v>
      </c>
      <c r="K496">
        <f>_xlfn.XLOOKUP(J496,Crime_Data!A:A,Crime_Data!V:V,"")</f>
        <v>84.741263899591743</v>
      </c>
      <c r="L496">
        <f>_xlfn.XLOOKUP(J496,Crime_Data!A:A,Crime_Data!W:W,"")</f>
        <v>13.635491015503808</v>
      </c>
      <c r="M496" t="str">
        <f>TRIM(Table6[[#This Row],[District]])&amp;"|"&amp;TRIM(Table6[[#This Row],[Upazila]])</f>
        <v>Sherpur|Sherpur Sadar</v>
      </c>
      <c r="N496" t="str">
        <f>_xlfn.XLOOKUP(B496,Remittance_Data!A:A,Remittance_Data!B:B,"CHECK")</f>
        <v>CHECK</v>
      </c>
      <c r="O496" t="str">
        <f>_xlfn.XLOOKUP(B496,Remittance_Data!A:A,Remittance_Data!C:C,"CHECK")</f>
        <v>CHECK</v>
      </c>
      <c r="P496" t="str">
        <f>_xlfn.XLOOKUP(B496,Remittance_Data!A:A,Remittance_Data!D:D,"CHECK")</f>
        <v>CHECK</v>
      </c>
    </row>
    <row r="497" spans="1:16">
      <c r="A497" t="s">
        <v>422</v>
      </c>
      <c r="B497" t="s">
        <v>422</v>
      </c>
      <c r="C497" t="s">
        <v>1501</v>
      </c>
      <c r="D497" t="s">
        <v>999</v>
      </c>
      <c r="E497">
        <f>_xlfn.XLOOKUP(C497,Population_data!B:B,Population_data!C:C,"")</f>
        <v>284.89</v>
      </c>
      <c r="F497">
        <f>_xlfn.XLOOKUP(C497,Population_data!B:B,Population_data!D:D,"")</f>
        <v>208753</v>
      </c>
      <c r="G497">
        <f>_xlfn.XLOOKUP(C497,Population_data!B:B,Population_data!E:E,"")</f>
        <v>732.75</v>
      </c>
      <c r="H497">
        <f>_xlfn.XLOOKUP(C497,Population_data!B:B,Population_data!F:F,"")</f>
        <v>3.84</v>
      </c>
      <c r="I497">
        <f>_xlfn.XLOOKUP(C497,Population_data!B:B,Population_data!G:G,"")</f>
        <v>63.11</v>
      </c>
      <c r="J497" t="str">
        <f>_xlfn.XLOOKUP(D497,District_Crime_Unit_Map!A:A,District_Crime_Unit_Map!B:B,"")</f>
        <v>Mymensingh Range</v>
      </c>
      <c r="K497">
        <f>_xlfn.XLOOKUP(J497,Crime_Data!A:A,Crime_Data!V:V,"")</f>
        <v>84.741263899591743</v>
      </c>
      <c r="L497">
        <f>_xlfn.XLOOKUP(J497,Crime_Data!A:A,Crime_Data!W:W,"")</f>
        <v>13.635491015503808</v>
      </c>
      <c r="M497" t="str">
        <f>TRIM(Table6[[#This Row],[District]])&amp;"|"&amp;TRIM(Table6[[#This Row],[Upazila]])</f>
        <v>Sherpur|Nakla</v>
      </c>
      <c r="N497" t="str">
        <f>_xlfn.XLOOKUP(B497,Remittance_Data!A:A,Remittance_Data!B:B,"CHECK")</f>
        <v>CHECK</v>
      </c>
      <c r="O497" t="str">
        <f>_xlfn.XLOOKUP(B497,Remittance_Data!A:A,Remittance_Data!C:C,"CHECK")</f>
        <v>CHECK</v>
      </c>
      <c r="P497" t="str">
        <f>_xlfn.XLOOKUP(B497,Remittance_Data!A:A,Remittance_Data!D:D,"CHECK")</f>
        <v>CHECK</v>
      </c>
    </row>
    <row r="498" spans="1:16">
      <c r="A498" t="s">
        <v>422</v>
      </c>
      <c r="B498" t="s">
        <v>422</v>
      </c>
      <c r="C498" t="s">
        <v>1502</v>
      </c>
      <c r="D498" t="s">
        <v>999</v>
      </c>
      <c r="E498">
        <f>_xlfn.XLOOKUP(C498,Population_data!B:B,Population_data!C:C,"")</f>
        <v>266.42</v>
      </c>
      <c r="F498">
        <f>_xlfn.XLOOKUP(C498,Population_data!B:B,Population_data!D:D,"")</f>
        <v>271905</v>
      </c>
      <c r="G498">
        <f>_xlfn.XLOOKUP(C498,Population_data!B:B,Population_data!E:E,"")</f>
        <v>1020.59</v>
      </c>
      <c r="H498">
        <f>_xlfn.XLOOKUP(C498,Population_data!B:B,Population_data!F:F,"")</f>
        <v>3.67</v>
      </c>
      <c r="I498">
        <f>_xlfn.XLOOKUP(C498,Population_data!B:B,Population_data!G:G,"")</f>
        <v>65.75</v>
      </c>
      <c r="J498" t="str">
        <f>_xlfn.XLOOKUP(D498,District_Crime_Unit_Map!A:A,District_Crime_Unit_Map!B:B,"")</f>
        <v>Mymensingh Range</v>
      </c>
      <c r="K498">
        <f>_xlfn.XLOOKUP(J498,Crime_Data!A:A,Crime_Data!V:V,"")</f>
        <v>84.741263899591743</v>
      </c>
      <c r="L498">
        <f>_xlfn.XLOOKUP(J498,Crime_Data!A:A,Crime_Data!W:W,"")</f>
        <v>13.635491015503808</v>
      </c>
      <c r="M498" t="str">
        <f>TRIM(Table6[[#This Row],[District]])&amp;"|"&amp;TRIM(Table6[[#This Row],[Upazila]])</f>
        <v>Sherpur|Nalitabari</v>
      </c>
      <c r="N498" t="str">
        <f>_xlfn.XLOOKUP(B498,Remittance_Data!A:A,Remittance_Data!B:B,"CHECK")</f>
        <v>CHECK</v>
      </c>
      <c r="O498" t="str">
        <f>_xlfn.XLOOKUP(B498,Remittance_Data!A:A,Remittance_Data!C:C,"CHECK")</f>
        <v>CHECK</v>
      </c>
      <c r="P498" t="str">
        <f>_xlfn.XLOOKUP(B498,Remittance_Data!A:A,Remittance_Data!D:D,"CHECK")</f>
        <v>CHECK</v>
      </c>
    </row>
    <row r="499" spans="1:16">
      <c r="A499" t="s">
        <v>425</v>
      </c>
      <c r="B499" t="s">
        <v>425</v>
      </c>
      <c r="C499" t="s">
        <v>1500</v>
      </c>
      <c r="D499" t="s">
        <v>999</v>
      </c>
      <c r="E499">
        <f>_xlfn.XLOOKUP(C499,Population_data!B:B,Population_data!C:C,"")</f>
        <v>327.61</v>
      </c>
      <c r="F499">
        <f>_xlfn.XLOOKUP(C499,Population_data!B:B,Population_data!D:D,"")</f>
        <v>178137</v>
      </c>
      <c r="G499">
        <f>_xlfn.XLOOKUP(C499,Population_data!B:B,Population_data!E:E,"")</f>
        <v>543.75</v>
      </c>
      <c r="H499">
        <f>_xlfn.XLOOKUP(C499,Population_data!B:B,Population_data!F:F,"")</f>
        <v>3.64</v>
      </c>
      <c r="I499">
        <f>_xlfn.XLOOKUP(C499,Population_data!B:B,Population_data!G:G,"")</f>
        <v>64.83</v>
      </c>
      <c r="J499" t="str">
        <f>_xlfn.XLOOKUP(D499,District_Crime_Unit_Map!A:A,District_Crime_Unit_Map!B:B,"")</f>
        <v>Mymensingh Range</v>
      </c>
      <c r="K499">
        <f>_xlfn.XLOOKUP(J499,Crime_Data!A:A,Crime_Data!V:V,"")</f>
        <v>84.741263899591743</v>
      </c>
      <c r="L499">
        <f>_xlfn.XLOOKUP(J499,Crime_Data!A:A,Crime_Data!W:W,"")</f>
        <v>13.635491015503808</v>
      </c>
      <c r="M499" t="str">
        <f>TRIM(Table6[[#This Row],[District]])&amp;"|"&amp;TRIM(Table6[[#This Row],[Upazila]])</f>
        <v>Sherpur|Jhenaigati</v>
      </c>
      <c r="N499" t="str">
        <f>_xlfn.XLOOKUP(B499,Remittance_Data!A:A,Remittance_Data!B:B,"CHECK")</f>
        <v>CHECK</v>
      </c>
      <c r="O499" t="str">
        <f>_xlfn.XLOOKUP(B499,Remittance_Data!A:A,Remittance_Data!C:C,"CHECK")</f>
        <v>CHECK</v>
      </c>
      <c r="P499" t="str">
        <f>_xlfn.XLOOKUP(B499,Remittance_Data!A:A,Remittance_Data!D:D,"CHECK")</f>
        <v>CHECK</v>
      </c>
    </row>
    <row r="500" spans="1:16">
      <c r="A500" t="s">
        <v>425</v>
      </c>
      <c r="B500" t="s">
        <v>425</v>
      </c>
      <c r="C500" t="s">
        <v>1504</v>
      </c>
      <c r="D500" t="s">
        <v>999</v>
      </c>
      <c r="E500">
        <f>_xlfn.XLOOKUP(C500,Population_data!B:B,Population_data!C:C,"")</f>
        <v>353.67</v>
      </c>
      <c r="F500">
        <f>_xlfn.XLOOKUP(C500,Population_data!B:B,Population_data!D:D,"")</f>
        <v>279139</v>
      </c>
      <c r="G500">
        <f>_xlfn.XLOOKUP(C500,Population_data!B:B,Population_data!E:E,"")</f>
        <v>789.26</v>
      </c>
      <c r="H500">
        <f>_xlfn.XLOOKUP(C500,Population_data!B:B,Population_data!F:F,"")</f>
        <v>3.74</v>
      </c>
      <c r="I500">
        <f>_xlfn.XLOOKUP(C500,Population_data!B:B,Population_data!G:G,"")</f>
        <v>61.03</v>
      </c>
      <c r="J500" t="str">
        <f>_xlfn.XLOOKUP(D500,District_Crime_Unit_Map!A:A,District_Crime_Unit_Map!B:B,"")</f>
        <v>Mymensingh Range</v>
      </c>
      <c r="K500">
        <f>_xlfn.XLOOKUP(J500,Crime_Data!A:A,Crime_Data!V:V,"")</f>
        <v>84.741263899591743</v>
      </c>
      <c r="L500">
        <f>_xlfn.XLOOKUP(J500,Crime_Data!A:A,Crime_Data!W:W,"")</f>
        <v>13.635491015503808</v>
      </c>
      <c r="M500" t="str">
        <f>TRIM(Table6[[#This Row],[District]])&amp;"|"&amp;TRIM(Table6[[#This Row],[Upazila]])</f>
        <v>Sherpur|Sreebardi</v>
      </c>
      <c r="N500" t="str">
        <f>_xlfn.XLOOKUP(B500,Remittance_Data!A:A,Remittance_Data!B:B,"CHECK")</f>
        <v>CHECK</v>
      </c>
      <c r="O500" t="str">
        <f>_xlfn.XLOOKUP(B500,Remittance_Data!A:A,Remittance_Data!C:C,"CHECK")</f>
        <v>CHECK</v>
      </c>
      <c r="P500" t="str">
        <f>_xlfn.XLOOKUP(B500,Remittance_Data!A:A,Remittance_Data!D:D,"CHECK")</f>
        <v>CHECK</v>
      </c>
    </row>
  </sheetData>
  <pageMargins left="0.7" right="0.7" top="0.75" bottom="0.75" header="0.3" footer="0.3"/>
  <ignoredErrors>
    <ignoredError sqref="E176:I176 E178:I178 E295:I310 E370:F370 H370:I370 E455:I456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965C-EB8A-4AF7-8C8B-8272EBBB3E93}">
  <dimension ref="A1:Z303"/>
  <sheetViews>
    <sheetView topLeftCell="M1" workbookViewId="0">
      <pane ySplit="1" topLeftCell="A290" activePane="bottomLeft" state="frozen"/>
      <selection pane="bottomLeft" activeCell="N302" sqref="A1:Z302"/>
    </sheetView>
  </sheetViews>
  <sheetFormatPr defaultRowHeight="15"/>
  <cols>
    <col min="1" max="1" width="20.42578125" customWidth="1"/>
    <col min="2" max="2" width="18.42578125" customWidth="1"/>
    <col min="3" max="3" width="33.85546875" customWidth="1"/>
    <col min="6" max="6" width="12.42578125" customWidth="1"/>
    <col min="7" max="7" width="19.140625" customWidth="1"/>
    <col min="8" max="8" width="16" customWidth="1"/>
    <col min="9" max="9" width="12.5703125" customWidth="1"/>
    <col min="10" max="10" width="12.140625" customWidth="1"/>
    <col min="11" max="11" width="22.85546875" customWidth="1"/>
    <col min="12" max="12" width="22.28515625" customWidth="1"/>
    <col min="13" max="13" width="15.140625" customWidth="1"/>
    <col min="14" max="14" width="13.5703125" customWidth="1"/>
    <col min="15" max="15" width="14.85546875" customWidth="1"/>
    <col min="16" max="16" width="21.5703125" customWidth="1"/>
    <col min="17" max="17" width="14.28515625" customWidth="1"/>
    <col min="18" max="18" width="21.140625" customWidth="1"/>
    <col min="19" max="19" width="12.5703125" customWidth="1"/>
  </cols>
  <sheetData>
    <row r="1" spans="1:26">
      <c r="A1" s="1" t="s">
        <v>2</v>
      </c>
      <c r="B1" s="1" t="s">
        <v>1579</v>
      </c>
      <c r="C1" s="1" t="s">
        <v>1580</v>
      </c>
      <c r="D1" s="1" t="s">
        <v>1581</v>
      </c>
      <c r="E1" s="1" t="s">
        <v>1568</v>
      </c>
      <c r="F1" s="1" t="s">
        <v>1464</v>
      </c>
      <c r="G1" s="1" t="s">
        <v>1569</v>
      </c>
      <c r="H1" s="1" t="s">
        <v>1465</v>
      </c>
      <c r="I1" s="1" t="s">
        <v>1466</v>
      </c>
      <c r="J1" s="1" t="s">
        <v>1582</v>
      </c>
      <c r="K1" s="1" t="s">
        <v>1565</v>
      </c>
      <c r="L1" s="1" t="s">
        <v>1566</v>
      </c>
      <c r="M1" s="1" t="s">
        <v>1587</v>
      </c>
      <c r="N1" s="1" t="s">
        <v>3</v>
      </c>
      <c r="O1" s="1" t="s">
        <v>1589</v>
      </c>
      <c r="P1" s="1" t="s">
        <v>1590</v>
      </c>
      <c r="Q1" s="1" t="s">
        <v>1591</v>
      </c>
      <c r="R1" s="1" t="s">
        <v>1458</v>
      </c>
      <c r="S1" s="1" t="s">
        <v>6</v>
      </c>
      <c r="T1" s="1" t="s">
        <v>1592</v>
      </c>
      <c r="U1" s="1" t="s">
        <v>1459</v>
      </c>
      <c r="V1" s="1" t="s">
        <v>9</v>
      </c>
      <c r="W1" s="1" t="s">
        <v>1460</v>
      </c>
      <c r="X1" s="1" t="s">
        <v>1461</v>
      </c>
      <c r="Y1" s="1" t="s">
        <v>1599</v>
      </c>
      <c r="Z1" s="1" t="s">
        <v>1600</v>
      </c>
    </row>
    <row r="2" spans="1:26">
      <c r="A2" t="str" cm="1">
        <f t="array" ref="A2:A301">_xlfn._xlws.SORT(_xlfn.UNIQUE(_xlfn._xlws.FILTER(Final_Merged_Data!$B$2:$B$1000,Final_Merged_Data!$B$2:$B$1000&lt;&gt;"")))</f>
        <v>Bagerhat-1</v>
      </c>
      <c r="B2" t="str" cm="1">
        <f t="array" ref="B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Nawabganj","Chapainawabganj"),Final_Merged_Data!$B$2:$B$1000=$A2)))</f>
        <v>Bagerhat</v>
      </c>
      <c r="C2" t="str" cm="1">
        <f t="array" ref="C2">_xlfn.TEXTJOIN(", ",TRUE,_xlfn._xlws.FILTER(Final_Merged_Data!$C$2:$C$1000,Final_Merged_Data!$B$2:$B$1000=$A2))</f>
        <v>Fakirhat, Mollahat, Chitalmari</v>
      </c>
      <c r="D2" cm="1">
        <f t="array" ref="D2">COUNTA(_xlfn._xlws.FILTER(Final_Merged_Data!$C$2:$C$1000,Final_Merged_Data!$B$2:$B$1000=$A2))</f>
        <v>3</v>
      </c>
      <c r="E2">
        <f>SUMIFS(Final_Merged_Data!$E:$E,Final_Merged_Data!$B:$B,$A2)</f>
        <v>813.53</v>
      </c>
      <c r="F2">
        <f>SUMIFS(Final_Merged_Data!$F:$F,Final_Merged_Data!$B:$B,$A2)</f>
        <v>456659</v>
      </c>
      <c r="G2">
        <f>IF(E2=0,"",F2/E2)</f>
        <v>561.3302521111699</v>
      </c>
      <c r="H2" cm="1">
        <f t="array" ref="H2">SUMPRODUCT((Final_Merged_Data!$B$2:$B$1000=$A2)*Final_Merged_Data!$H$2:$H$1000*Final_Merged_Data!$F$2:$F$1000)/F2</f>
        <v>4.0725841163756762</v>
      </c>
      <c r="I2" cm="1">
        <f t="array" ref="I2">SUMPRODUCT((Final_Merged_Data!$B$2:$B$1000=$A2)*Final_Merged_Data!$I$2:$I$1000*Final_Merged_Data!$F$2:$F$1000)/F2</f>
        <v>79.89585147779853</v>
      </c>
      <c r="J2" t="str" cm="1">
        <f t="array" ref="J2">_xlfn.TEXTJOIN(", ",TRUE,_xlfn.UNIQUE(_xlfn._xlws.FILTER(Final_Merged_Data!$J$2:$J$1000,Final_Merged_Data!$B$2:$B$1000=$A2)))</f>
        <v>Khulna Range</v>
      </c>
      <c r="K2" cm="1">
        <f t="array" ref="K2">SUMPRODUCT((Final_Merged_Data!$B$2:$B$1000=$A2)*Final_Merged_Data!$K$2:$K$1000*Final_Merged_Data!$F$2:$F$1000)/F2</f>
        <v>102.32166075410298</v>
      </c>
      <c r="L2" cm="1">
        <f t="array" ref="L2">SUMPRODUCT((Final_Merged_Data!$B$2:$B$1000=$A2)*Final_Merged_Data!$L$2:$L$1000*Final_Merged_Data!$F$2:$F$1000)/F2</f>
        <v>12.212237548443923</v>
      </c>
      <c r="M2" t="str">
        <f>IF(COUNTIF(Master_Data!$C:$C,$A2)&gt;0,"Found","Missing")</f>
        <v>Found</v>
      </c>
      <c r="N2" t="str">
        <f>_xlfn.XLOOKUP($A2,Master_Data!$C:$C,Master_Data!$D:$D,"CHECK",0)</f>
        <v>Md. Moshiur Rahman Khan</v>
      </c>
      <c r="O2" t="str">
        <f>_xlfn.XLOOKUP($A2,Master_Data!$C:$C,Master_Data!$E:$E,"CHECK",0)</f>
        <v>Jamaat</v>
      </c>
      <c r="P2">
        <f>_xlfn.XLOOKUP($A2,Master_Data!$C:$C,Master_Data!$F:$F,"CHECK",0)</f>
        <v>2</v>
      </c>
      <c r="Q2">
        <f>_xlfn.XLOOKUP($A2,Master_Data!$C:$C,Master_Data!$G:$G,"CHECK",0)</f>
        <v>117527</v>
      </c>
      <c r="R2">
        <f>IFERROR(_xlfn.XLOOKUP($A2,Master_Data!$C:$C,Master_Data!$H:$H,"CHECK",0),"")</f>
        <v>50.690963985335344</v>
      </c>
      <c r="S2" t="str">
        <f>_xlfn.XLOOKUP($A2,Master_Data!$C:$C,Master_Data!$I:$I,"CHECK",0)</f>
        <v>Kapil Krishna Mandal</v>
      </c>
      <c r="T2">
        <f>_xlfn.XLOOKUP($A2,Master_Data!$C:$C,Master_Data!$K:$K,"CHECK",0)</f>
        <v>114323</v>
      </c>
      <c r="U2">
        <f>IFERROR(_xlfn.XLOOKUP($A2,Master_Data!$C:$C,Master_Data!$L:$L,"CHECK",0),"")</f>
        <v>49.309036014664656</v>
      </c>
      <c r="V2">
        <f>_xlfn.XLOOKUP($A2,Master_Data!$C:$C,Master_Data!$M:$M,"CHECK",0)</f>
        <v>3204</v>
      </c>
      <c r="W2">
        <f>IFERROR(_xlfn.XLOOKUP($A2,Master_Data!$C:$C,Master_Data!$N:$N,"CHECK",0),"")</f>
        <v>1.3819279706706922</v>
      </c>
      <c r="X2" t="str">
        <f>IFERROR(_xlfn.XLOOKUP($A2,Master_Data!$C:$C,Master_Data!$O:$O,"CHECK",0),"No Result")</f>
        <v>Highly Competitive</v>
      </c>
      <c r="Y2">
        <f>_xlfn.XLOOKUP($A2,Master_Data!$C:$C,Master_Data!$P:$P,"CHECK",0)</f>
        <v>0</v>
      </c>
      <c r="Z2">
        <f>IF(OR(R2="",Y2="No Result",N2="Election postponed",N2="Result withheld"),0,1)</f>
        <v>1</v>
      </c>
    </row>
    <row r="3" spans="1:26">
      <c r="A3" t="str">
        <v>Bagerhat-2</v>
      </c>
      <c r="B3" t="str" cm="1">
        <f t="array" ref="B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Nawabganj","Chapainawabganj"),Final_Merged_Data!$B$2:$B$1000=$A3)))</f>
        <v>Bagerhat</v>
      </c>
      <c r="C3" t="str" cm="1">
        <f t="array" ref="C3">_xlfn.TEXTJOIN(", ",TRUE,_xlfn._xlws.FILTER(Final_Merged_Data!$C$2:$C$1000,Final_Merged_Data!$B$2:$B$1000=$A3))</f>
        <v>Bagerhat Sadar, Kachua</v>
      </c>
      <c r="D3" cm="1">
        <f t="array" ref="D3">COUNTA(_xlfn._xlws.FILTER(Final_Merged_Data!$C$2:$C$1000,Final_Merged_Data!$B$2:$B$1000=$A3))</f>
        <v>2</v>
      </c>
      <c r="E3">
        <f>SUMIFS(Final_Merged_Data!$E:$E,Final_Merged_Data!$B:$B,$A3)</f>
        <v>631</v>
      </c>
      <c r="F3">
        <f>SUMIFS(Final_Merged_Data!$F:$F,Final_Merged_Data!$B:$B,$A3)</f>
        <v>694132</v>
      </c>
      <c r="G3">
        <f t="shared" ref="G3:G66" si="0">IF(E3=0,"",F3/E3)</f>
        <v>1100.0507131537242</v>
      </c>
      <c r="H3" cm="1">
        <f t="array" ref="H3">SUMPRODUCT((Final_Merged_Data!$B$2:$B$1000=$A3)*Final_Merged_Data!$H$2:$H$1000*Final_Merged_Data!$F$2:$F$1000)/F3</f>
        <v>4.0535643364662626</v>
      </c>
      <c r="I3" cm="1">
        <f t="array" ref="I3">SUMPRODUCT((Final_Merged_Data!$B$2:$B$1000=$A3)*Final_Merged_Data!$I$2:$I$1000*Final_Merged_Data!$F$2:$F$1000)/F3</f>
        <v>78.17207974852046</v>
      </c>
      <c r="J3" t="str" cm="1">
        <f t="array" ref="J3">_xlfn.TEXTJOIN(", ",TRUE,_xlfn.UNIQUE(_xlfn._xlws.FILTER(Final_Merged_Data!$J$2:$J$1000,Final_Merged_Data!$B$2:$B$1000=$A3)))</f>
        <v>Khulna Range</v>
      </c>
      <c r="K3" cm="1">
        <f t="array" ref="K3">SUMPRODUCT((Final_Merged_Data!$B$2:$B$1000=$A3)*Final_Merged_Data!$K$2:$K$1000*Final_Merged_Data!$F$2:$F$1000)/F3</f>
        <v>102.32166075410298</v>
      </c>
      <c r="L3" cm="1">
        <f t="array" ref="L3">SUMPRODUCT((Final_Merged_Data!$B$2:$B$1000=$A3)*Final_Merged_Data!$L$2:$L$1000*Final_Merged_Data!$F$2:$F$1000)/F3</f>
        <v>12.212237548443921</v>
      </c>
      <c r="M3" t="str">
        <f>IF(COUNTIF(Master_Data!$C:$C,$A3)&gt;0,"Found","Missing")</f>
        <v>Found</v>
      </c>
      <c r="N3" t="str">
        <f>_xlfn.XLOOKUP($A3,Master_Data!$C:$C,Master_Data!$D:$D,"CHECK",0)</f>
        <v>Sheikh Manjurul Haque Rahad</v>
      </c>
      <c r="O3" t="str">
        <f>_xlfn.XLOOKUP($A3,Master_Data!$C:$C,Master_Data!$E:$E,"CHECK",0)</f>
        <v>Jamaat</v>
      </c>
      <c r="P3">
        <f>_xlfn.XLOOKUP($A3,Master_Data!$C:$C,Master_Data!$F:$F,"CHECK",0)</f>
        <v>2</v>
      </c>
      <c r="Q3">
        <f>_xlfn.XLOOKUP($A3,Master_Data!$C:$C,Master_Data!$G:$G,"CHECK",0)</f>
        <v>117709</v>
      </c>
      <c r="R3">
        <f>IFERROR(_xlfn.XLOOKUP($A3,Master_Data!$C:$C,Master_Data!$H:$H,"CHECK",0),"")</f>
        <v>63.931283198818143</v>
      </c>
      <c r="S3" t="str">
        <f>_xlfn.XLOOKUP($A3,Master_Data!$C:$C,Master_Data!$I:$I,"CHECK",0)</f>
        <v>Sheikh Mohammad Zakir Hossain</v>
      </c>
      <c r="T3">
        <f>_xlfn.XLOOKUP($A3,Master_Data!$C:$C,Master_Data!$K:$K,"CHECK",0)</f>
        <v>66409</v>
      </c>
      <c r="U3">
        <f>IFERROR(_xlfn.XLOOKUP($A3,Master_Data!$C:$C,Master_Data!$L:$L,"CHECK",0),"")</f>
        <v>36.06871680118185</v>
      </c>
      <c r="V3">
        <f>_xlfn.XLOOKUP($A3,Master_Data!$C:$C,Master_Data!$M:$M,"CHECK",0)</f>
        <v>51300</v>
      </c>
      <c r="W3">
        <f>IFERROR(_xlfn.XLOOKUP($A3,Master_Data!$C:$C,Master_Data!$N:$N,"CHECK",0),"")</f>
        <v>27.862566397636297</v>
      </c>
      <c r="X3" t="str">
        <f>IFERROR(_xlfn.XLOOKUP($A3,Master_Data!$C:$C,Master_Data!$O:$O,"CHECK",0),"No Result")</f>
        <v>Safe Seat</v>
      </c>
      <c r="Y3">
        <f>_xlfn.XLOOKUP($A3,Master_Data!$C:$C,Master_Data!$P:$P,"CHECK",0)</f>
        <v>0</v>
      </c>
      <c r="Z3">
        <f t="shared" ref="Z3:Z66" si="1">IF(OR(R3="",Y3="No Result",N3="Election postponed",N3="Result withheld"),0,1)</f>
        <v>1</v>
      </c>
    </row>
    <row r="4" spans="1:26">
      <c r="A4" t="str">
        <v>Bagerhat-3</v>
      </c>
      <c r="B4" t="str" cm="1">
        <f t="array" ref="B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Nawabganj","Chapainawabganj"),Final_Merged_Data!$B$2:$B$1000=$A4)))</f>
        <v>Bagerhat</v>
      </c>
      <c r="C4" t="str" cm="1">
        <f t="array" ref="C4">_xlfn.TEXTJOIN(", ",TRUE,_xlfn._xlws.FILTER(Final_Merged_Data!$C$2:$C$1000,Final_Merged_Data!$B$2:$B$1000=$A4))</f>
        <v>Rampal, Mongla</v>
      </c>
      <c r="D4" cm="1">
        <f t="array" ref="D4">COUNTA(_xlfn._xlws.FILTER(Final_Merged_Data!$C$2:$C$1000,Final_Merged_Data!$B$2:$B$1000=$A4))</f>
        <v>2</v>
      </c>
      <c r="E4">
        <f>SUMIFS(Final_Merged_Data!$E:$E,Final_Merged_Data!$B:$B,$A4)</f>
        <v>1753.3400000000001</v>
      </c>
      <c r="F4">
        <f>SUMIFS(Final_Merged_Data!$F:$F,Final_Merged_Data!$B:$B,$A4)</f>
        <v>334508</v>
      </c>
      <c r="G4">
        <f t="shared" si="0"/>
        <v>190.78330500644483</v>
      </c>
      <c r="H4" cm="1">
        <f t="array" ref="H4">SUMPRODUCT((Final_Merged_Data!$B$2:$B$1000=$A4)*Final_Merged_Data!$H$2:$H$1000*Final_Merged_Data!$F$2:$F$1000)/F4</f>
        <v>3.792103148504669</v>
      </c>
      <c r="I4" cm="1">
        <f t="array" ref="I4">SUMPRODUCT((Final_Merged_Data!$B$2:$B$1000=$A4)*Final_Merged_Data!$I$2:$I$1000*Final_Merged_Data!$F$2:$F$1000)/F4</f>
        <v>81.073164767359827</v>
      </c>
      <c r="J4" t="str" cm="1">
        <f t="array" ref="J4">_xlfn.TEXTJOIN(", ",TRUE,_xlfn.UNIQUE(_xlfn._xlws.FILTER(Final_Merged_Data!$J$2:$J$1000,Final_Merged_Data!$B$2:$B$1000=$A4)))</f>
        <v>Khulna Range</v>
      </c>
      <c r="K4" cm="1">
        <f t="array" ref="K4">SUMPRODUCT((Final_Merged_Data!$B$2:$B$1000=$A4)*Final_Merged_Data!$K$2:$K$1000*Final_Merged_Data!$F$2:$F$1000)/F4</f>
        <v>102.32166075410299</v>
      </c>
      <c r="L4" cm="1">
        <f t="array" ref="L4">SUMPRODUCT((Final_Merged_Data!$B$2:$B$1000=$A4)*Final_Merged_Data!$L$2:$L$1000*Final_Merged_Data!$F$2:$F$1000)/F4</f>
        <v>12.212237548443923</v>
      </c>
      <c r="M4" t="str">
        <f>IF(COUNTIF(Master_Data!$C:$C,$A4)&gt;0,"Found","Missing")</f>
        <v>Found</v>
      </c>
      <c r="N4" t="str">
        <f>_xlfn.XLOOKUP($A4,Master_Data!$C:$C,Master_Data!$D:$D,"CHECK",0)</f>
        <v>Sheikh Faridul Islam</v>
      </c>
      <c r="O4" t="str">
        <f>_xlfn.XLOOKUP($A4,Master_Data!$C:$C,Master_Data!$E:$E,"CHECK",0)</f>
        <v>BNP</v>
      </c>
      <c r="P4">
        <f>_xlfn.XLOOKUP($A4,Master_Data!$C:$C,Master_Data!$F:$F,"CHECK",0)</f>
        <v>1</v>
      </c>
      <c r="Q4">
        <f>_xlfn.XLOOKUP($A4,Master_Data!$C:$C,Master_Data!$G:$G,"CHECK",0)</f>
        <v>102661</v>
      </c>
      <c r="R4">
        <f>IFERROR(_xlfn.XLOOKUP($A4,Master_Data!$C:$C,Master_Data!$H:$H,"CHECK",0),"")</f>
        <v>55.131544323375095</v>
      </c>
      <c r="S4" t="str">
        <f>_xlfn.XLOOKUP($A4,Master_Data!$C:$C,Master_Data!$I:$I,"CHECK",0)</f>
        <v>Mohammad Abdul Wadud Sheikh</v>
      </c>
      <c r="T4">
        <f>_xlfn.XLOOKUP($A4,Master_Data!$C:$C,Master_Data!$K:$K,"CHECK",0)</f>
        <v>83550</v>
      </c>
      <c r="U4">
        <f>IFERROR(_xlfn.XLOOKUP($A4,Master_Data!$C:$C,Master_Data!$L:$L,"CHECK",0),"")</f>
        <v>44.868455676624905</v>
      </c>
      <c r="V4">
        <f>_xlfn.XLOOKUP($A4,Master_Data!$C:$C,Master_Data!$M:$M,"CHECK",0)</f>
        <v>19111</v>
      </c>
      <c r="W4">
        <f>IFERROR(_xlfn.XLOOKUP($A4,Master_Data!$C:$C,Master_Data!$N:$N,"CHECK",0),"")</f>
        <v>10.263088646750191</v>
      </c>
      <c r="X4" t="str">
        <f>IFERROR(_xlfn.XLOOKUP($A4,Master_Data!$C:$C,Master_Data!$O:$O,"CHECK",0),"No Result")</f>
        <v>Safe Seat</v>
      </c>
      <c r="Y4">
        <f>_xlfn.XLOOKUP($A4,Master_Data!$C:$C,Master_Data!$P:$P,"CHECK",0)</f>
        <v>0</v>
      </c>
      <c r="Z4">
        <f t="shared" si="1"/>
        <v>1</v>
      </c>
    </row>
    <row r="5" spans="1:26">
      <c r="A5" t="str">
        <v>Bagerhat-4</v>
      </c>
      <c r="B5" t="str" cm="1">
        <f t="array" ref="B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Nawabganj","Chapainawabganj"),Final_Merged_Data!$B$2:$B$1000=$A5)))</f>
        <v>Bagerhat</v>
      </c>
      <c r="C5" t="str" cm="1">
        <f t="array" ref="C5">_xlfn.TEXTJOIN(", ",TRUE,_xlfn._xlws.FILTER(Final_Merged_Data!$C$2:$C$1000,Final_Merged_Data!$B$2:$B$1000=$A5))</f>
        <v>Morelganj, Sharankhola</v>
      </c>
      <c r="D5" cm="1">
        <f t="array" ref="D5">COUNTA(_xlfn._xlws.FILTER(Final_Merged_Data!$C$2:$C$1000,Final_Merged_Data!$B$2:$B$1000=$A5))</f>
        <v>2</v>
      </c>
      <c r="E5">
        <f>SUMIFS(Final_Merged_Data!$E:$E,Final_Merged_Data!$B:$B,$A5)</f>
        <v>624.79999999999995</v>
      </c>
      <c r="F5">
        <f>SUMIFS(Final_Merged_Data!$F:$F,Final_Merged_Data!$B:$B,$A5)</f>
        <v>425769</v>
      </c>
      <c r="G5">
        <f t="shared" si="0"/>
        <v>681.44846350832267</v>
      </c>
      <c r="H5" cm="1">
        <f t="array" ref="H5">SUMPRODUCT((Final_Merged_Data!$B$2:$B$1000=$A5)*Final_Merged_Data!$H$2:$H$1000*Final_Merged_Data!$F$2:$F$1000)/F5</f>
        <v>3.8012396393349444</v>
      </c>
      <c r="I5" cm="1">
        <f t="array" ref="I5">SUMPRODUCT((Final_Merged_Data!$B$2:$B$1000=$A5)*Final_Merged_Data!$I$2:$I$1000*Final_Merged_Data!$F$2:$F$1000)/F5</f>
        <v>82.420112032581045</v>
      </c>
      <c r="J5" t="str" cm="1">
        <f t="array" ref="J5">_xlfn.TEXTJOIN(", ",TRUE,_xlfn.UNIQUE(_xlfn._xlws.FILTER(Final_Merged_Data!$J$2:$J$1000,Final_Merged_Data!$B$2:$B$1000=$A5)))</f>
        <v>Khulna Range</v>
      </c>
      <c r="K5" cm="1">
        <f t="array" ref="K5">SUMPRODUCT((Final_Merged_Data!$B$2:$B$1000=$A5)*Final_Merged_Data!$K$2:$K$1000*Final_Merged_Data!$F$2:$F$1000)/F5</f>
        <v>102.32166075410296</v>
      </c>
      <c r="L5" cm="1">
        <f t="array" ref="L5">SUMPRODUCT((Final_Merged_Data!$B$2:$B$1000=$A5)*Final_Merged_Data!$L$2:$L$1000*Final_Merged_Data!$F$2:$F$1000)/F5</f>
        <v>12.212237548443923</v>
      </c>
      <c r="M5" t="str">
        <f>IF(COUNTIF(Master_Data!$C:$C,$A5)&gt;0,"Found","Missing")</f>
        <v>Found</v>
      </c>
      <c r="N5" t="str">
        <f>_xlfn.XLOOKUP($A5,Master_Data!$C:$C,Master_Data!$D:$D,"CHECK",0)</f>
        <v>Md. Abdul Alim</v>
      </c>
      <c r="O5" t="str">
        <f>_xlfn.XLOOKUP($A5,Master_Data!$C:$C,Master_Data!$E:$E,"CHECK",0)</f>
        <v>Jamaat</v>
      </c>
      <c r="P5">
        <f>_xlfn.XLOOKUP($A5,Master_Data!$C:$C,Master_Data!$F:$F,"CHECK",0)</f>
        <v>2</v>
      </c>
      <c r="Q5">
        <f>_xlfn.XLOOKUP($A5,Master_Data!$C:$C,Master_Data!$G:$G,"CHECK",0)</f>
        <v>116067</v>
      </c>
      <c r="R5">
        <f>IFERROR(_xlfn.XLOOKUP($A5,Master_Data!$C:$C,Master_Data!$H:$H,"CHECK",0),"")</f>
        <v>54.137495160756174</v>
      </c>
      <c r="S5" t="str">
        <f>_xlfn.XLOOKUP($A5,Master_Data!$C:$C,Master_Data!$I:$I,"CHECK",0)</f>
        <v>Somnath Dey</v>
      </c>
      <c r="T5">
        <f>_xlfn.XLOOKUP($A5,Master_Data!$C:$C,Master_Data!$K:$K,"CHECK",0)</f>
        <v>98326</v>
      </c>
      <c r="U5">
        <f>IFERROR(_xlfn.XLOOKUP($A5,Master_Data!$C:$C,Master_Data!$L:$L,"CHECK",0),"")</f>
        <v>45.862504839243819</v>
      </c>
      <c r="V5">
        <f>_xlfn.XLOOKUP($A5,Master_Data!$C:$C,Master_Data!$M:$M,"CHECK",0)</f>
        <v>17741</v>
      </c>
      <c r="W5">
        <f>IFERROR(_xlfn.XLOOKUP($A5,Master_Data!$C:$C,Master_Data!$N:$N,"CHECK",0),"")</f>
        <v>8.2749903215123624</v>
      </c>
      <c r="X5" t="str">
        <f>IFERROR(_xlfn.XLOOKUP($A5,Master_Data!$C:$C,Master_Data!$O:$O,"CHECK",0),"No Result")</f>
        <v>Safe Seat</v>
      </c>
      <c r="Y5">
        <f>_xlfn.XLOOKUP($A5,Master_Data!$C:$C,Master_Data!$P:$P,"CHECK",0)</f>
        <v>0</v>
      </c>
      <c r="Z5">
        <f t="shared" si="1"/>
        <v>1</v>
      </c>
    </row>
    <row r="6" spans="1:26">
      <c r="A6" t="str">
        <v>Bandarban-1</v>
      </c>
      <c r="B6" t="str" cm="1">
        <f t="array" ref="B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Nawabganj","Chapainawabganj"),Final_Merged_Data!$B$2:$B$1000=$A6)))</f>
        <v>Bandarban</v>
      </c>
      <c r="C6" t="str" cm="1">
        <f t="array" ref="C6">_xlfn.TEXTJOIN(", ",TRUE,_xlfn._xlws.FILTER(Final_Merged_Data!$C$2:$C$1000,Final_Merged_Data!$B$2:$B$1000=$A6))</f>
        <v>Bandarban Sadar, Thanchi, Lama, Naikhongchhari, Ali Kadam, Rowangchhari, Ruma</v>
      </c>
      <c r="D6" cm="1">
        <f t="array" ref="D6">COUNTA(_xlfn._xlws.FILTER(Final_Merged_Data!$C$2:$C$1000,Final_Merged_Data!$B$2:$B$1000=$A6))</f>
        <v>7</v>
      </c>
      <c r="E6">
        <f>SUMIFS(Final_Merged_Data!$E:$E,Final_Merged_Data!$B:$B,$A6)</f>
        <v>4304.4299999999994</v>
      </c>
      <c r="F6">
        <f>SUMIFS(Final_Merged_Data!$F:$F,Final_Merged_Data!$B:$B,$A6)</f>
        <v>481093</v>
      </c>
      <c r="G6">
        <f t="shared" si="0"/>
        <v>111.76694707545484</v>
      </c>
      <c r="H6" cm="1">
        <f t="array" ref="H6">SUMPRODUCT((Final_Merged_Data!$B$2:$B$1000=$A6)*Final_Merged_Data!$H$2:$H$1000*Final_Merged_Data!$F$2:$F$1000)/F6</f>
        <v>4.4178075964522456</v>
      </c>
      <c r="I6" cm="1">
        <f t="array" ref="I6">SUMPRODUCT((Final_Merged_Data!$B$2:$B$1000=$A6)*Final_Merged_Data!$I$2:$I$1000*Final_Merged_Data!$F$2:$F$1000)/F6</f>
        <v>63.630035585635206</v>
      </c>
      <c r="J6" t="str" cm="1">
        <f t="array" ref="J6">_xlfn.TEXTJOIN(", ",TRUE,_xlfn.UNIQUE(_xlfn._xlws.FILTER(Final_Merged_Data!$J$2:$J$1000,Final_Merged_Data!$B$2:$B$1000=$A6)))</f>
        <v>Chittagong Range</v>
      </c>
      <c r="K6" cm="1">
        <f t="array" ref="K6">SUMPRODUCT((Final_Merged_Data!$B$2:$B$1000=$A6)*Final_Merged_Data!$K$2:$K$1000*Final_Merged_Data!$F$2:$F$1000)/F6</f>
        <v>84.879645400600879</v>
      </c>
      <c r="L6" cm="1">
        <f t="array" ref="L6">SUMPRODUCT((Final_Merged_Data!$B$2:$B$1000=$A6)*Final_Merged_Data!$L$2:$L$1000*Final_Merged_Data!$F$2:$F$1000)/F6</f>
        <v>10.309673910686193</v>
      </c>
      <c r="M6" t="str">
        <f>IF(COUNTIF(Master_Data!$C:$C,$A6)&gt;0,"Found","Missing")</f>
        <v>Found</v>
      </c>
      <c r="N6" t="str">
        <f>_xlfn.XLOOKUP($A6,Master_Data!$C:$C,Master_Data!$D:$D,"CHECK",0)</f>
        <v>Saching Prue Jerry</v>
      </c>
      <c r="O6" t="str">
        <f>_xlfn.XLOOKUP($A6,Master_Data!$C:$C,Master_Data!$E:$E,"CHECK",0)</f>
        <v>BNP</v>
      </c>
      <c r="P6">
        <f>_xlfn.XLOOKUP($A6,Master_Data!$C:$C,Master_Data!$F:$F,"CHECK",0)</f>
        <v>1</v>
      </c>
      <c r="Q6">
        <f>_xlfn.XLOOKUP($A6,Master_Data!$C:$C,Master_Data!$G:$G,"CHECK",0)</f>
        <v>141455</v>
      </c>
      <c r="R6">
        <f>IFERROR(_xlfn.XLOOKUP($A6,Master_Data!$C:$C,Master_Data!$H:$H,"CHECK",0),"")</f>
        <v>84.391797967986534</v>
      </c>
      <c r="S6" t="str">
        <f>_xlfn.XLOOKUP($A6,Master_Data!$C:$C,Master_Data!$I:$I,"CHECK",0)</f>
        <v>Abu Saeed Md. Suja Uddin</v>
      </c>
      <c r="T6">
        <f>_xlfn.XLOOKUP($A6,Master_Data!$C:$C,Master_Data!$K:$K,"CHECK",0)</f>
        <v>26162</v>
      </c>
      <c r="U6">
        <f>IFERROR(_xlfn.XLOOKUP($A6,Master_Data!$C:$C,Master_Data!$L:$L,"CHECK",0),"")</f>
        <v>15.608202032013461</v>
      </c>
      <c r="V6">
        <f>_xlfn.XLOOKUP($A6,Master_Data!$C:$C,Master_Data!$M:$M,"CHECK",0)</f>
        <v>115293</v>
      </c>
      <c r="W6">
        <f>IFERROR(_xlfn.XLOOKUP($A6,Master_Data!$C:$C,Master_Data!$N:$N,"CHECK",0),"")</f>
        <v>68.783595935973082</v>
      </c>
      <c r="X6" t="str">
        <f>IFERROR(_xlfn.XLOOKUP($A6,Master_Data!$C:$C,Master_Data!$O:$O,"CHECK",0),"No Result")</f>
        <v>Safe Seat</v>
      </c>
      <c r="Y6">
        <f>_xlfn.XLOOKUP($A6,Master_Data!$C:$C,Master_Data!$P:$P,"CHECK",0)</f>
        <v>0</v>
      </c>
      <c r="Z6">
        <f t="shared" si="1"/>
        <v>1</v>
      </c>
    </row>
    <row r="7" spans="1:26">
      <c r="A7" t="str">
        <v>Barguna-1</v>
      </c>
      <c r="B7" t="str" cm="1">
        <f t="array" ref="B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Nawabganj","Chapainawabganj"),Final_Merged_Data!$B$2:$B$1000=$A7)))</f>
        <v>Barguna</v>
      </c>
      <c r="C7" t="str" cm="1">
        <f t="array" ref="C7">_xlfn.TEXTJOIN(", ",TRUE,_xlfn._xlws.FILTER(Final_Merged_Data!$C$2:$C$1000,Final_Merged_Data!$B$2:$B$1000=$A7))</f>
        <v>Barguna Sadar, Amtali, Taltali</v>
      </c>
      <c r="D7" cm="1">
        <f t="array" ref="D7">COUNTA(_xlfn._xlws.FILTER(Final_Merged_Data!$C$2:$C$1000,Final_Merged_Data!$B$2:$B$1000=$A7))</f>
        <v>3</v>
      </c>
      <c r="E7">
        <f>SUMIFS(Final_Merged_Data!$E:$E,Final_Merged_Data!$B:$B,$A7)</f>
        <v>1273.5999999999999</v>
      </c>
      <c r="F7">
        <f>SUMIFS(Final_Merged_Data!$F:$F,Final_Merged_Data!$B:$B,$A7)</f>
        <v>628180</v>
      </c>
      <c r="G7">
        <f t="shared" si="0"/>
        <v>493.231783919598</v>
      </c>
      <c r="H7" cm="1">
        <f t="array" ref="H7">SUMPRODUCT((Final_Merged_Data!$B$2:$B$1000=$A7)*Final_Merged_Data!$H$2:$H$1000*Final_Merged_Data!$F$2:$F$1000)/F7</f>
        <v>3.972032283740329</v>
      </c>
      <c r="I7" cm="1">
        <f t="array" ref="I7">SUMPRODUCT((Final_Merged_Data!$B$2:$B$1000=$A7)*Final_Merged_Data!$I$2:$I$1000*Final_Merged_Data!$F$2:$F$1000)/F7</f>
        <v>78.903689483905879</v>
      </c>
      <c r="J7" t="str" cm="1">
        <f t="array" ref="J7">_xlfn.TEXTJOIN(", ",TRUE,_xlfn.UNIQUE(_xlfn._xlws.FILTER(Final_Merged_Data!$J$2:$J$1000,Final_Merged_Data!$B$2:$B$1000=$A7)))</f>
        <v>Barishal Range</v>
      </c>
      <c r="K7" cm="1">
        <f t="array" ref="K7">SUMPRODUCT((Final_Merged_Data!$B$2:$B$1000=$A7)*Final_Merged_Data!$K$2:$K$1000*Final_Merged_Data!$F$2:$F$1000)/F7</f>
        <v>112.01964836613054</v>
      </c>
      <c r="L7" cm="1">
        <f t="array" ref="L7">SUMPRODUCT((Final_Merged_Data!$B$2:$B$1000=$A7)*Final_Merged_Data!$L$2:$L$1000*Final_Merged_Data!$F$2:$F$1000)/F7</f>
        <v>22.37167391269287</v>
      </c>
      <c r="M7" t="str">
        <f>IF(COUNTIF(Master_Data!$C:$C,$A7)&gt;0,"Found","Missing")</f>
        <v>Found</v>
      </c>
      <c r="N7" t="str">
        <f>_xlfn.XLOOKUP($A7,Master_Data!$C:$C,Master_Data!$D:$D,"CHECK",0)</f>
        <v>Mahmudul Hossain Waliullah</v>
      </c>
      <c r="O7" t="str">
        <f>_xlfn.XLOOKUP($A7,Master_Data!$C:$C,Master_Data!$E:$E,"CHECK",0)</f>
        <v>IAB</v>
      </c>
      <c r="P7">
        <f>_xlfn.XLOOKUP($A7,Master_Data!$C:$C,Master_Data!$F:$F,"CHECK",0)</f>
        <v>0</v>
      </c>
      <c r="Q7">
        <f>_xlfn.XLOOKUP($A7,Master_Data!$C:$C,Master_Data!$G:$G,"CHECK",0)</f>
        <v>140291</v>
      </c>
      <c r="R7">
        <f>IFERROR(_xlfn.XLOOKUP($A7,Master_Data!$C:$C,Master_Data!$H:$H,"CHECK",0),"")</f>
        <v>50.749902328206161</v>
      </c>
      <c r="S7" t="str">
        <f>_xlfn.XLOOKUP($A7,Master_Data!$C:$C,Master_Data!$I:$I,"CHECK",0)</f>
        <v>Md. Nazrul Islam Mollah</v>
      </c>
      <c r="T7">
        <f>_xlfn.XLOOKUP($A7,Master_Data!$C:$C,Master_Data!$K:$K,"CHECK",0)</f>
        <v>136145</v>
      </c>
      <c r="U7">
        <f>IFERROR(_xlfn.XLOOKUP($A7,Master_Data!$C:$C,Master_Data!$L:$L,"CHECK",0),"")</f>
        <v>49.250097671793839</v>
      </c>
      <c r="V7">
        <f>_xlfn.XLOOKUP($A7,Master_Data!$C:$C,Master_Data!$M:$M,"CHECK",0)</f>
        <v>4146</v>
      </c>
      <c r="W7">
        <f>IFERROR(_xlfn.XLOOKUP($A7,Master_Data!$C:$C,Master_Data!$N:$N,"CHECK",0),"")</f>
        <v>1.4998046564123342</v>
      </c>
      <c r="X7" t="str">
        <f>IFERROR(_xlfn.XLOOKUP($A7,Master_Data!$C:$C,Master_Data!$O:$O,"CHECK",0),"No Result")</f>
        <v>Highly Competitive</v>
      </c>
      <c r="Y7">
        <f>_xlfn.XLOOKUP($A7,Master_Data!$C:$C,Master_Data!$P:$P,"CHECK",0)</f>
        <v>0</v>
      </c>
      <c r="Z7">
        <f t="shared" si="1"/>
        <v>1</v>
      </c>
    </row>
    <row r="8" spans="1:26">
      <c r="A8" t="str">
        <v>Barguna-2</v>
      </c>
      <c r="B8" t="str" cm="1">
        <f t="array" ref="B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Nawabganj","Chapainawabganj"),Final_Merged_Data!$B$2:$B$1000=$A8)))</f>
        <v>Barguna</v>
      </c>
      <c r="C8" t="str" cm="1">
        <f t="array" ref="C8">_xlfn.TEXTJOIN(", ",TRUE,_xlfn._xlws.FILTER(Final_Merged_Data!$C$2:$C$1000,Final_Merged_Data!$B$2:$B$1000=$A8))</f>
        <v>Patharghata, Bamna</v>
      </c>
      <c r="D8" cm="1">
        <f t="array" ref="D8">COUNTA(_xlfn._xlws.FILTER(Final_Merged_Data!$C$2:$C$1000,Final_Merged_Data!$B$2:$B$1000=$A8))</f>
        <v>2</v>
      </c>
      <c r="E8">
        <f>SUMIFS(Final_Merged_Data!$E:$E,Final_Merged_Data!$B:$B,$A8)</f>
        <v>487.35</v>
      </c>
      <c r="F8">
        <f>SUMIFS(Final_Merged_Data!$F:$F,Final_Merged_Data!$B:$B,$A8)</f>
        <v>256817</v>
      </c>
      <c r="G8">
        <f t="shared" si="0"/>
        <v>526.96624602441773</v>
      </c>
      <c r="H8" cm="1">
        <f t="array" ref="H8">SUMPRODUCT((Final_Merged_Data!$B$2:$B$1000=$A8)*Final_Merged_Data!$H$2:$H$1000*Final_Merged_Data!$F$2:$F$1000)/F8</f>
        <v>3.76</v>
      </c>
      <c r="I8" cm="1">
        <f t="array" ref="I8">SUMPRODUCT((Final_Merged_Data!$B$2:$B$1000=$A8)*Final_Merged_Data!$I$2:$I$1000*Final_Merged_Data!$F$2:$F$1000)/F8</f>
        <v>84.006045822511751</v>
      </c>
      <c r="J8" t="str" cm="1">
        <f t="array" ref="J8">_xlfn.TEXTJOIN(", ",TRUE,_xlfn.UNIQUE(_xlfn._xlws.FILTER(Final_Merged_Data!$J$2:$J$1000,Final_Merged_Data!$B$2:$B$1000=$A8)))</f>
        <v>Barishal Range</v>
      </c>
      <c r="K8" cm="1">
        <f t="array" ref="K8">SUMPRODUCT((Final_Merged_Data!$B$2:$B$1000=$A8)*Final_Merged_Data!$K$2:$K$1000*Final_Merged_Data!$F$2:$F$1000)/F8</f>
        <v>112.01964836613054</v>
      </c>
      <c r="L8" cm="1">
        <f t="array" ref="L8">SUMPRODUCT((Final_Merged_Data!$B$2:$B$1000=$A8)*Final_Merged_Data!$L$2:$L$1000*Final_Merged_Data!$F$2:$F$1000)/F8</f>
        <v>22.37167391269287</v>
      </c>
      <c r="M8" t="str">
        <f>IF(COUNTIF(Master_Data!$C:$C,$A8)&gt;0,"Found","Missing")</f>
        <v>Found</v>
      </c>
      <c r="N8" t="str">
        <f>_xlfn.XLOOKUP($A8,Master_Data!$C:$C,Master_Data!$D:$D,"CHECK",0)</f>
        <v>Nurul Islam Moni</v>
      </c>
      <c r="O8" t="str">
        <f>_xlfn.XLOOKUP($A8,Master_Data!$C:$C,Master_Data!$E:$E,"CHECK",0)</f>
        <v>BNP</v>
      </c>
      <c r="P8">
        <f>_xlfn.XLOOKUP($A8,Master_Data!$C:$C,Master_Data!$F:$F,"CHECK",0)</f>
        <v>1</v>
      </c>
      <c r="Q8">
        <f>_xlfn.XLOOKUP($A8,Master_Data!$C:$C,Master_Data!$G:$G,"CHECK",0)</f>
        <v>90643</v>
      </c>
      <c r="R8">
        <f>IFERROR(_xlfn.XLOOKUP($A8,Master_Data!$C:$C,Master_Data!$H:$H,"CHECK",0),"")</f>
        <v>51.533913241230309</v>
      </c>
      <c r="S8" t="str">
        <f>_xlfn.XLOOKUP($A8,Master_Data!$C:$C,Master_Data!$I:$I,"CHECK",0)</f>
        <v>Dr. Sultan Ahmad</v>
      </c>
      <c r="T8">
        <f>_xlfn.XLOOKUP($A8,Master_Data!$C:$C,Master_Data!$K:$K,"CHECK",0)</f>
        <v>85247</v>
      </c>
      <c r="U8">
        <f>IFERROR(_xlfn.XLOOKUP($A8,Master_Data!$C:$C,Master_Data!$L:$L,"CHECK",0),"")</f>
        <v>48.466086758769684</v>
      </c>
      <c r="V8">
        <f>_xlfn.XLOOKUP($A8,Master_Data!$C:$C,Master_Data!$M:$M,"CHECK",0)</f>
        <v>5396</v>
      </c>
      <c r="W8">
        <f>IFERROR(_xlfn.XLOOKUP($A8,Master_Data!$C:$C,Master_Data!$N:$N,"CHECK",0),"")</f>
        <v>3.0678264824606289</v>
      </c>
      <c r="X8" t="str">
        <f>IFERROR(_xlfn.XLOOKUP($A8,Master_Data!$C:$C,Master_Data!$O:$O,"CHECK",0),"No Result")</f>
        <v>Highly Competitive</v>
      </c>
      <c r="Y8">
        <f>_xlfn.XLOOKUP($A8,Master_Data!$C:$C,Master_Data!$P:$P,"CHECK",0)</f>
        <v>0</v>
      </c>
      <c r="Z8">
        <f t="shared" si="1"/>
        <v>1</v>
      </c>
    </row>
    <row r="9" spans="1:26">
      <c r="A9" t="str">
        <v>Barishal-1</v>
      </c>
      <c r="B9" t="str" cm="1">
        <f t="array" ref="B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Nawabganj","Chapainawabganj"),Final_Merged_Data!$B$2:$B$1000=$A9)))</f>
        <v>Barishal</v>
      </c>
      <c r="C9" t="str" cm="1">
        <f t="array" ref="C9">_xlfn.TEXTJOIN(", ",TRUE,_xlfn._xlws.FILTER(Final_Merged_Data!$C$2:$C$1000,Final_Merged_Data!$B$2:$B$1000=$A9))</f>
        <v>Gaurnadi, Agailjhara</v>
      </c>
      <c r="D9" cm="1">
        <f t="array" ref="D9">COUNTA(_xlfn._xlws.FILTER(Final_Merged_Data!$C$2:$C$1000,Final_Merged_Data!$B$2:$B$1000=$A9))</f>
        <v>2</v>
      </c>
      <c r="E9">
        <f>SUMIFS(Final_Merged_Data!$E:$E,Final_Merged_Data!$B:$B,$A9)</f>
        <v>410.4</v>
      </c>
      <c r="F9">
        <f>SUMIFS(Final_Merged_Data!$F:$F,Final_Merged_Data!$B:$B,$A9)</f>
        <v>362291</v>
      </c>
      <c r="G9">
        <f t="shared" si="0"/>
        <v>882.77534113060437</v>
      </c>
      <c r="H9" cm="1">
        <f t="array" ref="H9">SUMPRODUCT((Final_Merged_Data!$B$2:$B$1000=$A9)*Final_Merged_Data!$H$2:$H$1000*Final_Merged_Data!$F$2:$F$1000)/F9</f>
        <v>4.0684130712603954</v>
      </c>
      <c r="I9" cm="1">
        <f t="array" ref="I9">SUMPRODUCT((Final_Merged_Data!$B$2:$B$1000=$A9)*Final_Merged_Data!$I$2:$I$1000*Final_Merged_Data!$F$2:$F$1000)/F9</f>
        <v>79.912193512949528</v>
      </c>
      <c r="J9" t="str" cm="1">
        <f t="array" ref="J9">_xlfn.TEXTJOIN(", ",TRUE,_xlfn.UNIQUE(_xlfn._xlws.FILTER(Final_Merged_Data!$J$2:$J$1000,Final_Merged_Data!$B$2:$B$1000=$A9)))</f>
        <v>Barishal Range</v>
      </c>
      <c r="K9" cm="1">
        <f t="array" ref="K9">SUMPRODUCT((Final_Merged_Data!$B$2:$B$1000=$A9)*Final_Merged_Data!$K$2:$K$1000*Final_Merged_Data!$F$2:$F$1000)/F9</f>
        <v>112.01964836613054</v>
      </c>
      <c r="L9" cm="1">
        <f t="array" ref="L9">SUMPRODUCT((Final_Merged_Data!$B$2:$B$1000=$A9)*Final_Merged_Data!$L$2:$L$1000*Final_Merged_Data!$F$2:$F$1000)/F9</f>
        <v>22.371673912692874</v>
      </c>
      <c r="M9" t="str">
        <f>IF(COUNTIF(Master_Data!$C:$C,$A9)&gt;0,"Found","Missing")</f>
        <v>Found</v>
      </c>
      <c r="N9" t="str">
        <f>_xlfn.XLOOKUP($A9,Master_Data!$C:$C,Master_Data!$D:$D,"CHECK",0)</f>
        <v>Zahir Uddin Swapan</v>
      </c>
      <c r="O9" t="str">
        <f>_xlfn.XLOOKUP($A9,Master_Data!$C:$C,Master_Data!$E:$E,"CHECK",0)</f>
        <v>BNP</v>
      </c>
      <c r="P9">
        <f>_xlfn.XLOOKUP($A9,Master_Data!$C:$C,Master_Data!$F:$F,"CHECK",0)</f>
        <v>1</v>
      </c>
      <c r="Q9">
        <f>_xlfn.XLOOKUP($A9,Master_Data!$C:$C,Master_Data!$G:$G,"CHECK",0)</f>
        <v>100552</v>
      </c>
      <c r="R9">
        <f>IFERROR(_xlfn.XLOOKUP($A9,Master_Data!$C:$C,Master_Data!$H:$H,"CHECK",0),"")</f>
        <v>68.488914620440681</v>
      </c>
      <c r="S9" t="str">
        <f>_xlfn.XLOOKUP($A9,Master_Data!$C:$C,Master_Data!$I:$I,"CHECK",0)</f>
        <v>Md. Kamrul Islam Khan</v>
      </c>
      <c r="T9">
        <f>_xlfn.XLOOKUP($A9,Master_Data!$C:$C,Master_Data!$K:$K,"CHECK",0)</f>
        <v>46263</v>
      </c>
      <c r="U9">
        <f>IFERROR(_xlfn.XLOOKUP($A9,Master_Data!$C:$C,Master_Data!$L:$L,"CHECK",0),"")</f>
        <v>31.511085379559312</v>
      </c>
      <c r="V9">
        <f>_xlfn.XLOOKUP($A9,Master_Data!$C:$C,Master_Data!$M:$M,"CHECK",0)</f>
        <v>54289</v>
      </c>
      <c r="W9">
        <f>IFERROR(_xlfn.XLOOKUP($A9,Master_Data!$C:$C,Master_Data!$N:$N,"CHECK",0),"")</f>
        <v>36.977829240881384</v>
      </c>
      <c r="X9" t="str">
        <f>IFERROR(_xlfn.XLOOKUP($A9,Master_Data!$C:$C,Master_Data!$O:$O,"CHECK",0),"No Result")</f>
        <v>Safe Seat</v>
      </c>
      <c r="Y9">
        <f>_xlfn.XLOOKUP($A9,Master_Data!$C:$C,Master_Data!$P:$P,"CHECK",0)</f>
        <v>0</v>
      </c>
      <c r="Z9">
        <f t="shared" si="1"/>
        <v>1</v>
      </c>
    </row>
    <row r="10" spans="1:26">
      <c r="A10" t="str">
        <v>Barishal-2</v>
      </c>
      <c r="B10" t="str" cm="1">
        <f t="array" ref="B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Nawabganj","Chapainawabganj"),Final_Merged_Data!$B$2:$B$1000=$A10)))</f>
        <v>Barishal</v>
      </c>
      <c r="C10" t="str" cm="1">
        <f t="array" ref="C10">_xlfn.TEXTJOIN(", ",TRUE,_xlfn._xlws.FILTER(Final_Merged_Data!$C$2:$C$1000,Final_Merged_Data!$B$2:$B$1000=$A10))</f>
        <v>Uzirpur, Banaripara</v>
      </c>
      <c r="D10" cm="1">
        <f t="array" ref="D10">COUNTA(_xlfn._xlws.FILTER(Final_Merged_Data!$C$2:$C$1000,Final_Merged_Data!$B$2:$B$1000=$A10))</f>
        <v>2</v>
      </c>
      <c r="E10">
        <f>SUMIFS(Final_Merged_Data!$E:$E,Final_Merged_Data!$B:$B,$A10)</f>
        <v>408.6</v>
      </c>
      <c r="F10">
        <f>SUMIFS(Final_Merged_Data!$F:$F,Final_Merged_Data!$B:$B,$A10)</f>
        <v>424377</v>
      </c>
      <c r="G10">
        <f t="shared" si="0"/>
        <v>1038.612334801762</v>
      </c>
      <c r="H10" cm="1">
        <f t="array" ref="H10">SUMPRODUCT((Final_Merged_Data!$B$2:$B$1000=$A10)*Final_Merged_Data!$H$2:$H$1000*Final_Merged_Data!$F$2:$F$1000)/F10</f>
        <v>4.0840029030791012</v>
      </c>
      <c r="I10" cm="1">
        <f t="array" ref="I10">SUMPRODUCT((Final_Merged_Data!$B$2:$B$1000=$A10)*Final_Merged_Data!$I$2:$I$1000*Final_Merged_Data!$F$2:$F$1000)/F10</f>
        <v>81.441161231640734</v>
      </c>
      <c r="J10" t="str" cm="1">
        <f t="array" ref="J10">_xlfn.TEXTJOIN(", ",TRUE,_xlfn.UNIQUE(_xlfn._xlws.FILTER(Final_Merged_Data!$J$2:$J$1000,Final_Merged_Data!$B$2:$B$1000=$A10)))</f>
        <v>Barishal Range</v>
      </c>
      <c r="K10" cm="1">
        <f t="array" ref="K10">SUMPRODUCT((Final_Merged_Data!$B$2:$B$1000=$A10)*Final_Merged_Data!$K$2:$K$1000*Final_Merged_Data!$F$2:$F$1000)/F10</f>
        <v>112.01964836613054</v>
      </c>
      <c r="L10" cm="1">
        <f t="array" ref="L10">SUMPRODUCT((Final_Merged_Data!$B$2:$B$1000=$A10)*Final_Merged_Data!$L$2:$L$1000*Final_Merged_Data!$F$2:$F$1000)/F10</f>
        <v>22.37167391269287</v>
      </c>
      <c r="M10" t="str">
        <f>IF(COUNTIF(Master_Data!$C:$C,$A10)&gt;0,"Found","Missing")</f>
        <v>Found</v>
      </c>
      <c r="N10" t="str">
        <f>_xlfn.XLOOKUP($A10,Master_Data!$C:$C,Master_Data!$D:$D,"CHECK",0)</f>
        <v>Sardar Sarfuddin Ahmed</v>
      </c>
      <c r="O10" t="str">
        <f>_xlfn.XLOOKUP($A10,Master_Data!$C:$C,Master_Data!$E:$E,"CHECK",0)</f>
        <v>BNP</v>
      </c>
      <c r="P10">
        <f>_xlfn.XLOOKUP($A10,Master_Data!$C:$C,Master_Data!$F:$F,"CHECK",0)</f>
        <v>1</v>
      </c>
      <c r="Q10">
        <f>_xlfn.XLOOKUP($A10,Master_Data!$C:$C,Master_Data!$G:$G,"CHECK",0)</f>
        <v>141622</v>
      </c>
      <c r="R10">
        <f>IFERROR(_xlfn.XLOOKUP($A10,Master_Data!$C:$C,Master_Data!$H:$H,"CHECK",0),"")</f>
        <v>65.655713385009079</v>
      </c>
      <c r="S10" t="str">
        <f>_xlfn.XLOOKUP($A10,Master_Data!$C:$C,Master_Data!$I:$I,"CHECK",0)</f>
        <v>Abdul Mannan</v>
      </c>
      <c r="T10">
        <f>_xlfn.XLOOKUP($A10,Master_Data!$C:$C,Master_Data!$K:$K,"CHECK",0)</f>
        <v>74082</v>
      </c>
      <c r="U10">
        <f>IFERROR(_xlfn.XLOOKUP($A10,Master_Data!$C:$C,Master_Data!$L:$L,"CHECK",0),"")</f>
        <v>34.344286614990914</v>
      </c>
      <c r="V10">
        <f>_xlfn.XLOOKUP($A10,Master_Data!$C:$C,Master_Data!$M:$M,"CHECK",0)</f>
        <v>67540</v>
      </c>
      <c r="W10">
        <f>IFERROR(_xlfn.XLOOKUP($A10,Master_Data!$C:$C,Master_Data!$N:$N,"CHECK",0),"")</f>
        <v>31.311426770018176</v>
      </c>
      <c r="X10" t="str">
        <f>IFERROR(_xlfn.XLOOKUP($A10,Master_Data!$C:$C,Master_Data!$O:$O,"CHECK",0),"No Result")</f>
        <v>Safe Seat</v>
      </c>
      <c r="Y10">
        <f>_xlfn.XLOOKUP($A10,Master_Data!$C:$C,Master_Data!$P:$P,"CHECK",0)</f>
        <v>0</v>
      </c>
      <c r="Z10">
        <f t="shared" si="1"/>
        <v>1</v>
      </c>
    </row>
    <row r="11" spans="1:26">
      <c r="A11" t="str">
        <v>Barishal-3</v>
      </c>
      <c r="B11" t="str" cm="1">
        <f t="array" ref="B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Nawabganj","Chapainawabganj"),Final_Merged_Data!$B$2:$B$1000=$A11)))</f>
        <v>Barishal</v>
      </c>
      <c r="C11" t="str" cm="1">
        <f t="array" ref="C11">_xlfn.TEXTJOIN(", ",TRUE,_xlfn._xlws.FILTER(Final_Merged_Data!$C$2:$C$1000,Final_Merged_Data!$B$2:$B$1000=$A11))</f>
        <v>Barishal Sadar</v>
      </c>
      <c r="D11" cm="1">
        <f t="array" ref="D11">COUNTA(_xlfn._xlws.FILTER(Final_Merged_Data!$C$2:$C$1000,Final_Merged_Data!$B$2:$B$1000=$A11))</f>
        <v>1</v>
      </c>
      <c r="E11">
        <f>SUMIFS(Final_Merged_Data!$E:$E,Final_Merged_Data!$B:$B,$A11)</f>
        <v>54.17</v>
      </c>
      <c r="F11">
        <f>SUMIFS(Final_Merged_Data!$F:$F,Final_Merged_Data!$B:$B,$A11)</f>
        <v>237207</v>
      </c>
      <c r="G11">
        <f t="shared" si="0"/>
        <v>4378.9366808196419</v>
      </c>
      <c r="H11" cm="1">
        <f t="array" ref="H11">SUMPRODUCT((Final_Merged_Data!$B$2:$B$1000=$A11)*Final_Merged_Data!$H$2:$H$1000*Final_Merged_Data!$F$2:$F$1000)/F11</f>
        <v>4.1500000000000004</v>
      </c>
      <c r="I11" cm="1">
        <f t="array" ref="I11">SUMPRODUCT((Final_Merged_Data!$B$2:$B$1000=$A11)*Final_Merged_Data!$I$2:$I$1000*Final_Merged_Data!$F$2:$F$1000)/F11</f>
        <v>80.010000000000005</v>
      </c>
      <c r="J11" t="str" cm="1">
        <f t="array" ref="J11">_xlfn.TEXTJOIN(", ",TRUE,_xlfn.UNIQUE(_xlfn._xlws.FILTER(Final_Merged_Data!$J$2:$J$1000,Final_Merged_Data!$B$2:$B$1000=$A11)))</f>
        <v>Barishal Range</v>
      </c>
      <c r="K11" cm="1">
        <f t="array" ref="K11">SUMPRODUCT((Final_Merged_Data!$B$2:$B$1000=$A11)*Final_Merged_Data!$K$2:$K$1000*Final_Merged_Data!$F$2:$F$1000)/F11</f>
        <v>112.01964836613054</v>
      </c>
      <c r="L11" cm="1">
        <f t="array" ref="L11">SUMPRODUCT((Final_Merged_Data!$B$2:$B$1000=$A11)*Final_Merged_Data!$L$2:$L$1000*Final_Merged_Data!$F$2:$F$1000)/F11</f>
        <v>22.37167391269287</v>
      </c>
      <c r="M11" t="str">
        <f>IF(COUNTIF(Master_Data!$C:$C,$A11)&gt;0,"Found","Missing")</f>
        <v>Found</v>
      </c>
      <c r="N11" t="str">
        <f>_xlfn.XLOOKUP($A11,Master_Data!$C:$C,Master_Data!$D:$D,"CHECK",0)</f>
        <v>Zainul Abedin</v>
      </c>
      <c r="O11" t="str">
        <f>_xlfn.XLOOKUP($A11,Master_Data!$C:$C,Master_Data!$E:$E,"CHECK",0)</f>
        <v>BNP</v>
      </c>
      <c r="P11">
        <f>_xlfn.XLOOKUP($A11,Master_Data!$C:$C,Master_Data!$F:$F,"CHECK",0)</f>
        <v>1</v>
      </c>
      <c r="Q11">
        <f>_xlfn.XLOOKUP($A11,Master_Data!$C:$C,Master_Data!$G:$G,"CHECK",0)</f>
        <v>80930</v>
      </c>
      <c r="R11">
        <f>IFERROR(_xlfn.XLOOKUP($A11,Master_Data!$C:$C,Master_Data!$H:$H,"CHECK",0),"")</f>
        <v>56.944033998958645</v>
      </c>
      <c r="S11" t="str">
        <f>_xlfn.XLOOKUP($A11,Master_Data!$C:$C,Master_Data!$I:$I,"CHECK",0)</f>
        <v>Asaduzzaman Fuaad</v>
      </c>
      <c r="T11">
        <f>_xlfn.XLOOKUP($A11,Master_Data!$C:$C,Master_Data!$K:$K,"CHECK",0)</f>
        <v>61192</v>
      </c>
      <c r="U11">
        <f>IFERROR(_xlfn.XLOOKUP($A11,Master_Data!$C:$C,Master_Data!$L:$L,"CHECK",0),"")</f>
        <v>43.055966001041355</v>
      </c>
      <c r="V11">
        <f>_xlfn.XLOOKUP($A11,Master_Data!$C:$C,Master_Data!$M:$M,"CHECK",0)</f>
        <v>19738</v>
      </c>
      <c r="W11">
        <f>IFERROR(_xlfn.XLOOKUP($A11,Master_Data!$C:$C,Master_Data!$N:$N,"CHECK",0),"")</f>
        <v>13.888067997917283</v>
      </c>
      <c r="X11" t="str">
        <f>IFERROR(_xlfn.XLOOKUP($A11,Master_Data!$C:$C,Master_Data!$O:$O,"CHECK",0),"No Result")</f>
        <v>Safe Seat</v>
      </c>
      <c r="Y11">
        <f>_xlfn.XLOOKUP($A11,Master_Data!$C:$C,Master_Data!$P:$P,"CHECK",0)</f>
        <v>1</v>
      </c>
      <c r="Z11">
        <f t="shared" si="1"/>
        <v>1</v>
      </c>
    </row>
    <row r="12" spans="1:26">
      <c r="A12" t="str">
        <v>Barishal-4</v>
      </c>
      <c r="B12" t="str" cm="1">
        <f t="array" ref="B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Nawabganj","Chapainawabganj"),Final_Merged_Data!$B$2:$B$1000=$A12)))</f>
        <v>Barishal</v>
      </c>
      <c r="C12" t="str" cm="1">
        <f t="array" ref="C12">_xlfn.TEXTJOIN(", ",TRUE,_xlfn._xlws.FILTER(Final_Merged_Data!$C$2:$C$1000,Final_Merged_Data!$B$2:$B$1000=$A12))</f>
        <v>Mehendiganj</v>
      </c>
      <c r="D12" cm="1">
        <f t="array" ref="D12">COUNTA(_xlfn._xlws.FILTER(Final_Merged_Data!$C$2:$C$1000,Final_Merged_Data!$B$2:$B$1000=$A12))</f>
        <v>1</v>
      </c>
      <c r="E12">
        <f>SUMIFS(Final_Merged_Data!$E:$E,Final_Merged_Data!$B:$B,$A12)</f>
        <v>774.5</v>
      </c>
      <c r="F12">
        <f>SUMIFS(Final_Merged_Data!$F:$F,Final_Merged_Data!$B:$B,$A12)</f>
        <v>283877</v>
      </c>
      <c r="G12">
        <f t="shared" si="0"/>
        <v>366.52937378954164</v>
      </c>
      <c r="H12" cm="1">
        <f t="array" ref="H12">SUMPRODUCT((Final_Merged_Data!$B$2:$B$1000=$A12)*Final_Merged_Data!$H$2:$H$1000*Final_Merged_Data!$F$2:$F$1000)/F12</f>
        <v>4.04</v>
      </c>
      <c r="I12" cm="1">
        <f t="array" ref="I12">SUMPRODUCT((Final_Merged_Data!$B$2:$B$1000=$A12)*Final_Merged_Data!$I$2:$I$1000*Final_Merged_Data!$F$2:$F$1000)/F12</f>
        <v>71.23</v>
      </c>
      <c r="J12" t="str" cm="1">
        <f t="array" ref="J12">_xlfn.TEXTJOIN(", ",TRUE,_xlfn.UNIQUE(_xlfn._xlws.FILTER(Final_Merged_Data!$J$2:$J$1000,Final_Merged_Data!$B$2:$B$1000=$A12)))</f>
        <v>Barishal Range</v>
      </c>
      <c r="K12" cm="1">
        <f t="array" ref="K12">SUMPRODUCT((Final_Merged_Data!$B$2:$B$1000=$A12)*Final_Merged_Data!$K$2:$K$1000*Final_Merged_Data!$F$2:$F$1000)/F12</f>
        <v>112.01964836613054</v>
      </c>
      <c r="L12" cm="1">
        <f t="array" ref="L12">SUMPRODUCT((Final_Merged_Data!$B$2:$B$1000=$A12)*Final_Merged_Data!$L$2:$L$1000*Final_Merged_Data!$F$2:$F$1000)/F12</f>
        <v>22.37167391269287</v>
      </c>
      <c r="M12" t="str">
        <f>IF(COUNTIF(Master_Data!$C:$C,$A12)&gt;0,"Found","Missing")</f>
        <v>Found</v>
      </c>
      <c r="N12" t="str">
        <f>_xlfn.XLOOKUP($A12,Master_Data!$C:$C,Master_Data!$D:$D,"CHECK",0)</f>
        <v>Md. Rajib Ahsan</v>
      </c>
      <c r="O12" t="str">
        <f>_xlfn.XLOOKUP($A12,Master_Data!$C:$C,Master_Data!$E:$E,"CHECK",0)</f>
        <v>BNP</v>
      </c>
      <c r="P12">
        <f>_xlfn.XLOOKUP($A12,Master_Data!$C:$C,Master_Data!$F:$F,"CHECK",0)</f>
        <v>1</v>
      </c>
      <c r="Q12">
        <f>_xlfn.XLOOKUP($A12,Master_Data!$C:$C,Master_Data!$G:$G,"CHECK",0)</f>
        <v>128322</v>
      </c>
      <c r="R12">
        <f>IFERROR(_xlfn.XLOOKUP($A12,Master_Data!$C:$C,Master_Data!$H:$H,"CHECK",0),"")</f>
        <v>63.210939578140547</v>
      </c>
      <c r="S12" t="str">
        <f>_xlfn.XLOOKUP($A12,Master_Data!$C:$C,Master_Data!$I:$I,"CHECK",0)</f>
        <v>Mohammad Abdul Jabbar</v>
      </c>
      <c r="T12">
        <f>_xlfn.XLOOKUP($A12,Master_Data!$C:$C,Master_Data!$K:$K,"CHECK",0)</f>
        <v>74684</v>
      </c>
      <c r="U12">
        <f>IFERROR(_xlfn.XLOOKUP($A12,Master_Data!$C:$C,Master_Data!$L:$L,"CHECK",0),"")</f>
        <v>36.789060421859453</v>
      </c>
      <c r="V12">
        <f>_xlfn.XLOOKUP($A12,Master_Data!$C:$C,Master_Data!$M:$M,"CHECK",0)</f>
        <v>53638</v>
      </c>
      <c r="W12">
        <f>IFERROR(_xlfn.XLOOKUP($A12,Master_Data!$C:$C,Master_Data!$N:$N,"CHECK",0),"")</f>
        <v>26.421879156281097</v>
      </c>
      <c r="X12" t="str">
        <f>IFERROR(_xlfn.XLOOKUP($A12,Master_Data!$C:$C,Master_Data!$O:$O,"CHECK",0),"No Result")</f>
        <v>Safe Seat</v>
      </c>
      <c r="Y12">
        <f>_xlfn.XLOOKUP($A12,Master_Data!$C:$C,Master_Data!$P:$P,"CHECK",0)</f>
        <v>0</v>
      </c>
      <c r="Z12">
        <f t="shared" si="1"/>
        <v>1</v>
      </c>
    </row>
    <row r="13" spans="1:26">
      <c r="A13" t="str">
        <v>Barishal-5</v>
      </c>
      <c r="B13" t="str" cm="1">
        <f t="array" ref="B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Nawabganj","Chapainawabganj"),Final_Merged_Data!$B$2:$B$1000=$A13)))</f>
        <v>Barishal</v>
      </c>
      <c r="C13" t="str" cm="1">
        <f t="array" ref="C13">_xlfn.TEXTJOIN(", ",TRUE,_xlfn._xlws.FILTER(Final_Merged_Data!$C$2:$C$1000,Final_Merged_Data!$B$2:$B$1000=$A13))</f>
        <v>Bakerganj</v>
      </c>
      <c r="D13" cm="1">
        <f t="array" ref="D13">COUNTA(_xlfn._xlws.FILTER(Final_Merged_Data!$C$2:$C$1000,Final_Merged_Data!$B$2:$B$1000=$A13))</f>
        <v>1</v>
      </c>
      <c r="E13">
        <f>SUMIFS(Final_Merged_Data!$E:$E,Final_Merged_Data!$B:$B,$A13)</f>
        <v>259.56</v>
      </c>
      <c r="F13">
        <f>SUMIFS(Final_Merged_Data!$F:$F,Final_Merged_Data!$B:$B,$A13)</f>
        <v>356012</v>
      </c>
      <c r="G13">
        <f t="shared" si="0"/>
        <v>1371.5980890738172</v>
      </c>
      <c r="H13" cm="1">
        <f t="array" ref="H13">SUMPRODUCT((Final_Merged_Data!$B$2:$B$1000=$A13)*Final_Merged_Data!$H$2:$H$1000*Final_Merged_Data!$F$2:$F$1000)/F13</f>
        <v>3.96</v>
      </c>
      <c r="I13" cm="1">
        <f t="array" ref="I13">SUMPRODUCT((Final_Merged_Data!$B$2:$B$1000=$A13)*Final_Merged_Data!$I$2:$I$1000*Final_Merged_Data!$F$2:$F$1000)/F13</f>
        <v>79.930000000000007</v>
      </c>
      <c r="J13" t="str" cm="1">
        <f t="array" ref="J13">_xlfn.TEXTJOIN(", ",TRUE,_xlfn.UNIQUE(_xlfn._xlws.FILTER(Final_Merged_Data!$J$2:$J$1000,Final_Merged_Data!$B$2:$B$1000=$A13)))</f>
        <v>Barishal Range</v>
      </c>
      <c r="K13" cm="1">
        <f t="array" ref="K13">SUMPRODUCT((Final_Merged_Data!$B$2:$B$1000=$A13)*Final_Merged_Data!$K$2:$K$1000*Final_Merged_Data!$F$2:$F$1000)/F13</f>
        <v>112.01964836613054</v>
      </c>
      <c r="L13" cm="1">
        <f t="array" ref="L13">SUMPRODUCT((Final_Merged_Data!$B$2:$B$1000=$A13)*Final_Merged_Data!$L$2:$L$1000*Final_Merged_Data!$F$2:$F$1000)/F13</f>
        <v>22.37167391269287</v>
      </c>
      <c r="M13" t="str">
        <f>IF(COUNTIF(Master_Data!$C:$C,$A13)&gt;0,"Found","Missing")</f>
        <v>Found</v>
      </c>
      <c r="N13" t="str">
        <f>_xlfn.XLOOKUP($A13,Master_Data!$C:$C,Master_Data!$D:$D,"CHECK",0)</f>
        <v>Majibur Rahman Sarwar</v>
      </c>
      <c r="O13" t="str">
        <f>_xlfn.XLOOKUP($A13,Master_Data!$C:$C,Master_Data!$E:$E,"CHECK",0)</f>
        <v>BNP</v>
      </c>
      <c r="P13">
        <f>_xlfn.XLOOKUP($A13,Master_Data!$C:$C,Master_Data!$F:$F,"CHECK",0)</f>
        <v>1</v>
      </c>
      <c r="Q13">
        <f>_xlfn.XLOOKUP($A13,Master_Data!$C:$C,Master_Data!$G:$G,"CHECK",0)</f>
        <v>135146</v>
      </c>
      <c r="R13">
        <f>IFERROR(_xlfn.XLOOKUP($A13,Master_Data!$C:$C,Master_Data!$H:$H,"CHECK",0),"")</f>
        <v>58.710630348842265</v>
      </c>
      <c r="S13" t="str">
        <f>_xlfn.XLOOKUP($A13,Master_Data!$C:$C,Master_Data!$I:$I,"CHECK",0)</f>
        <v>Syed Faizul Karim</v>
      </c>
      <c r="T13">
        <f>_xlfn.XLOOKUP($A13,Master_Data!$C:$C,Master_Data!$K:$K,"CHECK",0)</f>
        <v>95044</v>
      </c>
      <c r="U13">
        <f>IFERROR(_xlfn.XLOOKUP($A13,Master_Data!$C:$C,Master_Data!$L:$L,"CHECK",0),"")</f>
        <v>41.289369651157735</v>
      </c>
      <c r="V13">
        <f>_xlfn.XLOOKUP($A13,Master_Data!$C:$C,Master_Data!$M:$M,"CHECK",0)</f>
        <v>40102</v>
      </c>
      <c r="W13">
        <f>IFERROR(_xlfn.XLOOKUP($A13,Master_Data!$C:$C,Master_Data!$N:$N,"CHECK",0),"")</f>
        <v>17.42126069768452</v>
      </c>
      <c r="X13" t="str">
        <f>IFERROR(_xlfn.XLOOKUP($A13,Master_Data!$C:$C,Master_Data!$O:$O,"CHECK",0),"No Result")</f>
        <v>Safe Seat</v>
      </c>
      <c r="Y13">
        <f>_xlfn.XLOOKUP($A13,Master_Data!$C:$C,Master_Data!$P:$P,"CHECK",0)</f>
        <v>0</v>
      </c>
      <c r="Z13">
        <f t="shared" si="1"/>
        <v>1</v>
      </c>
    </row>
    <row r="14" spans="1:26">
      <c r="A14" t="str">
        <v>Barishal-6</v>
      </c>
      <c r="B14" t="str" cm="1">
        <f t="array" ref="B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Nawabganj","Chapainawabganj"),Final_Merged_Data!$B$2:$B$1000=$A14)))</f>
        <v>Barishal</v>
      </c>
      <c r="C14" t="str" cm="1">
        <f t="array" ref="C14">_xlfn.TEXTJOIN(", ",TRUE,_xlfn._xlws.FILTER(Final_Merged_Data!$C$2:$C$1000,Final_Merged_Data!$B$2:$B$1000=$A14))</f>
        <v>Muladi, Hizla</v>
      </c>
      <c r="D14" cm="1">
        <f t="array" ref="D14">COUNTA(_xlfn._xlws.FILTER(Final_Merged_Data!$C$2:$C$1000,Final_Merged_Data!$B$2:$B$1000=$A14))</f>
        <v>2</v>
      </c>
      <c r="E14">
        <f>SUMIFS(Final_Merged_Data!$E:$E,Final_Merged_Data!$B:$B,$A14)</f>
        <v>373.54999999999995</v>
      </c>
      <c r="F14">
        <f>SUMIFS(Final_Merged_Data!$F:$F,Final_Merged_Data!$B:$B,$A14)</f>
        <v>332589</v>
      </c>
      <c r="G14">
        <f t="shared" si="0"/>
        <v>890.34667380538087</v>
      </c>
      <c r="H14" cm="1">
        <f t="array" ref="H14">SUMPRODUCT((Final_Merged_Data!$B$2:$B$1000=$A14)*Final_Merged_Data!$H$2:$H$1000*Final_Merged_Data!$F$2:$F$1000)/F14</f>
        <v>4.0521436367408423</v>
      </c>
      <c r="I14" cm="1">
        <f t="array" ref="I14">SUMPRODUCT((Final_Merged_Data!$B$2:$B$1000=$A14)*Final_Merged_Data!$I$2:$I$1000*Final_Merged_Data!$F$2:$F$1000)/F14</f>
        <v>72.296926837628433</v>
      </c>
      <c r="J14" t="str" cm="1">
        <f t="array" ref="J14">_xlfn.TEXTJOIN(", ",TRUE,_xlfn.UNIQUE(_xlfn._xlws.FILTER(Final_Merged_Data!$J$2:$J$1000,Final_Merged_Data!$B$2:$B$1000=$A14)))</f>
        <v>Barishal Range</v>
      </c>
      <c r="K14" cm="1">
        <f t="array" ref="K14">SUMPRODUCT((Final_Merged_Data!$B$2:$B$1000=$A14)*Final_Merged_Data!$K$2:$K$1000*Final_Merged_Data!$F$2:$F$1000)/F14</f>
        <v>112.01964836613055</v>
      </c>
      <c r="L14" cm="1">
        <f t="array" ref="L14">SUMPRODUCT((Final_Merged_Data!$B$2:$B$1000=$A14)*Final_Merged_Data!$L$2:$L$1000*Final_Merged_Data!$F$2:$F$1000)/F14</f>
        <v>22.37167391269287</v>
      </c>
      <c r="M14" t="str">
        <f>IF(COUNTIF(Master_Data!$C:$C,$A14)&gt;0,"Found","Missing")</f>
        <v>Found</v>
      </c>
      <c r="N14" t="str">
        <f>_xlfn.XLOOKUP($A14,Master_Data!$C:$C,Master_Data!$D:$D,"CHECK",0)</f>
        <v>Abul Hossain Khan</v>
      </c>
      <c r="O14" t="str">
        <f>_xlfn.XLOOKUP($A14,Master_Data!$C:$C,Master_Data!$E:$E,"CHECK",0)</f>
        <v>BNP</v>
      </c>
      <c r="P14">
        <f>_xlfn.XLOOKUP($A14,Master_Data!$C:$C,Master_Data!$F:$F,"CHECK",0)</f>
        <v>1</v>
      </c>
      <c r="Q14">
        <f>_xlfn.XLOOKUP($A14,Master_Data!$C:$C,Master_Data!$G:$G,"CHECK",0)</f>
        <v>82217</v>
      </c>
      <c r="R14">
        <f>IFERROR(_xlfn.XLOOKUP($A14,Master_Data!$C:$C,Master_Data!$H:$H,"CHECK",0),"")</f>
        <v>59.489164646720447</v>
      </c>
      <c r="S14" t="str">
        <f>_xlfn.XLOOKUP($A14,Master_Data!$C:$C,Master_Data!$I:$I,"CHECK",0)</f>
        <v>Md. Mahmudunnabi</v>
      </c>
      <c r="T14">
        <f>_xlfn.XLOOKUP($A14,Master_Data!$C:$C,Master_Data!$K:$K,"CHECK",0)</f>
        <v>55988</v>
      </c>
      <c r="U14">
        <f>IFERROR(_xlfn.XLOOKUP($A14,Master_Data!$C:$C,Master_Data!$L:$L,"CHECK",0),"")</f>
        <v>40.510835353279553</v>
      </c>
      <c r="V14">
        <f>_xlfn.XLOOKUP($A14,Master_Data!$C:$C,Master_Data!$M:$M,"CHECK",0)</f>
        <v>26229</v>
      </c>
      <c r="W14">
        <f>IFERROR(_xlfn.XLOOKUP($A14,Master_Data!$C:$C,Master_Data!$N:$N,"CHECK",0),"")</f>
        <v>18.978329293440904</v>
      </c>
      <c r="X14" t="str">
        <f>IFERROR(_xlfn.XLOOKUP($A14,Master_Data!$C:$C,Master_Data!$O:$O,"CHECK",0),"No Result")</f>
        <v>Safe Seat</v>
      </c>
      <c r="Y14">
        <f>_xlfn.XLOOKUP($A14,Master_Data!$C:$C,Master_Data!$P:$P,"CHECK",0)</f>
        <v>0</v>
      </c>
      <c r="Z14">
        <f t="shared" si="1"/>
        <v>1</v>
      </c>
    </row>
    <row r="15" spans="1:26">
      <c r="A15" t="str">
        <v>Bhola-1</v>
      </c>
      <c r="B15" t="str" cm="1">
        <f t="array" ref="B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Nawabganj","Chapainawabganj"),Final_Merged_Data!$B$2:$B$1000=$A15)))</f>
        <v>Bhola</v>
      </c>
      <c r="C15" t="str" cm="1">
        <f t="array" ref="C15">_xlfn.TEXTJOIN(", ",TRUE,_xlfn._xlws.FILTER(Final_Merged_Data!$C$2:$C$1000,Final_Merged_Data!$B$2:$B$1000=$A15))</f>
        <v>Bhola Sadar</v>
      </c>
      <c r="D15" cm="1">
        <f t="array" ref="D15">COUNTA(_xlfn._xlws.FILTER(Final_Merged_Data!$C$2:$C$1000,Final_Merged_Data!$B$2:$B$1000=$A15))</f>
        <v>1</v>
      </c>
      <c r="E15">
        <f>SUMIFS(Final_Merged_Data!$E:$E,Final_Merged_Data!$B:$B,$A15)</f>
        <v>351.87</v>
      </c>
      <c r="F15">
        <f>SUMIFS(Final_Merged_Data!$F:$F,Final_Merged_Data!$B:$B,$A15)</f>
        <v>444828</v>
      </c>
      <c r="G15">
        <f t="shared" si="0"/>
        <v>1264.1827947821639</v>
      </c>
      <c r="H15" cm="1">
        <f t="array" ref="H15">SUMPRODUCT((Final_Merged_Data!$B$2:$B$1000=$A15)*Final_Merged_Data!$H$2:$H$1000*Final_Merged_Data!$F$2:$F$1000)/F15</f>
        <v>4.29</v>
      </c>
      <c r="I15" cm="1">
        <f t="array" ref="I15">SUMPRODUCT((Final_Merged_Data!$B$2:$B$1000=$A15)*Final_Merged_Data!$I$2:$I$1000*Final_Merged_Data!$F$2:$F$1000)/F15</f>
        <v>70.41</v>
      </c>
      <c r="J15" t="str" cm="1">
        <f t="array" ref="J15">_xlfn.TEXTJOIN(", ",TRUE,_xlfn.UNIQUE(_xlfn._xlws.FILTER(Final_Merged_Data!$J$2:$J$1000,Final_Merged_Data!$B$2:$B$1000=$A15)))</f>
        <v>Barishal Range</v>
      </c>
      <c r="K15" cm="1">
        <f t="array" ref="K15">SUMPRODUCT((Final_Merged_Data!$B$2:$B$1000=$A15)*Final_Merged_Data!$K$2:$K$1000*Final_Merged_Data!$F$2:$F$1000)/F15</f>
        <v>112.01964836613054</v>
      </c>
      <c r="L15" cm="1">
        <f t="array" ref="L15">SUMPRODUCT((Final_Merged_Data!$B$2:$B$1000=$A15)*Final_Merged_Data!$L$2:$L$1000*Final_Merged_Data!$F$2:$F$1000)/F15</f>
        <v>22.37167391269287</v>
      </c>
      <c r="M15" t="str">
        <f>IF(COUNTIF(Master_Data!$C:$C,$A15)&gt;0,"Found","Missing")</f>
        <v>Found</v>
      </c>
      <c r="N15" t="str">
        <f>_xlfn.XLOOKUP($A15,Master_Data!$C:$C,Master_Data!$D:$D,"CHECK",0)</f>
        <v>Andaleeve Rahman</v>
      </c>
      <c r="O15" t="str">
        <f>_xlfn.XLOOKUP($A15,Master_Data!$C:$C,Master_Data!$E:$E,"CHECK",0)</f>
        <v>BJP</v>
      </c>
      <c r="P15">
        <f>_xlfn.XLOOKUP($A15,Master_Data!$C:$C,Master_Data!$F:$F,"CHECK",0)</f>
        <v>0</v>
      </c>
      <c r="Q15">
        <f>_xlfn.XLOOKUP($A15,Master_Data!$C:$C,Master_Data!$G:$G,"CHECK",0)</f>
        <v>105543</v>
      </c>
      <c r="R15">
        <f>IFERROR(_xlfn.XLOOKUP($A15,Master_Data!$C:$C,Master_Data!$H:$H,"CHECK",0),"")</f>
        <v>58.349734630694385</v>
      </c>
      <c r="S15" t="str">
        <f>_xlfn.XLOOKUP($A15,Master_Data!$C:$C,Master_Data!$I:$I,"CHECK",0)</f>
        <v>Md. Nazrul Islam</v>
      </c>
      <c r="T15">
        <f>_xlfn.XLOOKUP($A15,Master_Data!$C:$C,Master_Data!$K:$K,"CHECK",0)</f>
        <v>75337</v>
      </c>
      <c r="U15">
        <f>IFERROR(_xlfn.XLOOKUP($A15,Master_Data!$C:$C,Master_Data!$L:$L,"CHECK",0),"")</f>
        <v>41.650265369305615</v>
      </c>
      <c r="V15">
        <f>_xlfn.XLOOKUP($A15,Master_Data!$C:$C,Master_Data!$M:$M,"CHECK",0)</f>
        <v>30206</v>
      </c>
      <c r="W15">
        <f>IFERROR(_xlfn.XLOOKUP($A15,Master_Data!$C:$C,Master_Data!$N:$N,"CHECK",0),"")</f>
        <v>16.699469261388767</v>
      </c>
      <c r="X15" t="str">
        <f>IFERROR(_xlfn.XLOOKUP($A15,Master_Data!$C:$C,Master_Data!$O:$O,"CHECK",0),"No Result")</f>
        <v>Safe Seat</v>
      </c>
      <c r="Y15">
        <f>_xlfn.XLOOKUP($A15,Master_Data!$C:$C,Master_Data!$P:$P,"CHECK",0)</f>
        <v>0</v>
      </c>
      <c r="Z15">
        <f t="shared" si="1"/>
        <v>1</v>
      </c>
    </row>
    <row r="16" spans="1:26">
      <c r="A16" t="str">
        <v>Bhola-2</v>
      </c>
      <c r="B16" t="str" cm="1">
        <f t="array" ref="B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Nawabganj","Chapainawabganj"),Final_Merged_Data!$B$2:$B$1000=$A16)))</f>
        <v>Bhola</v>
      </c>
      <c r="C16" t="str" cm="1">
        <f t="array" ref="C16">_xlfn.TEXTJOIN(", ",TRUE,_xlfn._xlws.FILTER(Final_Merged_Data!$C$2:$C$1000,Final_Merged_Data!$B$2:$B$1000=$A16))</f>
        <v>Borhanuddin, Daulatkhan</v>
      </c>
      <c r="D16" cm="1">
        <f t="array" ref="D16">COUNTA(_xlfn._xlws.FILTER(Final_Merged_Data!$C$2:$C$1000,Final_Merged_Data!$B$2:$B$1000=$A16))</f>
        <v>2</v>
      </c>
      <c r="E16">
        <f>SUMIFS(Final_Merged_Data!$E:$E,Final_Merged_Data!$B:$B,$A16)</f>
        <v>855.22</v>
      </c>
      <c r="F16">
        <f>SUMIFS(Final_Merged_Data!$F:$F,Final_Merged_Data!$B:$B,$A16)</f>
        <v>447239</v>
      </c>
      <c r="G16">
        <f t="shared" si="0"/>
        <v>522.95198896190448</v>
      </c>
      <c r="H16" cm="1">
        <f t="array" ref="H16">SUMPRODUCT((Final_Merged_Data!$B$2:$B$1000=$A16)*Final_Merged_Data!$H$2:$H$1000*Final_Merged_Data!$F$2:$F$1000)/F16</f>
        <v>4.2621954257119796</v>
      </c>
      <c r="I16" cm="1">
        <f t="array" ref="I16">SUMPRODUCT((Final_Merged_Data!$B$2:$B$1000=$A16)*Final_Merged_Data!$I$2:$I$1000*Final_Merged_Data!$F$2:$F$1000)/F16</f>
        <v>68.242737395441807</v>
      </c>
      <c r="J16" t="str" cm="1">
        <f t="array" ref="J16">_xlfn.TEXTJOIN(", ",TRUE,_xlfn.UNIQUE(_xlfn._xlws.FILTER(Final_Merged_Data!$J$2:$J$1000,Final_Merged_Data!$B$2:$B$1000=$A16)))</f>
        <v>Barishal Range</v>
      </c>
      <c r="K16" cm="1">
        <f t="array" ref="K16">SUMPRODUCT((Final_Merged_Data!$B$2:$B$1000=$A16)*Final_Merged_Data!$K$2:$K$1000*Final_Merged_Data!$F$2:$F$1000)/F16</f>
        <v>112.01964836613054</v>
      </c>
      <c r="L16" cm="1">
        <f t="array" ref="L16">SUMPRODUCT((Final_Merged_Data!$B$2:$B$1000=$A16)*Final_Merged_Data!$L$2:$L$1000*Final_Merged_Data!$F$2:$F$1000)/F16</f>
        <v>22.371673912692867</v>
      </c>
      <c r="M16" t="str">
        <f>IF(COUNTIF(Master_Data!$C:$C,$A16)&gt;0,"Found","Missing")</f>
        <v>Found</v>
      </c>
      <c r="N16" t="str">
        <f>_xlfn.XLOOKUP($A16,Master_Data!$C:$C,Master_Data!$D:$D,"CHECK",0)</f>
        <v>Hafiz Ibrahim</v>
      </c>
      <c r="O16" t="str">
        <f>_xlfn.XLOOKUP($A16,Master_Data!$C:$C,Master_Data!$E:$E,"CHECK",0)</f>
        <v>BNP</v>
      </c>
      <c r="P16">
        <f>_xlfn.XLOOKUP($A16,Master_Data!$C:$C,Master_Data!$F:$F,"CHECK",0)</f>
        <v>1</v>
      </c>
      <c r="Q16">
        <f>_xlfn.XLOOKUP($A16,Master_Data!$C:$C,Master_Data!$G:$G,"CHECK",0)</f>
        <v>119085</v>
      </c>
      <c r="R16">
        <f>IFERROR(_xlfn.XLOOKUP($A16,Master_Data!$C:$C,Master_Data!$H:$H,"CHECK",0),"")</f>
        <v>55.964152113841003</v>
      </c>
      <c r="S16" t="str">
        <f>_xlfn.XLOOKUP($A16,Master_Data!$C:$C,Master_Data!$I:$I,"CHECK",0)</f>
        <v>Mohammad Fazlul Karim</v>
      </c>
      <c r="T16">
        <f>_xlfn.XLOOKUP($A16,Master_Data!$C:$C,Master_Data!$K:$K,"CHECK",0)</f>
        <v>93703</v>
      </c>
      <c r="U16">
        <f>IFERROR(_xlfn.XLOOKUP($A16,Master_Data!$C:$C,Master_Data!$L:$L,"CHECK",0),"")</f>
        <v>44.035847886158997</v>
      </c>
      <c r="V16">
        <f>_xlfn.XLOOKUP($A16,Master_Data!$C:$C,Master_Data!$M:$M,"CHECK",0)</f>
        <v>25382</v>
      </c>
      <c r="W16">
        <f>IFERROR(_xlfn.XLOOKUP($A16,Master_Data!$C:$C,Master_Data!$N:$N,"CHECK",0),"")</f>
        <v>11.928304227682013</v>
      </c>
      <c r="X16" t="str">
        <f>IFERROR(_xlfn.XLOOKUP($A16,Master_Data!$C:$C,Master_Data!$O:$O,"CHECK",0),"No Result")</f>
        <v>Safe Seat</v>
      </c>
      <c r="Y16">
        <f>_xlfn.XLOOKUP($A16,Master_Data!$C:$C,Master_Data!$P:$P,"CHECK",0)</f>
        <v>0</v>
      </c>
      <c r="Z16">
        <f t="shared" si="1"/>
        <v>1</v>
      </c>
    </row>
    <row r="17" spans="1:26">
      <c r="A17" t="str">
        <v>Bhola-3</v>
      </c>
      <c r="B17" t="str" cm="1">
        <f t="array" ref="B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Nawabganj","Chapainawabganj"),Final_Merged_Data!$B$2:$B$1000=$A17)))</f>
        <v>Bhola</v>
      </c>
      <c r="C17" t="str" cm="1">
        <f t="array" ref="C17">_xlfn.TEXTJOIN(", ",TRUE,_xlfn._xlws.FILTER(Final_Merged_Data!$C$2:$C$1000,Final_Merged_Data!$B$2:$B$1000=$A17))</f>
        <v>Lalmohan, Tazumuddin</v>
      </c>
      <c r="D17" cm="1">
        <f t="array" ref="D17">COUNTA(_xlfn._xlws.FILTER(Final_Merged_Data!$C$2:$C$1000,Final_Merged_Data!$B$2:$B$1000=$A17))</f>
        <v>2</v>
      </c>
      <c r="E17">
        <f>SUMIFS(Final_Merged_Data!$E:$E,Final_Merged_Data!$B:$B,$A17)</f>
        <v>854.38</v>
      </c>
      <c r="F17">
        <f>SUMIFS(Final_Merged_Data!$F:$F,Final_Merged_Data!$B:$B,$A17)</f>
        <v>431842</v>
      </c>
      <c r="G17">
        <f t="shared" si="0"/>
        <v>505.44488400945716</v>
      </c>
      <c r="H17" cm="1">
        <f t="array" ref="H17">SUMPRODUCT((Final_Merged_Data!$B$2:$B$1000=$A17)*Final_Merged_Data!$H$2:$H$1000*Final_Merged_Data!$F$2:$F$1000)/F17</f>
        <v>4.1858230788112314</v>
      </c>
      <c r="I17" cm="1">
        <f t="array" ref="I17">SUMPRODUCT((Final_Merged_Data!$B$2:$B$1000=$A17)*Final_Merged_Data!$I$2:$I$1000*Final_Merged_Data!$F$2:$F$1000)/F17</f>
        <v>63.946461576224635</v>
      </c>
      <c r="J17" t="str" cm="1">
        <f t="array" ref="J17">_xlfn.TEXTJOIN(", ",TRUE,_xlfn.UNIQUE(_xlfn._xlws.FILTER(Final_Merged_Data!$J$2:$J$1000,Final_Merged_Data!$B$2:$B$1000=$A17)))</f>
        <v>Barishal Range</v>
      </c>
      <c r="K17" cm="1">
        <f t="array" ref="K17">SUMPRODUCT((Final_Merged_Data!$B$2:$B$1000=$A17)*Final_Merged_Data!$K$2:$K$1000*Final_Merged_Data!$F$2:$F$1000)/F17</f>
        <v>112.01964836613054</v>
      </c>
      <c r="L17" cm="1">
        <f t="array" ref="L17">SUMPRODUCT((Final_Merged_Data!$B$2:$B$1000=$A17)*Final_Merged_Data!$L$2:$L$1000*Final_Merged_Data!$F$2:$F$1000)/F17</f>
        <v>22.37167391269287</v>
      </c>
      <c r="M17" t="str">
        <f>IF(COUNTIF(Master_Data!$C:$C,$A17)&gt;0,"Found","Missing")</f>
        <v>Found</v>
      </c>
      <c r="N17" t="str">
        <f>_xlfn.XLOOKUP($A17,Master_Data!$C:$C,Master_Data!$D:$D,"CHECK",0)</f>
        <v>Hafizuddin Ahmed</v>
      </c>
      <c r="O17" t="str">
        <f>_xlfn.XLOOKUP($A17,Master_Data!$C:$C,Master_Data!$E:$E,"CHECK",0)</f>
        <v>BNP</v>
      </c>
      <c r="P17">
        <f>_xlfn.XLOOKUP($A17,Master_Data!$C:$C,Master_Data!$F:$F,"CHECK",0)</f>
        <v>1</v>
      </c>
      <c r="Q17">
        <f>_xlfn.XLOOKUP($A17,Master_Data!$C:$C,Master_Data!$G:$G,"CHECK",0)</f>
        <v>145990</v>
      </c>
      <c r="R17">
        <f>IFERROR(_xlfn.XLOOKUP($A17,Master_Data!$C:$C,Master_Data!$H:$H,"CHECK",0),"")</f>
        <v>71.795653606503365</v>
      </c>
      <c r="S17" t="str">
        <f>_xlfn.XLOOKUP($A17,Master_Data!$C:$C,Master_Data!$I:$I,"CHECK",0)</f>
        <v>Muhammad Nizamul Haque</v>
      </c>
      <c r="T17">
        <f>_xlfn.XLOOKUP($A17,Master_Data!$C:$C,Master_Data!$K:$K,"CHECK",0)</f>
        <v>57351</v>
      </c>
      <c r="U17">
        <f>IFERROR(_xlfn.XLOOKUP($A17,Master_Data!$C:$C,Master_Data!$L:$L,"CHECK",0),"")</f>
        <v>28.204346393496639</v>
      </c>
      <c r="V17">
        <f>_xlfn.XLOOKUP($A17,Master_Data!$C:$C,Master_Data!$M:$M,"CHECK",0)</f>
        <v>88639</v>
      </c>
      <c r="W17">
        <f>IFERROR(_xlfn.XLOOKUP($A17,Master_Data!$C:$C,Master_Data!$N:$N,"CHECK",0),"")</f>
        <v>43.591307213006722</v>
      </c>
      <c r="X17" t="str">
        <f>IFERROR(_xlfn.XLOOKUP($A17,Master_Data!$C:$C,Master_Data!$O:$O,"CHECK",0),"No Result")</f>
        <v>Safe Seat</v>
      </c>
      <c r="Y17">
        <f>_xlfn.XLOOKUP($A17,Master_Data!$C:$C,Master_Data!$P:$P,"CHECK",0)</f>
        <v>0</v>
      </c>
      <c r="Z17">
        <f t="shared" si="1"/>
        <v>1</v>
      </c>
    </row>
    <row r="18" spans="1:26">
      <c r="A18" t="str">
        <v>Bhola-4</v>
      </c>
      <c r="B18" t="str" cm="1">
        <f t="array" ref="B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Nawabganj","Chapainawabganj"),Final_Merged_Data!$B$2:$B$1000=$A18)))</f>
        <v>Bhola</v>
      </c>
      <c r="C18" t="str" cm="1">
        <f t="array" ref="C18">_xlfn.TEXTJOIN(", ",TRUE,_xlfn._xlws.FILTER(Final_Merged_Data!$C$2:$C$1000,Final_Merged_Data!$B$2:$B$1000=$A18))</f>
        <v>Char Fasion</v>
      </c>
      <c r="D18" cm="1">
        <f t="array" ref="D18">COUNTA(_xlfn._xlws.FILTER(Final_Merged_Data!$C$2:$C$1000,Final_Merged_Data!$B$2:$B$1000=$A18))</f>
        <v>1</v>
      </c>
      <c r="E18">
        <f>SUMIFS(Final_Merged_Data!$E:$E,Final_Merged_Data!$B:$B,$A18)</f>
        <v>309</v>
      </c>
      <c r="F18">
        <f>SUMIFS(Final_Merged_Data!$F:$F,Final_Merged_Data!$B:$B,$A18)</f>
        <v>518792</v>
      </c>
      <c r="G18">
        <f t="shared" si="0"/>
        <v>1678.9385113268609</v>
      </c>
      <c r="H18" cm="1">
        <f t="array" ref="H18">SUMPRODUCT((Final_Merged_Data!$B$2:$B$1000=$A18)*Final_Merged_Data!$H$2:$H$1000*Final_Merged_Data!$F$2:$F$1000)/F18</f>
        <v>4.29</v>
      </c>
      <c r="I18" cm="1">
        <f t="array" ref="I18">SUMPRODUCT((Final_Merged_Data!$B$2:$B$1000=$A18)*Final_Merged_Data!$I$2:$I$1000*Final_Merged_Data!$F$2:$F$1000)/F18</f>
        <v>67.62</v>
      </c>
      <c r="J18" t="str" cm="1">
        <f t="array" ref="J18">_xlfn.TEXTJOIN(", ",TRUE,_xlfn.UNIQUE(_xlfn._xlws.FILTER(Final_Merged_Data!$J$2:$J$1000,Final_Merged_Data!$B$2:$B$1000=$A18)))</f>
        <v>Barishal Range</v>
      </c>
      <c r="K18" cm="1">
        <f t="array" ref="K18">SUMPRODUCT((Final_Merged_Data!$B$2:$B$1000=$A18)*Final_Merged_Data!$K$2:$K$1000*Final_Merged_Data!$F$2:$F$1000)/F18</f>
        <v>112.01964836613054</v>
      </c>
      <c r="L18" cm="1">
        <f t="array" ref="L18">SUMPRODUCT((Final_Merged_Data!$B$2:$B$1000=$A18)*Final_Merged_Data!$L$2:$L$1000*Final_Merged_Data!$F$2:$F$1000)/F18</f>
        <v>22.37167391269287</v>
      </c>
      <c r="M18" t="str">
        <f>IF(COUNTIF(Master_Data!$C:$C,$A18)&gt;0,"Found","Missing")</f>
        <v>Found</v>
      </c>
      <c r="N18" t="str">
        <f>_xlfn.XLOOKUP($A18,Master_Data!$C:$C,Master_Data!$D:$D,"CHECK",0)</f>
        <v>Mohammad Nurul Islam</v>
      </c>
      <c r="O18" t="str">
        <f>_xlfn.XLOOKUP($A18,Master_Data!$C:$C,Master_Data!$E:$E,"CHECK",0)</f>
        <v>BNP</v>
      </c>
      <c r="P18">
        <f>_xlfn.XLOOKUP($A18,Master_Data!$C:$C,Master_Data!$F:$F,"CHECK",0)</f>
        <v>1</v>
      </c>
      <c r="Q18">
        <f>_xlfn.XLOOKUP($A18,Master_Data!$C:$C,Master_Data!$G:$G,"CHECK",0)</f>
        <v>189351</v>
      </c>
      <c r="R18">
        <f>IFERROR(_xlfn.XLOOKUP($A18,Master_Data!$C:$C,Master_Data!$H:$H,"CHECK",0),"")</f>
        <v>69.925919907824579</v>
      </c>
      <c r="S18" t="str">
        <f>_xlfn.XLOOKUP($A18,Master_Data!$C:$C,Master_Data!$I:$I,"CHECK",0)</f>
        <v>Mohammad Mustafa Kamal</v>
      </c>
      <c r="T18">
        <f>_xlfn.XLOOKUP($A18,Master_Data!$C:$C,Master_Data!$K:$K,"CHECK",0)</f>
        <v>81437</v>
      </c>
      <c r="U18">
        <f>IFERROR(_xlfn.XLOOKUP($A18,Master_Data!$C:$C,Master_Data!$L:$L,"CHECK",0),"")</f>
        <v>30.074080092175432</v>
      </c>
      <c r="V18">
        <f>_xlfn.XLOOKUP($A18,Master_Data!$C:$C,Master_Data!$M:$M,"CHECK",0)</f>
        <v>107914</v>
      </c>
      <c r="W18">
        <f>IFERROR(_xlfn.XLOOKUP($A18,Master_Data!$C:$C,Master_Data!$N:$N,"CHECK",0),"")</f>
        <v>39.851839815649143</v>
      </c>
      <c r="X18" t="str">
        <f>IFERROR(_xlfn.XLOOKUP($A18,Master_Data!$C:$C,Master_Data!$O:$O,"CHECK",0),"No Result")</f>
        <v>Safe Seat</v>
      </c>
      <c r="Y18">
        <f>_xlfn.XLOOKUP($A18,Master_Data!$C:$C,Master_Data!$P:$P,"CHECK",0)</f>
        <v>0</v>
      </c>
      <c r="Z18">
        <f t="shared" si="1"/>
        <v>1</v>
      </c>
    </row>
    <row r="19" spans="1:26">
      <c r="A19" t="str">
        <v>Bogura-1</v>
      </c>
      <c r="B19" t="str" cm="1">
        <f t="array" ref="B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Nawabganj","Chapainawabganj"),Final_Merged_Data!$B$2:$B$1000=$A19)))</f>
        <v>Bogura</v>
      </c>
      <c r="C19" t="str" cm="1">
        <f t="array" ref="C19">_xlfn.TEXTJOIN(", ",TRUE,_xlfn._xlws.FILTER(Final_Merged_Data!$C$2:$C$1000,Final_Merged_Data!$B$2:$B$1000=$A19))</f>
        <v>Sariakandi, Sonatala</v>
      </c>
      <c r="D19" cm="1">
        <f t="array" ref="D19">COUNTA(_xlfn._xlws.FILTER(Final_Merged_Data!$C$2:$C$1000,Final_Merged_Data!$B$2:$B$1000=$A19))</f>
        <v>2</v>
      </c>
      <c r="E19">
        <f>SUMIFS(Final_Merged_Data!$E:$E,Final_Merged_Data!$B:$B,$A19)</f>
        <v>555.04999999999995</v>
      </c>
      <c r="F19">
        <f>SUMIFS(Final_Merged_Data!$F:$F,Final_Merged_Data!$B:$B,$A19)</f>
        <v>469650</v>
      </c>
      <c r="G19">
        <f t="shared" si="0"/>
        <v>846.13998738852365</v>
      </c>
      <c r="H19" cm="1">
        <f t="array" ref="H19">SUMPRODUCT((Final_Merged_Data!$B$2:$B$1000=$A19)*Final_Merged_Data!$H$2:$H$1000*Final_Merged_Data!$F$2:$F$1000)/F19</f>
        <v>3.4312165442350682</v>
      </c>
      <c r="I19" cm="1">
        <f t="array" ref="I19">SUMPRODUCT((Final_Merged_Data!$B$2:$B$1000=$A19)*Final_Merged_Data!$I$2:$I$1000*Final_Merged_Data!$F$2:$F$1000)/F19</f>
        <v>65.642543915681884</v>
      </c>
      <c r="J19" t="str" cm="1">
        <f t="array" ref="J19">_xlfn.TEXTJOIN(", ",TRUE,_xlfn.UNIQUE(_xlfn._xlws.FILTER(Final_Merged_Data!$J$2:$J$1000,Final_Merged_Data!$B$2:$B$1000=$A19)))</f>
        <v>Rajshahi Range</v>
      </c>
      <c r="K19" cm="1">
        <f t="array" ref="K19">SUMPRODUCT((Final_Merged_Data!$B$2:$B$1000=$A19)*Final_Merged_Data!$K$2:$K$1000*Final_Merged_Data!$F$2:$F$1000)/F19</f>
        <v>112.81411131450233</v>
      </c>
      <c r="L19" cm="1">
        <f t="array" ref="L19">SUMPRODUCT((Final_Merged_Data!$B$2:$B$1000=$A19)*Final_Merged_Data!$L$2:$L$1000*Final_Merged_Data!$F$2:$F$1000)/F19</f>
        <v>14.272851259111949</v>
      </c>
      <c r="M19" t="str">
        <f>IF(COUNTIF(Master_Data!$C:$C,$A19)&gt;0,"Found","Missing")</f>
        <v>Found</v>
      </c>
      <c r="N19" t="str">
        <f>_xlfn.XLOOKUP($A19,Master_Data!$C:$C,Master_Data!$D:$D,"CHECK",0)</f>
        <v>Kazi Rafiqul Islam</v>
      </c>
      <c r="O19" t="str">
        <f>_xlfn.XLOOKUP($A19,Master_Data!$C:$C,Master_Data!$E:$E,"CHECK",0)</f>
        <v>BNP</v>
      </c>
      <c r="P19">
        <f>_xlfn.XLOOKUP($A19,Master_Data!$C:$C,Master_Data!$F:$F,"CHECK",0)</f>
        <v>1</v>
      </c>
      <c r="Q19">
        <f>_xlfn.XLOOKUP($A19,Master_Data!$C:$C,Master_Data!$G:$G,"CHECK",0)</f>
        <v>171440</v>
      </c>
      <c r="R19">
        <f>IFERROR(_xlfn.XLOOKUP($A19,Master_Data!$C:$C,Master_Data!$H:$H,"CHECK",0),"")</f>
        <v>74.734414709741543</v>
      </c>
      <c r="S19" t="str">
        <f>_xlfn.XLOOKUP($A19,Master_Data!$C:$C,Master_Data!$I:$I,"CHECK",0)</f>
        <v>Md. Shahabuddin</v>
      </c>
      <c r="T19">
        <f>_xlfn.XLOOKUP($A19,Master_Data!$C:$C,Master_Data!$K:$K,"CHECK",0)</f>
        <v>57959</v>
      </c>
      <c r="U19">
        <f>IFERROR(_xlfn.XLOOKUP($A19,Master_Data!$C:$C,Master_Data!$L:$L,"CHECK",0),"")</f>
        <v>25.265585290258457</v>
      </c>
      <c r="V19">
        <f>_xlfn.XLOOKUP($A19,Master_Data!$C:$C,Master_Data!$M:$M,"CHECK",0)</f>
        <v>113481</v>
      </c>
      <c r="W19">
        <f>IFERROR(_xlfn.XLOOKUP($A19,Master_Data!$C:$C,Master_Data!$N:$N,"CHECK",0),"")</f>
        <v>49.468829419483086</v>
      </c>
      <c r="X19" t="str">
        <f>IFERROR(_xlfn.XLOOKUP($A19,Master_Data!$C:$C,Master_Data!$O:$O,"CHECK",0),"No Result")</f>
        <v>Safe Seat</v>
      </c>
      <c r="Y19">
        <f>_xlfn.XLOOKUP($A19,Master_Data!$C:$C,Master_Data!$P:$P,"CHECK",0)</f>
        <v>0</v>
      </c>
      <c r="Z19">
        <f t="shared" si="1"/>
        <v>1</v>
      </c>
    </row>
    <row r="20" spans="1:26">
      <c r="A20" t="str">
        <v>Bogura-2</v>
      </c>
      <c r="B20" t="str" cm="1">
        <f t="array" ref="B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Nawabganj","Chapainawabganj"),Final_Merged_Data!$B$2:$B$1000=$A20)))</f>
        <v>Bogura</v>
      </c>
      <c r="C20" t="str" cm="1">
        <f t="array" ref="C20">_xlfn.TEXTJOIN(", ",TRUE,_xlfn._xlws.FILTER(Final_Merged_Data!$C$2:$C$1000,Final_Merged_Data!$B$2:$B$1000=$A20))</f>
        <v>Shibganj</v>
      </c>
      <c r="D20" cm="1">
        <f t="array" ref="D20">COUNTA(_xlfn._xlws.FILTER(Final_Merged_Data!$C$2:$C$1000,Final_Merged_Data!$B$2:$B$1000=$A20))</f>
        <v>1</v>
      </c>
      <c r="E20">
        <f>SUMIFS(Final_Merged_Data!$E:$E,Final_Merged_Data!$B:$B,$A20)</f>
        <v>516.70000000000005</v>
      </c>
      <c r="F20">
        <f>SUMIFS(Final_Merged_Data!$F:$F,Final_Merged_Data!$B:$B,$A20)</f>
        <v>400407</v>
      </c>
      <c r="G20">
        <f t="shared" si="0"/>
        <v>774.93129475517696</v>
      </c>
      <c r="H20" cm="1">
        <f t="array" ref="H20">SUMPRODUCT((Final_Merged_Data!$B$2:$B$1000=$A20)*Final_Merged_Data!$H$2:$H$1000*Final_Merged_Data!$F$2:$F$1000)/F20</f>
        <v>3.46</v>
      </c>
      <c r="I20" cm="1">
        <f t="array" ref="I20">SUMPRODUCT((Final_Merged_Data!$B$2:$B$1000=$A20)*Final_Merged_Data!$I$2:$I$1000*Final_Merged_Data!$F$2:$F$1000)/F20</f>
        <v>67.760000000000005</v>
      </c>
      <c r="J20" t="str" cm="1">
        <f t="array" ref="J20">_xlfn.TEXTJOIN(", ",TRUE,_xlfn.UNIQUE(_xlfn._xlws.FILTER(Final_Merged_Data!$J$2:$J$1000,Final_Merged_Data!$B$2:$B$1000=$A20)))</f>
        <v>Rajshahi Range</v>
      </c>
      <c r="K20" cm="1">
        <f t="array" ref="K20">SUMPRODUCT((Final_Merged_Data!$B$2:$B$1000=$A20)*Final_Merged_Data!$K$2:$K$1000*Final_Merged_Data!$F$2:$F$1000)/F20</f>
        <v>112.81411131450233</v>
      </c>
      <c r="L20" cm="1">
        <f t="array" ref="L20">SUMPRODUCT((Final_Merged_Data!$B$2:$B$1000=$A20)*Final_Merged_Data!$L$2:$L$1000*Final_Merged_Data!$F$2:$F$1000)/F20</f>
        <v>14.272851259111951</v>
      </c>
      <c r="M20" t="str">
        <f>IF(COUNTIF(Master_Data!$C:$C,$A20)&gt;0,"Found","Missing")</f>
        <v>Found</v>
      </c>
      <c r="N20" t="str">
        <f>_xlfn.XLOOKUP($A20,Master_Data!$C:$C,Master_Data!$D:$D,"CHECK",0)</f>
        <v>Mir Shahe Alam</v>
      </c>
      <c r="O20" t="str">
        <f>_xlfn.XLOOKUP($A20,Master_Data!$C:$C,Master_Data!$E:$E,"CHECK",0)</f>
        <v>BNP</v>
      </c>
      <c r="P20">
        <f>_xlfn.XLOOKUP($A20,Master_Data!$C:$C,Master_Data!$F:$F,"CHECK",0)</f>
        <v>1</v>
      </c>
      <c r="Q20">
        <f>_xlfn.XLOOKUP($A20,Master_Data!$C:$C,Master_Data!$G:$G,"CHECK",0)</f>
        <v>145024</v>
      </c>
      <c r="R20">
        <f>IFERROR(_xlfn.XLOOKUP($A20,Master_Data!$C:$C,Master_Data!$H:$H,"CHECK",0),"")</f>
        <v>60.788357393155948</v>
      </c>
      <c r="S20" t="str">
        <f>_xlfn.XLOOKUP($A20,Master_Data!$C:$C,Master_Data!$I:$I,"CHECK",0)</f>
        <v>Abul Azad Md Shahaduzzaman</v>
      </c>
      <c r="T20">
        <f>_xlfn.XLOOKUP($A20,Master_Data!$C:$C,Master_Data!$K:$K,"CHECK",0)</f>
        <v>93548</v>
      </c>
      <c r="U20">
        <f>IFERROR(_xlfn.XLOOKUP($A20,Master_Data!$C:$C,Master_Data!$L:$L,"CHECK",0),"")</f>
        <v>39.211642606844052</v>
      </c>
      <c r="V20">
        <f>_xlfn.XLOOKUP($A20,Master_Data!$C:$C,Master_Data!$M:$M,"CHECK",0)</f>
        <v>51476</v>
      </c>
      <c r="W20">
        <f>IFERROR(_xlfn.XLOOKUP($A20,Master_Data!$C:$C,Master_Data!$N:$N,"CHECK",0),"")</f>
        <v>21.576714786311889</v>
      </c>
      <c r="X20" t="str">
        <f>IFERROR(_xlfn.XLOOKUP($A20,Master_Data!$C:$C,Master_Data!$O:$O,"CHECK",0),"No Result")</f>
        <v>Safe Seat</v>
      </c>
      <c r="Y20">
        <f>_xlfn.XLOOKUP($A20,Master_Data!$C:$C,Master_Data!$P:$P,"CHECK",0)</f>
        <v>0</v>
      </c>
      <c r="Z20">
        <f t="shared" si="1"/>
        <v>1</v>
      </c>
    </row>
    <row r="21" spans="1:26">
      <c r="A21" t="str">
        <v>Bogura-3</v>
      </c>
      <c r="B21" t="str" cm="1">
        <f t="array" ref="B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Nawabganj","Chapainawabganj"),Final_Merged_Data!$B$2:$B$1000=$A21)))</f>
        <v>Bogura</v>
      </c>
      <c r="C21" t="str" cm="1">
        <f t="array" ref="C21">_xlfn.TEXTJOIN(", ",TRUE,_xlfn._xlws.FILTER(Final_Merged_Data!$C$2:$C$1000,Final_Merged_Data!$B$2:$B$1000=$A21))</f>
        <v>Bogura Sadar</v>
      </c>
      <c r="D21" cm="1">
        <f t="array" ref="D21">COUNTA(_xlfn._xlws.FILTER(Final_Merged_Data!$C$2:$C$1000,Final_Merged_Data!$B$2:$B$1000=$A21))</f>
        <v>1</v>
      </c>
      <c r="E21">
        <f>SUMIFS(Final_Merged_Data!$E:$E,Final_Merged_Data!$B:$B,$A21)</f>
        <v>286.22000000000003</v>
      </c>
      <c r="F21">
        <f>SUMIFS(Final_Merged_Data!$F:$F,Final_Merged_Data!$B:$B,$A21)</f>
        <v>657688</v>
      </c>
      <c r="G21">
        <f t="shared" si="0"/>
        <v>2297.8408217455103</v>
      </c>
      <c r="H21" cm="1">
        <f t="array" ref="H21">SUMPRODUCT((Final_Merged_Data!$B$2:$B$1000=$A21)*Final_Merged_Data!$H$2:$H$1000*Final_Merged_Data!$F$2:$F$1000)/F21</f>
        <v>3.67</v>
      </c>
      <c r="I21" cm="1">
        <f t="array" ref="I21">SUMPRODUCT((Final_Merged_Data!$B$2:$B$1000=$A21)*Final_Merged_Data!$I$2:$I$1000*Final_Merged_Data!$F$2:$F$1000)/F21</f>
        <v>83.63</v>
      </c>
      <c r="J21" t="str" cm="1">
        <f t="array" ref="J21">_xlfn.TEXTJOIN(", ",TRUE,_xlfn.UNIQUE(_xlfn._xlws.FILTER(Final_Merged_Data!$J$2:$J$1000,Final_Merged_Data!$B$2:$B$1000=$A21)))</f>
        <v>Rajshahi Range</v>
      </c>
      <c r="K21" cm="1">
        <f t="array" ref="K21">SUMPRODUCT((Final_Merged_Data!$B$2:$B$1000=$A21)*Final_Merged_Data!$K$2:$K$1000*Final_Merged_Data!$F$2:$F$1000)/F21</f>
        <v>112.81411131450231</v>
      </c>
      <c r="L21" cm="1">
        <f t="array" ref="L21">SUMPRODUCT((Final_Merged_Data!$B$2:$B$1000=$A21)*Final_Merged_Data!$L$2:$L$1000*Final_Merged_Data!$F$2:$F$1000)/F21</f>
        <v>14.272851259111949</v>
      </c>
      <c r="M21" t="str">
        <f>IF(COUNTIF(Master_Data!$C:$C,$A21)&gt;0,"Found","Missing")</f>
        <v>Found</v>
      </c>
      <c r="N21" t="str">
        <f>_xlfn.XLOOKUP($A21,Master_Data!$C:$C,Master_Data!$D:$D,"CHECK",0)</f>
        <v>Md. Abdul Mohit Talukder</v>
      </c>
      <c r="O21" t="str">
        <f>_xlfn.XLOOKUP($A21,Master_Data!$C:$C,Master_Data!$E:$E,"CHECK",0)</f>
        <v>BNP</v>
      </c>
      <c r="P21">
        <f>_xlfn.XLOOKUP($A21,Master_Data!$C:$C,Master_Data!$F:$F,"CHECK",0)</f>
        <v>1</v>
      </c>
      <c r="Q21">
        <f>_xlfn.XLOOKUP($A21,Master_Data!$C:$C,Master_Data!$G:$G,"CHECK",0)</f>
        <v>127406</v>
      </c>
      <c r="R21">
        <f>IFERROR(_xlfn.XLOOKUP($A21,Master_Data!$C:$C,Master_Data!$H:$H,"CHECK",0),"")</f>
        <v>53.434941618574683</v>
      </c>
      <c r="S21" t="str">
        <f>_xlfn.XLOOKUP($A21,Master_Data!$C:$C,Master_Data!$I:$I,"CHECK",0)</f>
        <v>Noor Mohammad</v>
      </c>
      <c r="T21">
        <f>_xlfn.XLOOKUP($A21,Master_Data!$C:$C,Master_Data!$K:$K,"CHECK",0)</f>
        <v>111026</v>
      </c>
      <c r="U21">
        <f>IFERROR(_xlfn.XLOOKUP($A21,Master_Data!$C:$C,Master_Data!$L:$L,"CHECK",0),"")</f>
        <v>46.56505838142531</v>
      </c>
      <c r="V21">
        <f>_xlfn.XLOOKUP($A21,Master_Data!$C:$C,Master_Data!$M:$M,"CHECK",0)</f>
        <v>16380</v>
      </c>
      <c r="W21">
        <f>IFERROR(_xlfn.XLOOKUP($A21,Master_Data!$C:$C,Master_Data!$N:$N,"CHECK",0),"")</f>
        <v>6.8698832371493754</v>
      </c>
      <c r="X21" t="str">
        <f>IFERROR(_xlfn.XLOOKUP($A21,Master_Data!$C:$C,Master_Data!$O:$O,"CHECK",0),"No Result")</f>
        <v>Safe Seat</v>
      </c>
      <c r="Y21">
        <f>_xlfn.XLOOKUP($A21,Master_Data!$C:$C,Master_Data!$P:$P,"CHECK",0)</f>
        <v>0</v>
      </c>
      <c r="Z21">
        <f t="shared" si="1"/>
        <v>1</v>
      </c>
    </row>
    <row r="22" spans="1:26">
      <c r="A22" t="str">
        <v>Bogura-4</v>
      </c>
      <c r="B22" t="str" cm="1">
        <f t="array" ref="B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Nawabganj","Chapainawabganj"),Final_Merged_Data!$B$2:$B$1000=$A22)))</f>
        <v>Bogura</v>
      </c>
      <c r="C22" t="str" cm="1">
        <f t="array" ref="C22">_xlfn.TEXTJOIN(", ",TRUE,_xlfn._xlws.FILTER(Final_Merged_Data!$C$2:$C$1000,Final_Merged_Data!$B$2:$B$1000=$A22))</f>
        <v>Kahalu, Nandigram</v>
      </c>
      <c r="D22" cm="1">
        <f t="array" ref="D22">COUNTA(_xlfn._xlws.FILTER(Final_Merged_Data!$C$2:$C$1000,Final_Merged_Data!$B$2:$B$1000=$A22))</f>
        <v>2</v>
      </c>
      <c r="E22">
        <f>SUMIFS(Final_Merged_Data!$E:$E,Final_Merged_Data!$B:$B,$A22)</f>
        <v>522.6400000000001</v>
      </c>
      <c r="F22">
        <f>SUMIFS(Final_Merged_Data!$F:$F,Final_Merged_Data!$B:$B,$A22)</f>
        <v>434835</v>
      </c>
      <c r="G22">
        <f t="shared" si="0"/>
        <v>831.99716822286837</v>
      </c>
      <c r="H22" cm="1">
        <f t="array" ref="H22">SUMPRODUCT((Final_Merged_Data!$B$2:$B$1000=$A22)*Final_Merged_Data!$H$2:$H$1000*Final_Merged_Data!$F$2:$F$1000)/F22</f>
        <v>3.6206647348994445</v>
      </c>
      <c r="I22" cm="1">
        <f t="array" ref="I22">SUMPRODUCT((Final_Merged_Data!$B$2:$B$1000=$A22)*Final_Merged_Data!$I$2:$I$1000*Final_Merged_Data!$F$2:$F$1000)/F22</f>
        <v>73.605869812687573</v>
      </c>
      <c r="J22" t="str" cm="1">
        <f t="array" ref="J22">_xlfn.TEXTJOIN(", ",TRUE,_xlfn.UNIQUE(_xlfn._xlws.FILTER(Final_Merged_Data!$J$2:$J$1000,Final_Merged_Data!$B$2:$B$1000=$A22)))</f>
        <v>Rajshahi Range</v>
      </c>
      <c r="K22" cm="1">
        <f t="array" ref="K22">SUMPRODUCT((Final_Merged_Data!$B$2:$B$1000=$A22)*Final_Merged_Data!$K$2:$K$1000*Final_Merged_Data!$F$2:$F$1000)/F22</f>
        <v>112.81411131450233</v>
      </c>
      <c r="L22" cm="1">
        <f t="array" ref="L22">SUMPRODUCT((Final_Merged_Data!$B$2:$B$1000=$A22)*Final_Merged_Data!$L$2:$L$1000*Final_Merged_Data!$F$2:$F$1000)/F22</f>
        <v>14.272851259111949</v>
      </c>
      <c r="M22" t="str">
        <f>IF(COUNTIF(Master_Data!$C:$C,$A22)&gt;0,"Found","Missing")</f>
        <v>Found</v>
      </c>
      <c r="N22" t="str">
        <f>_xlfn.XLOOKUP($A22,Master_Data!$C:$C,Master_Data!$D:$D,"CHECK",0)</f>
        <v>Md. Mosharraf Hossain</v>
      </c>
      <c r="O22" t="str">
        <f>_xlfn.XLOOKUP($A22,Master_Data!$C:$C,Master_Data!$E:$E,"CHECK",0)</f>
        <v>BNP</v>
      </c>
      <c r="P22">
        <f>_xlfn.XLOOKUP($A22,Master_Data!$C:$C,Master_Data!$F:$F,"CHECK",0)</f>
        <v>1</v>
      </c>
      <c r="Q22">
        <f>_xlfn.XLOOKUP($A22,Master_Data!$C:$C,Master_Data!$G:$G,"CHECK",0)</f>
        <v>155339</v>
      </c>
      <c r="R22">
        <f>IFERROR(_xlfn.XLOOKUP($A22,Master_Data!$C:$C,Master_Data!$H:$H,"CHECK",0),"")</f>
        <v>58.76996182614058</v>
      </c>
      <c r="S22" t="str">
        <f>_xlfn.XLOOKUP($A22,Master_Data!$C:$C,Master_Data!$I:$I,"CHECK",0)</f>
        <v>Md. Mustafa Faisal</v>
      </c>
      <c r="T22">
        <f>_xlfn.XLOOKUP($A22,Master_Data!$C:$C,Master_Data!$K:$K,"CHECK",0)</f>
        <v>108978</v>
      </c>
      <c r="U22">
        <f>IFERROR(_xlfn.XLOOKUP($A22,Master_Data!$C:$C,Master_Data!$L:$L,"CHECK",0),"")</f>
        <v>41.23003817385942</v>
      </c>
      <c r="V22">
        <f>_xlfn.XLOOKUP($A22,Master_Data!$C:$C,Master_Data!$M:$M,"CHECK",0)</f>
        <v>46361</v>
      </c>
      <c r="W22">
        <f>IFERROR(_xlfn.XLOOKUP($A22,Master_Data!$C:$C,Master_Data!$N:$N,"CHECK",0),"")</f>
        <v>17.539923652281161</v>
      </c>
      <c r="X22" t="str">
        <f>IFERROR(_xlfn.XLOOKUP($A22,Master_Data!$C:$C,Master_Data!$O:$O,"CHECK",0),"No Result")</f>
        <v>Safe Seat</v>
      </c>
      <c r="Y22">
        <f>_xlfn.XLOOKUP($A22,Master_Data!$C:$C,Master_Data!$P:$P,"CHECK",0)</f>
        <v>0</v>
      </c>
      <c r="Z22">
        <f t="shared" si="1"/>
        <v>1</v>
      </c>
    </row>
    <row r="23" spans="1:26">
      <c r="A23" t="str">
        <v>Bogura-5</v>
      </c>
      <c r="B23" t="str" cm="1">
        <f t="array" ref="B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Nawabganj","Chapainawabganj"),Final_Merged_Data!$B$2:$B$1000=$A23)))</f>
        <v>Bogura</v>
      </c>
      <c r="C23" t="str" cm="1">
        <f t="array" ref="C23">_xlfn.TEXTJOIN(", ",TRUE,_xlfn._xlws.FILTER(Final_Merged_Data!$C$2:$C$1000,Final_Merged_Data!$B$2:$B$1000=$A23))</f>
        <v>Dhunat, Sherpur</v>
      </c>
      <c r="D23" cm="1">
        <f t="array" ref="D23">COUNTA(_xlfn._xlws.FILTER(Final_Merged_Data!$C$2:$C$1000,Final_Merged_Data!$B$2:$B$1000=$A23))</f>
        <v>2</v>
      </c>
      <c r="E23">
        <f>SUMIFS(Final_Merged_Data!$E:$E,Final_Merged_Data!$B:$B,$A23)</f>
        <v>581.42999999999995</v>
      </c>
      <c r="F23">
        <f>SUMIFS(Final_Merged_Data!$F:$F,Final_Merged_Data!$B:$B,$A23)</f>
        <v>691019</v>
      </c>
      <c r="G23">
        <f t="shared" si="0"/>
        <v>1188.4818464819498</v>
      </c>
      <c r="H23" cm="1">
        <f t="array" ref="H23">SUMPRODUCT((Final_Merged_Data!$B$2:$B$1000=$A23)*Final_Merged_Data!$H$2:$H$1000*Final_Merged_Data!$F$2:$F$1000)/F23</f>
        <v>3.6366496290261199</v>
      </c>
      <c r="I23" cm="1">
        <f t="array" ref="I23">SUMPRODUCT((Final_Merged_Data!$B$2:$B$1000=$A23)*Final_Merged_Data!$I$2:$I$1000*Final_Merged_Data!$F$2:$F$1000)/F23</f>
        <v>65.565731246174124</v>
      </c>
      <c r="J23" t="str" cm="1">
        <f t="array" ref="J23">_xlfn.TEXTJOIN(", ",TRUE,_xlfn.UNIQUE(_xlfn._xlws.FILTER(Final_Merged_Data!$J$2:$J$1000,Final_Merged_Data!$B$2:$B$1000=$A23)))</f>
        <v>Rajshahi Range</v>
      </c>
      <c r="K23" cm="1">
        <f t="array" ref="K23">SUMPRODUCT((Final_Merged_Data!$B$2:$B$1000=$A23)*Final_Merged_Data!$K$2:$K$1000*Final_Merged_Data!$F$2:$F$1000)/F23</f>
        <v>112.81411131450231</v>
      </c>
      <c r="L23" cm="1">
        <f t="array" ref="L23">SUMPRODUCT((Final_Merged_Data!$B$2:$B$1000=$A23)*Final_Merged_Data!$L$2:$L$1000*Final_Merged_Data!$F$2:$F$1000)/F23</f>
        <v>14.272851259111949</v>
      </c>
      <c r="M23" t="str">
        <f>IF(COUNTIF(Master_Data!$C:$C,$A23)&gt;0,"Found","Missing")</f>
        <v>Found</v>
      </c>
      <c r="N23" t="str">
        <f>_xlfn.XLOOKUP($A23,Master_Data!$C:$C,Master_Data!$D:$D,"CHECK",0)</f>
        <v>Gholam Mohammad Siraj</v>
      </c>
      <c r="O23" t="str">
        <f>_xlfn.XLOOKUP($A23,Master_Data!$C:$C,Master_Data!$E:$E,"CHECK",0)</f>
        <v>BNP</v>
      </c>
      <c r="P23">
        <f>_xlfn.XLOOKUP($A23,Master_Data!$C:$C,Master_Data!$F:$F,"CHECK",0)</f>
        <v>1</v>
      </c>
      <c r="Q23">
        <f>_xlfn.XLOOKUP($A23,Master_Data!$C:$C,Master_Data!$G:$G,"CHECK",0)</f>
        <v>248841</v>
      </c>
      <c r="R23">
        <f>IFERROR(_xlfn.XLOOKUP($A23,Master_Data!$C:$C,Master_Data!$H:$H,"CHECK",0),"")</f>
        <v>63.452329346966877</v>
      </c>
      <c r="S23" t="str">
        <f>_xlfn.XLOOKUP($A23,Master_Data!$C:$C,Master_Data!$I:$I,"CHECK",0)</f>
        <v>Md. Dabibur Rahman</v>
      </c>
      <c r="T23">
        <f>_xlfn.XLOOKUP($A23,Master_Data!$C:$C,Master_Data!$K:$K,"CHECK",0)</f>
        <v>143329</v>
      </c>
      <c r="U23">
        <f>IFERROR(_xlfn.XLOOKUP($A23,Master_Data!$C:$C,Master_Data!$L:$L,"CHECK",0),"")</f>
        <v>36.547670653033123</v>
      </c>
      <c r="V23">
        <f>_xlfn.XLOOKUP($A23,Master_Data!$C:$C,Master_Data!$M:$M,"CHECK",0)</f>
        <v>105512</v>
      </c>
      <c r="W23">
        <f>IFERROR(_xlfn.XLOOKUP($A23,Master_Data!$C:$C,Master_Data!$N:$N,"CHECK",0),"")</f>
        <v>26.904658693933754</v>
      </c>
      <c r="X23" t="str">
        <f>IFERROR(_xlfn.XLOOKUP($A23,Master_Data!$C:$C,Master_Data!$O:$O,"CHECK",0),"No Result")</f>
        <v>Safe Seat</v>
      </c>
      <c r="Y23">
        <f>_xlfn.XLOOKUP($A23,Master_Data!$C:$C,Master_Data!$P:$P,"CHECK",0)</f>
        <v>0</v>
      </c>
      <c r="Z23">
        <f t="shared" si="1"/>
        <v>1</v>
      </c>
    </row>
    <row r="24" spans="1:26">
      <c r="A24" t="str">
        <v>Bogura-6</v>
      </c>
      <c r="B24" t="str" cm="1">
        <f t="array" ref="B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Nawabganj","Chapainawabganj"),Final_Merged_Data!$B$2:$B$1000=$A24)))</f>
        <v>Bogura</v>
      </c>
      <c r="C24" t="str" cm="1">
        <f t="array" ref="C24">_xlfn.TEXTJOIN(", ",TRUE,_xlfn._xlws.FILTER(Final_Merged_Data!$C$2:$C$1000,Final_Merged_Data!$B$2:$B$1000=$A24))</f>
        <v>Shajahanpur</v>
      </c>
      <c r="D24" cm="1">
        <f t="array" ref="D24">COUNTA(_xlfn._xlws.FILTER(Final_Merged_Data!$C$2:$C$1000,Final_Merged_Data!$B$2:$B$1000=$A24))</f>
        <v>1</v>
      </c>
      <c r="E24">
        <f>SUMIFS(Final_Merged_Data!$E:$E,Final_Merged_Data!$B:$B,$A24)</f>
        <v>310.75</v>
      </c>
      <c r="F24">
        <f>SUMIFS(Final_Merged_Data!$F:$F,Final_Merged_Data!$B:$B,$A24)</f>
        <v>333653</v>
      </c>
      <c r="G24">
        <f t="shared" si="0"/>
        <v>1073.702333065165</v>
      </c>
      <c r="H24" cm="1">
        <f t="array" ref="H24">SUMPRODUCT((Final_Merged_Data!$B$2:$B$1000=$A24)*Final_Merged_Data!$H$2:$H$1000*Final_Merged_Data!$F$2:$F$1000)/F24</f>
        <v>3.65</v>
      </c>
      <c r="I24" cm="1">
        <f t="array" ref="I24">SUMPRODUCT((Final_Merged_Data!$B$2:$B$1000=$A24)*Final_Merged_Data!$I$2:$I$1000*Final_Merged_Data!$F$2:$F$1000)/F24</f>
        <v>78.849999999999994</v>
      </c>
      <c r="J24" t="str" cm="1">
        <f t="array" ref="J24">_xlfn.TEXTJOIN(", ",TRUE,_xlfn.UNIQUE(_xlfn._xlws.FILTER(Final_Merged_Data!$J$2:$J$1000,Final_Merged_Data!$B$2:$B$1000=$A24)))</f>
        <v>Rajshahi Range</v>
      </c>
      <c r="K24" cm="1">
        <f t="array" ref="K24">SUMPRODUCT((Final_Merged_Data!$B$2:$B$1000=$A24)*Final_Merged_Data!$K$2:$K$1000*Final_Merged_Data!$F$2:$F$1000)/F24</f>
        <v>112.81411131450233</v>
      </c>
      <c r="L24" cm="1">
        <f t="array" ref="L24">SUMPRODUCT((Final_Merged_Data!$B$2:$B$1000=$A24)*Final_Merged_Data!$L$2:$L$1000*Final_Merged_Data!$F$2:$F$1000)/F24</f>
        <v>14.272851259111947</v>
      </c>
      <c r="M24" t="str">
        <f>IF(COUNTIF(Master_Data!$C:$C,$A24)&gt;0,"Found","Missing")</f>
        <v>Found</v>
      </c>
      <c r="N24" t="str">
        <f>_xlfn.XLOOKUP($A24,Master_Data!$C:$C,Master_Data!$D:$D,"CHECK",0)</f>
        <v>Tarique Rahman</v>
      </c>
      <c r="O24" t="str">
        <f>_xlfn.XLOOKUP($A24,Master_Data!$C:$C,Master_Data!$E:$E,"CHECK",0)</f>
        <v>BNP</v>
      </c>
      <c r="P24">
        <f>_xlfn.XLOOKUP($A24,Master_Data!$C:$C,Master_Data!$F:$F,"CHECK",0)</f>
        <v>1</v>
      </c>
      <c r="Q24">
        <f>_xlfn.XLOOKUP($A24,Master_Data!$C:$C,Master_Data!$G:$G,"CHECK",0)</f>
        <v>216284</v>
      </c>
      <c r="R24">
        <f>IFERROR(_xlfn.XLOOKUP($A24,Master_Data!$C:$C,Master_Data!$H:$H,"CHECK",0),"")</f>
        <v>68.90000318562646</v>
      </c>
      <c r="S24" t="str">
        <f>_xlfn.XLOOKUP($A24,Master_Data!$C:$C,Master_Data!$I:$I,"CHECK",0)</f>
        <v>Md. Abidur Rahman</v>
      </c>
      <c r="T24">
        <f>_xlfn.XLOOKUP($A24,Master_Data!$C:$C,Master_Data!$K:$K,"CHECK",0)</f>
        <v>97626</v>
      </c>
      <c r="U24">
        <f>IFERROR(_xlfn.XLOOKUP($A24,Master_Data!$C:$C,Master_Data!$L:$L,"CHECK",0),"")</f>
        <v>31.099996814373547</v>
      </c>
      <c r="V24">
        <f>_xlfn.XLOOKUP($A24,Master_Data!$C:$C,Master_Data!$M:$M,"CHECK",0)</f>
        <v>118658</v>
      </c>
      <c r="W24">
        <f>IFERROR(_xlfn.XLOOKUP($A24,Master_Data!$C:$C,Master_Data!$N:$N,"CHECK",0),"")</f>
        <v>37.800006371252906</v>
      </c>
      <c r="X24" t="str">
        <f>IFERROR(_xlfn.XLOOKUP($A24,Master_Data!$C:$C,Master_Data!$O:$O,"CHECK",0),"No Result")</f>
        <v>Safe Seat</v>
      </c>
      <c r="Y24">
        <f>_xlfn.XLOOKUP($A24,Master_Data!$C:$C,Master_Data!$P:$P,"CHECK",0)</f>
        <v>0</v>
      </c>
      <c r="Z24">
        <f t="shared" si="1"/>
        <v>1</v>
      </c>
    </row>
    <row r="25" spans="1:26">
      <c r="A25" t="str">
        <v>Bogura-7</v>
      </c>
      <c r="B25" t="str" cm="1">
        <f t="array" ref="B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Nawabganj","Chapainawabganj"),Final_Merged_Data!$B$2:$B$1000=$A25)))</f>
        <v>Bogura</v>
      </c>
      <c r="C25" t="str" cm="1">
        <f t="array" ref="C25">_xlfn.TEXTJOIN(", ",TRUE,_xlfn._xlws.FILTER(Final_Merged_Data!$C$2:$C$1000,Final_Merged_Data!$B$2:$B$1000=$A25))</f>
        <v>Gabtali, Shajahanpur</v>
      </c>
      <c r="D25" cm="1">
        <f t="array" ref="D25">COUNTA(_xlfn._xlws.FILTER(Final_Merged_Data!$C$2:$C$1000,Final_Merged_Data!$B$2:$B$1000=$A25))</f>
        <v>2</v>
      </c>
      <c r="E25">
        <f>SUMIFS(Final_Merged_Data!$E:$E,Final_Merged_Data!$B:$B,$A25)</f>
        <v>636.29999999999995</v>
      </c>
      <c r="F25">
        <f>SUMIFS(Final_Merged_Data!$F:$F,Final_Merged_Data!$B:$B,$A25)</f>
        <v>678536</v>
      </c>
      <c r="G25">
        <f t="shared" si="0"/>
        <v>1066.3774948923465</v>
      </c>
      <c r="H25" cm="1">
        <f t="array" ref="H25">SUMPRODUCT((Final_Merged_Data!$B$2:$B$1000=$A25)*Final_Merged_Data!$H$2:$H$1000*Final_Merged_Data!$F$2:$F$1000)/F25</f>
        <v>3.6550827516889304</v>
      </c>
      <c r="I25" cm="1">
        <f t="array" ref="I25">SUMPRODUCT((Final_Merged_Data!$B$2:$B$1000=$A25)*Final_Merged_Data!$I$2:$I$1000*Final_Merged_Data!$F$2:$F$1000)/F25</f>
        <v>74.087461667472326</v>
      </c>
      <c r="J25" t="str" cm="1">
        <f t="array" ref="J25">_xlfn.TEXTJOIN(", ",TRUE,_xlfn.UNIQUE(_xlfn._xlws.FILTER(Final_Merged_Data!$J$2:$J$1000,Final_Merged_Data!$B$2:$B$1000=$A25)))</f>
        <v>Rajshahi Range</v>
      </c>
      <c r="K25" cm="1">
        <f t="array" ref="K25">SUMPRODUCT((Final_Merged_Data!$B$2:$B$1000=$A25)*Final_Merged_Data!$K$2:$K$1000*Final_Merged_Data!$F$2:$F$1000)/F25</f>
        <v>112.81411131450234</v>
      </c>
      <c r="L25" cm="1">
        <f t="array" ref="L25">SUMPRODUCT((Final_Merged_Data!$B$2:$B$1000=$A25)*Final_Merged_Data!$L$2:$L$1000*Final_Merged_Data!$F$2:$F$1000)/F25</f>
        <v>14.272851259111947</v>
      </c>
      <c r="M25" t="str">
        <f>IF(COUNTIF(Master_Data!$C:$C,$A25)&gt;0,"Found","Missing")</f>
        <v>Found</v>
      </c>
      <c r="N25" t="str">
        <f>_xlfn.XLOOKUP($A25,Master_Data!$C:$C,Master_Data!$D:$D,"CHECK",0)</f>
        <v>Morshed Milton</v>
      </c>
      <c r="O25" t="str">
        <f>_xlfn.XLOOKUP($A25,Master_Data!$C:$C,Master_Data!$E:$E,"CHECK",0)</f>
        <v>BNP</v>
      </c>
      <c r="P25">
        <f>_xlfn.XLOOKUP($A25,Master_Data!$C:$C,Master_Data!$F:$F,"CHECK",0)</f>
        <v>1</v>
      </c>
      <c r="Q25">
        <f>_xlfn.XLOOKUP($A25,Master_Data!$C:$C,Master_Data!$G:$G,"CHECK",0)</f>
        <v>264212</v>
      </c>
      <c r="R25">
        <f>IFERROR(_xlfn.XLOOKUP($A25,Master_Data!$C:$C,Master_Data!$H:$H,"CHECK",0),"")</f>
        <v>69.369376465368077</v>
      </c>
      <c r="S25" t="str">
        <f>_xlfn.XLOOKUP($A25,Master_Data!$C:$C,Master_Data!$I:$I,"CHECK",0)</f>
        <v>Md. Golam Rabbani</v>
      </c>
      <c r="T25">
        <f>_xlfn.XLOOKUP($A25,Master_Data!$C:$C,Master_Data!$K:$K,"CHECK",0)</f>
        <v>116665</v>
      </c>
      <c r="U25">
        <f>IFERROR(_xlfn.XLOOKUP($A25,Master_Data!$C:$C,Master_Data!$L:$L,"CHECK",0),"")</f>
        <v>30.630623534631919</v>
      </c>
      <c r="V25">
        <f>_xlfn.XLOOKUP($A25,Master_Data!$C:$C,Master_Data!$M:$M,"CHECK",0)</f>
        <v>147547</v>
      </c>
      <c r="W25">
        <f>IFERROR(_xlfn.XLOOKUP($A25,Master_Data!$C:$C,Master_Data!$N:$N,"CHECK",0),"")</f>
        <v>38.738752930736169</v>
      </c>
      <c r="X25" t="str">
        <f>IFERROR(_xlfn.XLOOKUP($A25,Master_Data!$C:$C,Master_Data!$O:$O,"CHECK",0),"No Result")</f>
        <v>Safe Seat</v>
      </c>
      <c r="Y25">
        <f>_xlfn.XLOOKUP($A25,Master_Data!$C:$C,Master_Data!$P:$P,"CHECK",0)</f>
        <v>0</v>
      </c>
      <c r="Z25">
        <f t="shared" si="1"/>
        <v>1</v>
      </c>
    </row>
    <row r="26" spans="1:26">
      <c r="A26" t="str">
        <v>Brahmanbaria-1</v>
      </c>
      <c r="B26" t="str" cm="1">
        <f t="array" ref="B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Nawabganj","Chapainawabganj"),Final_Merged_Data!$B$2:$B$1000=$A26)))</f>
        <v>Brahmanbaria</v>
      </c>
      <c r="C26" t="str" cm="1">
        <f t="array" ref="C26">_xlfn.TEXTJOIN(", ",TRUE,_xlfn._xlws.FILTER(Final_Merged_Data!$C$2:$C$1000,Final_Merged_Data!$B$2:$B$1000=$A26))</f>
        <v>Nabinagar</v>
      </c>
      <c r="D26" cm="1">
        <f t="array" ref="D26">COUNTA(_xlfn._xlws.FILTER(Final_Merged_Data!$C$2:$C$1000,Final_Merged_Data!$B$2:$B$1000=$A26))</f>
        <v>1</v>
      </c>
      <c r="E26">
        <f>SUMIFS(Final_Merged_Data!$E:$E,Final_Merged_Data!$B:$B,$A26)</f>
        <v>869.55</v>
      </c>
      <c r="F26">
        <f>SUMIFS(Final_Merged_Data!$F:$F,Final_Merged_Data!$B:$B,$A26)</f>
        <v>555807</v>
      </c>
      <c r="G26">
        <f t="shared" si="0"/>
        <v>639.18923581162676</v>
      </c>
      <c r="H26" cm="1">
        <f t="array" ref="H26">SUMPRODUCT((Final_Merged_Data!$B$2:$B$1000=$A26)*Final_Merged_Data!$H$2:$H$1000*Final_Merged_Data!$F$2:$F$1000)/F26</f>
        <v>4.4800000000000004</v>
      </c>
      <c r="I26" cm="1">
        <f t="array" ref="I26">SUMPRODUCT((Final_Merged_Data!$B$2:$B$1000=$A26)*Final_Merged_Data!$I$2:$I$1000*Final_Merged_Data!$F$2:$F$1000)/F26</f>
        <v>70.87</v>
      </c>
      <c r="J26" t="str" cm="1">
        <f t="array" ref="J26">_xlfn.TEXTJOIN(", ",TRUE,_xlfn.UNIQUE(_xlfn._xlws.FILTER(Final_Merged_Data!$J$2:$J$1000,Final_Merged_Data!$B$2:$B$1000=$A26)))</f>
        <v>Chittagong Range</v>
      </c>
      <c r="K26" cm="1">
        <f t="array" ref="K26">SUMPRODUCT((Final_Merged_Data!$B$2:$B$1000=$A26)*Final_Merged_Data!$K$2:$K$1000*Final_Merged_Data!$F$2:$F$1000)/F26</f>
        <v>84.879645400600893</v>
      </c>
      <c r="L26" cm="1">
        <f t="array" ref="L26">SUMPRODUCT((Final_Merged_Data!$B$2:$B$1000=$A26)*Final_Merged_Data!$L$2:$L$1000*Final_Merged_Data!$F$2:$F$1000)/F26</f>
        <v>10.309673910686193</v>
      </c>
      <c r="M26" t="str">
        <f>IF(COUNTIF(Master_Data!$C:$C,$A26)&gt;0,"Found","Missing")</f>
        <v>Found</v>
      </c>
      <c r="N26" t="str">
        <f>_xlfn.XLOOKUP($A26,Master_Data!$C:$C,Master_Data!$D:$D,"CHECK",0)</f>
        <v>M. A. Hannan</v>
      </c>
      <c r="O26" t="str">
        <f>_xlfn.XLOOKUP($A26,Master_Data!$C:$C,Master_Data!$E:$E,"CHECK",0)</f>
        <v>BNP</v>
      </c>
      <c r="P26">
        <f>_xlfn.XLOOKUP($A26,Master_Data!$C:$C,Master_Data!$F:$F,"CHECK",0)</f>
        <v>1</v>
      </c>
      <c r="Q26">
        <f>_xlfn.XLOOKUP($A26,Master_Data!$C:$C,Master_Data!$G:$G,"CHECK",0)</f>
        <v>68092</v>
      </c>
      <c r="R26">
        <f>IFERROR(_xlfn.XLOOKUP($A26,Master_Data!$C:$C,Master_Data!$H:$H,"CHECK",0),"")</f>
        <v>65.909090909090907</v>
      </c>
      <c r="S26" t="str">
        <f>_xlfn.XLOOKUP($A26,Master_Data!$C:$C,Master_Data!$I:$I,"CHECK",0)</f>
        <v>A. K. M. Aminul Islam</v>
      </c>
      <c r="T26">
        <f>_xlfn.XLOOKUP($A26,Master_Data!$C:$C,Master_Data!$K:$K,"CHECK",0)</f>
        <v>35220</v>
      </c>
      <c r="U26">
        <f>IFERROR(_xlfn.XLOOKUP($A26,Master_Data!$C:$C,Master_Data!$L:$L,"CHECK",0),"")</f>
        <v>34.090909090909086</v>
      </c>
      <c r="V26">
        <f>_xlfn.XLOOKUP($A26,Master_Data!$C:$C,Master_Data!$M:$M,"CHECK",0)</f>
        <v>32872</v>
      </c>
      <c r="W26">
        <f>IFERROR(_xlfn.XLOOKUP($A26,Master_Data!$C:$C,Master_Data!$N:$N,"CHECK",0),"")</f>
        <v>31.818181818181817</v>
      </c>
      <c r="X26" t="str">
        <f>IFERROR(_xlfn.XLOOKUP($A26,Master_Data!$C:$C,Master_Data!$O:$O,"CHECK",0),"No Result")</f>
        <v>Safe Seat</v>
      </c>
      <c r="Y26">
        <f>_xlfn.XLOOKUP($A26,Master_Data!$C:$C,Master_Data!$P:$P,"CHECK",0)</f>
        <v>0</v>
      </c>
      <c r="Z26">
        <f t="shared" si="1"/>
        <v>1</v>
      </c>
    </row>
    <row r="27" spans="1:26">
      <c r="A27" t="str">
        <v>Brahmanbaria-2</v>
      </c>
      <c r="B27" t="str" cm="1">
        <f t="array" ref="B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Nawabganj","Chapainawabganj"),Final_Merged_Data!$B$2:$B$1000=$A27)))</f>
        <v>Brahmanbaria</v>
      </c>
      <c r="C27" t="str" cm="1">
        <f t="array" ref="C27">_xlfn.TEXTJOIN(", ",TRUE,_xlfn._xlws.FILTER(Final_Merged_Data!$C$2:$C$1000,Final_Merged_Data!$B$2:$B$1000=$A27))</f>
        <v>Sarail, Ashuganj</v>
      </c>
      <c r="D27" cm="1">
        <f t="array" ref="D27">COUNTA(_xlfn._xlws.FILTER(Final_Merged_Data!$C$2:$C$1000,Final_Merged_Data!$B$2:$B$1000=$A27))</f>
        <v>2</v>
      </c>
      <c r="E27">
        <f>SUMIFS(Final_Merged_Data!$E:$E,Final_Merged_Data!$B:$B,$A27)</f>
        <v>294.8</v>
      </c>
      <c r="F27">
        <f>SUMIFS(Final_Merged_Data!$F:$F,Final_Merged_Data!$B:$B,$A27)</f>
        <v>574699</v>
      </c>
      <c r="G27">
        <f t="shared" si="0"/>
        <v>1949.4538670284937</v>
      </c>
      <c r="H27" cm="1">
        <f t="array" ref="H27">SUMPRODUCT((Final_Merged_Data!$B$2:$B$1000=$A27)*Final_Merged_Data!$H$2:$H$1000*Final_Merged_Data!$F$2:$F$1000)/F27</f>
        <v>4.784379127160479</v>
      </c>
      <c r="I27" cm="1">
        <f t="array" ref="I27">SUMPRODUCT((Final_Merged_Data!$B$2:$B$1000=$A27)*Final_Merged_Data!$I$2:$I$1000*Final_Merged_Data!$F$2:$F$1000)/F27</f>
        <v>70.091238056791468</v>
      </c>
      <c r="J27" t="str" cm="1">
        <f t="array" ref="J27">_xlfn.TEXTJOIN(", ",TRUE,_xlfn.UNIQUE(_xlfn._xlws.FILTER(Final_Merged_Data!$J$2:$J$1000,Final_Merged_Data!$B$2:$B$1000=$A27)))</f>
        <v>Chittagong Range</v>
      </c>
      <c r="K27" cm="1">
        <f t="array" ref="K27">SUMPRODUCT((Final_Merged_Data!$B$2:$B$1000=$A27)*Final_Merged_Data!$K$2:$K$1000*Final_Merged_Data!$F$2:$F$1000)/F27</f>
        <v>84.879645400600893</v>
      </c>
      <c r="L27" cm="1">
        <f t="array" ref="L27">SUMPRODUCT((Final_Merged_Data!$B$2:$B$1000=$A27)*Final_Merged_Data!$L$2:$L$1000*Final_Merged_Data!$F$2:$F$1000)/F27</f>
        <v>10.309673910686193</v>
      </c>
      <c r="M27" t="str">
        <f>IF(COUNTIF(Master_Data!$C:$C,$A27)&gt;0,"Found","Missing")</f>
        <v>Found</v>
      </c>
      <c r="N27" t="str">
        <f>_xlfn.XLOOKUP($A27,Master_Data!$C:$C,Master_Data!$D:$D,"CHECK",0)</f>
        <v>Rumeen Farhana</v>
      </c>
      <c r="O27" t="str">
        <f>_xlfn.XLOOKUP($A27,Master_Data!$C:$C,Master_Data!$E:$E,"CHECK",0)</f>
        <v>IND</v>
      </c>
      <c r="P27">
        <f>_xlfn.XLOOKUP($A27,Master_Data!$C:$C,Master_Data!$F:$F,"CHECK",0)</f>
        <v>5</v>
      </c>
      <c r="Q27">
        <f>_xlfn.XLOOKUP($A27,Master_Data!$C:$C,Master_Data!$G:$G,"CHECK",0)</f>
        <v>118547</v>
      </c>
      <c r="R27">
        <f>IFERROR(_xlfn.XLOOKUP($A27,Master_Data!$C:$C,Master_Data!$H:$H,"CHECK",0),"")</f>
        <v>59.577045044501745</v>
      </c>
      <c r="S27" t="str">
        <f>_xlfn.XLOOKUP($A27,Master_Data!$C:$C,Master_Data!$I:$I,"CHECK",0)</f>
        <v>Mohammad Junaid Al Habib</v>
      </c>
      <c r="T27">
        <f>_xlfn.XLOOKUP($A27,Master_Data!$C:$C,Master_Data!$K:$K,"CHECK",0)</f>
        <v>80434</v>
      </c>
      <c r="U27">
        <f>IFERROR(_xlfn.XLOOKUP($A27,Master_Data!$C:$C,Master_Data!$L:$L,"CHECK",0),"")</f>
        <v>40.422954955498263</v>
      </c>
      <c r="V27">
        <f>_xlfn.XLOOKUP($A27,Master_Data!$C:$C,Master_Data!$M:$M,"CHECK",0)</f>
        <v>38113</v>
      </c>
      <c r="W27">
        <f>IFERROR(_xlfn.XLOOKUP($A27,Master_Data!$C:$C,Master_Data!$N:$N,"CHECK",0),"")</f>
        <v>19.154090089003471</v>
      </c>
      <c r="X27" t="str">
        <f>IFERROR(_xlfn.XLOOKUP($A27,Master_Data!$C:$C,Master_Data!$O:$O,"CHECK",0),"No Result")</f>
        <v>Safe Seat</v>
      </c>
      <c r="Y27">
        <f>_xlfn.XLOOKUP($A27,Master_Data!$C:$C,Master_Data!$P:$P,"CHECK",0)</f>
        <v>0</v>
      </c>
      <c r="Z27">
        <f t="shared" si="1"/>
        <v>1</v>
      </c>
    </row>
    <row r="28" spans="1:26">
      <c r="A28" t="str">
        <v>Brahmanbaria-3</v>
      </c>
      <c r="B28" t="str" cm="1">
        <f t="array" ref="B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Nawabganj","Chapainawabganj"),Final_Merged_Data!$B$2:$B$1000=$A28)))</f>
        <v>Brahmanbaria</v>
      </c>
      <c r="C28" t="str" cm="1">
        <f t="array" ref="C28">_xlfn.TEXTJOIN(", ",TRUE,_xlfn._xlws.FILTER(Final_Merged_Data!$C$2:$C$1000,Final_Merged_Data!$B$2:$B$1000=$A28))</f>
        <v>Brahmanbaria Sadar, Bijoynagar</v>
      </c>
      <c r="D28" cm="1">
        <f t="array" ref="D28">COUNTA(_xlfn._xlws.FILTER(Final_Merged_Data!$C$2:$C$1000,Final_Merged_Data!$B$2:$B$1000=$A28))</f>
        <v>2</v>
      </c>
      <c r="E28">
        <f>SUMIFS(Final_Merged_Data!$E:$E,Final_Merged_Data!$B:$B,$A28)</f>
        <v>600.71</v>
      </c>
      <c r="F28">
        <f>SUMIFS(Final_Merged_Data!$F:$F,Final_Merged_Data!$B:$B,$A28)</f>
        <v>967637</v>
      </c>
      <c r="G28">
        <f t="shared" si="0"/>
        <v>1610.8221937374105</v>
      </c>
      <c r="H28" cm="1">
        <f t="array" ref="H28">SUMPRODUCT((Final_Merged_Data!$B$2:$B$1000=$A28)*Final_Merged_Data!$H$2:$H$1000*Final_Merged_Data!$F$2:$F$1000)/F28</f>
        <v>4.6500000000000004</v>
      </c>
      <c r="I28" cm="1">
        <f t="array" ref="I28">SUMPRODUCT((Final_Merged_Data!$B$2:$B$1000=$A28)*Final_Merged_Data!$I$2:$I$1000*Final_Merged_Data!$F$2:$F$1000)/F28</f>
        <v>76.171140220971296</v>
      </c>
      <c r="J28" t="str" cm="1">
        <f t="array" ref="J28">_xlfn.TEXTJOIN(", ",TRUE,_xlfn.UNIQUE(_xlfn._xlws.FILTER(Final_Merged_Data!$J$2:$J$1000,Final_Merged_Data!$B$2:$B$1000=$A28)))</f>
        <v>Chittagong Range</v>
      </c>
      <c r="K28" cm="1">
        <f t="array" ref="K28">SUMPRODUCT((Final_Merged_Data!$B$2:$B$1000=$A28)*Final_Merged_Data!$K$2:$K$1000*Final_Merged_Data!$F$2:$F$1000)/F28</f>
        <v>84.879645400600893</v>
      </c>
      <c r="L28" cm="1">
        <f t="array" ref="L28">SUMPRODUCT((Final_Merged_Data!$B$2:$B$1000=$A28)*Final_Merged_Data!$L$2:$L$1000*Final_Merged_Data!$F$2:$F$1000)/F28</f>
        <v>10.309673910686193</v>
      </c>
      <c r="M28" t="str">
        <f>IF(COUNTIF(Master_Data!$C:$C,$A28)&gt;0,"Found","Missing")</f>
        <v>Found</v>
      </c>
      <c r="N28" t="str">
        <f>_xlfn.XLOOKUP($A28,Master_Data!$C:$C,Master_Data!$D:$D,"CHECK",0)</f>
        <v>Md. Khaled Hossain Mahbub</v>
      </c>
      <c r="O28" t="str">
        <f>_xlfn.XLOOKUP($A28,Master_Data!$C:$C,Master_Data!$E:$E,"CHECK",0)</f>
        <v>BNP</v>
      </c>
      <c r="P28">
        <f>_xlfn.XLOOKUP($A28,Master_Data!$C:$C,Master_Data!$F:$F,"CHECK",0)</f>
        <v>1</v>
      </c>
      <c r="Q28">
        <f>_xlfn.XLOOKUP($A28,Master_Data!$C:$C,Master_Data!$G:$G,"CHECK",0)</f>
        <v>209636</v>
      </c>
      <c r="R28">
        <f>IFERROR(_xlfn.XLOOKUP($A28,Master_Data!$C:$C,Master_Data!$H:$H,"CHECK",0),"")</f>
        <v>77.020240059077906</v>
      </c>
      <c r="S28" t="str">
        <f>_xlfn.XLOOKUP($A28,Master_Data!$C:$C,Master_Data!$I:$I,"CHECK",0)</f>
        <v>Md. Ataullah</v>
      </c>
      <c r="T28">
        <f>_xlfn.XLOOKUP($A28,Master_Data!$C:$C,Master_Data!$K:$K,"CHECK",0)</f>
        <v>62547</v>
      </c>
      <c r="U28">
        <f>IFERROR(_xlfn.XLOOKUP($A28,Master_Data!$C:$C,Master_Data!$L:$L,"CHECK",0),"")</f>
        <v>22.979759940922101</v>
      </c>
      <c r="V28">
        <f>_xlfn.XLOOKUP($A28,Master_Data!$C:$C,Master_Data!$M:$M,"CHECK",0)</f>
        <v>147089</v>
      </c>
      <c r="W28">
        <f>IFERROR(_xlfn.XLOOKUP($A28,Master_Data!$C:$C,Master_Data!$N:$N,"CHECK",0),"")</f>
        <v>54.040480118155799</v>
      </c>
      <c r="X28" t="str">
        <f>IFERROR(_xlfn.XLOOKUP($A28,Master_Data!$C:$C,Master_Data!$O:$O,"CHECK",0),"No Result")</f>
        <v>Safe Seat</v>
      </c>
      <c r="Y28">
        <f>_xlfn.XLOOKUP($A28,Master_Data!$C:$C,Master_Data!$P:$P,"CHECK",0)</f>
        <v>0</v>
      </c>
      <c r="Z28">
        <f t="shared" si="1"/>
        <v>1</v>
      </c>
    </row>
    <row r="29" spans="1:26">
      <c r="A29" t="str">
        <v>Brahmanbaria-4</v>
      </c>
      <c r="B29" t="str" cm="1">
        <f t="array" ref="B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Nawabganj","Chapainawabganj"),Final_Merged_Data!$B$2:$B$1000=$A29)))</f>
        <v>Brahmanbaria</v>
      </c>
      <c r="C29" t="str" cm="1">
        <f t="array" ref="C29">_xlfn.TEXTJOIN(", ",TRUE,_xlfn._xlws.FILTER(Final_Merged_Data!$C$2:$C$1000,Final_Merged_Data!$B$2:$B$1000=$A29))</f>
        <v>Kasba, Akhaura</v>
      </c>
      <c r="D29" cm="1">
        <f t="array" ref="D29">COUNTA(_xlfn._xlws.FILTER(Final_Merged_Data!$C$2:$C$1000,Final_Merged_Data!$B$2:$B$1000=$A29))</f>
        <v>2</v>
      </c>
      <c r="E29">
        <f>SUMIFS(Final_Merged_Data!$E:$E,Final_Merged_Data!$B:$B,$A29)</f>
        <v>707.31</v>
      </c>
      <c r="F29">
        <f>SUMIFS(Final_Merged_Data!$F:$F,Final_Merged_Data!$B:$B,$A29)</f>
        <v>526405</v>
      </c>
      <c r="G29">
        <f t="shared" si="0"/>
        <v>744.23520097269943</v>
      </c>
      <c r="H29" cm="1">
        <f t="array" ref="H29">SUMPRODUCT((Final_Merged_Data!$B$2:$B$1000=$A29)*Final_Merged_Data!$H$2:$H$1000*Final_Merged_Data!$F$2:$F$1000)/F29</f>
        <v>4.4260001329774603</v>
      </c>
      <c r="I29" cm="1">
        <f t="array" ref="I29">SUMPRODUCT((Final_Merged_Data!$B$2:$B$1000=$A29)*Final_Merged_Data!$I$2:$I$1000*Final_Merged_Data!$F$2:$F$1000)/F29</f>
        <v>76.933598617034406</v>
      </c>
      <c r="J29" t="str" cm="1">
        <f t="array" ref="J29">_xlfn.TEXTJOIN(", ",TRUE,_xlfn.UNIQUE(_xlfn._xlws.FILTER(Final_Merged_Data!$J$2:$J$1000,Final_Merged_Data!$B$2:$B$1000=$A29)))</f>
        <v>Chittagong Range</v>
      </c>
      <c r="K29" cm="1">
        <f t="array" ref="K29">SUMPRODUCT((Final_Merged_Data!$B$2:$B$1000=$A29)*Final_Merged_Data!$K$2:$K$1000*Final_Merged_Data!$F$2:$F$1000)/F29</f>
        <v>84.879645400600893</v>
      </c>
      <c r="L29" cm="1">
        <f t="array" ref="L29">SUMPRODUCT((Final_Merged_Data!$B$2:$B$1000=$A29)*Final_Merged_Data!$L$2:$L$1000*Final_Merged_Data!$F$2:$F$1000)/F29</f>
        <v>10.309673910686193</v>
      </c>
      <c r="M29" t="str">
        <f>IF(COUNTIF(Master_Data!$C:$C,$A29)&gt;0,"Found","Missing")</f>
        <v>Found</v>
      </c>
      <c r="N29" t="str">
        <f>_xlfn.XLOOKUP($A29,Master_Data!$C:$C,Master_Data!$D:$D,"CHECK",0)</f>
        <v>Mushfiqur Rahman</v>
      </c>
      <c r="O29" t="str">
        <f>_xlfn.XLOOKUP($A29,Master_Data!$C:$C,Master_Data!$E:$E,"CHECK",0)</f>
        <v>BNP</v>
      </c>
      <c r="P29">
        <f>_xlfn.XLOOKUP($A29,Master_Data!$C:$C,Master_Data!$F:$F,"CHECK",0)</f>
        <v>1</v>
      </c>
      <c r="Q29">
        <f>_xlfn.XLOOKUP($A29,Master_Data!$C:$C,Master_Data!$G:$G,"CHECK",0)</f>
        <v>139842</v>
      </c>
      <c r="R29">
        <f>IFERROR(_xlfn.XLOOKUP($A29,Master_Data!$C:$C,Master_Data!$H:$H,"CHECK",0),"")</f>
        <v>60.370923596301132</v>
      </c>
      <c r="S29" t="str">
        <f>_xlfn.XLOOKUP($A29,Master_Data!$C:$C,Master_Data!$I:$I,"CHECK",0)</f>
        <v>Md. Ataur Rahman Sarkar</v>
      </c>
      <c r="T29">
        <f>_xlfn.XLOOKUP($A29,Master_Data!$C:$C,Master_Data!$K:$K,"CHECK",0)</f>
        <v>91796</v>
      </c>
      <c r="U29">
        <f>IFERROR(_xlfn.XLOOKUP($A29,Master_Data!$C:$C,Master_Data!$L:$L,"CHECK",0),"")</f>
        <v>39.629076403698875</v>
      </c>
      <c r="V29">
        <f>_xlfn.XLOOKUP($A29,Master_Data!$C:$C,Master_Data!$M:$M,"CHECK",0)</f>
        <v>48046</v>
      </c>
      <c r="W29">
        <f>IFERROR(_xlfn.XLOOKUP($A29,Master_Data!$C:$C,Master_Data!$N:$N,"CHECK",0),"")</f>
        <v>20.741847192602251</v>
      </c>
      <c r="X29" t="str">
        <f>IFERROR(_xlfn.XLOOKUP($A29,Master_Data!$C:$C,Master_Data!$O:$O,"CHECK",0),"No Result")</f>
        <v>Safe Seat</v>
      </c>
      <c r="Y29">
        <f>_xlfn.XLOOKUP($A29,Master_Data!$C:$C,Master_Data!$P:$P,"CHECK",0)</f>
        <v>0</v>
      </c>
      <c r="Z29">
        <f t="shared" si="1"/>
        <v>1</v>
      </c>
    </row>
    <row r="30" spans="1:26">
      <c r="A30" t="str">
        <v>Brahmanbaria-5</v>
      </c>
      <c r="B30" t="str" cm="1">
        <f t="array" ref="B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Nawabganj","Chapainawabganj"),Final_Merged_Data!$B$2:$B$1000=$A30)))</f>
        <v>Brahmanbaria</v>
      </c>
      <c r="C30" t="str" cm="1">
        <f t="array" ref="C30">_xlfn.TEXTJOIN(", ",TRUE,_xlfn._xlws.FILTER(Final_Merged_Data!$C$2:$C$1000,Final_Merged_Data!$B$2:$B$1000=$A30))</f>
        <v>Bancharampur</v>
      </c>
      <c r="D30" cm="1">
        <f t="array" ref="D30">COUNTA(_xlfn._xlws.FILTER(Final_Merged_Data!$C$2:$C$1000,Final_Merged_Data!$B$2:$B$1000=$A30))</f>
        <v>1</v>
      </c>
      <c r="E30">
        <f>SUMIFS(Final_Merged_Data!$E:$E,Final_Merged_Data!$B:$B,$A30)</f>
        <v>217.88</v>
      </c>
      <c r="F30">
        <f>SUMIFS(Final_Merged_Data!$F:$F,Final_Merged_Data!$B:$B,$A30)</f>
        <v>335102</v>
      </c>
      <c r="G30">
        <f t="shared" si="0"/>
        <v>1538.0117495869285</v>
      </c>
      <c r="H30" cm="1">
        <f t="array" ref="H30">SUMPRODUCT((Final_Merged_Data!$B$2:$B$1000=$A30)*Final_Merged_Data!$H$2:$H$1000*Final_Merged_Data!$F$2:$F$1000)/F30</f>
        <v>4.22</v>
      </c>
      <c r="I30" cm="1">
        <f t="array" ref="I30">SUMPRODUCT((Final_Merged_Data!$B$2:$B$1000=$A30)*Final_Merged_Data!$I$2:$I$1000*Final_Merged_Data!$F$2:$F$1000)/F30</f>
        <v>68.55</v>
      </c>
      <c r="J30" t="str" cm="1">
        <f t="array" ref="J30">_xlfn.TEXTJOIN(", ",TRUE,_xlfn.UNIQUE(_xlfn._xlws.FILTER(Final_Merged_Data!$J$2:$J$1000,Final_Merged_Data!$B$2:$B$1000=$A30)))</f>
        <v>Chittagong Range</v>
      </c>
      <c r="K30" cm="1">
        <f t="array" ref="K30">SUMPRODUCT((Final_Merged_Data!$B$2:$B$1000=$A30)*Final_Merged_Data!$K$2:$K$1000*Final_Merged_Data!$F$2:$F$1000)/F30</f>
        <v>84.879645400600893</v>
      </c>
      <c r="L30" cm="1">
        <f t="array" ref="L30">SUMPRODUCT((Final_Merged_Data!$B$2:$B$1000=$A30)*Final_Merged_Data!$L$2:$L$1000*Final_Merged_Data!$F$2:$F$1000)/F30</f>
        <v>10.309673910686193</v>
      </c>
      <c r="M30" t="str">
        <f>IF(COUNTIF(Master_Data!$C:$C,$A30)&gt;0,"Found","Missing")</f>
        <v>Found</v>
      </c>
      <c r="N30" t="str">
        <f>_xlfn.XLOOKUP($A30,Master_Data!$C:$C,Master_Data!$D:$D,"CHECK",0)</f>
        <v>Md. Abdul Mannan[disambiguation needed]</v>
      </c>
      <c r="O30" t="str">
        <f>_xlfn.XLOOKUP($A30,Master_Data!$C:$C,Master_Data!$E:$E,"CHECK",0)</f>
        <v>BNP</v>
      </c>
      <c r="P30">
        <f>_xlfn.XLOOKUP($A30,Master_Data!$C:$C,Master_Data!$F:$F,"CHECK",0)</f>
        <v>1</v>
      </c>
      <c r="Q30">
        <f>_xlfn.XLOOKUP($A30,Master_Data!$C:$C,Master_Data!$G:$G,"CHECK",0)</f>
        <v>85769</v>
      </c>
      <c r="R30">
        <f>IFERROR(_xlfn.XLOOKUP($A30,Master_Data!$C:$C,Master_Data!$H:$H,"CHECK",0),"")</f>
        <v>50.311185673140656</v>
      </c>
      <c r="S30" t="str">
        <f>_xlfn.XLOOKUP($A30,Master_Data!$C:$C,Master_Data!$I:$I,"CHECK",0)</f>
        <v>Kazi Nazmul Hossain</v>
      </c>
      <c r="T30">
        <f>_xlfn.XLOOKUP($A30,Master_Data!$C:$C,Master_Data!$K:$K,"CHECK",0)</f>
        <v>84708</v>
      </c>
      <c r="U30">
        <f>IFERROR(_xlfn.XLOOKUP($A30,Master_Data!$C:$C,Master_Data!$L:$L,"CHECK",0),"")</f>
        <v>49.688814326859344</v>
      </c>
      <c r="V30">
        <f>_xlfn.XLOOKUP($A30,Master_Data!$C:$C,Master_Data!$M:$M,"CHECK",0)</f>
        <v>1061</v>
      </c>
      <c r="W30">
        <f>IFERROR(_xlfn.XLOOKUP($A30,Master_Data!$C:$C,Master_Data!$N:$N,"CHECK",0),"")</f>
        <v>0.62237134628131652</v>
      </c>
      <c r="X30" t="str">
        <f>IFERROR(_xlfn.XLOOKUP($A30,Master_Data!$C:$C,Master_Data!$O:$O,"CHECK",0),"No Result")</f>
        <v>Highly Competitive</v>
      </c>
      <c r="Y30">
        <f>_xlfn.XLOOKUP($A30,Master_Data!$C:$C,Master_Data!$P:$P,"CHECK",0)</f>
        <v>0</v>
      </c>
      <c r="Z30">
        <f t="shared" si="1"/>
        <v>1</v>
      </c>
    </row>
    <row r="31" spans="1:26">
      <c r="A31" t="str">
        <v>Brahmanbaria-6</v>
      </c>
      <c r="B31" t="str" cm="1">
        <f t="array" ref="B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Nawabganj","Chapainawabganj"),Final_Merged_Data!$B$2:$B$1000=$A31)))</f>
        <v>Brahmanbaria</v>
      </c>
      <c r="C31" t="str" cm="1">
        <f t="array" ref="C31">_xlfn.TEXTJOIN(", ",TRUE,_xlfn._xlws.FILTER(Final_Merged_Data!$C$2:$C$1000,Final_Merged_Data!$B$2:$B$1000=$A31))</f>
        <v>Nasirnagar</v>
      </c>
      <c r="D31" cm="1">
        <f t="array" ref="D31">COUNTA(_xlfn._xlws.FILTER(Final_Merged_Data!$C$2:$C$1000,Final_Merged_Data!$B$2:$B$1000=$A31))</f>
        <v>1</v>
      </c>
      <c r="E31">
        <f>SUMIFS(Final_Merged_Data!$E:$E,Final_Merged_Data!$B:$B,$A31)</f>
        <v>331.61</v>
      </c>
      <c r="F31">
        <f>SUMIFS(Final_Merged_Data!$F:$F,Final_Merged_Data!$B:$B,$A31)</f>
        <v>346757</v>
      </c>
      <c r="G31">
        <f t="shared" si="0"/>
        <v>1045.6771508699978</v>
      </c>
      <c r="H31" cm="1">
        <f t="array" ref="H31">SUMPRODUCT((Final_Merged_Data!$B$2:$B$1000=$A31)*Final_Merged_Data!$H$2:$H$1000*Final_Merged_Data!$F$2:$F$1000)/F31</f>
        <v>4.83</v>
      </c>
      <c r="I31" cm="1">
        <f t="array" ref="I31">SUMPRODUCT((Final_Merged_Data!$B$2:$B$1000=$A31)*Final_Merged_Data!$I$2:$I$1000*Final_Merged_Data!$F$2:$F$1000)/F31</f>
        <v>61.97</v>
      </c>
      <c r="J31" t="str" cm="1">
        <f t="array" ref="J31">_xlfn.TEXTJOIN(", ",TRUE,_xlfn.UNIQUE(_xlfn._xlws.FILTER(Final_Merged_Data!$J$2:$J$1000,Final_Merged_Data!$B$2:$B$1000=$A31)))</f>
        <v>Chittagong Range</v>
      </c>
      <c r="K31" cm="1">
        <f t="array" ref="K31">SUMPRODUCT((Final_Merged_Data!$B$2:$B$1000=$A31)*Final_Merged_Data!$K$2:$K$1000*Final_Merged_Data!$F$2:$F$1000)/F31</f>
        <v>84.879645400600893</v>
      </c>
      <c r="L31" cm="1">
        <f t="array" ref="L31">SUMPRODUCT((Final_Merged_Data!$B$2:$B$1000=$A31)*Final_Merged_Data!$L$2:$L$1000*Final_Merged_Data!$F$2:$F$1000)/F31</f>
        <v>10.309673910686193</v>
      </c>
      <c r="M31" t="str">
        <f>IF(COUNTIF(Master_Data!$C:$C,$A31)&gt;0,"Found","Missing")</f>
        <v>Found</v>
      </c>
      <c r="N31" t="str">
        <f>_xlfn.XLOOKUP($A31,Master_Data!$C:$C,Master_Data!$D:$D,"CHECK",0)</f>
        <v>Zonayed Saki</v>
      </c>
      <c r="O31" t="str">
        <f>_xlfn.XLOOKUP($A31,Master_Data!$C:$C,Master_Data!$E:$E,"CHECK",0)</f>
        <v>GSA</v>
      </c>
      <c r="P31">
        <f>_xlfn.XLOOKUP($A31,Master_Data!$C:$C,Master_Data!$F:$F,"CHECK",0)</f>
        <v>0</v>
      </c>
      <c r="Q31">
        <f>_xlfn.XLOOKUP($A31,Master_Data!$C:$C,Master_Data!$G:$G,"CHECK",0)</f>
        <v>95342</v>
      </c>
      <c r="R31">
        <f>IFERROR(_xlfn.XLOOKUP($A31,Master_Data!$C:$C,Master_Data!$H:$H,"CHECK",0),"")</f>
        <v>70.457736590845272</v>
      </c>
      <c r="S31" t="str">
        <f>_xlfn.XLOOKUP($A31,Master_Data!$C:$C,Master_Data!$I:$I,"CHECK",0)</f>
        <v>Md. Mohsin</v>
      </c>
      <c r="T31">
        <f>_xlfn.XLOOKUP($A31,Master_Data!$C:$C,Master_Data!$K:$K,"CHECK",0)</f>
        <v>39976</v>
      </c>
      <c r="U31">
        <f>IFERROR(_xlfn.XLOOKUP($A31,Master_Data!$C:$C,Master_Data!$L:$L,"CHECK",0),"")</f>
        <v>29.542263409154735</v>
      </c>
      <c r="V31">
        <f>_xlfn.XLOOKUP($A31,Master_Data!$C:$C,Master_Data!$M:$M,"CHECK",0)</f>
        <v>55366</v>
      </c>
      <c r="W31">
        <f>IFERROR(_xlfn.XLOOKUP($A31,Master_Data!$C:$C,Master_Data!$N:$N,"CHECK",0),"")</f>
        <v>40.915473181690537</v>
      </c>
      <c r="X31" t="str">
        <f>IFERROR(_xlfn.XLOOKUP($A31,Master_Data!$C:$C,Master_Data!$O:$O,"CHECK",0),"No Result")</f>
        <v>Safe Seat</v>
      </c>
      <c r="Y31">
        <f>_xlfn.XLOOKUP($A31,Master_Data!$C:$C,Master_Data!$P:$P,"CHECK",0)</f>
        <v>0</v>
      </c>
      <c r="Z31">
        <f t="shared" si="1"/>
        <v>1</v>
      </c>
    </row>
    <row r="32" spans="1:26">
      <c r="A32" t="str">
        <v>Chandpur-1</v>
      </c>
      <c r="B32" t="str" cm="1">
        <f t="array" ref="B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Nawabganj","Chapainawabganj"),Final_Merged_Data!$B$2:$B$1000=$A32)))</f>
        <v>Chandpur</v>
      </c>
      <c r="C32" t="str" cm="1">
        <f t="array" ref="C32">_xlfn.TEXTJOIN(", ",TRUE,_xlfn._xlws.FILTER(Final_Merged_Data!$C$2:$C$1000,Final_Merged_Data!$B$2:$B$1000=$A32))</f>
        <v>Kachua</v>
      </c>
      <c r="D32" cm="1">
        <f t="array" ref="D32">COUNTA(_xlfn._xlws.FILTER(Final_Merged_Data!$C$2:$C$1000,Final_Merged_Data!$B$2:$B$1000=$A32))</f>
        <v>1</v>
      </c>
      <c r="E32">
        <f>SUMIFS(Final_Merged_Data!$E:$E,Final_Merged_Data!$B:$B,$A32)</f>
        <v>235.82</v>
      </c>
      <c r="F32">
        <f>SUMIFS(Final_Merged_Data!$F:$F,Final_Merged_Data!$B:$B,$A32)</f>
        <v>405483</v>
      </c>
      <c r="G32">
        <f t="shared" si="0"/>
        <v>1719.4597574421168</v>
      </c>
      <c r="H32" cm="1">
        <f t="array" ref="H32">SUMPRODUCT((Final_Merged_Data!$B$2:$B$1000=$A32)*Final_Merged_Data!$H$2:$H$1000*Final_Merged_Data!$F$2:$F$1000)/F32</f>
        <v>4.17</v>
      </c>
      <c r="I32" cm="1">
        <f t="array" ref="I32">SUMPRODUCT((Final_Merged_Data!$B$2:$B$1000=$A32)*Final_Merged_Data!$I$2:$I$1000*Final_Merged_Data!$F$2:$F$1000)/F32</f>
        <v>75.02</v>
      </c>
      <c r="J32" t="str" cm="1">
        <f t="array" ref="J32">_xlfn.TEXTJOIN(", ",TRUE,_xlfn.UNIQUE(_xlfn._xlws.FILTER(Final_Merged_Data!$J$2:$J$1000,Final_Merged_Data!$B$2:$B$1000=$A32)))</f>
        <v>Chittagong Range</v>
      </c>
      <c r="K32" cm="1">
        <f t="array" ref="K32">SUMPRODUCT((Final_Merged_Data!$B$2:$B$1000=$A32)*Final_Merged_Data!$K$2:$K$1000*Final_Merged_Data!$F$2:$F$1000)/F32</f>
        <v>84.879645400600879</v>
      </c>
      <c r="L32" cm="1">
        <f t="array" ref="L32">SUMPRODUCT((Final_Merged_Data!$B$2:$B$1000=$A32)*Final_Merged_Data!$L$2:$L$1000*Final_Merged_Data!$F$2:$F$1000)/F32</f>
        <v>10.309673910686193</v>
      </c>
      <c r="M32" t="str">
        <f>IF(COUNTIF(Master_Data!$C:$C,$A32)&gt;0,"Found","Missing")</f>
        <v>Found</v>
      </c>
      <c r="N32" t="str">
        <f>_xlfn.XLOOKUP($A32,Master_Data!$C:$C,Master_Data!$D:$D,"CHECK",0)</f>
        <v>A. N. M. Ehsanul Hoque Milan</v>
      </c>
      <c r="O32" t="str">
        <f>_xlfn.XLOOKUP($A32,Master_Data!$C:$C,Master_Data!$E:$E,"CHECK",0)</f>
        <v>BNP</v>
      </c>
      <c r="P32">
        <f>_xlfn.XLOOKUP($A32,Master_Data!$C:$C,Master_Data!$F:$F,"CHECK",0)</f>
        <v>1</v>
      </c>
      <c r="Q32">
        <f>_xlfn.XLOOKUP($A32,Master_Data!$C:$C,Master_Data!$G:$G,"CHECK",0)</f>
        <v>133032</v>
      </c>
      <c r="R32">
        <f>IFERROR(_xlfn.XLOOKUP($A32,Master_Data!$C:$C,Master_Data!$H:$H,"CHECK",0),"")</f>
        <v>65.404129793510322</v>
      </c>
      <c r="S32" t="str">
        <f>_xlfn.XLOOKUP($A32,Master_Data!$C:$C,Master_Data!$I:$I,"CHECK",0)</f>
        <v>Abu Nashar Maqbool Ahmad</v>
      </c>
      <c r="T32">
        <f>_xlfn.XLOOKUP($A32,Master_Data!$C:$C,Master_Data!$K:$K,"CHECK",0)</f>
        <v>70368</v>
      </c>
      <c r="U32">
        <f>IFERROR(_xlfn.XLOOKUP($A32,Master_Data!$C:$C,Master_Data!$L:$L,"CHECK",0),"")</f>
        <v>34.595870206489678</v>
      </c>
      <c r="V32">
        <f>_xlfn.XLOOKUP($A32,Master_Data!$C:$C,Master_Data!$M:$M,"CHECK",0)</f>
        <v>62664</v>
      </c>
      <c r="W32">
        <f>IFERROR(_xlfn.XLOOKUP($A32,Master_Data!$C:$C,Master_Data!$N:$N,"CHECK",0),"")</f>
        <v>30.808259587020647</v>
      </c>
      <c r="X32" t="str">
        <f>IFERROR(_xlfn.XLOOKUP($A32,Master_Data!$C:$C,Master_Data!$O:$O,"CHECK",0),"No Result")</f>
        <v>Safe Seat</v>
      </c>
      <c r="Y32">
        <f>_xlfn.XLOOKUP($A32,Master_Data!$C:$C,Master_Data!$P:$P,"CHECK",0)</f>
        <v>0</v>
      </c>
      <c r="Z32">
        <f t="shared" si="1"/>
        <v>1</v>
      </c>
    </row>
    <row r="33" spans="1:26">
      <c r="A33" t="str">
        <v>Chandpur-2</v>
      </c>
      <c r="B33" t="str" cm="1">
        <f t="array" ref="B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Nawabganj","Chapainawabganj"),Final_Merged_Data!$B$2:$B$1000=$A33)))</f>
        <v>Chandpur</v>
      </c>
      <c r="C33" t="str" cm="1">
        <f t="array" ref="C33">_xlfn.TEXTJOIN(", ",TRUE,_xlfn._xlws.FILTER(Final_Merged_Data!$C$2:$C$1000,Final_Merged_Data!$B$2:$B$1000=$A33))</f>
        <v>Matlab Uttar, Matlab Dakkhin</v>
      </c>
      <c r="D33" cm="1">
        <f t="array" ref="D33">COUNTA(_xlfn._xlws.FILTER(Final_Merged_Data!$C$2:$C$1000,Final_Merged_Data!$B$2:$B$1000=$A33))</f>
        <v>2</v>
      </c>
      <c r="E33">
        <f>SUMIFS(Final_Merged_Data!$E:$E,Final_Merged_Data!$B:$B,$A33)</f>
        <v>590.70000000000005</v>
      </c>
      <c r="F33">
        <f>SUMIFS(Final_Merged_Data!$F:$F,Final_Merged_Data!$B:$B,$A33)</f>
        <v>522532</v>
      </c>
      <c r="G33">
        <f t="shared" si="0"/>
        <v>884.59793465380051</v>
      </c>
      <c r="H33" cm="1">
        <f t="array" ref="H33">SUMPRODUCT((Final_Merged_Data!$B$2:$B$1000=$A33)*Final_Merged_Data!$H$2:$H$1000*Final_Merged_Data!$F$2:$F$1000)/F33</f>
        <v>3.9760330085047424</v>
      </c>
      <c r="I33" cm="1">
        <f t="array" ref="I33">SUMPRODUCT((Final_Merged_Data!$B$2:$B$1000=$A33)*Final_Merged_Data!$I$2:$I$1000*Final_Merged_Data!$F$2:$F$1000)/F33</f>
        <v>76.471034003659099</v>
      </c>
      <c r="J33" t="str" cm="1">
        <f t="array" ref="J33">_xlfn.TEXTJOIN(", ",TRUE,_xlfn.UNIQUE(_xlfn._xlws.FILTER(Final_Merged_Data!$J$2:$J$1000,Final_Merged_Data!$B$2:$B$1000=$A33)))</f>
        <v>Chittagong Range</v>
      </c>
      <c r="K33" cm="1">
        <f t="array" ref="K33">SUMPRODUCT((Final_Merged_Data!$B$2:$B$1000=$A33)*Final_Merged_Data!$K$2:$K$1000*Final_Merged_Data!$F$2:$F$1000)/F33</f>
        <v>84.879645400600893</v>
      </c>
      <c r="L33" cm="1">
        <f t="array" ref="L33">SUMPRODUCT((Final_Merged_Data!$B$2:$B$1000=$A33)*Final_Merged_Data!$L$2:$L$1000*Final_Merged_Data!$F$2:$F$1000)/F33</f>
        <v>10.309673910686195</v>
      </c>
      <c r="M33" t="str">
        <f>IF(COUNTIF(Master_Data!$C:$C,$A33)&gt;0,"Found","Missing")</f>
        <v>Found</v>
      </c>
      <c r="N33" t="str">
        <f>_xlfn.XLOOKUP($A33,Master_Data!$C:$C,Master_Data!$D:$D,"CHECK",0)</f>
        <v>Md. Jalal Uddin</v>
      </c>
      <c r="O33" t="str">
        <f>_xlfn.XLOOKUP($A33,Master_Data!$C:$C,Master_Data!$E:$E,"CHECK",0)</f>
        <v>BNP</v>
      </c>
      <c r="P33">
        <f>_xlfn.XLOOKUP($A33,Master_Data!$C:$C,Master_Data!$F:$F,"CHECK",0)</f>
        <v>1</v>
      </c>
      <c r="Q33">
        <f>_xlfn.XLOOKUP($A33,Master_Data!$C:$C,Master_Data!$G:$G,"CHECK",0)</f>
        <v>172506</v>
      </c>
      <c r="R33">
        <f>IFERROR(_xlfn.XLOOKUP($A33,Master_Data!$C:$C,Master_Data!$H:$H,"CHECK",0),"")</f>
        <v>75.009457385239514</v>
      </c>
      <c r="S33" t="str">
        <f>_xlfn.XLOOKUP($A33,Master_Data!$C:$C,Master_Data!$I:$I,"CHECK",0)</f>
        <v>Md. Bilal Hossain</v>
      </c>
      <c r="T33">
        <f>_xlfn.XLOOKUP($A33,Master_Data!$C:$C,Master_Data!$K:$K,"CHECK",0)</f>
        <v>57473</v>
      </c>
      <c r="U33">
        <f>IFERROR(_xlfn.XLOOKUP($A33,Master_Data!$C:$C,Master_Data!$L:$L,"CHECK",0),"")</f>
        <v>24.990542614760479</v>
      </c>
      <c r="V33">
        <f>_xlfn.XLOOKUP($A33,Master_Data!$C:$C,Master_Data!$M:$M,"CHECK",0)</f>
        <v>115033</v>
      </c>
      <c r="W33">
        <f>IFERROR(_xlfn.XLOOKUP($A33,Master_Data!$C:$C,Master_Data!$N:$N,"CHECK",0),"")</f>
        <v>50.018914770479043</v>
      </c>
      <c r="X33" t="str">
        <f>IFERROR(_xlfn.XLOOKUP($A33,Master_Data!$C:$C,Master_Data!$O:$O,"CHECK",0),"No Result")</f>
        <v>Safe Seat</v>
      </c>
      <c r="Y33">
        <f>_xlfn.XLOOKUP($A33,Master_Data!$C:$C,Master_Data!$P:$P,"CHECK",0)</f>
        <v>0</v>
      </c>
      <c r="Z33">
        <f t="shared" si="1"/>
        <v>1</v>
      </c>
    </row>
    <row r="34" spans="1:26">
      <c r="A34" t="str">
        <v>Chandpur-3</v>
      </c>
      <c r="B34" t="str" cm="1">
        <f t="array" ref="B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Nawabganj","Chapainawabganj"),Final_Merged_Data!$B$2:$B$1000=$A34)))</f>
        <v>Chandpur</v>
      </c>
      <c r="C34" t="str" cm="1">
        <f t="array" ref="C34">_xlfn.TEXTJOIN(", ",TRUE,_xlfn._xlws.FILTER(Final_Merged_Data!$C$2:$C$1000,Final_Merged_Data!$B$2:$B$1000=$A34))</f>
        <v>Chandpur Sadar</v>
      </c>
      <c r="D34" cm="1">
        <f t="array" ref="D34">COUNTA(_xlfn._xlws.FILTER(Final_Merged_Data!$C$2:$C$1000,Final_Merged_Data!$B$2:$B$1000=$A34))</f>
        <v>1</v>
      </c>
      <c r="E34">
        <f>SUMIFS(Final_Merged_Data!$E:$E,Final_Merged_Data!$B:$B,$A34)</f>
        <v>308.77</v>
      </c>
      <c r="F34">
        <f>SUMIFS(Final_Merged_Data!$F:$F,Final_Merged_Data!$B:$B,$A34)</f>
        <v>534577</v>
      </c>
      <c r="G34">
        <f t="shared" si="0"/>
        <v>1731.3113320594618</v>
      </c>
      <c r="H34" cm="1">
        <f t="array" ref="H34">SUMPRODUCT((Final_Merged_Data!$B$2:$B$1000=$A34)*Final_Merged_Data!$H$2:$H$1000*Final_Merged_Data!$F$2:$F$1000)/F34</f>
        <v>4.0999999999999996</v>
      </c>
      <c r="I34" cm="1">
        <f t="array" ref="I34">SUMPRODUCT((Final_Merged_Data!$B$2:$B$1000=$A34)*Final_Merged_Data!$I$2:$I$1000*Final_Merged_Data!$F$2:$F$1000)/F34</f>
        <v>79.03</v>
      </c>
      <c r="J34" t="str" cm="1">
        <f t="array" ref="J34">_xlfn.TEXTJOIN(", ",TRUE,_xlfn.UNIQUE(_xlfn._xlws.FILTER(Final_Merged_Data!$J$2:$J$1000,Final_Merged_Data!$B$2:$B$1000=$A34)))</f>
        <v>Chittagong Range</v>
      </c>
      <c r="K34" cm="1">
        <f t="array" ref="K34">SUMPRODUCT((Final_Merged_Data!$B$2:$B$1000=$A34)*Final_Merged_Data!$K$2:$K$1000*Final_Merged_Data!$F$2:$F$1000)/F34</f>
        <v>84.879645400600893</v>
      </c>
      <c r="L34" cm="1">
        <f t="array" ref="L34">SUMPRODUCT((Final_Merged_Data!$B$2:$B$1000=$A34)*Final_Merged_Data!$L$2:$L$1000*Final_Merged_Data!$F$2:$F$1000)/F34</f>
        <v>10.309673910686193</v>
      </c>
      <c r="M34" t="str">
        <f>IF(COUNTIF(Master_Data!$C:$C,$A34)&gt;0,"Found","Missing")</f>
        <v>Found</v>
      </c>
      <c r="N34" t="str">
        <f>_xlfn.XLOOKUP($A34,Master_Data!$C:$C,Master_Data!$D:$D,"CHECK",0)</f>
        <v>Sheikh Farid Ahmed</v>
      </c>
      <c r="O34" t="str">
        <f>_xlfn.XLOOKUP($A34,Master_Data!$C:$C,Master_Data!$E:$E,"CHECK",0)</f>
        <v>BNP</v>
      </c>
      <c r="P34">
        <f>_xlfn.XLOOKUP($A34,Master_Data!$C:$C,Master_Data!$F:$F,"CHECK",0)</f>
        <v>1</v>
      </c>
      <c r="Q34">
        <f>_xlfn.XLOOKUP($A34,Master_Data!$C:$C,Master_Data!$G:$G,"CHECK",0)</f>
        <v>165404</v>
      </c>
      <c r="R34">
        <f>IFERROR(_xlfn.XLOOKUP($A34,Master_Data!$C:$C,Master_Data!$H:$H,"CHECK",0),"")</f>
        <v>62.119135160307806</v>
      </c>
      <c r="S34" t="str">
        <f>_xlfn.XLOOKUP($A34,Master_Data!$C:$C,Master_Data!$I:$I,"CHECK",0)</f>
        <v>Md. Shahjahan Mia</v>
      </c>
      <c r="T34">
        <f>_xlfn.XLOOKUP($A34,Master_Data!$C:$C,Master_Data!$K:$K,"CHECK",0)</f>
        <v>100865</v>
      </c>
      <c r="U34">
        <f>IFERROR(_xlfn.XLOOKUP($A34,Master_Data!$C:$C,Master_Data!$L:$L,"CHECK",0),"")</f>
        <v>37.880864839692194</v>
      </c>
      <c r="V34">
        <f>_xlfn.XLOOKUP($A34,Master_Data!$C:$C,Master_Data!$M:$M,"CHECK",0)</f>
        <v>64539</v>
      </c>
      <c r="W34">
        <f>IFERROR(_xlfn.XLOOKUP($A34,Master_Data!$C:$C,Master_Data!$N:$N,"CHECK",0),"")</f>
        <v>24.238270320615619</v>
      </c>
      <c r="X34" t="str">
        <f>IFERROR(_xlfn.XLOOKUP($A34,Master_Data!$C:$C,Master_Data!$O:$O,"CHECK",0),"No Result")</f>
        <v>Safe Seat</v>
      </c>
      <c r="Y34">
        <f>_xlfn.XLOOKUP($A34,Master_Data!$C:$C,Master_Data!$P:$P,"CHECK",0)</f>
        <v>0</v>
      </c>
      <c r="Z34">
        <f t="shared" si="1"/>
        <v>1</v>
      </c>
    </row>
    <row r="35" spans="1:26">
      <c r="A35" t="str">
        <v>Chandpur-4</v>
      </c>
      <c r="B35" t="str" cm="1">
        <f t="array" ref="B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Nawabganj","Chapainawabganj"),Final_Merged_Data!$B$2:$B$1000=$A35)))</f>
        <v>Chandpur</v>
      </c>
      <c r="C35" t="str" cm="1">
        <f t="array" ref="C35">_xlfn.TEXTJOIN(", ",TRUE,_xlfn._xlws.FILTER(Final_Merged_Data!$C$2:$C$1000,Final_Merged_Data!$B$2:$B$1000=$A35))</f>
        <v>Faridganj</v>
      </c>
      <c r="D35" cm="1">
        <f t="array" ref="D35">COUNTA(_xlfn._xlws.FILTER(Final_Merged_Data!$C$2:$C$1000,Final_Merged_Data!$B$2:$B$1000=$A35))</f>
        <v>1</v>
      </c>
      <c r="E35">
        <f>SUMIFS(Final_Merged_Data!$E:$E,Final_Merged_Data!$B:$B,$A35)</f>
        <v>427.79</v>
      </c>
      <c r="F35">
        <f>SUMIFS(Final_Merged_Data!$F:$F,Final_Merged_Data!$B:$B,$A35)</f>
        <v>433244</v>
      </c>
      <c r="G35">
        <f t="shared" si="0"/>
        <v>1012.7492461254353</v>
      </c>
      <c r="H35" cm="1">
        <f t="array" ref="H35">SUMPRODUCT((Final_Merged_Data!$B$2:$B$1000=$A35)*Final_Merged_Data!$H$2:$H$1000*Final_Merged_Data!$F$2:$F$1000)/F35</f>
        <v>4</v>
      </c>
      <c r="I35" cm="1">
        <f t="array" ref="I35">SUMPRODUCT((Final_Merged_Data!$B$2:$B$1000=$A35)*Final_Merged_Data!$I$2:$I$1000*Final_Merged_Data!$F$2:$F$1000)/F35</f>
        <v>79.890000000000015</v>
      </c>
      <c r="J35" t="str" cm="1">
        <f t="array" ref="J35">_xlfn.TEXTJOIN(", ",TRUE,_xlfn.UNIQUE(_xlfn._xlws.FILTER(Final_Merged_Data!$J$2:$J$1000,Final_Merged_Data!$B$2:$B$1000=$A35)))</f>
        <v>Chittagong Range</v>
      </c>
      <c r="K35" cm="1">
        <f t="array" ref="K35">SUMPRODUCT((Final_Merged_Data!$B$2:$B$1000=$A35)*Final_Merged_Data!$K$2:$K$1000*Final_Merged_Data!$F$2:$F$1000)/F35</f>
        <v>84.879645400600907</v>
      </c>
      <c r="L35" cm="1">
        <f t="array" ref="L35">SUMPRODUCT((Final_Merged_Data!$B$2:$B$1000=$A35)*Final_Merged_Data!$L$2:$L$1000*Final_Merged_Data!$F$2:$F$1000)/F35</f>
        <v>10.309673910686193</v>
      </c>
      <c r="M35" t="str">
        <f>IF(COUNTIF(Master_Data!$C:$C,$A35)&gt;0,"Found","Missing")</f>
        <v>Found</v>
      </c>
      <c r="N35" t="str">
        <f>_xlfn.XLOOKUP($A35,Master_Data!$C:$C,Master_Data!$D:$D,"CHECK",0)</f>
        <v>Md. Abdul Hannan</v>
      </c>
      <c r="O35" t="str">
        <f>_xlfn.XLOOKUP($A35,Master_Data!$C:$C,Master_Data!$E:$E,"CHECK",0)</f>
        <v>IND</v>
      </c>
      <c r="P35">
        <f>_xlfn.XLOOKUP($A35,Master_Data!$C:$C,Master_Data!$F:$F,"CHECK",0)</f>
        <v>5</v>
      </c>
      <c r="Q35">
        <f>_xlfn.XLOOKUP($A35,Master_Data!$C:$C,Master_Data!$G:$G,"CHECK",0)</f>
        <v>74175</v>
      </c>
      <c r="R35">
        <f>IFERROR(_xlfn.XLOOKUP($A35,Master_Data!$C:$C,Master_Data!$H:$H,"CHECK",0),"")</f>
        <v>51.751203516360846</v>
      </c>
      <c r="S35" t="str">
        <f>_xlfn.XLOOKUP($A35,Master_Data!$C:$C,Master_Data!$I:$I,"CHECK",0)</f>
        <v>Md. Harunur Rashid</v>
      </c>
      <c r="T35">
        <f>_xlfn.XLOOKUP($A35,Master_Data!$C:$C,Master_Data!$K:$K,"CHECK",0)</f>
        <v>69155</v>
      </c>
      <c r="U35">
        <f>IFERROR(_xlfn.XLOOKUP($A35,Master_Data!$C:$C,Master_Data!$L:$L,"CHECK",0),"")</f>
        <v>48.248796483639154</v>
      </c>
      <c r="V35">
        <f>_xlfn.XLOOKUP($A35,Master_Data!$C:$C,Master_Data!$M:$M,"CHECK",0)</f>
        <v>5020</v>
      </c>
      <c r="W35">
        <f>IFERROR(_xlfn.XLOOKUP($A35,Master_Data!$C:$C,Master_Data!$N:$N,"CHECK",0),"")</f>
        <v>3.502407032721691</v>
      </c>
      <c r="X35" t="str">
        <f>IFERROR(_xlfn.XLOOKUP($A35,Master_Data!$C:$C,Master_Data!$O:$O,"CHECK",0),"No Result")</f>
        <v>Highly Competitive</v>
      </c>
      <c r="Y35">
        <f>_xlfn.XLOOKUP($A35,Master_Data!$C:$C,Master_Data!$P:$P,"CHECK",0)</f>
        <v>0</v>
      </c>
      <c r="Z35">
        <f t="shared" si="1"/>
        <v>1</v>
      </c>
    </row>
    <row r="36" spans="1:26">
      <c r="A36" t="str">
        <v>Chandpur-5</v>
      </c>
      <c r="B36" t="str" cm="1">
        <f t="array" ref="B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Nawabganj","Chapainawabganj"),Final_Merged_Data!$B$2:$B$1000=$A36)))</f>
        <v>Chandpur</v>
      </c>
      <c r="C36" t="str" cm="1">
        <f t="array" ref="C36">_xlfn.TEXTJOIN(", ",TRUE,_xlfn._xlws.FILTER(Final_Merged_Data!$C$2:$C$1000,Final_Merged_Data!$B$2:$B$1000=$A36))</f>
        <v>Hajiganj, Shahrasti</v>
      </c>
      <c r="D36" cm="1">
        <f t="array" ref="D36">COUNTA(_xlfn._xlws.FILTER(Final_Merged_Data!$C$2:$C$1000,Final_Merged_Data!$B$2:$B$1000=$A36))</f>
        <v>2</v>
      </c>
      <c r="E36">
        <f>SUMIFS(Final_Merged_Data!$E:$E,Final_Merged_Data!$B:$B,$A36)</f>
        <v>348</v>
      </c>
      <c r="F36">
        <f>SUMIFS(Final_Merged_Data!$F:$F,Final_Merged_Data!$B:$B,$A36)</f>
        <v>614999</v>
      </c>
      <c r="G36">
        <f t="shared" si="0"/>
        <v>1767.2385057471265</v>
      </c>
      <c r="H36" cm="1">
        <f t="array" ref="H36">SUMPRODUCT((Final_Merged_Data!$B$2:$B$1000=$A36)*Final_Merged_Data!$H$2:$H$1000*Final_Merged_Data!$F$2:$F$1000)/F36</f>
        <v>4.2531256473587753</v>
      </c>
      <c r="I36" cm="1">
        <f t="array" ref="I36">SUMPRODUCT((Final_Merged_Data!$B$2:$B$1000=$A36)*Final_Merged_Data!$I$2:$I$1000*Final_Merged_Data!$F$2:$F$1000)/F36</f>
        <v>81.234312007011383</v>
      </c>
      <c r="J36" t="str" cm="1">
        <f t="array" ref="J36">_xlfn.TEXTJOIN(", ",TRUE,_xlfn.UNIQUE(_xlfn._xlws.FILTER(Final_Merged_Data!$J$2:$J$1000,Final_Merged_Data!$B$2:$B$1000=$A36)))</f>
        <v>Chittagong Range</v>
      </c>
      <c r="K36" cm="1">
        <f t="array" ref="K36">SUMPRODUCT((Final_Merged_Data!$B$2:$B$1000=$A36)*Final_Merged_Data!$K$2:$K$1000*Final_Merged_Data!$F$2:$F$1000)/F36</f>
        <v>84.879645400600893</v>
      </c>
      <c r="L36" cm="1">
        <f t="array" ref="L36">SUMPRODUCT((Final_Merged_Data!$B$2:$B$1000=$A36)*Final_Merged_Data!$L$2:$L$1000*Final_Merged_Data!$F$2:$F$1000)/F36</f>
        <v>10.309673910686195</v>
      </c>
      <c r="M36" t="str">
        <f>IF(COUNTIF(Master_Data!$C:$C,$A36)&gt;0,"Found","Missing")</f>
        <v>Found</v>
      </c>
      <c r="N36" t="str">
        <f>_xlfn.XLOOKUP($A36,Master_Data!$C:$C,Master_Data!$D:$D,"CHECK",0)</f>
        <v>Md. Mominul Haque</v>
      </c>
      <c r="O36" t="str">
        <f>_xlfn.XLOOKUP($A36,Master_Data!$C:$C,Master_Data!$E:$E,"CHECK",0)</f>
        <v>BNP</v>
      </c>
      <c r="P36">
        <f>_xlfn.XLOOKUP($A36,Master_Data!$C:$C,Master_Data!$F:$F,"CHECK",0)</f>
        <v>1</v>
      </c>
      <c r="Q36">
        <f>_xlfn.XLOOKUP($A36,Master_Data!$C:$C,Master_Data!$G:$G,"CHECK",0)</f>
        <v>185404</v>
      </c>
      <c r="R36">
        <f>IFERROR(_xlfn.XLOOKUP($A36,Master_Data!$C:$C,Master_Data!$H:$H,"CHECK",0),"")</f>
        <v>71.018600802868264</v>
      </c>
      <c r="S36" t="str">
        <f>_xlfn.XLOOKUP($A36,Master_Data!$C:$C,Master_Data!$I:$I,"CHECK",0)</f>
        <v>Md. Neyamul Bashir</v>
      </c>
      <c r="T36">
        <f>_xlfn.XLOOKUP($A36,Master_Data!$C:$C,Master_Data!$K:$K,"CHECK",0)</f>
        <v>75660</v>
      </c>
      <c r="U36">
        <f>IFERROR(_xlfn.XLOOKUP($A36,Master_Data!$C:$C,Master_Data!$L:$L,"CHECK",0),"")</f>
        <v>28.981399197131736</v>
      </c>
      <c r="V36">
        <f>_xlfn.XLOOKUP($A36,Master_Data!$C:$C,Master_Data!$M:$M,"CHECK",0)</f>
        <v>109744</v>
      </c>
      <c r="W36">
        <f>IFERROR(_xlfn.XLOOKUP($A36,Master_Data!$C:$C,Master_Data!$N:$N,"CHECK",0),"")</f>
        <v>42.037201605736527</v>
      </c>
      <c r="X36" t="str">
        <f>IFERROR(_xlfn.XLOOKUP($A36,Master_Data!$C:$C,Master_Data!$O:$O,"CHECK",0),"No Result")</f>
        <v>Safe Seat</v>
      </c>
      <c r="Y36">
        <f>_xlfn.XLOOKUP($A36,Master_Data!$C:$C,Master_Data!$P:$P,"CHECK",0)</f>
        <v>0</v>
      </c>
      <c r="Z36">
        <f t="shared" si="1"/>
        <v>1</v>
      </c>
    </row>
    <row r="37" spans="1:26">
      <c r="A37" t="str">
        <v>Chapainawabganj-1</v>
      </c>
      <c r="B37" t="str" cm="1">
        <f t="array" ref="B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Nawabganj","Chapainawabganj"),Final_Merged_Data!$B$2:$B$1000=$A37)))</f>
        <v>Chapainawabganj</v>
      </c>
      <c r="C37" t="str" cm="1">
        <f t="array" ref="C37">_xlfn.TEXTJOIN(", ",TRUE,_xlfn._xlws.FILTER(Final_Merged_Data!$C$2:$C$1000,Final_Merged_Data!$B$2:$B$1000=$A37))</f>
        <v>Shibganj</v>
      </c>
      <c r="D37" cm="1">
        <f t="array" ref="D37">COUNTA(_xlfn._xlws.FILTER(Final_Merged_Data!$C$2:$C$1000,Final_Merged_Data!$B$2:$B$1000=$A37))</f>
        <v>1</v>
      </c>
      <c r="E37">
        <f>SUMIFS(Final_Merged_Data!$E:$E,Final_Merged_Data!$B:$B,$A37)</f>
        <v>516.70000000000005</v>
      </c>
      <c r="F37">
        <f>SUMIFS(Final_Merged_Data!$F:$F,Final_Merged_Data!$B:$B,$A37)</f>
        <v>400407</v>
      </c>
      <c r="G37">
        <f t="shared" si="0"/>
        <v>774.93129475517696</v>
      </c>
      <c r="H37" cm="1">
        <f t="array" ref="H37">SUMPRODUCT((Final_Merged_Data!$B$2:$B$1000=$A37)*Final_Merged_Data!$H$2:$H$1000*Final_Merged_Data!$F$2:$F$1000)/F37</f>
        <v>3.46</v>
      </c>
      <c r="I37" cm="1">
        <f t="array" ref="I37">SUMPRODUCT((Final_Merged_Data!$B$2:$B$1000=$A37)*Final_Merged_Data!$I$2:$I$1000*Final_Merged_Data!$F$2:$F$1000)/F37</f>
        <v>67.760000000000005</v>
      </c>
      <c r="J37" t="str" cm="1">
        <f t="array" ref="J37">_xlfn.TEXTJOIN(", ",TRUE,_xlfn.UNIQUE(_xlfn._xlws.FILTER(Final_Merged_Data!$J$2:$J$1000,Final_Merged_Data!$B$2:$B$1000=$A37)))</f>
        <v>Rajshahi Range</v>
      </c>
      <c r="K37" cm="1">
        <f t="array" ref="K37">SUMPRODUCT((Final_Merged_Data!$B$2:$B$1000=$A37)*Final_Merged_Data!$K$2:$K$1000*Final_Merged_Data!$F$2:$F$1000)/F37</f>
        <v>112.81411131450233</v>
      </c>
      <c r="L37" cm="1">
        <f t="array" ref="L37">SUMPRODUCT((Final_Merged_Data!$B$2:$B$1000=$A37)*Final_Merged_Data!$L$2:$L$1000*Final_Merged_Data!$F$2:$F$1000)/F37</f>
        <v>14.272851259111951</v>
      </c>
      <c r="M37" t="str">
        <f>IF(COUNTIF(Master_Data!$C:$C,$A37)&gt;0,"Found","Missing")</f>
        <v>Found</v>
      </c>
      <c r="N37" t="str">
        <f>_xlfn.XLOOKUP($A37,Master_Data!$C:$C,Master_Data!$D:$D,"CHECK",0)</f>
        <v>Md. Keramat Ali</v>
      </c>
      <c r="O37" t="str">
        <f>_xlfn.XLOOKUP($A37,Master_Data!$C:$C,Master_Data!$E:$E,"CHECK",0)</f>
        <v>Jamaat</v>
      </c>
      <c r="P37">
        <f>_xlfn.XLOOKUP($A37,Master_Data!$C:$C,Master_Data!$F:$F,"CHECK",0)</f>
        <v>2</v>
      </c>
      <c r="Q37">
        <f>_xlfn.XLOOKUP($A37,Master_Data!$C:$C,Master_Data!$G:$G,"CHECK",0)</f>
        <v>206893</v>
      </c>
      <c r="R37">
        <f>IFERROR(_xlfn.XLOOKUP($A37,Master_Data!$C:$C,Master_Data!$H:$H,"CHECK",0),"")</f>
        <v>56.00663764726265</v>
      </c>
      <c r="S37" t="str">
        <f>_xlfn.XLOOKUP($A37,Master_Data!$C:$C,Master_Data!$I:$I,"CHECK",0)</f>
        <v>Md. Shahjahan Mia</v>
      </c>
      <c r="T37">
        <f>_xlfn.XLOOKUP($A37,Master_Data!$C:$C,Master_Data!$K:$K,"CHECK",0)</f>
        <v>162515</v>
      </c>
      <c r="U37">
        <f>IFERROR(_xlfn.XLOOKUP($A37,Master_Data!$C:$C,Master_Data!$L:$L,"CHECK",0),"")</f>
        <v>43.99336235273735</v>
      </c>
      <c r="V37">
        <f>_xlfn.XLOOKUP($A37,Master_Data!$C:$C,Master_Data!$M:$M,"CHECK",0)</f>
        <v>44378</v>
      </c>
      <c r="W37">
        <f>IFERROR(_xlfn.XLOOKUP($A37,Master_Data!$C:$C,Master_Data!$N:$N,"CHECK",0),"")</f>
        <v>12.013275294525293</v>
      </c>
      <c r="X37" t="str">
        <f>IFERROR(_xlfn.XLOOKUP($A37,Master_Data!$C:$C,Master_Data!$O:$O,"CHECK",0),"No Result")</f>
        <v>Safe Seat</v>
      </c>
      <c r="Y37">
        <f>_xlfn.XLOOKUP($A37,Master_Data!$C:$C,Master_Data!$P:$P,"CHECK",0)</f>
        <v>0</v>
      </c>
      <c r="Z37">
        <f t="shared" si="1"/>
        <v>1</v>
      </c>
    </row>
    <row r="38" spans="1:26">
      <c r="A38" t="str">
        <v>Chapainawabganj-2</v>
      </c>
      <c r="B38" t="str" cm="1">
        <f t="array" ref="B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Nawabganj","Chapainawabganj"),Final_Merged_Data!$B$2:$B$1000=$A38)))</f>
        <v>Chapainawabganj</v>
      </c>
      <c r="C38" t="str" cm="1">
        <f t="array" ref="C38">_xlfn.TEXTJOIN(", ",TRUE,_xlfn._xlws.FILTER(Final_Merged_Data!$C$2:$C$1000,Final_Merged_Data!$B$2:$B$1000=$A38))</f>
        <v>Nachole, Gomastapur, Bholahat</v>
      </c>
      <c r="D38" cm="1">
        <f t="array" ref="D38">COUNTA(_xlfn._xlws.FILTER(Final_Merged_Data!$C$2:$C$1000,Final_Merged_Data!$B$2:$B$1000=$A38))</f>
        <v>3</v>
      </c>
      <c r="E38">
        <f>SUMIFS(Final_Merged_Data!$E:$E,Final_Merged_Data!$B:$B,$A38)</f>
        <v>980.43999999999994</v>
      </c>
      <c r="F38">
        <f>SUMIFS(Final_Merged_Data!$F:$F,Final_Merged_Data!$B:$B,$A38)</f>
        <v>585160</v>
      </c>
      <c r="G38">
        <f t="shared" si="0"/>
        <v>596.83407449716458</v>
      </c>
      <c r="H38" cm="1">
        <f t="array" ref="H38">SUMPRODUCT((Final_Merged_Data!$B$2:$B$1000=$A38)*Final_Merged_Data!$H$2:$H$1000*Final_Merged_Data!$F$2:$F$1000)/F38</f>
        <v>3.9259906692186757</v>
      </c>
      <c r="I38" cm="1">
        <f t="array" ref="I38">SUMPRODUCT((Final_Merged_Data!$B$2:$B$1000=$A38)*Final_Merged_Data!$I$2:$I$1000*Final_Merged_Data!$F$2:$F$1000)/F38</f>
        <v>72.07763162212045</v>
      </c>
      <c r="J38" t="str" cm="1">
        <f t="array" ref="J38">_xlfn.TEXTJOIN(", ",TRUE,_xlfn.UNIQUE(_xlfn._xlws.FILTER(Final_Merged_Data!$J$2:$J$1000,Final_Merged_Data!$B$2:$B$1000=$A38)))</f>
        <v>Rajshahi Range</v>
      </c>
      <c r="K38" cm="1">
        <f t="array" ref="K38">SUMPRODUCT((Final_Merged_Data!$B$2:$B$1000=$A38)*Final_Merged_Data!$K$2:$K$1000*Final_Merged_Data!$F$2:$F$1000)/F38</f>
        <v>112.81411131450234</v>
      </c>
      <c r="L38" cm="1">
        <f t="array" ref="L38">SUMPRODUCT((Final_Merged_Data!$B$2:$B$1000=$A38)*Final_Merged_Data!$L$2:$L$1000*Final_Merged_Data!$F$2:$F$1000)/F38</f>
        <v>14.272851259111949</v>
      </c>
      <c r="M38" t="str">
        <f>IF(COUNTIF(Master_Data!$C:$C,$A38)&gt;0,"Found","Missing")</f>
        <v>Found</v>
      </c>
      <c r="N38" t="str">
        <f>_xlfn.XLOOKUP($A38,Master_Data!$C:$C,Master_Data!$D:$D,"CHECK",0)</f>
        <v>Md. Mizanur Rahman</v>
      </c>
      <c r="O38" t="str">
        <f>_xlfn.XLOOKUP($A38,Master_Data!$C:$C,Master_Data!$E:$E,"CHECK",0)</f>
        <v>Jamaat</v>
      </c>
      <c r="P38">
        <f>_xlfn.XLOOKUP($A38,Master_Data!$C:$C,Master_Data!$F:$F,"CHECK",0)</f>
        <v>2</v>
      </c>
      <c r="Q38">
        <f>_xlfn.XLOOKUP($A38,Master_Data!$C:$C,Master_Data!$G:$G,"CHECK",0)</f>
        <v>171227</v>
      </c>
      <c r="R38">
        <f>IFERROR(_xlfn.XLOOKUP($A38,Master_Data!$C:$C,Master_Data!$H:$H,"CHECK",0),"")</f>
        <v>52.46793280751104</v>
      </c>
      <c r="S38" t="str">
        <f>_xlfn.XLOOKUP($A38,Master_Data!$C:$C,Master_Data!$I:$I,"CHECK",0)</f>
        <v>Md. Aminul Islam</v>
      </c>
      <c r="T38">
        <f>_xlfn.XLOOKUP($A38,Master_Data!$C:$C,Master_Data!$K:$K,"CHECK",0)</f>
        <v>155119</v>
      </c>
      <c r="U38">
        <f>IFERROR(_xlfn.XLOOKUP($A38,Master_Data!$C:$C,Master_Data!$L:$L,"CHECK",0),"")</f>
        <v>47.532067192488952</v>
      </c>
      <c r="V38">
        <f>_xlfn.XLOOKUP($A38,Master_Data!$C:$C,Master_Data!$M:$M,"CHECK",0)</f>
        <v>16108</v>
      </c>
      <c r="W38">
        <f>IFERROR(_xlfn.XLOOKUP($A38,Master_Data!$C:$C,Master_Data!$N:$N,"CHECK",0),"")</f>
        <v>4.9358656150220934</v>
      </c>
      <c r="X38" t="str">
        <f>IFERROR(_xlfn.XLOOKUP($A38,Master_Data!$C:$C,Master_Data!$O:$O,"CHECK",0),"No Result")</f>
        <v>Highly Competitive</v>
      </c>
      <c r="Y38">
        <f>_xlfn.XLOOKUP($A38,Master_Data!$C:$C,Master_Data!$P:$P,"CHECK",0)</f>
        <v>0</v>
      </c>
      <c r="Z38">
        <f t="shared" si="1"/>
        <v>1</v>
      </c>
    </row>
    <row r="39" spans="1:26">
      <c r="A39" t="str">
        <v>Chapainawabganj-3</v>
      </c>
      <c r="B39" t="str" cm="1">
        <f t="array" ref="B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Nawabganj","Chapainawabganj"),Final_Merged_Data!$B$2:$B$1000=$A39)))</f>
        <v>Chapainawabganj</v>
      </c>
      <c r="C39" t="str" cm="1">
        <f t="array" ref="C39">_xlfn.TEXTJOIN(", ",TRUE,_xlfn._xlws.FILTER(Final_Merged_Data!$C$2:$C$1000,Final_Merged_Data!$B$2:$B$1000=$A39))</f>
        <v>Chapainawabganj Sadar</v>
      </c>
      <c r="D39" cm="1">
        <f t="array" ref="D39">COUNTA(_xlfn._xlws.FILTER(Final_Merged_Data!$C$2:$C$1000,Final_Merged_Data!$B$2:$B$1000=$A39))</f>
        <v>1</v>
      </c>
      <c r="E39">
        <f>SUMIFS(Final_Merged_Data!$E:$E,Final_Merged_Data!$B:$B,$A39)</f>
        <v>472.13</v>
      </c>
      <c r="F39">
        <f>SUMIFS(Final_Merged_Data!$F:$F,Final_Merged_Data!$B:$B,$A39)</f>
        <v>583423</v>
      </c>
      <c r="G39">
        <f t="shared" si="0"/>
        <v>1235.7253298879546</v>
      </c>
      <c r="H39" cm="1">
        <f t="array" ref="H39">SUMPRODUCT((Final_Merged_Data!$B$2:$B$1000=$A39)*Final_Merged_Data!$H$2:$H$1000*Final_Merged_Data!$F$2:$F$1000)/F39</f>
        <v>4.09</v>
      </c>
      <c r="I39" cm="1">
        <f t="array" ref="I39">SUMPRODUCT((Final_Merged_Data!$B$2:$B$1000=$A39)*Final_Merged_Data!$I$2:$I$1000*Final_Merged_Data!$F$2:$F$1000)/F39</f>
        <v>74.23</v>
      </c>
      <c r="J39" t="str" cm="1">
        <f t="array" ref="J39">_xlfn.TEXTJOIN(", ",TRUE,_xlfn.UNIQUE(_xlfn._xlws.FILTER(Final_Merged_Data!$J$2:$J$1000,Final_Merged_Data!$B$2:$B$1000=$A39)))</f>
        <v>Rajshahi Range</v>
      </c>
      <c r="K39" cm="1">
        <f t="array" ref="K39">SUMPRODUCT((Final_Merged_Data!$B$2:$B$1000=$A39)*Final_Merged_Data!$K$2:$K$1000*Final_Merged_Data!$F$2:$F$1000)/F39</f>
        <v>112.81411131450233</v>
      </c>
      <c r="L39" cm="1">
        <f t="array" ref="L39">SUMPRODUCT((Final_Merged_Data!$B$2:$B$1000=$A39)*Final_Merged_Data!$L$2:$L$1000*Final_Merged_Data!$F$2:$F$1000)/F39</f>
        <v>14.272851259111949</v>
      </c>
      <c r="M39" t="str">
        <f>IF(COUNTIF(Master_Data!$C:$C,$A39)&gt;0,"Found","Missing")</f>
        <v>Found</v>
      </c>
      <c r="N39" t="str">
        <f>_xlfn.XLOOKUP($A39,Master_Data!$C:$C,Master_Data!$D:$D,"CHECK",0)</f>
        <v>Md. Nurul Islam</v>
      </c>
      <c r="O39" t="str">
        <f>_xlfn.XLOOKUP($A39,Master_Data!$C:$C,Master_Data!$E:$E,"CHECK",0)</f>
        <v>Jamaat</v>
      </c>
      <c r="P39">
        <f>_xlfn.XLOOKUP($A39,Master_Data!$C:$C,Master_Data!$F:$F,"CHECK",0)</f>
        <v>2</v>
      </c>
      <c r="Q39">
        <f>_xlfn.XLOOKUP($A39,Master_Data!$C:$C,Master_Data!$G:$G,"CHECK",0)</f>
        <v>189640</v>
      </c>
      <c r="R39">
        <f>IFERROR(_xlfn.XLOOKUP($A39,Master_Data!$C:$C,Master_Data!$H:$H,"CHECK",0),"")</f>
        <v>59.884361668198196</v>
      </c>
      <c r="S39" t="str">
        <f>_xlfn.XLOOKUP($A39,Master_Data!$C:$C,Master_Data!$I:$I,"CHECK",0)</f>
        <v>Harunur Rashid</v>
      </c>
      <c r="T39">
        <f>_xlfn.XLOOKUP($A39,Master_Data!$C:$C,Master_Data!$K:$K,"CHECK",0)</f>
        <v>127037</v>
      </c>
      <c r="U39">
        <f>IFERROR(_xlfn.XLOOKUP($A39,Master_Data!$C:$C,Master_Data!$L:$L,"CHECK",0),"")</f>
        <v>40.115638331801804</v>
      </c>
      <c r="V39">
        <f>_xlfn.XLOOKUP($A39,Master_Data!$C:$C,Master_Data!$M:$M,"CHECK",0)</f>
        <v>62603</v>
      </c>
      <c r="W39">
        <f>IFERROR(_xlfn.XLOOKUP($A39,Master_Data!$C:$C,Master_Data!$N:$N,"CHECK",0),"")</f>
        <v>19.768723336396391</v>
      </c>
      <c r="X39" t="str">
        <f>IFERROR(_xlfn.XLOOKUP($A39,Master_Data!$C:$C,Master_Data!$O:$O,"CHECK",0),"No Result")</f>
        <v>Safe Seat</v>
      </c>
      <c r="Y39">
        <f>_xlfn.XLOOKUP($A39,Master_Data!$C:$C,Master_Data!$P:$P,"CHECK",0)</f>
        <v>0</v>
      </c>
      <c r="Z39">
        <f t="shared" si="1"/>
        <v>1</v>
      </c>
    </row>
    <row r="40" spans="1:26">
      <c r="A40" t="str">
        <v>Chittagong-1</v>
      </c>
      <c r="B40" t="str" cm="1">
        <f t="array" ref="B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Nawabganj","Chapainawabganj"),Final_Merged_Data!$B$2:$B$1000=$A40)))</f>
        <v>Chittagong</v>
      </c>
      <c r="C40" t="str" cm="1">
        <f t="array" ref="C40">_xlfn.TEXTJOIN(", ",TRUE,_xlfn._xlws.FILTER(Final_Merged_Data!$C$2:$C$1000,Final_Merged_Data!$B$2:$B$1000=$A40))</f>
        <v>Mirsharai</v>
      </c>
      <c r="D40" cm="1">
        <f t="array" ref="D40">COUNTA(_xlfn._xlws.FILTER(Final_Merged_Data!$C$2:$C$1000,Final_Merged_Data!$B$2:$B$1000=$A40))</f>
        <v>1</v>
      </c>
      <c r="E40">
        <f>SUMIFS(Final_Merged_Data!$E:$E,Final_Merged_Data!$B:$B,$A40)</f>
        <v>324.13</v>
      </c>
      <c r="F40">
        <f>SUMIFS(Final_Merged_Data!$F:$F,Final_Merged_Data!$B:$B,$A40)</f>
        <v>472777</v>
      </c>
      <c r="G40">
        <f t="shared" si="0"/>
        <v>1458.6030296485978</v>
      </c>
      <c r="H40" cm="1">
        <f t="array" ref="H40">SUMPRODUCT((Final_Merged_Data!$B$2:$B$1000=$A40)*Final_Merged_Data!$H$2:$H$1000*Final_Merged_Data!$F$2:$F$1000)/F40</f>
        <v>4.1900000000000004</v>
      </c>
      <c r="I40" cm="1">
        <f t="array" ref="I40">SUMPRODUCT((Final_Merged_Data!$B$2:$B$1000=$A40)*Final_Merged_Data!$I$2:$I$1000*Final_Merged_Data!$F$2:$F$1000)/F40</f>
        <v>79.61</v>
      </c>
      <c r="J40" t="str" cm="1">
        <f t="array" ref="J40">_xlfn.TEXTJOIN(", ",TRUE,_xlfn.UNIQUE(_xlfn._xlws.FILTER(Final_Merged_Data!$J$2:$J$1000,Final_Merged_Data!$B$2:$B$1000=$A40)))</f>
        <v>Chittagong Range</v>
      </c>
      <c r="K40" cm="1">
        <f t="array" ref="K40">SUMPRODUCT((Final_Merged_Data!$B$2:$B$1000=$A40)*Final_Merged_Data!$K$2:$K$1000*Final_Merged_Data!$F$2:$F$1000)/F40</f>
        <v>84.879645400600893</v>
      </c>
      <c r="L40" cm="1">
        <f t="array" ref="L40">SUMPRODUCT((Final_Merged_Data!$B$2:$B$1000=$A40)*Final_Merged_Data!$L$2:$L$1000*Final_Merged_Data!$F$2:$F$1000)/F40</f>
        <v>10.309673910686193</v>
      </c>
      <c r="M40" t="str">
        <f>IF(COUNTIF(Master_Data!$C:$C,$A40)&gt;0,"Found","Missing")</f>
        <v>Found</v>
      </c>
      <c r="N40" t="str">
        <f>_xlfn.XLOOKUP($A40,Master_Data!$C:$C,Master_Data!$D:$D,"CHECK",0)</f>
        <v>Nurul Amin</v>
      </c>
      <c r="O40" t="str">
        <f>_xlfn.XLOOKUP($A40,Master_Data!$C:$C,Master_Data!$E:$E,"CHECK",0)</f>
        <v>BNP</v>
      </c>
      <c r="P40">
        <f>_xlfn.XLOOKUP($A40,Master_Data!$C:$C,Master_Data!$F:$F,"CHECK",0)</f>
        <v>1</v>
      </c>
      <c r="Q40">
        <f>_xlfn.XLOOKUP($A40,Master_Data!$C:$C,Master_Data!$G:$G,"CHECK",0)</f>
        <v>128799</v>
      </c>
      <c r="R40">
        <f>IFERROR(_xlfn.XLOOKUP($A40,Master_Data!$C:$C,Master_Data!$H:$H,"CHECK",0),"")</f>
        <v>60.373493580579087</v>
      </c>
      <c r="S40" t="str">
        <f>_xlfn.XLOOKUP($A40,Master_Data!$C:$C,Master_Data!$I:$I,"CHECK",0)</f>
        <v>Mohammad Shaifur Rahman</v>
      </c>
      <c r="T40">
        <f>_xlfn.XLOOKUP($A40,Master_Data!$C:$C,Master_Data!$K:$K,"CHECK",0)</f>
        <v>84538</v>
      </c>
      <c r="U40">
        <f>IFERROR(_xlfn.XLOOKUP($A40,Master_Data!$C:$C,Master_Data!$L:$L,"CHECK",0),"")</f>
        <v>39.626506419420913</v>
      </c>
      <c r="V40">
        <f>_xlfn.XLOOKUP($A40,Master_Data!$C:$C,Master_Data!$M:$M,"CHECK",0)</f>
        <v>44261</v>
      </c>
      <c r="W40">
        <f>IFERROR(_xlfn.XLOOKUP($A40,Master_Data!$C:$C,Master_Data!$N:$N,"CHECK",0),"")</f>
        <v>20.746987161158167</v>
      </c>
      <c r="X40" t="str">
        <f>IFERROR(_xlfn.XLOOKUP($A40,Master_Data!$C:$C,Master_Data!$O:$O,"CHECK",0),"No Result")</f>
        <v>Safe Seat</v>
      </c>
      <c r="Y40">
        <f>_xlfn.XLOOKUP($A40,Master_Data!$C:$C,Master_Data!$P:$P,"CHECK",0)</f>
        <v>0</v>
      </c>
      <c r="Z40">
        <f t="shared" si="1"/>
        <v>1</v>
      </c>
    </row>
    <row r="41" spans="1:26">
      <c r="A41" t="str">
        <v>Chittagong-10</v>
      </c>
      <c r="B41" t="str" cm="1">
        <f t="array" ref="B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Nawabganj","Chapainawabganj"),Final_Merged_Data!$B$2:$B$1000=$A41)))</f>
        <v>Chittagong</v>
      </c>
      <c r="C41" t="str" cm="1">
        <f t="array" ref="C41">_xlfn.TEXTJOIN(", ",TRUE,_xlfn._xlws.FILTER(Final_Merged_Data!$C$2:$C$1000,Final_Merged_Data!$B$2:$B$1000=$A41))</f>
        <v>Double Mooring</v>
      </c>
      <c r="D41" cm="1">
        <f t="array" ref="D41">COUNTA(_xlfn._xlws.FILTER(Final_Merged_Data!$C$2:$C$1000,Final_Merged_Data!$B$2:$B$1000=$A41))</f>
        <v>1</v>
      </c>
      <c r="E41">
        <f>SUMIFS(Final_Merged_Data!$E:$E,Final_Merged_Data!$B:$B,$A41)</f>
        <v>11.99</v>
      </c>
      <c r="F41">
        <f>SUMIFS(Final_Merged_Data!$F:$F,Final_Merged_Data!$B:$B,$A41)</f>
        <v>249327</v>
      </c>
      <c r="G41">
        <f t="shared" si="0"/>
        <v>20794.578815679732</v>
      </c>
      <c r="H41" cm="1">
        <f t="array" ref="H41">SUMPRODUCT((Final_Merged_Data!$B$2:$B$1000=$A41)*Final_Merged_Data!$H$2:$H$1000*Final_Merged_Data!$F$2:$F$1000)/F41</f>
        <v>4.0199999999999996</v>
      </c>
      <c r="I41" cm="1">
        <f t="array" ref="I41">SUMPRODUCT((Final_Merged_Data!$B$2:$B$1000=$A41)*Final_Merged_Data!$I$2:$I$1000*Final_Merged_Data!$F$2:$F$1000)/F41</f>
        <v>84.57</v>
      </c>
      <c r="J41" t="str" cm="1">
        <f t="array" ref="J41">_xlfn.TEXTJOIN(", ",TRUE,_xlfn.UNIQUE(_xlfn._xlws.FILTER(Final_Merged_Data!$J$2:$J$1000,Final_Merged_Data!$B$2:$B$1000=$A41)))</f>
        <v>Chittagong Range</v>
      </c>
      <c r="K41" cm="1">
        <f t="array" ref="K41">SUMPRODUCT((Final_Merged_Data!$B$2:$B$1000=$A41)*Final_Merged_Data!$K$2:$K$1000*Final_Merged_Data!$F$2:$F$1000)/F41</f>
        <v>84.879645400600893</v>
      </c>
      <c r="L41" cm="1">
        <f t="array" ref="L41">SUMPRODUCT((Final_Merged_Data!$B$2:$B$1000=$A41)*Final_Merged_Data!$L$2:$L$1000*Final_Merged_Data!$F$2:$F$1000)/F41</f>
        <v>10.309673910686193</v>
      </c>
      <c r="M41" t="str">
        <f>IF(COUNTIF(Master_Data!$C:$C,$A41)&gt;0,"Found","Missing")</f>
        <v>Found</v>
      </c>
      <c r="N41" t="str">
        <f>_xlfn.XLOOKUP($A41,Master_Data!$C:$C,Master_Data!$D:$D,"CHECK",0)</f>
        <v>Sayeed Al Noman</v>
      </c>
      <c r="O41" t="str">
        <f>_xlfn.XLOOKUP($A41,Master_Data!$C:$C,Master_Data!$E:$E,"CHECK",0)</f>
        <v>BNP</v>
      </c>
      <c r="P41">
        <f>_xlfn.XLOOKUP($A41,Master_Data!$C:$C,Master_Data!$F:$F,"CHECK",0)</f>
        <v>1</v>
      </c>
      <c r="Q41">
        <f>_xlfn.XLOOKUP($A41,Master_Data!$C:$C,Master_Data!$G:$G,"CHECK",0)</f>
        <v>122978</v>
      </c>
      <c r="R41">
        <f>IFERROR(_xlfn.XLOOKUP($A41,Master_Data!$C:$C,Master_Data!$H:$H,"CHECK",0),"")</f>
        <v>61.520683151823185</v>
      </c>
      <c r="S41" t="str">
        <f>_xlfn.XLOOKUP($A41,Master_Data!$C:$C,Master_Data!$I:$I,"CHECK",0)</f>
        <v>Muhammad Shamsuzzaman Helaly</v>
      </c>
      <c r="T41">
        <f>_xlfn.XLOOKUP($A41,Master_Data!$C:$C,Master_Data!$K:$K,"CHECK",0)</f>
        <v>76919</v>
      </c>
      <c r="U41">
        <f>IFERROR(_xlfn.XLOOKUP($A41,Master_Data!$C:$C,Master_Data!$L:$L,"CHECK",0),"")</f>
        <v>38.479316848176808</v>
      </c>
      <c r="V41">
        <f>_xlfn.XLOOKUP($A41,Master_Data!$C:$C,Master_Data!$M:$M,"CHECK",0)</f>
        <v>46059</v>
      </c>
      <c r="W41">
        <f>IFERROR(_xlfn.XLOOKUP($A41,Master_Data!$C:$C,Master_Data!$N:$N,"CHECK",0),"")</f>
        <v>23.041366303646377</v>
      </c>
      <c r="X41" t="str">
        <f>IFERROR(_xlfn.XLOOKUP($A41,Master_Data!$C:$C,Master_Data!$O:$O,"CHECK",0),"No Result")</f>
        <v>Safe Seat</v>
      </c>
      <c r="Y41">
        <f>_xlfn.XLOOKUP($A41,Master_Data!$C:$C,Master_Data!$P:$P,"CHECK",0)</f>
        <v>1</v>
      </c>
      <c r="Z41">
        <f t="shared" si="1"/>
        <v>1</v>
      </c>
    </row>
    <row r="42" spans="1:26">
      <c r="A42" t="str">
        <v>Chittagong-11</v>
      </c>
      <c r="B42" t="str" cm="1">
        <f t="array" ref="B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Nawabganj","Chapainawabganj"),Final_Merged_Data!$B$2:$B$1000=$A42)))</f>
        <v>Chittagong</v>
      </c>
      <c r="C42" t="str" cm="1">
        <f t="array" ref="C42">_xlfn.TEXTJOIN(", ",TRUE,_xlfn._xlws.FILTER(Final_Merged_Data!$C$2:$C$1000,Final_Merged_Data!$B$2:$B$1000=$A42))</f>
        <v>Bandar</v>
      </c>
      <c r="D42" cm="1">
        <f t="array" ref="D42">COUNTA(_xlfn._xlws.FILTER(Final_Merged_Data!$C$2:$C$1000,Final_Merged_Data!$B$2:$B$1000=$A42))</f>
        <v>1</v>
      </c>
      <c r="E42">
        <f>SUMIFS(Final_Merged_Data!$E:$E,Final_Merged_Data!$B:$B,$A42)</f>
        <v>55.84</v>
      </c>
      <c r="F42">
        <f>SUMIFS(Final_Merged_Data!$F:$F,Final_Merged_Data!$B:$B,$A42)</f>
        <v>204768</v>
      </c>
      <c r="G42">
        <f t="shared" si="0"/>
        <v>3667.048710601719</v>
      </c>
      <c r="H42" cm="1">
        <f t="array" ref="H42">SUMPRODUCT((Final_Merged_Data!$B$2:$B$1000=$A42)*Final_Merged_Data!$H$2:$H$1000*Final_Merged_Data!$F$2:$F$1000)/F42</f>
        <v>3.91</v>
      </c>
      <c r="I42" cm="1">
        <f t="array" ref="I42">SUMPRODUCT((Final_Merged_Data!$B$2:$B$1000=$A42)*Final_Merged_Data!$I$2:$I$1000*Final_Merged_Data!$F$2:$F$1000)/F42</f>
        <v>78.5</v>
      </c>
      <c r="J42" t="str" cm="1">
        <f t="array" ref="J42">_xlfn.TEXTJOIN(", ",TRUE,_xlfn.UNIQUE(_xlfn._xlws.FILTER(Final_Merged_Data!$J$2:$J$1000,Final_Merged_Data!$B$2:$B$1000=$A42)))</f>
        <v>Chittagong Range</v>
      </c>
      <c r="K42" cm="1">
        <f t="array" ref="K42">SUMPRODUCT((Final_Merged_Data!$B$2:$B$1000=$A42)*Final_Merged_Data!$K$2:$K$1000*Final_Merged_Data!$F$2:$F$1000)/F42</f>
        <v>84.879645400600893</v>
      </c>
      <c r="L42" cm="1">
        <f t="array" ref="L42">SUMPRODUCT((Final_Merged_Data!$B$2:$B$1000=$A42)*Final_Merged_Data!$L$2:$L$1000*Final_Merged_Data!$F$2:$F$1000)/F42</f>
        <v>10.309673910686193</v>
      </c>
      <c r="M42" t="str">
        <f>IF(COUNTIF(Master_Data!$C:$C,$A42)&gt;0,"Found","Missing")</f>
        <v>Found</v>
      </c>
      <c r="N42" t="str">
        <f>_xlfn.XLOOKUP($A42,Master_Data!$C:$C,Master_Data!$D:$D,"CHECK",0)</f>
        <v>Amir Khasru Mahmud Chowdhury</v>
      </c>
      <c r="O42" t="str">
        <f>_xlfn.XLOOKUP($A42,Master_Data!$C:$C,Master_Data!$E:$E,"CHECK",0)</f>
        <v>BNP</v>
      </c>
      <c r="P42">
        <f>_xlfn.XLOOKUP($A42,Master_Data!$C:$C,Master_Data!$F:$F,"CHECK",0)</f>
        <v>1</v>
      </c>
      <c r="Q42">
        <f>_xlfn.XLOOKUP($A42,Master_Data!$C:$C,Master_Data!$G:$G,"CHECK",0)</f>
        <v>115999</v>
      </c>
      <c r="R42">
        <f>IFERROR(_xlfn.XLOOKUP($A42,Master_Data!$C:$C,Master_Data!$H:$H,"CHECK",0),"")</f>
        <v>60.202927133070375</v>
      </c>
      <c r="S42" t="str">
        <f>_xlfn.XLOOKUP($A42,Master_Data!$C:$C,Master_Data!$I:$I,"CHECK",0)</f>
        <v>Mohammad Shafiul Alam</v>
      </c>
      <c r="T42">
        <f>_xlfn.XLOOKUP($A42,Master_Data!$C:$C,Master_Data!$K:$K,"CHECK",0)</f>
        <v>76681</v>
      </c>
      <c r="U42">
        <f>IFERROR(_xlfn.XLOOKUP($A42,Master_Data!$C:$C,Master_Data!$L:$L,"CHECK",0),"")</f>
        <v>39.797072866929625</v>
      </c>
      <c r="V42">
        <f>_xlfn.XLOOKUP($A42,Master_Data!$C:$C,Master_Data!$M:$M,"CHECK",0)</f>
        <v>39318</v>
      </c>
      <c r="W42">
        <f>IFERROR(_xlfn.XLOOKUP($A42,Master_Data!$C:$C,Master_Data!$N:$N,"CHECK",0),"")</f>
        <v>20.405854266140754</v>
      </c>
      <c r="X42" t="str">
        <f>IFERROR(_xlfn.XLOOKUP($A42,Master_Data!$C:$C,Master_Data!$O:$O,"CHECK",0),"No Result")</f>
        <v>Safe Seat</v>
      </c>
      <c r="Y42">
        <f>_xlfn.XLOOKUP($A42,Master_Data!$C:$C,Master_Data!$P:$P,"CHECK",0)</f>
        <v>1</v>
      </c>
      <c r="Z42">
        <f t="shared" si="1"/>
        <v>1</v>
      </c>
    </row>
    <row r="43" spans="1:26">
      <c r="A43" t="str">
        <v>Chittagong-12</v>
      </c>
      <c r="B43" t="str" cm="1">
        <f t="array" ref="B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Nawabganj","Chapainawabganj"),Final_Merged_Data!$B$2:$B$1000=$A43)))</f>
        <v>Chittagong</v>
      </c>
      <c r="C43" t="str" cm="1">
        <f t="array" ref="C43">_xlfn.TEXTJOIN(", ",TRUE,_xlfn._xlws.FILTER(Final_Merged_Data!$C$2:$C$1000,Final_Merged_Data!$B$2:$B$1000=$A43))</f>
        <v>Patiya</v>
      </c>
      <c r="D43" cm="1">
        <f t="array" ref="D43">COUNTA(_xlfn._xlws.FILTER(Final_Merged_Data!$C$2:$C$1000,Final_Merged_Data!$B$2:$B$1000=$A43))</f>
        <v>1</v>
      </c>
      <c r="E43">
        <f>SUMIFS(Final_Merged_Data!$E:$E,Final_Merged_Data!$B:$B,$A43)</f>
        <v>203.92</v>
      </c>
      <c r="F43">
        <f>SUMIFS(Final_Merged_Data!$F:$F,Final_Merged_Data!$B:$B,$A43)</f>
        <v>397672</v>
      </c>
      <c r="G43">
        <f t="shared" si="0"/>
        <v>1950.137308748529</v>
      </c>
      <c r="H43" cm="1">
        <f t="array" ref="H43">SUMPRODUCT((Final_Merged_Data!$B$2:$B$1000=$A43)*Final_Merged_Data!$H$2:$H$1000*Final_Merged_Data!$F$2:$F$1000)/F43</f>
        <v>4.4800000000000004</v>
      </c>
      <c r="I43" cm="1">
        <f t="array" ref="I43">SUMPRODUCT((Final_Merged_Data!$B$2:$B$1000=$A43)*Final_Merged_Data!$I$2:$I$1000*Final_Merged_Data!$F$2:$F$1000)/F43</f>
        <v>81.099999999999994</v>
      </c>
      <c r="J43" t="str" cm="1">
        <f t="array" ref="J43">_xlfn.TEXTJOIN(", ",TRUE,_xlfn.UNIQUE(_xlfn._xlws.FILTER(Final_Merged_Data!$J$2:$J$1000,Final_Merged_Data!$B$2:$B$1000=$A43)))</f>
        <v>Chittagong Range</v>
      </c>
      <c r="K43" cm="1">
        <f t="array" ref="K43">SUMPRODUCT((Final_Merged_Data!$B$2:$B$1000=$A43)*Final_Merged_Data!$K$2:$K$1000*Final_Merged_Data!$F$2:$F$1000)/F43</f>
        <v>84.879645400600907</v>
      </c>
      <c r="L43" cm="1">
        <f t="array" ref="L43">SUMPRODUCT((Final_Merged_Data!$B$2:$B$1000=$A43)*Final_Merged_Data!$L$2:$L$1000*Final_Merged_Data!$F$2:$F$1000)/F43</f>
        <v>10.309673910686193</v>
      </c>
      <c r="M43" t="str">
        <f>IF(COUNTIF(Master_Data!$C:$C,$A43)&gt;0,"Found","Missing")</f>
        <v>Found</v>
      </c>
      <c r="N43" t="str">
        <f>_xlfn.XLOOKUP($A43,Master_Data!$C:$C,Master_Data!$D:$D,"CHECK",0)</f>
        <v>Mohammad Enamul Haque</v>
      </c>
      <c r="O43" t="str">
        <f>_xlfn.XLOOKUP($A43,Master_Data!$C:$C,Master_Data!$E:$E,"CHECK",0)</f>
        <v>BNP</v>
      </c>
      <c r="P43">
        <f>_xlfn.XLOOKUP($A43,Master_Data!$C:$C,Master_Data!$F:$F,"CHECK",0)</f>
        <v>1</v>
      </c>
      <c r="Q43">
        <f>_xlfn.XLOOKUP($A43,Master_Data!$C:$C,Master_Data!$G:$G,"CHECK",0)</f>
        <v>135044</v>
      </c>
      <c r="R43">
        <f>IFERROR(_xlfn.XLOOKUP($A43,Master_Data!$C:$C,Master_Data!$H:$H,"CHECK",0),"")</f>
        <v>82.32231792883573</v>
      </c>
      <c r="S43" t="str">
        <f>_xlfn.XLOOKUP($A43,Master_Data!$C:$C,Master_Data!$I:$I,"CHECK",0)</f>
        <v>Syed Air Mohammad Payaru</v>
      </c>
      <c r="T43">
        <f>_xlfn.XLOOKUP($A43,Master_Data!$C:$C,Master_Data!$K:$K,"CHECK",0)</f>
        <v>28999</v>
      </c>
      <c r="U43">
        <f>IFERROR(_xlfn.XLOOKUP($A43,Master_Data!$C:$C,Master_Data!$L:$L,"CHECK",0),"")</f>
        <v>17.67768207116427</v>
      </c>
      <c r="V43">
        <f>_xlfn.XLOOKUP($A43,Master_Data!$C:$C,Master_Data!$M:$M,"CHECK",0)</f>
        <v>106045</v>
      </c>
      <c r="W43">
        <f>IFERROR(_xlfn.XLOOKUP($A43,Master_Data!$C:$C,Master_Data!$N:$N,"CHECK",0),"")</f>
        <v>64.64463585767146</v>
      </c>
      <c r="X43" t="str">
        <f>IFERROR(_xlfn.XLOOKUP($A43,Master_Data!$C:$C,Master_Data!$O:$O,"CHECK",0),"No Result")</f>
        <v>Safe Seat</v>
      </c>
      <c r="Y43">
        <f>_xlfn.XLOOKUP($A43,Master_Data!$C:$C,Master_Data!$P:$P,"CHECK",0)</f>
        <v>0</v>
      </c>
      <c r="Z43">
        <f t="shared" si="1"/>
        <v>1</v>
      </c>
    </row>
    <row r="44" spans="1:26">
      <c r="A44" t="str">
        <v>Chittagong-13</v>
      </c>
      <c r="B44" t="str" cm="1">
        <f t="array" ref="B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Nawabganj","Chapainawabganj"),Final_Merged_Data!$B$2:$B$1000=$A44)))</f>
        <v>Chittagong</v>
      </c>
      <c r="C44" t="str" cm="1">
        <f t="array" ref="C44">_xlfn.TEXTJOIN(", ",TRUE,_xlfn._xlws.FILTER(Final_Merged_Data!$C$2:$C$1000,Final_Merged_Data!$B$2:$B$1000=$A44))</f>
        <v>Anwara, Karnaphuli</v>
      </c>
      <c r="D44" cm="1">
        <f t="array" ref="D44">COUNTA(_xlfn._xlws.FILTER(Final_Merged_Data!$C$2:$C$1000,Final_Merged_Data!$B$2:$B$1000=$A44))</f>
        <v>2</v>
      </c>
      <c r="E44">
        <f>SUMIFS(Final_Merged_Data!$E:$E,Final_Merged_Data!$B:$B,$A44)</f>
        <v>264</v>
      </c>
      <c r="F44">
        <f>SUMIFS(Final_Merged_Data!$F:$F,Final_Merged_Data!$B:$B,$A44)</f>
        <v>523179</v>
      </c>
      <c r="G44">
        <f t="shared" si="0"/>
        <v>1981.7386363636363</v>
      </c>
      <c r="H44" cm="1">
        <f t="array" ref="H44">SUMPRODUCT((Final_Merged_Data!$B$2:$B$1000=$A44)*Final_Merged_Data!$H$2:$H$1000*Final_Merged_Data!$F$2:$F$1000)/F44</f>
        <v>4.5772541329067105</v>
      </c>
      <c r="I44" cm="1">
        <f t="array" ref="I44">SUMPRODUCT((Final_Merged_Data!$B$2:$B$1000=$A44)*Final_Merged_Data!$I$2:$I$1000*Final_Merged_Data!$F$2:$F$1000)/F44</f>
        <v>76.386680944762688</v>
      </c>
      <c r="J44" t="str" cm="1">
        <f t="array" ref="J44">_xlfn.TEXTJOIN(", ",TRUE,_xlfn.UNIQUE(_xlfn._xlws.FILTER(Final_Merged_Data!$J$2:$J$1000,Final_Merged_Data!$B$2:$B$1000=$A44)))</f>
        <v>Chittagong Range</v>
      </c>
      <c r="K44" cm="1">
        <f t="array" ref="K44">SUMPRODUCT((Final_Merged_Data!$B$2:$B$1000=$A44)*Final_Merged_Data!$K$2:$K$1000*Final_Merged_Data!$F$2:$F$1000)/F44</f>
        <v>84.879645400600907</v>
      </c>
      <c r="L44" cm="1">
        <f t="array" ref="L44">SUMPRODUCT((Final_Merged_Data!$B$2:$B$1000=$A44)*Final_Merged_Data!$L$2:$L$1000*Final_Merged_Data!$F$2:$F$1000)/F44</f>
        <v>10.309673910686191</v>
      </c>
      <c r="M44" t="str">
        <f>IF(COUNTIF(Master_Data!$C:$C,$A44)&gt;0,"Found","Missing")</f>
        <v>Found</v>
      </c>
      <c r="N44" t="str">
        <f>_xlfn.XLOOKUP($A44,Master_Data!$C:$C,Master_Data!$D:$D,"CHECK",0)</f>
        <v>Sarwar Jamal Nizam</v>
      </c>
      <c r="O44" t="str">
        <f>_xlfn.XLOOKUP($A44,Master_Data!$C:$C,Master_Data!$E:$E,"CHECK",0)</f>
        <v>BNP</v>
      </c>
      <c r="P44">
        <f>_xlfn.XLOOKUP($A44,Master_Data!$C:$C,Master_Data!$F:$F,"CHECK",0)</f>
        <v>1</v>
      </c>
      <c r="Q44">
        <f>_xlfn.XLOOKUP($A44,Master_Data!$C:$C,Master_Data!$G:$G,"CHECK",0)</f>
        <v>126192</v>
      </c>
      <c r="R44">
        <f>IFERROR(_xlfn.XLOOKUP($A44,Master_Data!$C:$C,Master_Data!$H:$H,"CHECK",0),"")</f>
        <v>71.037254703279629</v>
      </c>
      <c r="S44" t="str">
        <f>_xlfn.XLOOKUP($A44,Master_Data!$C:$C,Master_Data!$I:$I,"CHECK",0)</f>
        <v>S. M. Shah Jahan</v>
      </c>
      <c r="T44">
        <f>_xlfn.XLOOKUP($A44,Master_Data!$C:$C,Master_Data!$K:$K,"CHECK",0)</f>
        <v>51450</v>
      </c>
      <c r="U44">
        <f>IFERROR(_xlfn.XLOOKUP($A44,Master_Data!$C:$C,Master_Data!$L:$L,"CHECK",0),"")</f>
        <v>28.962745296720371</v>
      </c>
      <c r="V44">
        <f>_xlfn.XLOOKUP($A44,Master_Data!$C:$C,Master_Data!$M:$M,"CHECK",0)</f>
        <v>74742</v>
      </c>
      <c r="W44">
        <f>IFERROR(_xlfn.XLOOKUP($A44,Master_Data!$C:$C,Master_Data!$N:$N,"CHECK",0),"")</f>
        <v>42.074509406559258</v>
      </c>
      <c r="X44" t="str">
        <f>IFERROR(_xlfn.XLOOKUP($A44,Master_Data!$C:$C,Master_Data!$O:$O,"CHECK",0),"No Result")</f>
        <v>Safe Seat</v>
      </c>
      <c r="Y44">
        <f>_xlfn.XLOOKUP($A44,Master_Data!$C:$C,Master_Data!$P:$P,"CHECK",0)</f>
        <v>0</v>
      </c>
      <c r="Z44">
        <f t="shared" si="1"/>
        <v>1</v>
      </c>
    </row>
    <row r="45" spans="1:26">
      <c r="A45" t="str">
        <v>Chittagong-14</v>
      </c>
      <c r="B45" t="str" cm="1">
        <f t="array" ref="B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Nawabganj","Chapainawabganj"),Final_Merged_Data!$B$2:$B$1000=$A45)))</f>
        <v>Chittagong</v>
      </c>
      <c r="C45" t="str" cm="1">
        <f t="array" ref="C45">_xlfn.TEXTJOIN(", ",TRUE,_xlfn._xlws.FILTER(Final_Merged_Data!$C$2:$C$1000,Final_Merged_Data!$B$2:$B$1000=$A45))</f>
        <v>Chandanaish, Satkania</v>
      </c>
      <c r="D45" cm="1">
        <f t="array" ref="D45">COUNTA(_xlfn._xlws.FILTER(Final_Merged_Data!$C$2:$C$1000,Final_Merged_Data!$B$2:$B$1000=$A45))</f>
        <v>2</v>
      </c>
      <c r="E45">
        <f>SUMIFS(Final_Merged_Data!$E:$E,Final_Merged_Data!$B:$B,$A45)</f>
        <v>736.82999999999993</v>
      </c>
      <c r="F45">
        <f>SUMIFS(Final_Merged_Data!$F:$F,Final_Merged_Data!$B:$B,$A45)</f>
        <v>706289</v>
      </c>
      <c r="G45">
        <f t="shared" si="0"/>
        <v>958.55081904917017</v>
      </c>
      <c r="H45" cm="1">
        <f t="array" ref="H45">SUMPRODUCT((Final_Merged_Data!$B$2:$B$1000=$A45)*Final_Merged_Data!$H$2:$H$1000*Final_Merged_Data!$F$2:$F$1000)/F45</f>
        <v>4.4335713142920259</v>
      </c>
      <c r="I45" cm="1">
        <f t="array" ref="I45">SUMPRODUCT((Final_Merged_Data!$B$2:$B$1000=$A45)*Final_Merged_Data!$I$2:$I$1000*Final_Merged_Data!$F$2:$F$1000)/F45</f>
        <v>80.429298856417134</v>
      </c>
      <c r="J45" t="str" cm="1">
        <f t="array" ref="J45">_xlfn.TEXTJOIN(", ",TRUE,_xlfn.UNIQUE(_xlfn._xlws.FILTER(Final_Merged_Data!$J$2:$J$1000,Final_Merged_Data!$B$2:$B$1000=$A45)))</f>
        <v>Chittagong Range</v>
      </c>
      <c r="K45" cm="1">
        <f t="array" ref="K45">SUMPRODUCT((Final_Merged_Data!$B$2:$B$1000=$A45)*Final_Merged_Data!$K$2:$K$1000*Final_Merged_Data!$F$2:$F$1000)/F45</f>
        <v>84.879645400600893</v>
      </c>
      <c r="L45" cm="1">
        <f t="array" ref="L45">SUMPRODUCT((Final_Merged_Data!$B$2:$B$1000=$A45)*Final_Merged_Data!$L$2:$L$1000*Final_Merged_Data!$F$2:$F$1000)/F45</f>
        <v>10.309673910686193</v>
      </c>
      <c r="M45" t="str">
        <f>IF(COUNTIF(Master_Data!$C:$C,$A45)&gt;0,"Found","Missing")</f>
        <v>Found</v>
      </c>
      <c r="N45" t="str">
        <f>_xlfn.XLOOKUP($A45,Master_Data!$C:$C,Master_Data!$D:$D,"CHECK",0)</f>
        <v>Jashim Uddin Ahammed</v>
      </c>
      <c r="O45" t="str">
        <f>_xlfn.XLOOKUP($A45,Master_Data!$C:$C,Master_Data!$E:$E,"CHECK",0)</f>
        <v>BNP</v>
      </c>
      <c r="P45">
        <f>_xlfn.XLOOKUP($A45,Master_Data!$C:$C,Master_Data!$F:$F,"CHECK",0)</f>
        <v>1</v>
      </c>
      <c r="Q45">
        <f>_xlfn.XLOOKUP($A45,Master_Data!$C:$C,Master_Data!$G:$G,"CHECK",0)</f>
        <v>76493</v>
      </c>
      <c r="R45">
        <f>IFERROR(_xlfn.XLOOKUP($A45,Master_Data!$C:$C,Master_Data!$H:$H,"CHECK",0),"")</f>
        <v>50.337588839168198</v>
      </c>
      <c r="S45" t="str">
        <f>_xlfn.XLOOKUP($A45,Master_Data!$C:$C,Master_Data!$I:$I,"CHECK",0)</f>
        <v>Omar Farooq</v>
      </c>
      <c r="T45">
        <f>_xlfn.XLOOKUP($A45,Master_Data!$C:$C,Master_Data!$K:$K,"CHECK",0)</f>
        <v>75467</v>
      </c>
      <c r="U45">
        <f>IFERROR(_xlfn.XLOOKUP($A45,Master_Data!$C:$C,Master_Data!$L:$L,"CHECK",0),"")</f>
        <v>49.662411160831802</v>
      </c>
      <c r="V45">
        <f>_xlfn.XLOOKUP($A45,Master_Data!$C:$C,Master_Data!$M:$M,"CHECK",0)</f>
        <v>1026</v>
      </c>
      <c r="W45">
        <f>IFERROR(_xlfn.XLOOKUP($A45,Master_Data!$C:$C,Master_Data!$N:$N,"CHECK",0),"")</f>
        <v>0.6751776783364043</v>
      </c>
      <c r="X45" t="str">
        <f>IFERROR(_xlfn.XLOOKUP($A45,Master_Data!$C:$C,Master_Data!$O:$O,"CHECK",0),"No Result")</f>
        <v>Highly Competitive</v>
      </c>
      <c r="Y45">
        <f>_xlfn.XLOOKUP($A45,Master_Data!$C:$C,Master_Data!$P:$P,"CHECK",0)</f>
        <v>0</v>
      </c>
      <c r="Z45">
        <f t="shared" si="1"/>
        <v>1</v>
      </c>
    </row>
    <row r="46" spans="1:26">
      <c r="A46" t="str">
        <v>Chittagong-15</v>
      </c>
      <c r="B46" t="str" cm="1">
        <f t="array" ref="B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Nawabganj","Chapainawabganj"),Final_Merged_Data!$B$2:$B$1000=$A46)))</f>
        <v>Chittagong</v>
      </c>
      <c r="C46" t="str" cm="1">
        <f t="array" ref="C46">_xlfn.TEXTJOIN(", ",TRUE,_xlfn._xlws.FILTER(Final_Merged_Data!$C$2:$C$1000,Final_Merged_Data!$B$2:$B$1000=$A46))</f>
        <v>Lohagara</v>
      </c>
      <c r="D46" cm="1">
        <f t="array" ref="D46">COUNTA(_xlfn._xlws.FILTER(Final_Merged_Data!$C$2:$C$1000,Final_Merged_Data!$B$2:$B$1000=$A46))</f>
        <v>1</v>
      </c>
      <c r="E46">
        <f>SUMIFS(Final_Merged_Data!$E:$E,Final_Merged_Data!$B:$B,$A46)</f>
        <v>258.87</v>
      </c>
      <c r="F46">
        <f>SUMIFS(Final_Merged_Data!$F:$F,Final_Merged_Data!$B:$B,$A46)</f>
        <v>328206</v>
      </c>
      <c r="G46">
        <f t="shared" si="0"/>
        <v>1267.8410012747711</v>
      </c>
      <c r="H46" cm="1">
        <f t="array" ref="H46">SUMPRODUCT((Final_Merged_Data!$B$2:$B$1000=$A46)*Final_Merged_Data!$H$2:$H$1000*Final_Merged_Data!$F$2:$F$1000)/F46</f>
        <v>4.5</v>
      </c>
      <c r="I46" cm="1">
        <f t="array" ref="I46">SUMPRODUCT((Final_Merged_Data!$B$2:$B$1000=$A46)*Final_Merged_Data!$I$2:$I$1000*Final_Merged_Data!$F$2:$F$1000)/F46</f>
        <v>82.41</v>
      </c>
      <c r="J46" t="str" cm="1">
        <f t="array" ref="J46">_xlfn.TEXTJOIN(", ",TRUE,_xlfn.UNIQUE(_xlfn._xlws.FILTER(Final_Merged_Data!$J$2:$J$1000,Final_Merged_Data!$B$2:$B$1000=$A46)))</f>
        <v>Chittagong Range</v>
      </c>
      <c r="K46" cm="1">
        <f t="array" ref="K46">SUMPRODUCT((Final_Merged_Data!$B$2:$B$1000=$A46)*Final_Merged_Data!$K$2:$K$1000*Final_Merged_Data!$F$2:$F$1000)/F46</f>
        <v>84.879645400600893</v>
      </c>
      <c r="L46" cm="1">
        <f t="array" ref="L46">SUMPRODUCT((Final_Merged_Data!$B$2:$B$1000=$A46)*Final_Merged_Data!$L$2:$L$1000*Final_Merged_Data!$F$2:$F$1000)/F46</f>
        <v>10.309673910686193</v>
      </c>
      <c r="M46" t="str">
        <f>IF(COUNTIF(Master_Data!$C:$C,$A46)&gt;0,"Found","Missing")</f>
        <v>Found</v>
      </c>
      <c r="N46" t="str">
        <f>_xlfn.XLOOKUP($A46,Master_Data!$C:$C,Master_Data!$D:$D,"CHECK",0)</f>
        <v>Shajahan Chowdhury</v>
      </c>
      <c r="O46" t="str">
        <f>_xlfn.XLOOKUP($A46,Master_Data!$C:$C,Master_Data!$E:$E,"CHECK",0)</f>
        <v>Jamaat</v>
      </c>
      <c r="P46">
        <f>_xlfn.XLOOKUP($A46,Master_Data!$C:$C,Master_Data!$F:$F,"CHECK",0)</f>
        <v>2</v>
      </c>
      <c r="Q46">
        <f>_xlfn.XLOOKUP($A46,Master_Data!$C:$C,Master_Data!$G:$G,"CHECK",0)</f>
        <v>172061</v>
      </c>
      <c r="R46">
        <f>IFERROR(_xlfn.XLOOKUP($A46,Master_Data!$C:$C,Master_Data!$H:$H,"CHECK",0),"")</f>
        <v>57.528938164942524</v>
      </c>
      <c r="S46" t="str">
        <f>_xlfn.XLOOKUP($A46,Master_Data!$C:$C,Master_Data!$I:$I,"CHECK",0)</f>
        <v>Nazmul Mustafa Amin</v>
      </c>
      <c r="T46">
        <f>_xlfn.XLOOKUP($A46,Master_Data!$C:$C,Master_Data!$K:$K,"CHECK",0)</f>
        <v>127025</v>
      </c>
      <c r="U46">
        <f>IFERROR(_xlfn.XLOOKUP($A46,Master_Data!$C:$C,Master_Data!$L:$L,"CHECK",0),"")</f>
        <v>42.471061835057476</v>
      </c>
      <c r="V46">
        <f>_xlfn.XLOOKUP($A46,Master_Data!$C:$C,Master_Data!$M:$M,"CHECK",0)</f>
        <v>50577</v>
      </c>
      <c r="W46">
        <f>IFERROR(_xlfn.XLOOKUP($A46,Master_Data!$C:$C,Master_Data!$N:$N,"CHECK",0),"")</f>
        <v>15.057876329885051</v>
      </c>
      <c r="X46" t="str">
        <f>IFERROR(_xlfn.XLOOKUP($A46,Master_Data!$C:$C,Master_Data!$O:$O,"CHECK",0),"No Result")</f>
        <v>Safe Seat</v>
      </c>
      <c r="Y46">
        <f>_xlfn.XLOOKUP($A46,Master_Data!$C:$C,Master_Data!$P:$P,"CHECK",0)</f>
        <v>0</v>
      </c>
      <c r="Z46">
        <f t="shared" si="1"/>
        <v>1</v>
      </c>
    </row>
    <row r="47" spans="1:26">
      <c r="A47" t="str">
        <v>Chittagong-16</v>
      </c>
      <c r="B47" t="str" cm="1">
        <f t="array" ref="B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Nawabganj","Chapainawabganj"),Final_Merged_Data!$B$2:$B$1000=$A47)))</f>
        <v>Chittagong</v>
      </c>
      <c r="C47" t="str" cm="1">
        <f t="array" ref="C47">_xlfn.TEXTJOIN(", ",TRUE,_xlfn._xlws.FILTER(Final_Merged_Data!$C$2:$C$1000,Final_Merged_Data!$B$2:$B$1000=$A47))</f>
        <v>Banshkhali</v>
      </c>
      <c r="D47" cm="1">
        <f t="array" ref="D47">COUNTA(_xlfn._xlws.FILTER(Final_Merged_Data!$C$2:$C$1000,Final_Merged_Data!$B$2:$B$1000=$A47))</f>
        <v>1</v>
      </c>
      <c r="E47">
        <f>SUMIFS(Final_Merged_Data!$E:$E,Final_Merged_Data!$B:$B,$A47)</f>
        <v>390.5</v>
      </c>
      <c r="F47">
        <f>SUMIFS(Final_Merged_Data!$F:$F,Final_Merged_Data!$B:$B,$A47)</f>
        <v>537555</v>
      </c>
      <c r="G47">
        <f t="shared" si="0"/>
        <v>1376.5813060179257</v>
      </c>
      <c r="H47" cm="1">
        <f t="array" ref="H47">SUMPRODUCT((Final_Merged_Data!$B$2:$B$1000=$A47)*Final_Merged_Data!$H$2:$H$1000*Final_Merged_Data!$F$2:$F$1000)/F47</f>
        <v>4.75</v>
      </c>
      <c r="I47" cm="1">
        <f t="array" ref="I47">SUMPRODUCT((Final_Merged_Data!$B$2:$B$1000=$A47)*Final_Merged_Data!$I$2:$I$1000*Final_Merged_Data!$F$2:$F$1000)/F47</f>
        <v>71.319999999999993</v>
      </c>
      <c r="J47" t="str" cm="1">
        <f t="array" ref="J47">_xlfn.TEXTJOIN(", ",TRUE,_xlfn.UNIQUE(_xlfn._xlws.FILTER(Final_Merged_Data!$J$2:$J$1000,Final_Merged_Data!$B$2:$B$1000=$A47)))</f>
        <v>Chittagong Range</v>
      </c>
      <c r="K47" cm="1">
        <f t="array" ref="K47">SUMPRODUCT((Final_Merged_Data!$B$2:$B$1000=$A47)*Final_Merged_Data!$K$2:$K$1000*Final_Merged_Data!$F$2:$F$1000)/F47</f>
        <v>84.879645400600893</v>
      </c>
      <c r="L47" cm="1">
        <f t="array" ref="L47">SUMPRODUCT((Final_Merged_Data!$B$2:$B$1000=$A47)*Final_Merged_Data!$L$2:$L$1000*Final_Merged_Data!$F$2:$F$1000)/F47</f>
        <v>10.309673910686193</v>
      </c>
      <c r="M47" t="str">
        <f>IF(COUNTIF(Master_Data!$C:$C,$A47)&gt;0,"Found","Missing")</f>
        <v>Found</v>
      </c>
      <c r="N47" t="str">
        <f>_xlfn.XLOOKUP($A47,Master_Data!$C:$C,Master_Data!$D:$D,"CHECK",0)</f>
        <v>Mohammad Zahirul Islam</v>
      </c>
      <c r="O47" t="str">
        <f>_xlfn.XLOOKUP($A47,Master_Data!$C:$C,Master_Data!$E:$E,"CHECK",0)</f>
        <v>Jamaat</v>
      </c>
      <c r="P47">
        <f>_xlfn.XLOOKUP($A47,Master_Data!$C:$C,Master_Data!$F:$F,"CHECK",0)</f>
        <v>2</v>
      </c>
      <c r="Q47">
        <f>_xlfn.XLOOKUP($A47,Master_Data!$C:$C,Master_Data!$G:$G,"CHECK",0)</f>
        <v>93167</v>
      </c>
      <c r="R47">
        <f>IFERROR(_xlfn.XLOOKUP($A47,Master_Data!$C:$C,Master_Data!$H:$H,"CHECK",0),"")</f>
        <v>52.854111827176183</v>
      </c>
      <c r="S47" t="str">
        <f>_xlfn.XLOOKUP($A47,Master_Data!$C:$C,Master_Data!$I:$I,"CHECK",0)</f>
        <v>Miskatul Islam Chowdhury</v>
      </c>
      <c r="T47">
        <f>_xlfn.XLOOKUP($A47,Master_Data!$C:$C,Master_Data!$K:$K,"CHECK",0)</f>
        <v>83105</v>
      </c>
      <c r="U47">
        <f>IFERROR(_xlfn.XLOOKUP($A47,Master_Data!$C:$C,Master_Data!$L:$L,"CHECK",0),"")</f>
        <v>47.145888172823817</v>
      </c>
      <c r="V47">
        <f>_xlfn.XLOOKUP($A47,Master_Data!$C:$C,Master_Data!$M:$M,"CHECK",0)</f>
        <v>10062</v>
      </c>
      <c r="W47">
        <f>IFERROR(_xlfn.XLOOKUP($A47,Master_Data!$C:$C,Master_Data!$N:$N,"CHECK",0),"")</f>
        <v>5.7082236543523646</v>
      </c>
      <c r="X47" t="str">
        <f>IFERROR(_xlfn.XLOOKUP($A47,Master_Data!$C:$C,Master_Data!$O:$O,"CHECK",0),"No Result")</f>
        <v>Safe Seat</v>
      </c>
      <c r="Y47">
        <f>_xlfn.XLOOKUP($A47,Master_Data!$C:$C,Master_Data!$P:$P,"CHECK",0)</f>
        <v>0</v>
      </c>
      <c r="Z47">
        <f t="shared" si="1"/>
        <v>1</v>
      </c>
    </row>
    <row r="48" spans="1:26">
      <c r="A48" t="str">
        <v>Chittagong-2</v>
      </c>
      <c r="B48" t="str" cm="1">
        <f t="array" ref="B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Nawabganj","Chapainawabganj"),Final_Merged_Data!$B$2:$B$1000=$A48)))</f>
        <v>Chittagong</v>
      </c>
      <c r="C48" t="str" cm="1">
        <f t="array" ref="C48">_xlfn.TEXTJOIN(", ",TRUE,_xlfn._xlws.FILTER(Final_Merged_Data!$C$2:$C$1000,Final_Merged_Data!$B$2:$B$1000=$A48))</f>
        <v>Fatikchhari</v>
      </c>
      <c r="D48" cm="1">
        <f t="array" ref="D48">COUNTA(_xlfn._xlws.FILTER(Final_Merged_Data!$C$2:$C$1000,Final_Merged_Data!$B$2:$B$1000=$A48))</f>
        <v>1</v>
      </c>
      <c r="E48">
        <f>SUMIFS(Final_Merged_Data!$E:$E,Final_Merged_Data!$B:$B,$A48)</f>
        <v>773.55</v>
      </c>
      <c r="F48">
        <f>SUMIFS(Final_Merged_Data!$F:$F,Final_Merged_Data!$B:$B,$A48)</f>
        <v>642076</v>
      </c>
      <c r="G48">
        <f t="shared" si="0"/>
        <v>830.03813586710623</v>
      </c>
      <c r="H48" cm="1">
        <f t="array" ref="H48">SUMPRODUCT((Final_Merged_Data!$B$2:$B$1000=$A48)*Final_Merged_Data!$H$2:$H$1000*Final_Merged_Data!$F$2:$F$1000)/F48</f>
        <v>4.3899999999999997</v>
      </c>
      <c r="I48" cm="1">
        <f t="array" ref="I48">SUMPRODUCT((Final_Merged_Data!$B$2:$B$1000=$A48)*Final_Merged_Data!$I$2:$I$1000*Final_Merged_Data!$F$2:$F$1000)/F48</f>
        <v>76.11</v>
      </c>
      <c r="J48" t="str" cm="1">
        <f t="array" ref="J48">_xlfn.TEXTJOIN(", ",TRUE,_xlfn.UNIQUE(_xlfn._xlws.FILTER(Final_Merged_Data!$J$2:$J$1000,Final_Merged_Data!$B$2:$B$1000=$A48)))</f>
        <v>Chittagong Range</v>
      </c>
      <c r="K48" cm="1">
        <f t="array" ref="K48">SUMPRODUCT((Final_Merged_Data!$B$2:$B$1000=$A48)*Final_Merged_Data!$K$2:$K$1000*Final_Merged_Data!$F$2:$F$1000)/F48</f>
        <v>84.879645400600893</v>
      </c>
      <c r="L48" cm="1">
        <f t="array" ref="L48">SUMPRODUCT((Final_Merged_Data!$B$2:$B$1000=$A48)*Final_Merged_Data!$L$2:$L$1000*Final_Merged_Data!$F$2:$F$1000)/F48</f>
        <v>10.309673910686193</v>
      </c>
      <c r="M48" t="str">
        <f>IF(COUNTIF(Master_Data!$C:$C,$A48)&gt;0,"Found","Missing")</f>
        <v>Found</v>
      </c>
      <c r="N48" t="str">
        <f>_xlfn.XLOOKUP($A48,Master_Data!$C:$C,Master_Data!$D:$D,"CHECK",0)</f>
        <v>Result withhold by Bangladesh Supreme Court.[211]</v>
      </c>
      <c r="O48" t="str">
        <f>_xlfn.XLOOKUP($A48,Master_Data!$C:$C,Master_Data!$E:$E,"CHECK",0)</f>
        <v>Result withhold by Bangladesh Supreme Court.[211]</v>
      </c>
      <c r="P48">
        <f>_xlfn.XLOOKUP($A48,Master_Data!$C:$C,Master_Data!$F:$F,"CHECK",0)</f>
        <v>0</v>
      </c>
      <c r="Q48">
        <f>_xlfn.XLOOKUP($A48,Master_Data!$C:$C,Master_Data!$G:$G,"CHECK",0)</f>
        <v>0</v>
      </c>
      <c r="R48" t="str">
        <f>IFERROR(_xlfn.XLOOKUP($A48,Master_Data!$C:$C,Master_Data!$H:$H,"CHECK",0),"")</f>
        <v/>
      </c>
      <c r="S48" t="str">
        <f>_xlfn.XLOOKUP($A48,Master_Data!$C:$C,Master_Data!$I:$I,"CHECK",0)</f>
        <v>Result withhold by Bangladesh Supreme Court.[211]</v>
      </c>
      <c r="T48">
        <f>_xlfn.XLOOKUP($A48,Master_Data!$C:$C,Master_Data!$K:$K,"CHECK",0)</f>
        <v>0</v>
      </c>
      <c r="U48" t="str">
        <f>IFERROR(_xlfn.XLOOKUP($A48,Master_Data!$C:$C,Master_Data!$L:$L,"CHECK",0),"")</f>
        <v/>
      </c>
      <c r="V48">
        <f>_xlfn.XLOOKUP($A48,Master_Data!$C:$C,Master_Data!$M:$M,"CHECK",0)</f>
        <v>0</v>
      </c>
      <c r="W48" t="str">
        <f>IFERROR(_xlfn.XLOOKUP($A48,Master_Data!$C:$C,Master_Data!$N:$N,"CHECK",0),"")</f>
        <v/>
      </c>
      <c r="X48" t="str">
        <f>IFERROR(_xlfn.XLOOKUP($A48,Master_Data!$C:$C,Master_Data!$O:$O,"CHECK",0),"No Result")</f>
        <v>No Result</v>
      </c>
      <c r="Y48">
        <f>_xlfn.XLOOKUP($A48,Master_Data!$C:$C,Master_Data!$P:$P,"CHECK",0)</f>
        <v>0</v>
      </c>
      <c r="Z48">
        <f t="shared" si="1"/>
        <v>0</v>
      </c>
    </row>
    <row r="49" spans="1:26">
      <c r="A49" t="str">
        <v>Chittagong-3</v>
      </c>
      <c r="B49" t="str" cm="1">
        <f t="array" ref="B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Nawabganj","Chapainawabganj"),Final_Merged_Data!$B$2:$B$1000=$A49)))</f>
        <v>Chittagong</v>
      </c>
      <c r="C49" t="str" cm="1">
        <f t="array" ref="C49">_xlfn.TEXTJOIN(", ",TRUE,_xlfn._xlws.FILTER(Final_Merged_Data!$C$2:$C$1000,Final_Merged_Data!$B$2:$B$1000=$A49))</f>
        <v>Sandwip</v>
      </c>
      <c r="D49" cm="1">
        <f t="array" ref="D49">COUNTA(_xlfn._xlws.FILTER(Final_Merged_Data!$C$2:$C$1000,Final_Merged_Data!$B$2:$B$1000=$A49))</f>
        <v>1</v>
      </c>
      <c r="E49">
        <f>SUMIFS(Final_Merged_Data!$E:$E,Final_Merged_Data!$B:$B,$A49)</f>
        <v>762.42</v>
      </c>
      <c r="F49">
        <f>SUMIFS(Final_Merged_Data!$F:$F,Final_Merged_Data!$B:$B,$A49)</f>
        <v>327553</v>
      </c>
      <c r="G49">
        <f t="shared" si="0"/>
        <v>429.62278009496083</v>
      </c>
      <c r="H49" cm="1">
        <f t="array" ref="H49">SUMPRODUCT((Final_Merged_Data!$B$2:$B$1000=$A49)*Final_Merged_Data!$H$2:$H$1000*Final_Merged_Data!$F$2:$F$1000)/F49</f>
        <v>4.4000000000000004</v>
      </c>
      <c r="I49" cm="1">
        <f t="array" ref="I49">SUMPRODUCT((Final_Merged_Data!$B$2:$B$1000=$A49)*Final_Merged_Data!$I$2:$I$1000*Final_Merged_Data!$F$2:$F$1000)/F49</f>
        <v>74.14</v>
      </c>
      <c r="J49" t="str" cm="1">
        <f t="array" ref="J49">_xlfn.TEXTJOIN(", ",TRUE,_xlfn.UNIQUE(_xlfn._xlws.FILTER(Final_Merged_Data!$J$2:$J$1000,Final_Merged_Data!$B$2:$B$1000=$A49)))</f>
        <v>Chittagong Range</v>
      </c>
      <c r="K49" cm="1">
        <f t="array" ref="K49">SUMPRODUCT((Final_Merged_Data!$B$2:$B$1000=$A49)*Final_Merged_Data!$K$2:$K$1000*Final_Merged_Data!$F$2:$F$1000)/F49</f>
        <v>84.879645400600893</v>
      </c>
      <c r="L49" cm="1">
        <f t="array" ref="L49">SUMPRODUCT((Final_Merged_Data!$B$2:$B$1000=$A49)*Final_Merged_Data!$L$2:$L$1000*Final_Merged_Data!$F$2:$F$1000)/F49</f>
        <v>10.309673910686193</v>
      </c>
      <c r="M49" t="str">
        <f>IF(COUNTIF(Master_Data!$C:$C,$A49)&gt;0,"Found","Missing")</f>
        <v>Found</v>
      </c>
      <c r="N49" t="str">
        <f>_xlfn.XLOOKUP($A49,Master_Data!$C:$C,Master_Data!$D:$D,"CHECK",0)</f>
        <v>Mostafa Kamal Pasha</v>
      </c>
      <c r="O49" t="str">
        <f>_xlfn.XLOOKUP($A49,Master_Data!$C:$C,Master_Data!$E:$E,"CHECK",0)</f>
        <v>BNP</v>
      </c>
      <c r="P49">
        <f>_xlfn.XLOOKUP($A49,Master_Data!$C:$C,Master_Data!$F:$F,"CHECK",0)</f>
        <v>1</v>
      </c>
      <c r="Q49">
        <f>_xlfn.XLOOKUP($A49,Master_Data!$C:$C,Master_Data!$G:$G,"CHECK",0)</f>
        <v>73037</v>
      </c>
      <c r="R49">
        <f>IFERROR(_xlfn.XLOOKUP($A49,Master_Data!$C:$C,Master_Data!$H:$H,"CHECK",0),"")</f>
        <v>64.807141145884174</v>
      </c>
      <c r="S49" t="str">
        <f>_xlfn.XLOOKUP($A49,Master_Data!$C:$C,Master_Data!$I:$I,"CHECK",0)</f>
        <v>Mohammad Alauddin Sikder</v>
      </c>
      <c r="T49">
        <f>_xlfn.XLOOKUP($A49,Master_Data!$C:$C,Master_Data!$K:$K,"CHECK",0)</f>
        <v>39662</v>
      </c>
      <c r="U49">
        <f>IFERROR(_xlfn.XLOOKUP($A49,Master_Data!$C:$C,Master_Data!$L:$L,"CHECK",0),"")</f>
        <v>35.192858854115833</v>
      </c>
      <c r="V49">
        <f>_xlfn.XLOOKUP($A49,Master_Data!$C:$C,Master_Data!$M:$M,"CHECK",0)</f>
        <v>33375</v>
      </c>
      <c r="W49">
        <f>IFERROR(_xlfn.XLOOKUP($A49,Master_Data!$C:$C,Master_Data!$N:$N,"CHECK",0),"")</f>
        <v>29.61428229176834</v>
      </c>
      <c r="X49" t="str">
        <f>IFERROR(_xlfn.XLOOKUP($A49,Master_Data!$C:$C,Master_Data!$O:$O,"CHECK",0),"No Result")</f>
        <v>Safe Seat</v>
      </c>
      <c r="Y49">
        <f>_xlfn.XLOOKUP($A49,Master_Data!$C:$C,Master_Data!$P:$P,"CHECK",0)</f>
        <v>0</v>
      </c>
      <c r="Z49">
        <f t="shared" si="1"/>
        <v>1</v>
      </c>
    </row>
    <row r="50" spans="1:26">
      <c r="A50" t="str">
        <v>Chittagong-4</v>
      </c>
      <c r="B50" t="str" cm="1">
        <f t="array" ref="B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Nawabganj","Chapainawabganj"),Final_Merged_Data!$B$2:$B$1000=$A50)))</f>
        <v>Chittagong</v>
      </c>
      <c r="C50" t="str" cm="1">
        <f t="array" ref="C50">_xlfn.TEXTJOIN(", ",TRUE,_xlfn._xlws.FILTER(Final_Merged_Data!$C$2:$C$1000,Final_Merged_Data!$B$2:$B$1000=$A50))</f>
        <v>Sitakunda</v>
      </c>
      <c r="D50" cm="1">
        <f t="array" ref="D50">COUNTA(_xlfn._xlws.FILTER(Final_Merged_Data!$C$2:$C$1000,Final_Merged_Data!$B$2:$B$1000=$A50))</f>
        <v>1</v>
      </c>
      <c r="E50">
        <f>SUMIFS(Final_Merged_Data!$E:$E,Final_Merged_Data!$B:$B,$A50)</f>
        <v>336.59</v>
      </c>
      <c r="F50">
        <f>SUMIFS(Final_Merged_Data!$F:$F,Final_Merged_Data!$B:$B,$A50)</f>
        <v>457368</v>
      </c>
      <c r="G50">
        <f t="shared" si="0"/>
        <v>1358.8282480168752</v>
      </c>
      <c r="H50" cm="1">
        <f t="array" ref="H50">SUMPRODUCT((Final_Merged_Data!$B$2:$B$1000=$A50)*Final_Merged_Data!$H$2:$H$1000*Final_Merged_Data!$F$2:$F$1000)/F50</f>
        <v>4.3</v>
      </c>
      <c r="I50" cm="1">
        <f t="array" ref="I50">SUMPRODUCT((Final_Merged_Data!$B$2:$B$1000=$A50)*Final_Merged_Data!$I$2:$I$1000*Final_Merged_Data!$F$2:$F$1000)/F50</f>
        <v>78.33</v>
      </c>
      <c r="J50" t="str" cm="1">
        <f t="array" ref="J50">_xlfn.TEXTJOIN(", ",TRUE,_xlfn.UNIQUE(_xlfn._xlws.FILTER(Final_Merged_Data!$J$2:$J$1000,Final_Merged_Data!$B$2:$B$1000=$A50)))</f>
        <v>Chittagong Range</v>
      </c>
      <c r="K50" cm="1">
        <f t="array" ref="K50">SUMPRODUCT((Final_Merged_Data!$B$2:$B$1000=$A50)*Final_Merged_Data!$K$2:$K$1000*Final_Merged_Data!$F$2:$F$1000)/F50</f>
        <v>84.879645400600893</v>
      </c>
      <c r="L50" cm="1">
        <f t="array" ref="L50">SUMPRODUCT((Final_Merged_Data!$B$2:$B$1000=$A50)*Final_Merged_Data!$L$2:$L$1000*Final_Merged_Data!$F$2:$F$1000)/F50</f>
        <v>10.309673910686193</v>
      </c>
      <c r="M50" t="str">
        <f>IF(COUNTIF(Master_Data!$C:$C,$A50)&gt;0,"Found","Missing")</f>
        <v>Found</v>
      </c>
      <c r="N50" t="str">
        <f>_xlfn.XLOOKUP($A50,Master_Data!$C:$C,Master_Data!$D:$D,"CHECK",0)</f>
        <v>Result withhold by Bangladesh Supreme Court.[211]</v>
      </c>
      <c r="O50" t="str">
        <f>_xlfn.XLOOKUP($A50,Master_Data!$C:$C,Master_Data!$E:$E,"CHECK",0)</f>
        <v>Result withhold by Bangladesh Supreme Court.[211]</v>
      </c>
      <c r="P50">
        <f>_xlfn.XLOOKUP($A50,Master_Data!$C:$C,Master_Data!$F:$F,"CHECK",0)</f>
        <v>0</v>
      </c>
      <c r="Q50">
        <f>_xlfn.XLOOKUP($A50,Master_Data!$C:$C,Master_Data!$G:$G,"CHECK",0)</f>
        <v>0</v>
      </c>
      <c r="R50" t="str">
        <f>IFERROR(_xlfn.XLOOKUP($A50,Master_Data!$C:$C,Master_Data!$H:$H,"CHECK",0),"")</f>
        <v/>
      </c>
      <c r="S50" t="str">
        <f>_xlfn.XLOOKUP($A50,Master_Data!$C:$C,Master_Data!$I:$I,"CHECK",0)</f>
        <v>Result withhold by Bangladesh Supreme Court.[211]</v>
      </c>
      <c r="T50">
        <f>_xlfn.XLOOKUP($A50,Master_Data!$C:$C,Master_Data!$K:$K,"CHECK",0)</f>
        <v>0</v>
      </c>
      <c r="U50" t="str">
        <f>IFERROR(_xlfn.XLOOKUP($A50,Master_Data!$C:$C,Master_Data!$L:$L,"CHECK",0),"")</f>
        <v/>
      </c>
      <c r="V50">
        <f>_xlfn.XLOOKUP($A50,Master_Data!$C:$C,Master_Data!$M:$M,"CHECK",0)</f>
        <v>0</v>
      </c>
      <c r="W50" t="str">
        <f>IFERROR(_xlfn.XLOOKUP($A50,Master_Data!$C:$C,Master_Data!$N:$N,"CHECK",0),"")</f>
        <v/>
      </c>
      <c r="X50" t="str">
        <f>IFERROR(_xlfn.XLOOKUP($A50,Master_Data!$C:$C,Master_Data!$O:$O,"CHECK",0),"No Result")</f>
        <v>No Result</v>
      </c>
      <c r="Y50">
        <f>_xlfn.XLOOKUP($A50,Master_Data!$C:$C,Master_Data!$P:$P,"CHECK",0)</f>
        <v>0</v>
      </c>
      <c r="Z50">
        <f t="shared" si="1"/>
        <v>0</v>
      </c>
    </row>
    <row r="51" spans="1:26">
      <c r="A51" t="str">
        <v>Chittagong-5</v>
      </c>
      <c r="B51" t="str" cm="1">
        <f t="array" ref="B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Nawabganj","Chapainawabganj"),Final_Merged_Data!$B$2:$B$1000=$A51)))</f>
        <v>Chittagong</v>
      </c>
      <c r="C51" t="str" cm="1">
        <f t="array" ref="C51">_xlfn.TEXTJOIN(", ",TRUE,_xlfn._xlws.FILTER(Final_Merged_Data!$C$2:$C$1000,Final_Merged_Data!$B$2:$B$1000=$A51))</f>
        <v>Hathazari</v>
      </c>
      <c r="D51" cm="1">
        <f t="array" ref="D51">COUNTA(_xlfn._xlws.FILTER(Final_Merged_Data!$C$2:$C$1000,Final_Merged_Data!$B$2:$B$1000=$A51))</f>
        <v>1</v>
      </c>
      <c r="E51">
        <f>SUMIFS(Final_Merged_Data!$E:$E,Final_Merged_Data!$B:$B,$A51)</f>
        <v>293.5</v>
      </c>
      <c r="F51">
        <f>SUMIFS(Final_Merged_Data!$F:$F,Final_Merged_Data!$B:$B,$A51)</f>
        <v>498179</v>
      </c>
      <c r="G51">
        <f t="shared" si="0"/>
        <v>1697.373083475298</v>
      </c>
      <c r="H51" cm="1">
        <f t="array" ref="H51">SUMPRODUCT((Final_Merged_Data!$B$2:$B$1000=$A51)*Final_Merged_Data!$H$2:$H$1000*Final_Merged_Data!$F$2:$F$1000)/F51</f>
        <v>4.37</v>
      </c>
      <c r="I51" cm="1">
        <f t="array" ref="I51">SUMPRODUCT((Final_Merged_Data!$B$2:$B$1000=$A51)*Final_Merged_Data!$I$2:$I$1000*Final_Merged_Data!$F$2:$F$1000)/F51</f>
        <v>86.28</v>
      </c>
      <c r="J51" t="str" cm="1">
        <f t="array" ref="J51">_xlfn.TEXTJOIN(", ",TRUE,_xlfn.UNIQUE(_xlfn._xlws.FILTER(Final_Merged_Data!$J$2:$J$1000,Final_Merged_Data!$B$2:$B$1000=$A51)))</f>
        <v>Chittagong Range</v>
      </c>
      <c r="K51" cm="1">
        <f t="array" ref="K51">SUMPRODUCT((Final_Merged_Data!$B$2:$B$1000=$A51)*Final_Merged_Data!$K$2:$K$1000*Final_Merged_Data!$F$2:$F$1000)/F51</f>
        <v>84.879645400600893</v>
      </c>
      <c r="L51" cm="1">
        <f t="array" ref="L51">SUMPRODUCT((Final_Merged_Data!$B$2:$B$1000=$A51)*Final_Merged_Data!$L$2:$L$1000*Final_Merged_Data!$F$2:$F$1000)/F51</f>
        <v>10.309673910686193</v>
      </c>
      <c r="M51" t="str">
        <f>IF(COUNTIF(Master_Data!$C:$C,$A51)&gt;0,"Found","Missing")</f>
        <v>Found</v>
      </c>
      <c r="N51" t="str">
        <f>_xlfn.XLOOKUP($A51,Master_Data!$C:$C,Master_Data!$D:$D,"CHECK",0)</f>
        <v>Mir Mohammad Helal Uddin</v>
      </c>
      <c r="O51" t="str">
        <f>_xlfn.XLOOKUP($A51,Master_Data!$C:$C,Master_Data!$E:$E,"CHECK",0)</f>
        <v>BNP</v>
      </c>
      <c r="P51">
        <f>_xlfn.XLOOKUP($A51,Master_Data!$C:$C,Master_Data!$F:$F,"CHECK",0)</f>
        <v>1</v>
      </c>
      <c r="Q51">
        <f>_xlfn.XLOOKUP($A51,Master_Data!$C:$C,Master_Data!$G:$G,"CHECK",0)</f>
        <v>147054</v>
      </c>
      <c r="R51">
        <f>IFERROR(_xlfn.XLOOKUP($A51,Master_Data!$C:$C,Master_Data!$H:$H,"CHECK",0),"")</f>
        <v>75.94077761654178</v>
      </c>
      <c r="S51" t="str">
        <f>_xlfn.XLOOKUP($A51,Master_Data!$C:$C,Master_Data!$I:$I,"CHECK",0)</f>
        <v>Md. Nasir Uddin</v>
      </c>
      <c r="T51">
        <f>_xlfn.XLOOKUP($A51,Master_Data!$C:$C,Master_Data!$K:$K,"CHECK",0)</f>
        <v>46589</v>
      </c>
      <c r="U51">
        <f>IFERROR(_xlfn.XLOOKUP($A51,Master_Data!$C:$C,Master_Data!$L:$L,"CHECK",0),"")</f>
        <v>24.05922238345822</v>
      </c>
      <c r="V51">
        <f>_xlfn.XLOOKUP($A51,Master_Data!$C:$C,Master_Data!$M:$M,"CHECK",0)</f>
        <v>100465</v>
      </c>
      <c r="W51">
        <f>IFERROR(_xlfn.XLOOKUP($A51,Master_Data!$C:$C,Master_Data!$N:$N,"CHECK",0),"")</f>
        <v>51.881555233083567</v>
      </c>
      <c r="X51" t="str">
        <f>IFERROR(_xlfn.XLOOKUP($A51,Master_Data!$C:$C,Master_Data!$O:$O,"CHECK",0),"No Result")</f>
        <v>Safe Seat</v>
      </c>
      <c r="Y51">
        <f>_xlfn.XLOOKUP($A51,Master_Data!$C:$C,Master_Data!$P:$P,"CHECK",0)</f>
        <v>0</v>
      </c>
      <c r="Z51">
        <f t="shared" si="1"/>
        <v>1</v>
      </c>
    </row>
    <row r="52" spans="1:26">
      <c r="A52" t="str">
        <v>Chittagong-6</v>
      </c>
      <c r="B52" t="str" cm="1">
        <f t="array" ref="B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Nawabganj","Chapainawabganj"),Final_Merged_Data!$B$2:$B$1000=$A52)))</f>
        <v>Chittagong</v>
      </c>
      <c r="C52" t="str" cm="1">
        <f t="array" ref="C52">_xlfn.TEXTJOIN(", ",TRUE,_xlfn._xlws.FILTER(Final_Merged_Data!$C$2:$C$1000,Final_Merged_Data!$B$2:$B$1000=$A52))</f>
        <v>Raozan</v>
      </c>
      <c r="D52" cm="1">
        <f t="array" ref="D52">COUNTA(_xlfn._xlws.FILTER(Final_Merged_Data!$C$2:$C$1000,Final_Merged_Data!$B$2:$B$1000=$A52))</f>
        <v>1</v>
      </c>
      <c r="E52">
        <f>SUMIFS(Final_Merged_Data!$E:$E,Final_Merged_Data!$B:$B,$A52)</f>
        <v>198.53</v>
      </c>
      <c r="F52">
        <f>SUMIFS(Final_Merged_Data!$F:$F,Final_Merged_Data!$B:$B,$A52)</f>
        <v>396350</v>
      </c>
      <c r="G52">
        <f t="shared" si="0"/>
        <v>1996.4237143001058</v>
      </c>
      <c r="H52" cm="1">
        <f t="array" ref="H52">SUMPRODUCT((Final_Merged_Data!$B$2:$B$1000=$A52)*Final_Merged_Data!$H$2:$H$1000*Final_Merged_Data!$F$2:$F$1000)/F52</f>
        <v>4.42</v>
      </c>
      <c r="I52" cm="1">
        <f t="array" ref="I52">SUMPRODUCT((Final_Merged_Data!$B$2:$B$1000=$A52)*Final_Merged_Data!$I$2:$I$1000*Final_Merged_Data!$F$2:$F$1000)/F52</f>
        <v>84.87</v>
      </c>
      <c r="J52" t="str" cm="1">
        <f t="array" ref="J52">_xlfn.TEXTJOIN(", ",TRUE,_xlfn.UNIQUE(_xlfn._xlws.FILTER(Final_Merged_Data!$J$2:$J$1000,Final_Merged_Data!$B$2:$B$1000=$A52)))</f>
        <v>Chittagong Range</v>
      </c>
      <c r="K52" cm="1">
        <f t="array" ref="K52">SUMPRODUCT((Final_Merged_Data!$B$2:$B$1000=$A52)*Final_Merged_Data!$K$2:$K$1000*Final_Merged_Data!$F$2:$F$1000)/F52</f>
        <v>84.879645400600879</v>
      </c>
      <c r="L52" cm="1">
        <f t="array" ref="L52">SUMPRODUCT((Final_Merged_Data!$B$2:$B$1000=$A52)*Final_Merged_Data!$L$2:$L$1000*Final_Merged_Data!$F$2:$F$1000)/F52</f>
        <v>10.309673910686193</v>
      </c>
      <c r="M52" t="str">
        <f>IF(COUNTIF(Master_Data!$C:$C,$A52)&gt;0,"Found","Missing")</f>
        <v>Found</v>
      </c>
      <c r="N52" t="str">
        <f>_xlfn.XLOOKUP($A52,Master_Data!$C:$C,Master_Data!$D:$D,"CHECK",0)</f>
        <v>Giasuddin Quader Chowdhury</v>
      </c>
      <c r="O52" t="str">
        <f>_xlfn.XLOOKUP($A52,Master_Data!$C:$C,Master_Data!$E:$E,"CHECK",0)</f>
        <v>BNP</v>
      </c>
      <c r="P52">
        <f>_xlfn.XLOOKUP($A52,Master_Data!$C:$C,Master_Data!$F:$F,"CHECK",0)</f>
        <v>1</v>
      </c>
      <c r="Q52">
        <f>_xlfn.XLOOKUP($A52,Master_Data!$C:$C,Master_Data!$G:$G,"CHECK",0)</f>
        <v>111201</v>
      </c>
      <c r="R52">
        <f>IFERROR(_xlfn.XLOOKUP($A52,Master_Data!$C:$C,Master_Data!$H:$H,"CHECK",0),"")</f>
        <v>80.640623073743441</v>
      </c>
      <c r="S52" t="str">
        <f>_xlfn.XLOOKUP($A52,Master_Data!$C:$C,Master_Data!$I:$I,"CHECK",0)</f>
        <v>Mohammad Ilias Nuri</v>
      </c>
      <c r="T52">
        <f>_xlfn.XLOOKUP($A52,Master_Data!$C:$C,Master_Data!$K:$K,"CHECK",0)</f>
        <v>26696</v>
      </c>
      <c r="U52">
        <f>IFERROR(_xlfn.XLOOKUP($A52,Master_Data!$C:$C,Master_Data!$L:$L,"CHECK",0),"")</f>
        <v>19.359376926256555</v>
      </c>
      <c r="V52">
        <f>_xlfn.XLOOKUP($A52,Master_Data!$C:$C,Master_Data!$M:$M,"CHECK",0)</f>
        <v>84505</v>
      </c>
      <c r="W52">
        <f>IFERROR(_xlfn.XLOOKUP($A52,Master_Data!$C:$C,Master_Data!$N:$N,"CHECK",0),"")</f>
        <v>61.28124614748689</v>
      </c>
      <c r="X52" t="str">
        <f>IFERROR(_xlfn.XLOOKUP($A52,Master_Data!$C:$C,Master_Data!$O:$O,"CHECK",0),"No Result")</f>
        <v>Safe Seat</v>
      </c>
      <c r="Y52">
        <f>_xlfn.XLOOKUP($A52,Master_Data!$C:$C,Master_Data!$P:$P,"CHECK",0)</f>
        <v>0</v>
      </c>
      <c r="Z52">
        <f t="shared" si="1"/>
        <v>1</v>
      </c>
    </row>
    <row r="53" spans="1:26">
      <c r="A53" t="str">
        <v>Chittagong-7</v>
      </c>
      <c r="B53" t="str" cm="1">
        <f t="array" ref="B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Nawabganj","Chapainawabganj"),Final_Merged_Data!$B$2:$B$1000=$A53)))</f>
        <v>Chittagong</v>
      </c>
      <c r="C53" t="str" cm="1">
        <f t="array" ref="C53">_xlfn.TEXTJOIN(", ",TRUE,_xlfn._xlws.FILTER(Final_Merged_Data!$C$2:$C$1000,Final_Merged_Data!$B$2:$B$1000=$A53))</f>
        <v>Rangunia</v>
      </c>
      <c r="D53" cm="1">
        <f t="array" ref="D53">COUNTA(_xlfn._xlws.FILTER(Final_Merged_Data!$C$2:$C$1000,Final_Merged_Data!$B$2:$B$1000=$A53))</f>
        <v>1</v>
      </c>
      <c r="E53">
        <f>SUMIFS(Final_Merged_Data!$E:$E,Final_Merged_Data!$B:$B,$A53)</f>
        <v>351.32</v>
      </c>
      <c r="F53">
        <f>SUMIFS(Final_Merged_Data!$F:$F,Final_Merged_Data!$B:$B,$A53)</f>
        <v>392898</v>
      </c>
      <c r="G53">
        <f t="shared" si="0"/>
        <v>1118.3479448935443</v>
      </c>
      <c r="H53" cm="1">
        <f t="array" ref="H53">SUMPRODUCT((Final_Merged_Data!$B$2:$B$1000=$A53)*Final_Merged_Data!$H$2:$H$1000*Final_Merged_Data!$F$2:$F$1000)/F53</f>
        <v>4.29</v>
      </c>
      <c r="I53" cm="1">
        <f t="array" ref="I53">SUMPRODUCT((Final_Merged_Data!$B$2:$B$1000=$A53)*Final_Merged_Data!$I$2:$I$1000*Final_Merged_Data!$F$2:$F$1000)/F53</f>
        <v>77.599999999999994</v>
      </c>
      <c r="J53" t="str" cm="1">
        <f t="array" ref="J53">_xlfn.TEXTJOIN(", ",TRUE,_xlfn.UNIQUE(_xlfn._xlws.FILTER(Final_Merged_Data!$J$2:$J$1000,Final_Merged_Data!$B$2:$B$1000=$A53)))</f>
        <v>Chittagong Range</v>
      </c>
      <c r="K53" cm="1">
        <f t="array" ref="K53">SUMPRODUCT((Final_Merged_Data!$B$2:$B$1000=$A53)*Final_Merged_Data!$K$2:$K$1000*Final_Merged_Data!$F$2:$F$1000)/F53</f>
        <v>84.879645400600893</v>
      </c>
      <c r="L53" cm="1">
        <f t="array" ref="L53">SUMPRODUCT((Final_Merged_Data!$B$2:$B$1000=$A53)*Final_Merged_Data!$L$2:$L$1000*Final_Merged_Data!$F$2:$F$1000)/F53</f>
        <v>10.309673910686193</v>
      </c>
      <c r="M53" t="str">
        <f>IF(COUNTIF(Master_Data!$C:$C,$A53)&gt;0,"Found","Missing")</f>
        <v>Found</v>
      </c>
      <c r="N53" t="str">
        <f>_xlfn.XLOOKUP($A53,Master_Data!$C:$C,Master_Data!$D:$D,"CHECK",0)</f>
        <v>Humam Quader Chowdhury</v>
      </c>
      <c r="O53" t="str">
        <f>_xlfn.XLOOKUP($A53,Master_Data!$C:$C,Master_Data!$E:$E,"CHECK",0)</f>
        <v>BNP</v>
      </c>
      <c r="P53">
        <f>_xlfn.XLOOKUP($A53,Master_Data!$C:$C,Master_Data!$F:$F,"CHECK",0)</f>
        <v>1</v>
      </c>
      <c r="Q53">
        <f>_xlfn.XLOOKUP($A53,Master_Data!$C:$C,Master_Data!$G:$G,"CHECK",0)</f>
        <v>101445</v>
      </c>
      <c r="R53">
        <f>IFERROR(_xlfn.XLOOKUP($A53,Master_Data!$C:$C,Master_Data!$H:$H,"CHECK",0),"")</f>
        <v>70.85929423598111</v>
      </c>
      <c r="S53" t="str">
        <f>_xlfn.XLOOKUP($A53,Master_Data!$C:$C,Master_Data!$I:$I,"CHECK",0)</f>
        <v>ATM Rezaul Karim</v>
      </c>
      <c r="T53">
        <f>_xlfn.XLOOKUP($A53,Master_Data!$C:$C,Master_Data!$K:$K,"CHECK",0)</f>
        <v>41719</v>
      </c>
      <c r="U53">
        <f>IFERROR(_xlfn.XLOOKUP($A53,Master_Data!$C:$C,Master_Data!$L:$L,"CHECK",0),"")</f>
        <v>29.140705764018886</v>
      </c>
      <c r="V53">
        <f>_xlfn.XLOOKUP($A53,Master_Data!$C:$C,Master_Data!$M:$M,"CHECK",0)</f>
        <v>59726</v>
      </c>
      <c r="W53">
        <f>IFERROR(_xlfn.XLOOKUP($A53,Master_Data!$C:$C,Master_Data!$N:$N,"CHECK",0),"")</f>
        <v>41.718588471962228</v>
      </c>
      <c r="X53" t="str">
        <f>IFERROR(_xlfn.XLOOKUP($A53,Master_Data!$C:$C,Master_Data!$O:$O,"CHECK",0),"No Result")</f>
        <v>Safe Seat</v>
      </c>
      <c r="Y53">
        <f>_xlfn.XLOOKUP($A53,Master_Data!$C:$C,Master_Data!$P:$P,"CHECK",0)</f>
        <v>0</v>
      </c>
      <c r="Z53">
        <f t="shared" si="1"/>
        <v>1</v>
      </c>
    </row>
    <row r="54" spans="1:26">
      <c r="A54" t="str">
        <v>Chittagong-8</v>
      </c>
      <c r="B54" t="str" cm="1">
        <f t="array" ref="B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Nawabganj","Chapainawabganj"),Final_Merged_Data!$B$2:$B$1000=$A54)))</f>
        <v>Chittagong</v>
      </c>
      <c r="C54" t="str" cm="1">
        <f t="array" ref="C54">_xlfn.TEXTJOIN(", ",TRUE,_xlfn._xlws.FILTER(Final_Merged_Data!$C$2:$C$1000,Final_Merged_Data!$B$2:$B$1000=$A54))</f>
        <v>Boalkhali, Chandanaish</v>
      </c>
      <c r="D54" cm="1">
        <f t="array" ref="D54">COUNTA(_xlfn._xlws.FILTER(Final_Merged_Data!$C$2:$C$1000,Final_Merged_Data!$B$2:$B$1000=$A54))</f>
        <v>2</v>
      </c>
      <c r="E54">
        <f>SUMIFS(Final_Merged_Data!$E:$E,Final_Merged_Data!$B:$B,$A54)</f>
        <v>469.79999999999995</v>
      </c>
      <c r="F54">
        <f>SUMIFS(Final_Merged_Data!$F:$F,Final_Merged_Data!$B:$B,$A54)</f>
        <v>510913</v>
      </c>
      <c r="G54">
        <f t="shared" si="0"/>
        <v>1087.5117071094085</v>
      </c>
      <c r="H54" cm="1">
        <f t="array" ref="H54">SUMPRODUCT((Final_Merged_Data!$B$2:$B$1000=$A54)*Final_Merged_Data!$H$2:$H$1000*Final_Merged_Data!$F$2:$F$1000)/F54</f>
        <v>4.4400000000000004</v>
      </c>
      <c r="I54" cm="1">
        <f t="array" ref="I54">SUMPRODUCT((Final_Merged_Data!$B$2:$B$1000=$A54)*Final_Merged_Data!$I$2:$I$1000*Final_Merged_Data!$F$2:$F$1000)/F54</f>
        <v>81.59368614617361</v>
      </c>
      <c r="J54" t="str" cm="1">
        <f t="array" ref="J54">_xlfn.TEXTJOIN(", ",TRUE,_xlfn.UNIQUE(_xlfn._xlws.FILTER(Final_Merged_Data!$J$2:$J$1000,Final_Merged_Data!$B$2:$B$1000=$A54)))</f>
        <v>Chittagong Range</v>
      </c>
      <c r="K54" cm="1">
        <f t="array" ref="K54">SUMPRODUCT((Final_Merged_Data!$B$2:$B$1000=$A54)*Final_Merged_Data!$K$2:$K$1000*Final_Merged_Data!$F$2:$F$1000)/F54</f>
        <v>84.879645400600893</v>
      </c>
      <c r="L54" cm="1">
        <f t="array" ref="L54">SUMPRODUCT((Final_Merged_Data!$B$2:$B$1000=$A54)*Final_Merged_Data!$L$2:$L$1000*Final_Merged_Data!$F$2:$F$1000)/F54</f>
        <v>10.309673910686193</v>
      </c>
      <c r="M54" t="str">
        <f>IF(COUNTIF(Master_Data!$C:$C,$A54)&gt;0,"Found","Missing")</f>
        <v>Found</v>
      </c>
      <c r="N54" t="str">
        <f>_xlfn.XLOOKUP($A54,Master_Data!$C:$C,Master_Data!$D:$D,"CHECK",0)</f>
        <v>Ershad Ullah</v>
      </c>
      <c r="O54" t="str">
        <f>_xlfn.XLOOKUP($A54,Master_Data!$C:$C,Master_Data!$E:$E,"CHECK",0)</f>
        <v>BNP</v>
      </c>
      <c r="P54">
        <f>_xlfn.XLOOKUP($A54,Master_Data!$C:$C,Master_Data!$F:$F,"CHECK",0)</f>
        <v>1</v>
      </c>
      <c r="Q54">
        <f>_xlfn.XLOOKUP($A54,Master_Data!$C:$C,Master_Data!$G:$G,"CHECK",0)</f>
        <v>152969</v>
      </c>
      <c r="R54">
        <f>IFERROR(_xlfn.XLOOKUP($A54,Master_Data!$C:$C,Master_Data!$H:$H,"CHECK",0),"")</f>
        <v>74.065161499615073</v>
      </c>
      <c r="S54" t="str">
        <f>_xlfn.XLOOKUP($A54,Master_Data!$C:$C,Master_Data!$I:$I,"CHECK",0)</f>
        <v>Md. Abu Nasser</v>
      </c>
      <c r="T54">
        <f>_xlfn.XLOOKUP($A54,Master_Data!$C:$C,Master_Data!$K:$K,"CHECK",0)</f>
        <v>53564</v>
      </c>
      <c r="U54">
        <f>IFERROR(_xlfn.XLOOKUP($A54,Master_Data!$C:$C,Master_Data!$L:$L,"CHECK",0),"")</f>
        <v>25.934838500384927</v>
      </c>
      <c r="V54">
        <f>_xlfn.XLOOKUP($A54,Master_Data!$C:$C,Master_Data!$M:$M,"CHECK",0)</f>
        <v>99405</v>
      </c>
      <c r="W54">
        <f>IFERROR(_xlfn.XLOOKUP($A54,Master_Data!$C:$C,Master_Data!$N:$N,"CHECK",0),"")</f>
        <v>48.130322999230145</v>
      </c>
      <c r="X54" t="str">
        <f>IFERROR(_xlfn.XLOOKUP($A54,Master_Data!$C:$C,Master_Data!$O:$O,"CHECK",0),"No Result")</f>
        <v>Safe Seat</v>
      </c>
      <c r="Y54">
        <f>_xlfn.XLOOKUP($A54,Master_Data!$C:$C,Master_Data!$P:$P,"CHECK",0)</f>
        <v>1</v>
      </c>
      <c r="Z54">
        <f t="shared" si="1"/>
        <v>1</v>
      </c>
    </row>
    <row r="55" spans="1:26">
      <c r="A55" t="str">
        <v>Chittagong-9</v>
      </c>
      <c r="B55" t="str" cm="1">
        <f t="array" ref="B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Nawabganj","Chapainawabganj"),Final_Merged_Data!$B$2:$B$1000=$A55)))</f>
        <v>Chittagong</v>
      </c>
      <c r="C55" t="str" cm="1">
        <f t="array" ref="C55">_xlfn.TEXTJOIN(", ",TRUE,_xlfn._xlws.FILTER(Final_Merged_Data!$C$2:$C$1000,Final_Merged_Data!$B$2:$B$1000=$A55))</f>
        <v>Kotwali</v>
      </c>
      <c r="D55" cm="1">
        <f t="array" ref="D55">COUNTA(_xlfn._xlws.FILTER(Final_Merged_Data!$C$2:$C$1000,Final_Merged_Data!$B$2:$B$1000=$A55))</f>
        <v>1</v>
      </c>
      <c r="E55">
        <f>SUMIFS(Final_Merged_Data!$E:$E,Final_Merged_Data!$B:$B,$A55)</f>
        <v>9.99</v>
      </c>
      <c r="F55">
        <f>SUMIFS(Final_Merged_Data!$F:$F,Final_Merged_Data!$B:$B,$A55)</f>
        <v>207738</v>
      </c>
      <c r="G55">
        <f t="shared" si="0"/>
        <v>20794.594594594593</v>
      </c>
      <c r="H55" cm="1">
        <f t="array" ref="H55">SUMPRODUCT((Final_Merged_Data!$B$2:$B$1000=$A55)*Final_Merged_Data!$H$2:$H$1000*Final_Merged_Data!$F$2:$F$1000)/F55</f>
        <v>4.0599999999999996</v>
      </c>
      <c r="I55" cm="1">
        <f t="array" ref="I55">SUMPRODUCT((Final_Merged_Data!$B$2:$B$1000=$A55)*Final_Merged_Data!$I$2:$I$1000*Final_Merged_Data!$F$2:$F$1000)/F55</f>
        <v>83.08</v>
      </c>
      <c r="J55" t="str" cm="1">
        <f t="array" ref="J55">_xlfn.TEXTJOIN(", ",TRUE,_xlfn.UNIQUE(_xlfn._xlws.FILTER(Final_Merged_Data!$J$2:$J$1000,Final_Merged_Data!$B$2:$B$1000=$A55)))</f>
        <v>Chittagong Range</v>
      </c>
      <c r="K55" cm="1">
        <f t="array" ref="K55">SUMPRODUCT((Final_Merged_Data!$B$2:$B$1000=$A55)*Final_Merged_Data!$K$2:$K$1000*Final_Merged_Data!$F$2:$F$1000)/F55</f>
        <v>84.879645400600893</v>
      </c>
      <c r="L55" cm="1">
        <f t="array" ref="L55">SUMPRODUCT((Final_Merged_Data!$B$2:$B$1000=$A55)*Final_Merged_Data!$L$2:$L$1000*Final_Merged_Data!$F$2:$F$1000)/F55</f>
        <v>10.309673910686193</v>
      </c>
      <c r="M55" t="str">
        <f>IF(COUNTIF(Master_Data!$C:$C,$A55)&gt;0,"Found","Missing")</f>
        <v>Found</v>
      </c>
      <c r="N55" t="str">
        <f>_xlfn.XLOOKUP($A55,Master_Data!$C:$C,Master_Data!$D:$D,"CHECK",0)</f>
        <v>Mohammad Abu Sufian</v>
      </c>
      <c r="O55" t="str">
        <f>_xlfn.XLOOKUP($A55,Master_Data!$C:$C,Master_Data!$E:$E,"CHECK",0)</f>
        <v>BNP</v>
      </c>
      <c r="P55">
        <f>_xlfn.XLOOKUP($A55,Master_Data!$C:$C,Master_Data!$F:$F,"CHECK",0)</f>
        <v>1</v>
      </c>
      <c r="Q55">
        <f>_xlfn.XLOOKUP($A55,Master_Data!$C:$C,Master_Data!$G:$G,"CHECK",0)</f>
        <v>109388</v>
      </c>
      <c r="R55">
        <f>IFERROR(_xlfn.XLOOKUP($A55,Master_Data!$C:$C,Master_Data!$H:$H,"CHECK",0),"")</f>
        <v>67.02901436931279</v>
      </c>
      <c r="S55" t="str">
        <f>_xlfn.XLOOKUP($A55,Master_Data!$C:$C,Master_Data!$I:$I,"CHECK",0)</f>
        <v>Dr. AKM Fazlul Haque</v>
      </c>
      <c r="T55">
        <f>_xlfn.XLOOKUP($A55,Master_Data!$C:$C,Master_Data!$K:$K,"CHECK",0)</f>
        <v>53807</v>
      </c>
      <c r="U55">
        <f>IFERROR(_xlfn.XLOOKUP($A55,Master_Data!$C:$C,Master_Data!$L:$L,"CHECK",0),"")</f>
        <v>32.970985630687217</v>
      </c>
      <c r="V55">
        <f>_xlfn.XLOOKUP($A55,Master_Data!$C:$C,Master_Data!$M:$M,"CHECK",0)</f>
        <v>55581</v>
      </c>
      <c r="W55">
        <f>IFERROR(_xlfn.XLOOKUP($A55,Master_Data!$C:$C,Master_Data!$N:$N,"CHECK",0),"")</f>
        <v>34.058028738625573</v>
      </c>
      <c r="X55" t="str">
        <f>IFERROR(_xlfn.XLOOKUP($A55,Master_Data!$C:$C,Master_Data!$O:$O,"CHECK",0),"No Result")</f>
        <v>Safe Seat</v>
      </c>
      <c r="Y55">
        <f>_xlfn.XLOOKUP($A55,Master_Data!$C:$C,Master_Data!$P:$P,"CHECK",0)</f>
        <v>1</v>
      </c>
      <c r="Z55">
        <f t="shared" si="1"/>
        <v>1</v>
      </c>
    </row>
    <row r="56" spans="1:26">
      <c r="A56" t="str">
        <v>Chuadanga-1</v>
      </c>
      <c r="B56" t="str" cm="1">
        <f t="array" ref="B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Nawabganj","Chapainawabganj"),Final_Merged_Data!$B$2:$B$1000=$A56)))</f>
        <v>Chuadanga</v>
      </c>
      <c r="C56" t="str" cm="1">
        <f t="array" ref="C56">_xlfn.TEXTJOIN(", ",TRUE,_xlfn._xlws.FILTER(Final_Merged_Data!$C$2:$C$1000,Final_Merged_Data!$B$2:$B$1000=$A56))</f>
        <v>Chuadanga Sadar, Alamdanga</v>
      </c>
      <c r="D56" cm="1">
        <f t="array" ref="D56">COUNTA(_xlfn._xlws.FILTER(Final_Merged_Data!$C$2:$C$1000,Final_Merged_Data!$B$2:$B$1000=$A56))</f>
        <v>2</v>
      </c>
      <c r="E56">
        <f>SUMIFS(Final_Merged_Data!$E:$E,Final_Merged_Data!$B:$B,$A56)</f>
        <v>686.63</v>
      </c>
      <c r="F56">
        <f>SUMIFS(Final_Merged_Data!$F:$F,Final_Merged_Data!$B:$B,$A56)</f>
        <v>718664</v>
      </c>
      <c r="G56">
        <f t="shared" si="0"/>
        <v>1046.6539475408881</v>
      </c>
      <c r="H56" cm="1">
        <f t="array" ref="H56">SUMPRODUCT((Final_Merged_Data!$B$2:$B$1000=$A56)*Final_Merged_Data!$H$2:$H$1000*Final_Merged_Data!$F$2:$F$1000)/F56</f>
        <v>3.7090172876337206</v>
      </c>
      <c r="I56" cm="1">
        <f t="array" ref="I56">SUMPRODUCT((Final_Merged_Data!$B$2:$B$1000=$A56)*Final_Merged_Data!$I$2:$I$1000*Final_Merged_Data!$F$2:$F$1000)/F56</f>
        <v>70.543566840693288</v>
      </c>
      <c r="J56" t="str" cm="1">
        <f t="array" ref="J56">_xlfn.TEXTJOIN(", ",TRUE,_xlfn.UNIQUE(_xlfn._xlws.FILTER(Final_Merged_Data!$J$2:$J$1000,Final_Merged_Data!$B$2:$B$1000=$A56)))</f>
        <v>Khulna Range</v>
      </c>
      <c r="K56" cm="1">
        <f t="array" ref="K56">SUMPRODUCT((Final_Merged_Data!$B$2:$B$1000=$A56)*Final_Merged_Data!$K$2:$K$1000*Final_Merged_Data!$F$2:$F$1000)/F56</f>
        <v>102.32166075410298</v>
      </c>
      <c r="L56" cm="1">
        <f t="array" ref="L56">SUMPRODUCT((Final_Merged_Data!$B$2:$B$1000=$A56)*Final_Merged_Data!$L$2:$L$1000*Final_Merged_Data!$F$2:$F$1000)/F56</f>
        <v>12.212237548443925</v>
      </c>
      <c r="M56" t="str">
        <f>IF(COUNTIF(Master_Data!$C:$C,$A56)&gt;0,"Found","Missing")</f>
        <v>Found</v>
      </c>
      <c r="N56" t="str">
        <f>_xlfn.XLOOKUP($A56,Master_Data!$C:$C,Master_Data!$D:$D,"CHECK",0)</f>
        <v>Md. Masood Parvez</v>
      </c>
      <c r="O56" t="str">
        <f>_xlfn.XLOOKUP($A56,Master_Data!$C:$C,Master_Data!$E:$E,"CHECK",0)</f>
        <v>Jamaat</v>
      </c>
      <c r="P56">
        <f>_xlfn.XLOOKUP($A56,Master_Data!$C:$C,Master_Data!$F:$F,"CHECK",0)</f>
        <v>2</v>
      </c>
      <c r="Q56">
        <f>_xlfn.XLOOKUP($A56,Master_Data!$C:$C,Master_Data!$G:$G,"CHECK",0)</f>
        <v>211041</v>
      </c>
      <c r="R56">
        <f>IFERROR(_xlfn.XLOOKUP($A56,Master_Data!$C:$C,Master_Data!$H:$H,"CHECK",0),"")</f>
        <v>57.941048886155599</v>
      </c>
      <c r="S56" t="str">
        <f>_xlfn.XLOOKUP($A56,Master_Data!$C:$C,Master_Data!$I:$I,"CHECK",0)</f>
        <v>Md. Sharifuzzaman</v>
      </c>
      <c r="T56">
        <f>_xlfn.XLOOKUP($A56,Master_Data!$C:$C,Master_Data!$K:$K,"CHECK",0)</f>
        <v>153193</v>
      </c>
      <c r="U56">
        <f>IFERROR(_xlfn.XLOOKUP($A56,Master_Data!$C:$C,Master_Data!$L:$L,"CHECK",0),"")</f>
        <v>42.058951113844394</v>
      </c>
      <c r="V56">
        <f>_xlfn.XLOOKUP($A56,Master_Data!$C:$C,Master_Data!$M:$M,"CHECK",0)</f>
        <v>57848</v>
      </c>
      <c r="W56">
        <f>IFERROR(_xlfn.XLOOKUP($A56,Master_Data!$C:$C,Master_Data!$N:$N,"CHECK",0),"")</f>
        <v>15.882097772311207</v>
      </c>
      <c r="X56" t="str">
        <f>IFERROR(_xlfn.XLOOKUP($A56,Master_Data!$C:$C,Master_Data!$O:$O,"CHECK",0),"No Result")</f>
        <v>Safe Seat</v>
      </c>
      <c r="Y56">
        <f>_xlfn.XLOOKUP($A56,Master_Data!$C:$C,Master_Data!$P:$P,"CHECK",0)</f>
        <v>0</v>
      </c>
      <c r="Z56">
        <f t="shared" si="1"/>
        <v>1</v>
      </c>
    </row>
    <row r="57" spans="1:26">
      <c r="A57" t="str">
        <v>Chuadanga-2</v>
      </c>
      <c r="B57" t="str" cm="1">
        <f t="array" ref="B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Nawabganj","Chapainawabganj"),Final_Merged_Data!$B$2:$B$1000=$A57)))</f>
        <v>Chuadanga</v>
      </c>
      <c r="C57" t="str" cm="1">
        <f t="array" ref="C57">_xlfn.TEXTJOIN(", ",TRUE,_xlfn._xlws.FILTER(Final_Merged_Data!$C$2:$C$1000,Final_Merged_Data!$B$2:$B$1000=$A57))</f>
        <v>Damurhuda, Jibannagar</v>
      </c>
      <c r="D57" cm="1">
        <f t="array" ref="D57">COUNTA(_xlfn._xlws.FILTER(Final_Merged_Data!$C$2:$C$1000,Final_Merged_Data!$B$2:$B$1000=$A57))</f>
        <v>2</v>
      </c>
      <c r="E57">
        <f>SUMIFS(Final_Merged_Data!$E:$E,Final_Merged_Data!$B:$B,$A57)</f>
        <v>483.7</v>
      </c>
      <c r="F57">
        <f>SUMIFS(Final_Merged_Data!$F:$F,Final_Merged_Data!$B:$B,$A57)</f>
        <v>515327</v>
      </c>
      <c r="G57">
        <f t="shared" si="0"/>
        <v>1065.385569567914</v>
      </c>
      <c r="H57" cm="1">
        <f t="array" ref="H57">SUMPRODUCT((Final_Merged_Data!$B$2:$B$1000=$A57)*Final_Merged_Data!$H$2:$H$1000*Final_Merged_Data!$F$2:$F$1000)/F57</f>
        <v>3.7977836014802251</v>
      </c>
      <c r="I57" cm="1">
        <f t="array" ref="I57">SUMPRODUCT((Final_Merged_Data!$B$2:$B$1000=$A57)*Final_Merged_Data!$I$2:$I$1000*Final_Merged_Data!$F$2:$F$1000)/F57</f>
        <v>72.130598008643062</v>
      </c>
      <c r="J57" t="str" cm="1">
        <f t="array" ref="J57">_xlfn.TEXTJOIN(", ",TRUE,_xlfn.UNIQUE(_xlfn._xlws.FILTER(Final_Merged_Data!$J$2:$J$1000,Final_Merged_Data!$B$2:$B$1000=$A57)))</f>
        <v>Khulna Range</v>
      </c>
      <c r="K57" cm="1">
        <f t="array" ref="K57">SUMPRODUCT((Final_Merged_Data!$B$2:$B$1000=$A57)*Final_Merged_Data!$K$2:$K$1000*Final_Merged_Data!$F$2:$F$1000)/F57</f>
        <v>102.32166075410298</v>
      </c>
      <c r="L57" cm="1">
        <f t="array" ref="L57">SUMPRODUCT((Final_Merged_Data!$B$2:$B$1000=$A57)*Final_Merged_Data!$L$2:$L$1000*Final_Merged_Data!$F$2:$F$1000)/F57</f>
        <v>12.212237548443923</v>
      </c>
      <c r="M57" t="str">
        <f>IF(COUNTIF(Master_Data!$C:$C,$A57)&gt;0,"Found","Missing")</f>
        <v>Found</v>
      </c>
      <c r="N57" t="str">
        <f>_xlfn.XLOOKUP($A57,Master_Data!$C:$C,Master_Data!$D:$D,"CHECK",0)</f>
        <v>Md. Ruhul Amin</v>
      </c>
      <c r="O57" t="str">
        <f>_xlfn.XLOOKUP($A57,Master_Data!$C:$C,Master_Data!$E:$E,"CHECK",0)</f>
        <v>Jamaat</v>
      </c>
      <c r="P57">
        <f>_xlfn.XLOOKUP($A57,Master_Data!$C:$C,Master_Data!$F:$F,"CHECK",0)</f>
        <v>2</v>
      </c>
      <c r="Q57">
        <f>_xlfn.XLOOKUP($A57,Master_Data!$C:$C,Master_Data!$G:$G,"CHECK",0)</f>
        <v>208011</v>
      </c>
      <c r="R57">
        <f>IFERROR(_xlfn.XLOOKUP($A57,Master_Data!$C:$C,Master_Data!$H:$H,"CHECK",0),"")</f>
        <v>55.933775760444007</v>
      </c>
      <c r="S57" t="str">
        <f>_xlfn.XLOOKUP($A57,Master_Data!$C:$C,Master_Data!$I:$I,"CHECK",0)</f>
        <v>Mahmud Hasan Khan</v>
      </c>
      <c r="T57">
        <f>_xlfn.XLOOKUP($A57,Master_Data!$C:$C,Master_Data!$K:$K,"CHECK",0)</f>
        <v>163877</v>
      </c>
      <c r="U57">
        <f>IFERROR(_xlfn.XLOOKUP($A57,Master_Data!$C:$C,Master_Data!$L:$L,"CHECK",0),"")</f>
        <v>44.066224239555993</v>
      </c>
      <c r="V57">
        <f>_xlfn.XLOOKUP($A57,Master_Data!$C:$C,Master_Data!$M:$M,"CHECK",0)</f>
        <v>44134</v>
      </c>
      <c r="W57">
        <f>IFERROR(_xlfn.XLOOKUP($A57,Master_Data!$C:$C,Master_Data!$N:$N,"CHECK",0),"")</f>
        <v>11.867551520888009</v>
      </c>
      <c r="X57" t="str">
        <f>IFERROR(_xlfn.XLOOKUP($A57,Master_Data!$C:$C,Master_Data!$O:$O,"CHECK",0),"No Result")</f>
        <v>Safe Seat</v>
      </c>
      <c r="Y57">
        <f>_xlfn.XLOOKUP($A57,Master_Data!$C:$C,Master_Data!$P:$P,"CHECK",0)</f>
        <v>0</v>
      </c>
      <c r="Z57">
        <f t="shared" si="1"/>
        <v>1</v>
      </c>
    </row>
    <row r="58" spans="1:26">
      <c r="A58" t="str">
        <v>Comilla-1</v>
      </c>
      <c r="B58" t="str" cm="1">
        <f t="array" ref="B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Nawabganj","Chapainawabganj"),Final_Merged_Data!$B$2:$B$1000=$A58)))</f>
        <v>Comilla</v>
      </c>
      <c r="C58" t="str" cm="1">
        <f t="array" ref="C58">_xlfn.TEXTJOIN(", ",TRUE,_xlfn._xlws.FILTER(Final_Merged_Data!$C$2:$C$1000,Final_Merged_Data!$B$2:$B$1000=$A58))</f>
        <v>Daudkandi, Meghna</v>
      </c>
      <c r="D58" cm="1">
        <f t="array" ref="D58">COUNTA(_xlfn._xlws.FILTER(Final_Merged_Data!$C$2:$C$1000,Final_Merged_Data!$B$2:$B$1000=$A58))</f>
        <v>2</v>
      </c>
      <c r="E58">
        <f>SUMIFS(Final_Merged_Data!$E:$E,Final_Merged_Data!$B:$B,$A58)</f>
        <v>563.75</v>
      </c>
      <c r="F58">
        <f>SUMIFS(Final_Merged_Data!$F:$F,Final_Merged_Data!$B:$B,$A58)</f>
        <v>525195</v>
      </c>
      <c r="G58">
        <f t="shared" si="0"/>
        <v>931.60975609756099</v>
      </c>
      <c r="H58" cm="1">
        <f t="array" ref="H58">SUMPRODUCT((Final_Merged_Data!$B$2:$B$1000=$A58)*Final_Merged_Data!$H$2:$H$1000*Final_Merged_Data!$F$2:$F$1000)/F58</f>
        <v>4.2241657479602814</v>
      </c>
      <c r="I58" cm="1">
        <f t="array" ref="I58">SUMPRODUCT((Final_Merged_Data!$B$2:$B$1000=$A58)*Final_Merged_Data!$I$2:$I$1000*Final_Merged_Data!$F$2:$F$1000)/F58</f>
        <v>74.336697912204031</v>
      </c>
      <c r="J58" t="str" cm="1">
        <f t="array" ref="J58">_xlfn.TEXTJOIN(", ",TRUE,_xlfn.UNIQUE(_xlfn._xlws.FILTER(Final_Merged_Data!$J$2:$J$1000,Final_Merged_Data!$B$2:$B$1000=$A58)))</f>
        <v>Chittagong Range</v>
      </c>
      <c r="K58" cm="1">
        <f t="array" ref="K58">SUMPRODUCT((Final_Merged_Data!$B$2:$B$1000=$A58)*Final_Merged_Data!$K$2:$K$1000*Final_Merged_Data!$F$2:$F$1000)/F58</f>
        <v>84.879645400600893</v>
      </c>
      <c r="L58" cm="1">
        <f t="array" ref="L58">SUMPRODUCT((Final_Merged_Data!$B$2:$B$1000=$A58)*Final_Merged_Data!$L$2:$L$1000*Final_Merged_Data!$F$2:$F$1000)/F58</f>
        <v>10.309673910686193</v>
      </c>
      <c r="M58" t="str">
        <f>IF(COUNTIF(Master_Data!$C:$C,$A58)&gt;0,"Found","Missing")</f>
        <v>Found</v>
      </c>
      <c r="N58" t="str">
        <f>_xlfn.XLOOKUP($A58,Master_Data!$C:$C,Master_Data!$D:$D,"CHECK",0)</f>
        <v>Khandkar Mosharraf Hossain</v>
      </c>
      <c r="O58" t="str">
        <f>_xlfn.XLOOKUP($A58,Master_Data!$C:$C,Master_Data!$E:$E,"CHECK",0)</f>
        <v>BNP</v>
      </c>
      <c r="P58">
        <f>_xlfn.XLOOKUP($A58,Master_Data!$C:$C,Master_Data!$F:$F,"CHECK",0)</f>
        <v>1</v>
      </c>
      <c r="Q58">
        <f>_xlfn.XLOOKUP($A58,Master_Data!$C:$C,Master_Data!$G:$G,"CHECK",0)</f>
        <v>141440</v>
      </c>
      <c r="R58">
        <f>IFERROR(_xlfn.XLOOKUP($A58,Master_Data!$C:$C,Master_Data!$H:$H,"CHECK",0),"")</f>
        <v>59.859914933237398</v>
      </c>
      <c r="S58" t="str">
        <f>_xlfn.XLOOKUP($A58,Master_Data!$C:$C,Master_Data!$I:$I,"CHECK",0)</f>
        <v>Md. Moniruzzaman</v>
      </c>
      <c r="T58">
        <f>_xlfn.XLOOKUP($A58,Master_Data!$C:$C,Master_Data!$K:$K,"CHECK",0)</f>
        <v>94845</v>
      </c>
      <c r="U58">
        <f>IFERROR(_xlfn.XLOOKUP($A58,Master_Data!$C:$C,Master_Data!$L:$L,"CHECK",0),"")</f>
        <v>40.140085066762602</v>
      </c>
      <c r="V58">
        <f>_xlfn.XLOOKUP($A58,Master_Data!$C:$C,Master_Data!$M:$M,"CHECK",0)</f>
        <v>46595</v>
      </c>
      <c r="W58">
        <f>IFERROR(_xlfn.XLOOKUP($A58,Master_Data!$C:$C,Master_Data!$N:$N,"CHECK",0),"")</f>
        <v>19.719829866474807</v>
      </c>
      <c r="X58" t="str">
        <f>IFERROR(_xlfn.XLOOKUP($A58,Master_Data!$C:$C,Master_Data!$O:$O,"CHECK",0),"No Result")</f>
        <v>Safe Seat</v>
      </c>
      <c r="Y58">
        <f>_xlfn.XLOOKUP($A58,Master_Data!$C:$C,Master_Data!$P:$P,"CHECK",0)</f>
        <v>0</v>
      </c>
      <c r="Z58">
        <f t="shared" si="1"/>
        <v>1</v>
      </c>
    </row>
    <row r="59" spans="1:26">
      <c r="A59" t="str">
        <v>Comilla-10</v>
      </c>
      <c r="B59" t="str" cm="1">
        <f t="array" ref="B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Nawabganj","Chapainawabganj"),Final_Merged_Data!$B$2:$B$1000=$A59)))</f>
        <v>Comilla</v>
      </c>
      <c r="C59" t="str" cm="1">
        <f t="array" ref="C59">_xlfn.TEXTJOIN(", ",TRUE,_xlfn._xlws.FILTER(Final_Merged_Data!$C$2:$C$1000,Final_Merged_Data!$B$2:$B$1000=$A59))</f>
        <v>Nangalkot</v>
      </c>
      <c r="D59" cm="1">
        <f t="array" ref="D59">COUNTA(_xlfn._xlws.FILTER(Final_Merged_Data!$C$2:$C$1000,Final_Merged_Data!$B$2:$B$1000=$A59))</f>
        <v>1</v>
      </c>
      <c r="E59">
        <f>SUMIFS(Final_Merged_Data!$E:$E,Final_Merged_Data!$B:$B,$A59)</f>
        <v>276.33</v>
      </c>
      <c r="F59">
        <f>SUMIFS(Final_Merged_Data!$F:$F,Final_Merged_Data!$B:$B,$A59)</f>
        <v>427876</v>
      </c>
      <c r="G59">
        <f t="shared" si="0"/>
        <v>1548.4239858140629</v>
      </c>
      <c r="H59" cm="1">
        <f t="array" ref="H59">SUMPRODUCT((Final_Merged_Data!$B$2:$B$1000=$A59)*Final_Merged_Data!$H$2:$H$1000*Final_Merged_Data!$F$2:$F$1000)/F59</f>
        <v>4.47</v>
      </c>
      <c r="I59" cm="1">
        <f t="array" ref="I59">SUMPRODUCT((Final_Merged_Data!$B$2:$B$1000=$A59)*Final_Merged_Data!$I$2:$I$1000*Final_Merged_Data!$F$2:$F$1000)/F59</f>
        <v>76.47</v>
      </c>
      <c r="J59" t="str" cm="1">
        <f t="array" ref="J59">_xlfn.TEXTJOIN(", ",TRUE,_xlfn.UNIQUE(_xlfn._xlws.FILTER(Final_Merged_Data!$J$2:$J$1000,Final_Merged_Data!$B$2:$B$1000=$A59)))</f>
        <v>Chittagong Range</v>
      </c>
      <c r="K59" cm="1">
        <f t="array" ref="K59">SUMPRODUCT((Final_Merged_Data!$B$2:$B$1000=$A59)*Final_Merged_Data!$K$2:$K$1000*Final_Merged_Data!$F$2:$F$1000)/F59</f>
        <v>84.879645400600893</v>
      </c>
      <c r="L59" cm="1">
        <f t="array" ref="L59">SUMPRODUCT((Final_Merged_Data!$B$2:$B$1000=$A59)*Final_Merged_Data!$L$2:$L$1000*Final_Merged_Data!$F$2:$F$1000)/F59</f>
        <v>10.309673910686193</v>
      </c>
      <c r="M59" t="str">
        <f>IF(COUNTIF(Master_Data!$C:$C,$A59)&gt;0,"Found","Missing")</f>
        <v>Found</v>
      </c>
      <c r="N59" t="str">
        <f>_xlfn.XLOOKUP($A59,Master_Data!$C:$C,Master_Data!$D:$D,"CHECK",0)</f>
        <v>Md. Mobaswer Alam Bhuiyan</v>
      </c>
      <c r="O59" t="str">
        <f>_xlfn.XLOOKUP($A59,Master_Data!$C:$C,Master_Data!$E:$E,"CHECK",0)</f>
        <v>BNP</v>
      </c>
      <c r="P59">
        <f>_xlfn.XLOOKUP($A59,Master_Data!$C:$C,Master_Data!$F:$F,"CHECK",0)</f>
        <v>1</v>
      </c>
      <c r="Q59">
        <f>_xlfn.XLOOKUP($A59,Master_Data!$C:$C,Master_Data!$G:$G,"CHECK",0)</f>
        <v>163667</v>
      </c>
      <c r="R59">
        <f>IFERROR(_xlfn.XLOOKUP($A59,Master_Data!$C:$C,Master_Data!$H:$H,"CHECK",0),"")</f>
        <v>56.947459986082116</v>
      </c>
      <c r="S59" t="str">
        <f>_xlfn.XLOOKUP($A59,Master_Data!$C:$C,Master_Data!$I:$I,"CHECK",0)</f>
        <v>Mohammad Ibrahim Abrar</v>
      </c>
      <c r="T59">
        <f>_xlfn.XLOOKUP($A59,Master_Data!$C:$C,Master_Data!$K:$K,"CHECK",0)</f>
        <v>123733</v>
      </c>
      <c r="U59">
        <f>IFERROR(_xlfn.XLOOKUP($A59,Master_Data!$C:$C,Master_Data!$L:$L,"CHECK",0),"")</f>
        <v>43.052540013917884</v>
      </c>
      <c r="V59">
        <f>_xlfn.XLOOKUP($A59,Master_Data!$C:$C,Master_Data!$M:$M,"CHECK",0)</f>
        <v>39934</v>
      </c>
      <c r="W59">
        <f>IFERROR(_xlfn.XLOOKUP($A59,Master_Data!$C:$C,Master_Data!$N:$N,"CHECK",0),"")</f>
        <v>13.89491997216423</v>
      </c>
      <c r="X59" t="str">
        <f>IFERROR(_xlfn.XLOOKUP($A59,Master_Data!$C:$C,Master_Data!$O:$O,"CHECK",0),"No Result")</f>
        <v>Safe Seat</v>
      </c>
      <c r="Y59">
        <f>_xlfn.XLOOKUP($A59,Master_Data!$C:$C,Master_Data!$P:$P,"CHECK",0)</f>
        <v>0</v>
      </c>
      <c r="Z59">
        <f t="shared" si="1"/>
        <v>1</v>
      </c>
    </row>
    <row r="60" spans="1:26">
      <c r="A60" t="str">
        <v>Comilla-11</v>
      </c>
      <c r="B60" t="str" cm="1">
        <f t="array" ref="B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Nawabganj","Chapainawabganj"),Final_Merged_Data!$B$2:$B$1000=$A60)))</f>
        <v>Comilla</v>
      </c>
      <c r="C60" t="str" cm="1">
        <f t="array" ref="C60">_xlfn.TEXTJOIN(", ",TRUE,_xlfn._xlws.FILTER(Final_Merged_Data!$C$2:$C$1000,Final_Merged_Data!$B$2:$B$1000=$A60))</f>
        <v>Chauddagram</v>
      </c>
      <c r="D60" cm="1">
        <f t="array" ref="D60">COUNTA(_xlfn._xlws.FILTER(Final_Merged_Data!$C$2:$C$1000,Final_Merged_Data!$B$2:$B$1000=$A60))</f>
        <v>1</v>
      </c>
      <c r="E60">
        <f>SUMIFS(Final_Merged_Data!$E:$E,Final_Merged_Data!$B:$B,$A60)</f>
        <v>271.91000000000003</v>
      </c>
      <c r="F60">
        <f>SUMIFS(Final_Merged_Data!$F:$F,Final_Merged_Data!$B:$B,$A60)</f>
        <v>501803</v>
      </c>
      <c r="G60">
        <f t="shared" si="0"/>
        <v>1845.4746055680187</v>
      </c>
      <c r="H60" cm="1">
        <f t="array" ref="H60">SUMPRODUCT((Final_Merged_Data!$B$2:$B$1000=$A60)*Final_Merged_Data!$H$2:$H$1000*Final_Merged_Data!$F$2:$F$1000)/F60</f>
        <v>4.41</v>
      </c>
      <c r="I60" cm="1">
        <f t="array" ref="I60">SUMPRODUCT((Final_Merged_Data!$B$2:$B$1000=$A60)*Final_Merged_Data!$I$2:$I$1000*Final_Merged_Data!$F$2:$F$1000)/F60</f>
        <v>79.290000000000006</v>
      </c>
      <c r="J60" t="str" cm="1">
        <f t="array" ref="J60">_xlfn.TEXTJOIN(", ",TRUE,_xlfn.UNIQUE(_xlfn._xlws.FILTER(Final_Merged_Data!$J$2:$J$1000,Final_Merged_Data!$B$2:$B$1000=$A60)))</f>
        <v>Chittagong Range</v>
      </c>
      <c r="K60" cm="1">
        <f t="array" ref="K60">SUMPRODUCT((Final_Merged_Data!$B$2:$B$1000=$A60)*Final_Merged_Data!$K$2:$K$1000*Final_Merged_Data!$F$2:$F$1000)/F60</f>
        <v>84.879645400600893</v>
      </c>
      <c r="L60" cm="1">
        <f t="array" ref="L60">SUMPRODUCT((Final_Merged_Data!$B$2:$B$1000=$A60)*Final_Merged_Data!$L$2:$L$1000*Final_Merged_Data!$F$2:$F$1000)/F60</f>
        <v>10.309673910686193</v>
      </c>
      <c r="M60" t="str">
        <f>IF(COUNTIF(Master_Data!$C:$C,$A60)&gt;0,"Found","Missing")</f>
        <v>Found</v>
      </c>
      <c r="N60" t="str">
        <f>_xlfn.XLOOKUP($A60,Master_Data!$C:$C,Master_Data!$D:$D,"CHECK",0)</f>
        <v>Syed Abdullah Muhammad Taher</v>
      </c>
      <c r="O60" t="str">
        <f>_xlfn.XLOOKUP($A60,Master_Data!$C:$C,Master_Data!$E:$E,"CHECK",0)</f>
        <v>Jamaat</v>
      </c>
      <c r="P60">
        <f>_xlfn.XLOOKUP($A60,Master_Data!$C:$C,Master_Data!$F:$F,"CHECK",0)</f>
        <v>2</v>
      </c>
      <c r="Q60">
        <f>_xlfn.XLOOKUP($A60,Master_Data!$C:$C,Master_Data!$G:$G,"CHECK",0)</f>
        <v>133308</v>
      </c>
      <c r="R60">
        <f>IFERROR(_xlfn.XLOOKUP($A60,Master_Data!$C:$C,Master_Data!$H:$H,"CHECK",0),"")</f>
        <v>63.496327627104108</v>
      </c>
      <c r="S60" t="str">
        <f>_xlfn.XLOOKUP($A60,Master_Data!$C:$C,Master_Data!$I:$I,"CHECK",0)</f>
        <v>Md. Kamrul Huda</v>
      </c>
      <c r="T60">
        <f>_xlfn.XLOOKUP($A60,Master_Data!$C:$C,Master_Data!$K:$K,"CHECK",0)</f>
        <v>76638</v>
      </c>
      <c r="U60">
        <f>IFERROR(_xlfn.XLOOKUP($A60,Master_Data!$C:$C,Master_Data!$L:$L,"CHECK",0),"")</f>
        <v>36.503672372895892</v>
      </c>
      <c r="V60">
        <f>_xlfn.XLOOKUP($A60,Master_Data!$C:$C,Master_Data!$M:$M,"CHECK",0)</f>
        <v>56670</v>
      </c>
      <c r="W60">
        <f>IFERROR(_xlfn.XLOOKUP($A60,Master_Data!$C:$C,Master_Data!$N:$N,"CHECK",0),"")</f>
        <v>26.992655254208227</v>
      </c>
      <c r="X60" t="str">
        <f>IFERROR(_xlfn.XLOOKUP($A60,Master_Data!$C:$C,Master_Data!$O:$O,"CHECK",0),"No Result")</f>
        <v>Safe Seat</v>
      </c>
      <c r="Y60">
        <f>_xlfn.XLOOKUP($A60,Master_Data!$C:$C,Master_Data!$P:$P,"CHECK",0)</f>
        <v>0</v>
      </c>
      <c r="Z60">
        <f t="shared" si="1"/>
        <v>1</v>
      </c>
    </row>
    <row r="61" spans="1:26">
      <c r="A61" t="str">
        <v>Comilla-2</v>
      </c>
      <c r="B61" t="str" cm="1">
        <f t="array" ref="B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Nawabganj","Chapainawabganj"),Final_Merged_Data!$B$2:$B$1000=$A61)))</f>
        <v>Comilla</v>
      </c>
      <c r="C61" t="str" cm="1">
        <f t="array" ref="C61">_xlfn.TEXTJOIN(", ",TRUE,_xlfn._xlws.FILTER(Final_Merged_Data!$C$2:$C$1000,Final_Merged_Data!$B$2:$B$1000=$A61))</f>
        <v>Homna, Titas</v>
      </c>
      <c r="D61" cm="1">
        <f t="array" ref="D61">COUNTA(_xlfn._xlws.FILTER(Final_Merged_Data!$C$2:$C$1000,Final_Merged_Data!$B$2:$B$1000=$A61))</f>
        <v>2</v>
      </c>
      <c r="E61">
        <f>SUMIFS(Final_Merged_Data!$E:$E,Final_Merged_Data!$B:$B,$A61)</f>
        <v>520.6</v>
      </c>
      <c r="F61">
        <f>SUMIFS(Final_Merged_Data!$F:$F,Final_Merged_Data!$B:$B,$A61)</f>
        <v>431469</v>
      </c>
      <c r="G61">
        <f t="shared" si="0"/>
        <v>828.79177871686511</v>
      </c>
      <c r="H61" cm="1">
        <f t="array" ref="H61">SUMPRODUCT((Final_Merged_Data!$B$2:$B$1000=$A61)*Final_Merged_Data!$H$2:$H$1000*Final_Merged_Data!$F$2:$F$1000)/F61</f>
        <v>4.2247266431655577</v>
      </c>
      <c r="I61" cm="1">
        <f t="array" ref="I61">SUMPRODUCT((Final_Merged_Data!$B$2:$B$1000=$A61)*Final_Merged_Data!$I$2:$I$1000*Final_Merged_Data!$F$2:$F$1000)/F61</f>
        <v>67.094775244571451</v>
      </c>
      <c r="J61" t="str" cm="1">
        <f t="array" ref="J61">_xlfn.TEXTJOIN(", ",TRUE,_xlfn.UNIQUE(_xlfn._xlws.FILTER(Final_Merged_Data!$J$2:$J$1000,Final_Merged_Data!$B$2:$B$1000=$A61)))</f>
        <v>Chittagong Range</v>
      </c>
      <c r="K61" cm="1">
        <f t="array" ref="K61">SUMPRODUCT((Final_Merged_Data!$B$2:$B$1000=$A61)*Final_Merged_Data!$K$2:$K$1000*Final_Merged_Data!$F$2:$F$1000)/F61</f>
        <v>84.879645400600879</v>
      </c>
      <c r="L61" cm="1">
        <f t="array" ref="L61">SUMPRODUCT((Final_Merged_Data!$B$2:$B$1000=$A61)*Final_Merged_Data!$L$2:$L$1000*Final_Merged_Data!$F$2:$F$1000)/F61</f>
        <v>10.309673910686193</v>
      </c>
      <c r="M61" t="str">
        <f>IF(COUNTIF(Master_Data!$C:$C,$A61)&gt;0,"Found","Missing")</f>
        <v>Found</v>
      </c>
      <c r="N61" t="str">
        <f>_xlfn.XLOOKUP($A61,Master_Data!$C:$C,Master_Data!$D:$D,"CHECK",0)</f>
        <v>Md. Abdul Mannan[disambiguation needed]</v>
      </c>
      <c r="O61" t="str">
        <f>_xlfn.XLOOKUP($A61,Master_Data!$C:$C,Master_Data!$E:$E,"CHECK",0)</f>
        <v>BNP</v>
      </c>
      <c r="P61">
        <f>_xlfn.XLOOKUP($A61,Master_Data!$C:$C,Master_Data!$F:$F,"CHECK",0)</f>
        <v>1</v>
      </c>
      <c r="Q61">
        <f>_xlfn.XLOOKUP($A61,Master_Data!$C:$C,Master_Data!$G:$G,"CHECK",0)</f>
        <v>77037</v>
      </c>
      <c r="R61">
        <f>IFERROR(_xlfn.XLOOKUP($A61,Master_Data!$C:$C,Master_Data!$H:$H,"CHECK",0),"")</f>
        <v>54.99421767250611</v>
      </c>
      <c r="S61" t="str">
        <f>_xlfn.XLOOKUP($A61,Master_Data!$C:$C,Master_Data!$I:$I,"CHECK",0)</f>
        <v>Md. Abdul Matin</v>
      </c>
      <c r="T61">
        <f>_xlfn.XLOOKUP($A61,Master_Data!$C:$C,Master_Data!$K:$K,"CHECK",0)</f>
        <v>63045</v>
      </c>
      <c r="U61">
        <f>IFERROR(_xlfn.XLOOKUP($A61,Master_Data!$C:$C,Master_Data!$L:$L,"CHECK",0),"")</f>
        <v>45.005782327493897</v>
      </c>
      <c r="V61">
        <f>_xlfn.XLOOKUP($A61,Master_Data!$C:$C,Master_Data!$M:$M,"CHECK",0)</f>
        <v>13992</v>
      </c>
      <c r="W61">
        <f>IFERROR(_xlfn.XLOOKUP($A61,Master_Data!$C:$C,Master_Data!$N:$N,"CHECK",0),"")</f>
        <v>9.9884353450122081</v>
      </c>
      <c r="X61" t="str">
        <f>IFERROR(_xlfn.XLOOKUP($A61,Master_Data!$C:$C,Master_Data!$O:$O,"CHECK",0),"No Result")</f>
        <v>Safe Seat</v>
      </c>
      <c r="Y61">
        <f>_xlfn.XLOOKUP($A61,Master_Data!$C:$C,Master_Data!$P:$P,"CHECK",0)</f>
        <v>0</v>
      </c>
      <c r="Z61">
        <f t="shared" si="1"/>
        <v>1</v>
      </c>
    </row>
    <row r="62" spans="1:26">
      <c r="A62" t="str">
        <v>Comilla-3</v>
      </c>
      <c r="B62" t="str" cm="1">
        <f t="array" ref="B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Nawabganj","Chapainawabganj"),Final_Merged_Data!$B$2:$B$1000=$A62)))</f>
        <v>Comilla</v>
      </c>
      <c r="C62" t="str" cm="1">
        <f t="array" ref="C62">_xlfn.TEXTJOIN(", ",TRUE,_xlfn._xlws.FILTER(Final_Merged_Data!$C$2:$C$1000,Final_Merged_Data!$B$2:$B$1000=$A62))</f>
        <v>Muradnagar</v>
      </c>
      <c r="D62" cm="1">
        <f t="array" ref="D62">COUNTA(_xlfn._xlws.FILTER(Final_Merged_Data!$C$2:$C$1000,Final_Merged_Data!$B$2:$B$1000=$A62))</f>
        <v>1</v>
      </c>
      <c r="E62">
        <f>SUMIFS(Final_Merged_Data!$E:$E,Final_Merged_Data!$B:$B,$A62)</f>
        <v>340.68</v>
      </c>
      <c r="F62">
        <f>SUMIFS(Final_Merged_Data!$F:$F,Final_Merged_Data!$B:$B,$A62)</f>
        <v>582934</v>
      </c>
      <c r="G62">
        <f t="shared" si="0"/>
        <v>1711.0895855348126</v>
      </c>
      <c r="H62" cm="1">
        <f t="array" ref="H62">SUMPRODUCT((Final_Merged_Data!$B$2:$B$1000=$A62)*Final_Merged_Data!$H$2:$H$1000*Final_Merged_Data!$F$2:$F$1000)/F62</f>
        <v>4.33</v>
      </c>
      <c r="I62" cm="1">
        <f t="array" ref="I62">SUMPRODUCT((Final_Merged_Data!$B$2:$B$1000=$A62)*Final_Merged_Data!$I$2:$I$1000*Final_Merged_Data!$F$2:$F$1000)/F62</f>
        <v>72.36</v>
      </c>
      <c r="J62" t="str" cm="1">
        <f t="array" ref="J62">_xlfn.TEXTJOIN(", ",TRUE,_xlfn.UNIQUE(_xlfn._xlws.FILTER(Final_Merged_Data!$J$2:$J$1000,Final_Merged_Data!$B$2:$B$1000=$A62)))</f>
        <v>Chittagong Range</v>
      </c>
      <c r="K62" cm="1">
        <f t="array" ref="K62">SUMPRODUCT((Final_Merged_Data!$B$2:$B$1000=$A62)*Final_Merged_Data!$K$2:$K$1000*Final_Merged_Data!$F$2:$F$1000)/F62</f>
        <v>84.879645400600893</v>
      </c>
      <c r="L62" cm="1">
        <f t="array" ref="L62">SUMPRODUCT((Final_Merged_Data!$B$2:$B$1000=$A62)*Final_Merged_Data!$L$2:$L$1000*Final_Merged_Data!$F$2:$F$1000)/F62</f>
        <v>10.309673910686193</v>
      </c>
      <c r="M62" t="str">
        <f>IF(COUNTIF(Master_Data!$C:$C,$A62)&gt;0,"Found","Missing")</f>
        <v>Found</v>
      </c>
      <c r="N62" t="str">
        <f>_xlfn.XLOOKUP($A62,Master_Data!$C:$C,Master_Data!$D:$D,"CHECK",0)</f>
        <v>Kazi Shah Mofazzal Hossain Kaikobad</v>
      </c>
      <c r="O62" t="str">
        <f>_xlfn.XLOOKUP($A62,Master_Data!$C:$C,Master_Data!$E:$E,"CHECK",0)</f>
        <v>BNP</v>
      </c>
      <c r="P62">
        <f>_xlfn.XLOOKUP($A62,Master_Data!$C:$C,Master_Data!$F:$F,"CHECK",0)</f>
        <v>1</v>
      </c>
      <c r="Q62">
        <f>_xlfn.XLOOKUP($A62,Master_Data!$C:$C,Master_Data!$G:$G,"CHECK",0)</f>
        <v>159291</v>
      </c>
      <c r="R62">
        <f>IFERROR(_xlfn.XLOOKUP($A62,Master_Data!$C:$C,Master_Data!$H:$H,"CHECK",0),"")</f>
        <v>59.24020975119938</v>
      </c>
      <c r="S62" t="str">
        <f>_xlfn.XLOOKUP($A62,Master_Data!$C:$C,Master_Data!$I:$I,"CHECK",0)</f>
        <v>Md. Yusuf Sohail</v>
      </c>
      <c r="T62">
        <f>_xlfn.XLOOKUP($A62,Master_Data!$C:$C,Master_Data!$K:$K,"CHECK",0)</f>
        <v>109599</v>
      </c>
      <c r="U62">
        <f>IFERROR(_xlfn.XLOOKUP($A62,Master_Data!$C:$C,Master_Data!$L:$L,"CHECK",0),"")</f>
        <v>40.759790248800627</v>
      </c>
      <c r="V62">
        <f>_xlfn.XLOOKUP($A62,Master_Data!$C:$C,Master_Data!$M:$M,"CHECK",0)</f>
        <v>49692</v>
      </c>
      <c r="W62">
        <f>IFERROR(_xlfn.XLOOKUP($A62,Master_Data!$C:$C,Master_Data!$N:$N,"CHECK",0),"")</f>
        <v>18.48041950239875</v>
      </c>
      <c r="X62" t="str">
        <f>IFERROR(_xlfn.XLOOKUP($A62,Master_Data!$C:$C,Master_Data!$O:$O,"CHECK",0),"No Result")</f>
        <v>Safe Seat</v>
      </c>
      <c r="Y62">
        <f>_xlfn.XLOOKUP($A62,Master_Data!$C:$C,Master_Data!$P:$P,"CHECK",0)</f>
        <v>0</v>
      </c>
      <c r="Z62">
        <f t="shared" si="1"/>
        <v>1</v>
      </c>
    </row>
    <row r="63" spans="1:26">
      <c r="A63" t="str">
        <v>Comilla-4</v>
      </c>
      <c r="B63" t="str" cm="1">
        <f t="array" ref="B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Nawabganj","Chapainawabganj"),Final_Merged_Data!$B$2:$B$1000=$A63)))</f>
        <v>Comilla</v>
      </c>
      <c r="C63" t="str" cm="1">
        <f t="array" ref="C63">_xlfn.TEXTJOIN(", ",TRUE,_xlfn._xlws.FILTER(Final_Merged_Data!$C$2:$C$1000,Final_Merged_Data!$B$2:$B$1000=$A63))</f>
        <v>Debidwar</v>
      </c>
      <c r="D63" cm="1">
        <f t="array" ref="D63">COUNTA(_xlfn._xlws.FILTER(Final_Merged_Data!$C$2:$C$1000,Final_Merged_Data!$B$2:$B$1000=$A63))</f>
        <v>1</v>
      </c>
      <c r="E63">
        <f>SUMIFS(Final_Merged_Data!$E:$E,Final_Merged_Data!$B:$B,$A63)</f>
        <v>148.41</v>
      </c>
      <c r="F63">
        <f>SUMIFS(Final_Merged_Data!$F:$F,Final_Merged_Data!$B:$B,$A63)</f>
        <v>471917</v>
      </c>
      <c r="G63">
        <f t="shared" si="0"/>
        <v>3179.8194191766056</v>
      </c>
      <c r="H63" cm="1">
        <f t="array" ref="H63">SUMPRODUCT((Final_Merged_Data!$B$2:$B$1000=$A63)*Final_Merged_Data!$H$2:$H$1000*Final_Merged_Data!$F$2:$F$1000)/F63</f>
        <v>4.3499999999999996</v>
      </c>
      <c r="I63" cm="1">
        <f t="array" ref="I63">SUMPRODUCT((Final_Merged_Data!$B$2:$B$1000=$A63)*Final_Merged_Data!$I$2:$I$1000*Final_Merged_Data!$F$2:$F$1000)/F63</f>
        <v>76.56</v>
      </c>
      <c r="J63" t="str" cm="1">
        <f t="array" ref="J63">_xlfn.TEXTJOIN(", ",TRUE,_xlfn.UNIQUE(_xlfn._xlws.FILTER(Final_Merged_Data!$J$2:$J$1000,Final_Merged_Data!$B$2:$B$1000=$A63)))</f>
        <v>Chittagong Range</v>
      </c>
      <c r="K63" cm="1">
        <f t="array" ref="K63">SUMPRODUCT((Final_Merged_Data!$B$2:$B$1000=$A63)*Final_Merged_Data!$K$2:$K$1000*Final_Merged_Data!$F$2:$F$1000)/F63</f>
        <v>84.879645400600893</v>
      </c>
      <c r="L63" cm="1">
        <f t="array" ref="L63">SUMPRODUCT((Final_Merged_Data!$B$2:$B$1000=$A63)*Final_Merged_Data!$L$2:$L$1000*Final_Merged_Data!$F$2:$F$1000)/F63</f>
        <v>10.309673910686193</v>
      </c>
      <c r="M63" t="str">
        <f>IF(COUNTIF(Master_Data!$C:$C,$A63)&gt;0,"Found","Missing")</f>
        <v>Found</v>
      </c>
      <c r="N63" t="str">
        <f>_xlfn.XLOOKUP($A63,Master_Data!$C:$C,Master_Data!$D:$D,"CHECK",0)</f>
        <v>Hasnat Abdullah</v>
      </c>
      <c r="O63" t="str">
        <f>_xlfn.XLOOKUP($A63,Master_Data!$C:$C,Master_Data!$E:$E,"CHECK",0)</f>
        <v>NCP</v>
      </c>
      <c r="P63">
        <f>_xlfn.XLOOKUP($A63,Master_Data!$C:$C,Master_Data!$F:$F,"CHECK",0)</f>
        <v>0</v>
      </c>
      <c r="Q63">
        <f>_xlfn.XLOOKUP($A63,Master_Data!$C:$C,Master_Data!$G:$G,"CHECK",0)</f>
        <v>166583</v>
      </c>
      <c r="R63">
        <f>IFERROR(_xlfn.XLOOKUP($A63,Master_Data!$C:$C,Master_Data!$H:$H,"CHECK",0),"")</f>
        <v>76.955023375279481</v>
      </c>
      <c r="S63" t="str">
        <f>_xlfn.XLOOKUP($A63,Master_Data!$C:$C,Master_Data!$I:$I,"CHECK",0)</f>
        <v>Md. Jasim Uddin</v>
      </c>
      <c r="T63">
        <f>_xlfn.XLOOKUP($A63,Master_Data!$C:$C,Master_Data!$K:$K,"CHECK",0)</f>
        <v>49885</v>
      </c>
      <c r="U63">
        <f>IFERROR(_xlfn.XLOOKUP($A63,Master_Data!$C:$C,Master_Data!$L:$L,"CHECK",0),"")</f>
        <v>23.044976624720512</v>
      </c>
      <c r="V63">
        <f>_xlfn.XLOOKUP($A63,Master_Data!$C:$C,Master_Data!$M:$M,"CHECK",0)</f>
        <v>116698</v>
      </c>
      <c r="W63">
        <f>IFERROR(_xlfn.XLOOKUP($A63,Master_Data!$C:$C,Master_Data!$N:$N,"CHECK",0),"")</f>
        <v>53.910046750558969</v>
      </c>
      <c r="X63" t="str">
        <f>IFERROR(_xlfn.XLOOKUP($A63,Master_Data!$C:$C,Master_Data!$O:$O,"CHECK",0),"No Result")</f>
        <v>Safe Seat</v>
      </c>
      <c r="Y63">
        <f>_xlfn.XLOOKUP($A63,Master_Data!$C:$C,Master_Data!$P:$P,"CHECK",0)</f>
        <v>0</v>
      </c>
      <c r="Z63">
        <f t="shared" si="1"/>
        <v>1</v>
      </c>
    </row>
    <row r="64" spans="1:26">
      <c r="A64" t="str">
        <v>Comilla-5</v>
      </c>
      <c r="B64" t="str" cm="1">
        <f t="array" ref="B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Nawabganj","Chapainawabganj"),Final_Merged_Data!$B$2:$B$1000=$A64)))</f>
        <v>Comilla</v>
      </c>
      <c r="C64" t="str" cm="1">
        <f t="array" ref="C64">_xlfn.TEXTJOIN(", ",TRUE,_xlfn._xlws.FILTER(Final_Merged_Data!$C$2:$C$1000,Final_Merged_Data!$B$2:$B$1000=$A64))</f>
        <v>Brahmanpara, Burichang</v>
      </c>
      <c r="D64" cm="1">
        <f t="array" ref="D64">COUNTA(_xlfn._xlws.FILTER(Final_Merged_Data!$C$2:$C$1000,Final_Merged_Data!$B$2:$B$1000=$A64))</f>
        <v>2</v>
      </c>
      <c r="E64">
        <f>SUMIFS(Final_Merged_Data!$E:$E,Final_Merged_Data!$B:$B,$A64)</f>
        <v>545.97</v>
      </c>
      <c r="F64">
        <f>SUMIFS(Final_Merged_Data!$F:$F,Final_Merged_Data!$B:$B,$A64)</f>
        <v>582254</v>
      </c>
      <c r="G64">
        <f t="shared" si="0"/>
        <v>1066.4578639852007</v>
      </c>
      <c r="H64" cm="1">
        <f t="array" ref="H64">SUMPRODUCT((Final_Merged_Data!$B$2:$B$1000=$A64)*Final_Merged_Data!$H$2:$H$1000*Final_Merged_Data!$F$2:$F$1000)/F64</f>
        <v>4.4699290000583938</v>
      </c>
      <c r="I64" cm="1">
        <f t="array" ref="I64">SUMPRODUCT((Final_Merged_Data!$B$2:$B$1000=$A64)*Final_Merged_Data!$I$2:$I$1000*Final_Merged_Data!$F$2:$F$1000)/F64</f>
        <v>78.703098132430185</v>
      </c>
      <c r="J64" t="str" cm="1">
        <f t="array" ref="J64">_xlfn.TEXTJOIN(", ",TRUE,_xlfn.UNIQUE(_xlfn._xlws.FILTER(Final_Merged_Data!$J$2:$J$1000,Final_Merged_Data!$B$2:$B$1000=$A64)))</f>
        <v>Chittagong Range</v>
      </c>
      <c r="K64" cm="1">
        <f t="array" ref="K64">SUMPRODUCT((Final_Merged_Data!$B$2:$B$1000=$A64)*Final_Merged_Data!$K$2:$K$1000*Final_Merged_Data!$F$2:$F$1000)/F64</f>
        <v>84.879645400600879</v>
      </c>
      <c r="L64" cm="1">
        <f t="array" ref="L64">SUMPRODUCT((Final_Merged_Data!$B$2:$B$1000=$A64)*Final_Merged_Data!$L$2:$L$1000*Final_Merged_Data!$F$2:$F$1000)/F64</f>
        <v>10.309673910686193</v>
      </c>
      <c r="M64" t="str">
        <f>IF(COUNTIF(Master_Data!$C:$C,$A64)&gt;0,"Found","Missing")</f>
        <v>Found</v>
      </c>
      <c r="N64" t="str">
        <f>_xlfn.XLOOKUP($A64,Master_Data!$C:$C,Master_Data!$D:$D,"CHECK",0)</f>
        <v>Md. Jashim Uddin</v>
      </c>
      <c r="O64" t="str">
        <f>_xlfn.XLOOKUP($A64,Master_Data!$C:$C,Master_Data!$E:$E,"CHECK",0)</f>
        <v>BNP</v>
      </c>
      <c r="P64">
        <f>_xlfn.XLOOKUP($A64,Master_Data!$C:$C,Master_Data!$F:$F,"CHECK",0)</f>
        <v>1</v>
      </c>
      <c r="Q64">
        <f>_xlfn.XLOOKUP($A64,Master_Data!$C:$C,Master_Data!$G:$G,"CHECK",0)</f>
        <v>134485</v>
      </c>
      <c r="R64">
        <f>IFERROR(_xlfn.XLOOKUP($A64,Master_Data!$C:$C,Master_Data!$H:$H,"CHECK",0),"")</f>
        <v>51.910279767786562</v>
      </c>
      <c r="S64" t="str">
        <f>_xlfn.XLOOKUP($A64,Master_Data!$C:$C,Master_Data!$I:$I,"CHECK",0)</f>
        <v>Mubarak Hossain</v>
      </c>
      <c r="T64">
        <f>_xlfn.XLOOKUP($A64,Master_Data!$C:$C,Master_Data!$K:$K,"CHECK",0)</f>
        <v>124587</v>
      </c>
      <c r="U64">
        <f>IFERROR(_xlfn.XLOOKUP($A64,Master_Data!$C:$C,Master_Data!$L:$L,"CHECK",0),"")</f>
        <v>48.089720232213438</v>
      </c>
      <c r="V64">
        <f>_xlfn.XLOOKUP($A64,Master_Data!$C:$C,Master_Data!$M:$M,"CHECK",0)</f>
        <v>9898</v>
      </c>
      <c r="W64">
        <f>IFERROR(_xlfn.XLOOKUP($A64,Master_Data!$C:$C,Master_Data!$N:$N,"CHECK",0),"")</f>
        <v>3.8205595355731226</v>
      </c>
      <c r="X64" t="str">
        <f>IFERROR(_xlfn.XLOOKUP($A64,Master_Data!$C:$C,Master_Data!$O:$O,"CHECK",0),"No Result")</f>
        <v>Highly Competitive</v>
      </c>
      <c r="Y64">
        <f>_xlfn.XLOOKUP($A64,Master_Data!$C:$C,Master_Data!$P:$P,"CHECK",0)</f>
        <v>0</v>
      </c>
      <c r="Z64">
        <f t="shared" si="1"/>
        <v>1</v>
      </c>
    </row>
    <row r="65" spans="1:26">
      <c r="A65" t="str">
        <v>Comilla-6</v>
      </c>
      <c r="B65" t="str" cm="1">
        <f t="array" ref="B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Nawabganj","Chapainawabganj"),Final_Merged_Data!$B$2:$B$1000=$A65)))</f>
        <v>Comilla</v>
      </c>
      <c r="C65" t="str" cm="1">
        <f t="array" ref="C65">_xlfn.TEXTJOIN(", ",TRUE,_xlfn._xlws.FILTER(Final_Merged_Data!$C$2:$C$1000,Final_Merged_Data!$B$2:$B$1000=$A65))</f>
        <v>Adarsha Sadar</v>
      </c>
      <c r="D65" cm="1">
        <f t="array" ref="D65">COUNTA(_xlfn._xlws.FILTER(Final_Merged_Data!$C$2:$C$1000,Final_Merged_Data!$B$2:$B$1000=$A65))</f>
        <v>1</v>
      </c>
      <c r="E65">
        <f>SUMIFS(Final_Merged_Data!$E:$E,Final_Merged_Data!$B:$B,$A65)</f>
        <v>362.44</v>
      </c>
      <c r="F65">
        <f>SUMIFS(Final_Merged_Data!$F:$F,Final_Merged_Data!$B:$B,$A65)</f>
        <v>388414</v>
      </c>
      <c r="G65">
        <f t="shared" si="0"/>
        <v>1071.6642754662842</v>
      </c>
      <c r="H65" cm="1">
        <f t="array" ref="H65">SUMPRODUCT((Final_Merged_Data!$B$2:$B$1000=$A65)*Final_Merged_Data!$H$2:$H$1000*Final_Merged_Data!$F$2:$F$1000)/F65</f>
        <v>4.3499999999999996</v>
      </c>
      <c r="I65" cm="1">
        <f t="array" ref="I65">SUMPRODUCT((Final_Merged_Data!$B$2:$B$1000=$A65)*Final_Merged_Data!$I$2:$I$1000*Final_Merged_Data!$F$2:$F$1000)/F65</f>
        <v>81.069999999999993</v>
      </c>
      <c r="J65" t="str" cm="1">
        <f t="array" ref="J65">_xlfn.TEXTJOIN(", ",TRUE,_xlfn.UNIQUE(_xlfn._xlws.FILTER(Final_Merged_Data!$J$2:$J$1000,Final_Merged_Data!$B$2:$B$1000=$A65)))</f>
        <v>Chittagong Range</v>
      </c>
      <c r="K65" cm="1">
        <f t="array" ref="K65">SUMPRODUCT((Final_Merged_Data!$B$2:$B$1000=$A65)*Final_Merged_Data!$K$2:$K$1000*Final_Merged_Data!$F$2:$F$1000)/F65</f>
        <v>84.879645400600893</v>
      </c>
      <c r="L65" cm="1">
        <f t="array" ref="L65">SUMPRODUCT((Final_Merged_Data!$B$2:$B$1000=$A65)*Final_Merged_Data!$L$2:$L$1000*Final_Merged_Data!$F$2:$F$1000)/F65</f>
        <v>10.309673910686193</v>
      </c>
      <c r="M65" t="str">
        <f>IF(COUNTIF(Master_Data!$C:$C,$A65)&gt;0,"Found","Missing")</f>
        <v>Found</v>
      </c>
      <c r="N65" t="str">
        <f>_xlfn.XLOOKUP($A65,Master_Data!$C:$C,Master_Data!$D:$D,"CHECK",0)</f>
        <v>Monirul Haq Chowdhury</v>
      </c>
      <c r="O65" t="str">
        <f>_xlfn.XLOOKUP($A65,Master_Data!$C:$C,Master_Data!$E:$E,"CHECK",0)</f>
        <v>BNP</v>
      </c>
      <c r="P65">
        <f>_xlfn.XLOOKUP($A65,Master_Data!$C:$C,Master_Data!$F:$F,"CHECK",0)</f>
        <v>1</v>
      </c>
      <c r="Q65">
        <f>_xlfn.XLOOKUP($A65,Master_Data!$C:$C,Master_Data!$G:$G,"CHECK",0)</f>
        <v>201706</v>
      </c>
      <c r="R65">
        <f>IFERROR(_xlfn.XLOOKUP($A65,Master_Data!$C:$C,Master_Data!$H:$H,"CHECK",0),"")</f>
        <v>62.727914491054463</v>
      </c>
      <c r="S65" t="str">
        <f>_xlfn.XLOOKUP($A65,Master_Data!$C:$C,Master_Data!$I:$I,"CHECK",0)</f>
        <v>Qazi Deen Mohammad</v>
      </c>
      <c r="T65">
        <f>_xlfn.XLOOKUP($A65,Master_Data!$C:$C,Master_Data!$K:$K,"CHECK",0)</f>
        <v>119851</v>
      </c>
      <c r="U65">
        <f>IFERROR(_xlfn.XLOOKUP($A65,Master_Data!$C:$C,Master_Data!$L:$L,"CHECK",0),"")</f>
        <v>37.272085508945537</v>
      </c>
      <c r="V65">
        <f>_xlfn.XLOOKUP($A65,Master_Data!$C:$C,Master_Data!$M:$M,"CHECK",0)</f>
        <v>81855</v>
      </c>
      <c r="W65">
        <f>IFERROR(_xlfn.XLOOKUP($A65,Master_Data!$C:$C,Master_Data!$N:$N,"CHECK",0),"")</f>
        <v>25.455828982108926</v>
      </c>
      <c r="X65" t="str">
        <f>IFERROR(_xlfn.XLOOKUP($A65,Master_Data!$C:$C,Master_Data!$O:$O,"CHECK",0),"No Result")</f>
        <v>Safe Seat</v>
      </c>
      <c r="Y65">
        <f>_xlfn.XLOOKUP($A65,Master_Data!$C:$C,Master_Data!$P:$P,"CHECK",0)</f>
        <v>1</v>
      </c>
      <c r="Z65">
        <f t="shared" si="1"/>
        <v>1</v>
      </c>
    </row>
    <row r="66" spans="1:26">
      <c r="A66" t="str">
        <v>Comilla-7</v>
      </c>
      <c r="B66" t="str" cm="1">
        <f t="array" ref="B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Nawabganj","Chapainawabganj"),Final_Merged_Data!$B$2:$B$1000=$A66)))</f>
        <v>Comilla</v>
      </c>
      <c r="C66" t="str" cm="1">
        <f t="array" ref="C66">_xlfn.TEXTJOIN(", ",TRUE,_xlfn._xlws.FILTER(Final_Merged_Data!$C$2:$C$1000,Final_Merged_Data!$B$2:$B$1000=$A66))</f>
        <v>Chandina</v>
      </c>
      <c r="D66" cm="1">
        <f t="array" ref="D66">COUNTA(_xlfn._xlws.FILTER(Final_Merged_Data!$C$2:$C$1000,Final_Merged_Data!$B$2:$B$1000=$A66))</f>
        <v>1</v>
      </c>
      <c r="E66">
        <f>SUMIFS(Final_Merged_Data!$E:$E,Final_Merged_Data!$B:$B,$A66)</f>
        <v>413.94</v>
      </c>
      <c r="F66">
        <f>SUMIFS(Final_Merged_Data!$F:$F,Final_Merged_Data!$B:$B,$A66)</f>
        <v>394860</v>
      </c>
      <c r="G66">
        <f t="shared" si="0"/>
        <v>953.90636324104946</v>
      </c>
      <c r="H66" cm="1">
        <f t="array" ref="H66">SUMPRODUCT((Final_Merged_Data!$B$2:$B$1000=$A66)*Final_Merged_Data!$H$2:$H$1000*Final_Merged_Data!$F$2:$F$1000)/F66</f>
        <v>4.17</v>
      </c>
      <c r="I66" cm="1">
        <f t="array" ref="I66">SUMPRODUCT((Final_Merged_Data!$B$2:$B$1000=$A66)*Final_Merged_Data!$I$2:$I$1000*Final_Merged_Data!$F$2:$F$1000)/F66</f>
        <v>74.239999999999995</v>
      </c>
      <c r="J66" t="str" cm="1">
        <f t="array" ref="J66">_xlfn.TEXTJOIN(", ",TRUE,_xlfn.UNIQUE(_xlfn._xlws.FILTER(Final_Merged_Data!$J$2:$J$1000,Final_Merged_Data!$B$2:$B$1000=$A66)))</f>
        <v>Chittagong Range</v>
      </c>
      <c r="K66" cm="1">
        <f t="array" ref="K66">SUMPRODUCT((Final_Merged_Data!$B$2:$B$1000=$A66)*Final_Merged_Data!$K$2:$K$1000*Final_Merged_Data!$F$2:$F$1000)/F66</f>
        <v>84.879645400600893</v>
      </c>
      <c r="L66" cm="1">
        <f t="array" ref="L66">SUMPRODUCT((Final_Merged_Data!$B$2:$B$1000=$A66)*Final_Merged_Data!$L$2:$L$1000*Final_Merged_Data!$F$2:$F$1000)/F66</f>
        <v>10.309673910686193</v>
      </c>
      <c r="M66" t="str">
        <f>IF(COUNTIF(Master_Data!$C:$C,$A66)&gt;0,"Found","Missing")</f>
        <v>Found</v>
      </c>
      <c r="N66" t="str">
        <f>_xlfn.XLOOKUP($A66,Master_Data!$C:$C,Master_Data!$D:$D,"CHECK",0)</f>
        <v>Atikul Alam Shawon</v>
      </c>
      <c r="O66" t="str">
        <f>_xlfn.XLOOKUP($A66,Master_Data!$C:$C,Master_Data!$E:$E,"CHECK",0)</f>
        <v>IND</v>
      </c>
      <c r="P66">
        <f>_xlfn.XLOOKUP($A66,Master_Data!$C:$C,Master_Data!$F:$F,"CHECK",0)</f>
        <v>5</v>
      </c>
      <c r="Q66">
        <f>_xlfn.XLOOKUP($A66,Master_Data!$C:$C,Master_Data!$G:$G,"CHECK",0)</f>
        <v>91690</v>
      </c>
      <c r="R66">
        <f>IFERROR(_xlfn.XLOOKUP($A66,Master_Data!$C:$C,Master_Data!$H:$H,"CHECK",0),"")</f>
        <v>65.399895862310004</v>
      </c>
      <c r="S66" t="str">
        <f>_xlfn.XLOOKUP($A66,Master_Data!$C:$C,Master_Data!$I:$I,"CHECK",0)</f>
        <v>Redwan Ahmed</v>
      </c>
      <c r="T66">
        <f>_xlfn.XLOOKUP($A66,Master_Data!$C:$C,Master_Data!$K:$K,"CHECK",0)</f>
        <v>48509</v>
      </c>
      <c r="U66">
        <f>IFERROR(_xlfn.XLOOKUP($A66,Master_Data!$C:$C,Master_Data!$L:$L,"CHECK",0),"")</f>
        <v>34.600104137689996</v>
      </c>
      <c r="V66">
        <f>_xlfn.XLOOKUP($A66,Master_Data!$C:$C,Master_Data!$M:$M,"CHECK",0)</f>
        <v>43181</v>
      </c>
      <c r="W66">
        <f>IFERROR(_xlfn.XLOOKUP($A66,Master_Data!$C:$C,Master_Data!$N:$N,"CHECK",0),"")</f>
        <v>30.799791724620007</v>
      </c>
      <c r="X66" t="str">
        <f>IFERROR(_xlfn.XLOOKUP($A66,Master_Data!$C:$C,Master_Data!$O:$O,"CHECK",0),"No Result")</f>
        <v>Safe Seat</v>
      </c>
      <c r="Y66">
        <f>_xlfn.XLOOKUP($A66,Master_Data!$C:$C,Master_Data!$P:$P,"CHECK",0)</f>
        <v>0</v>
      </c>
      <c r="Z66">
        <f t="shared" si="1"/>
        <v>1</v>
      </c>
    </row>
    <row r="67" spans="1:26">
      <c r="A67" t="str">
        <v>Comilla-8</v>
      </c>
      <c r="B67" t="str" cm="1">
        <f t="array" ref="B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Nawabganj","Chapainawabganj"),Final_Merged_Data!$B$2:$B$1000=$A67)))</f>
        <v>Comilla</v>
      </c>
      <c r="C67" t="str" cm="1">
        <f t="array" ref="C67">_xlfn.TEXTJOIN(", ",TRUE,_xlfn._xlws.FILTER(Final_Merged_Data!$C$2:$C$1000,Final_Merged_Data!$B$2:$B$1000=$A67))</f>
        <v>Barura</v>
      </c>
      <c r="D67" cm="1">
        <f t="array" ref="D67">COUNTA(_xlfn._xlws.FILTER(Final_Merged_Data!$C$2:$C$1000,Final_Merged_Data!$B$2:$B$1000=$A67))</f>
        <v>1</v>
      </c>
      <c r="E67">
        <f>SUMIFS(Final_Merged_Data!$E:$E,Final_Merged_Data!$B:$B,$A67)</f>
        <v>248.58</v>
      </c>
      <c r="F67">
        <f>SUMIFS(Final_Merged_Data!$F:$F,Final_Merged_Data!$B:$B,$A67)</f>
        <v>456328</v>
      </c>
      <c r="G67">
        <f t="shared" ref="G67:G130" si="2">IF(E67=0,"",F67/E67)</f>
        <v>1835.7389975058331</v>
      </c>
      <c r="H67" cm="1">
        <f t="array" ref="H67">SUMPRODUCT((Final_Merged_Data!$B$2:$B$1000=$A67)*Final_Merged_Data!$H$2:$H$1000*Final_Merged_Data!$F$2:$F$1000)/F67</f>
        <v>4.1900000000000004</v>
      </c>
      <c r="I67" cm="1">
        <f t="array" ref="I67">SUMPRODUCT((Final_Merged_Data!$B$2:$B$1000=$A67)*Final_Merged_Data!$I$2:$I$1000*Final_Merged_Data!$F$2:$F$1000)/F67</f>
        <v>74.83</v>
      </c>
      <c r="J67" t="str" cm="1">
        <f t="array" ref="J67">_xlfn.TEXTJOIN(", ",TRUE,_xlfn.UNIQUE(_xlfn._xlws.FILTER(Final_Merged_Data!$J$2:$J$1000,Final_Merged_Data!$B$2:$B$1000=$A67)))</f>
        <v>Chittagong Range</v>
      </c>
      <c r="K67" cm="1">
        <f t="array" ref="K67">SUMPRODUCT((Final_Merged_Data!$B$2:$B$1000=$A67)*Final_Merged_Data!$K$2:$K$1000*Final_Merged_Data!$F$2:$F$1000)/F67</f>
        <v>84.879645400600893</v>
      </c>
      <c r="L67" cm="1">
        <f t="array" ref="L67">SUMPRODUCT((Final_Merged_Data!$B$2:$B$1000=$A67)*Final_Merged_Data!$L$2:$L$1000*Final_Merged_Data!$F$2:$F$1000)/F67</f>
        <v>10.309673910686193</v>
      </c>
      <c r="M67" t="str">
        <f>IF(COUNTIF(Master_Data!$C:$C,$A67)&gt;0,"Found","Missing")</f>
        <v>Found</v>
      </c>
      <c r="N67" t="str">
        <f>_xlfn.XLOOKUP($A67,Master_Data!$C:$C,Master_Data!$D:$D,"CHECK",0)</f>
        <v>Zakaria Taher Sumon</v>
      </c>
      <c r="O67" t="str">
        <f>_xlfn.XLOOKUP($A67,Master_Data!$C:$C,Master_Data!$E:$E,"CHECK",0)</f>
        <v>BNP</v>
      </c>
      <c r="P67">
        <f>_xlfn.XLOOKUP($A67,Master_Data!$C:$C,Master_Data!$F:$F,"CHECK",0)</f>
        <v>1</v>
      </c>
      <c r="Q67">
        <f>_xlfn.XLOOKUP($A67,Master_Data!$C:$C,Master_Data!$G:$G,"CHECK",0)</f>
        <v>169178</v>
      </c>
      <c r="R67">
        <f>IFERROR(_xlfn.XLOOKUP($A67,Master_Data!$C:$C,Master_Data!$H:$H,"CHECK",0),"")</f>
        <v>78.955891892900979</v>
      </c>
      <c r="S67" t="str">
        <f>_xlfn.XLOOKUP($A67,Master_Data!$C:$C,Master_Data!$I:$I,"CHECK",0)</f>
        <v>Md. Shafiqul Alam Helal</v>
      </c>
      <c r="T67">
        <f>_xlfn.XLOOKUP($A67,Master_Data!$C:$C,Master_Data!$K:$K,"CHECK",0)</f>
        <v>45091</v>
      </c>
      <c r="U67">
        <f>IFERROR(_xlfn.XLOOKUP($A67,Master_Data!$C:$C,Master_Data!$L:$L,"CHECK",0),"")</f>
        <v>21.044108107099021</v>
      </c>
      <c r="V67">
        <f>_xlfn.XLOOKUP($A67,Master_Data!$C:$C,Master_Data!$M:$M,"CHECK",0)</f>
        <v>124087</v>
      </c>
      <c r="W67">
        <f>IFERROR(_xlfn.XLOOKUP($A67,Master_Data!$C:$C,Master_Data!$N:$N,"CHECK",0),"")</f>
        <v>57.911783785801966</v>
      </c>
      <c r="X67" t="str">
        <f>IFERROR(_xlfn.XLOOKUP($A67,Master_Data!$C:$C,Master_Data!$O:$O,"CHECK",0),"No Result")</f>
        <v>Safe Seat</v>
      </c>
      <c r="Y67">
        <f>_xlfn.XLOOKUP($A67,Master_Data!$C:$C,Master_Data!$P:$P,"CHECK",0)</f>
        <v>0</v>
      </c>
      <c r="Z67">
        <f t="shared" ref="Z67:Z130" si="3">IF(OR(R67="",Y67="No Result",N67="Election postponed",N67="Result withheld"),0,1)</f>
        <v>1</v>
      </c>
    </row>
    <row r="68" spans="1:26">
      <c r="A68" t="str">
        <v>Comilla-9</v>
      </c>
      <c r="B68" t="str" cm="1">
        <f t="array" ref="B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Nawabganj","Chapainawabganj"),Final_Merged_Data!$B$2:$B$1000=$A68)))</f>
        <v>Comilla</v>
      </c>
      <c r="C68" t="str" cm="1">
        <f t="array" ref="C68">_xlfn.TEXTJOIN(", ",TRUE,_xlfn._xlws.FILTER(Final_Merged_Data!$C$2:$C$1000,Final_Merged_Data!$B$2:$B$1000=$A68))</f>
        <v>Laksam</v>
      </c>
      <c r="D68" cm="1">
        <f t="array" ref="D68">COUNTA(_xlfn._xlws.FILTER(Final_Merged_Data!$C$2:$C$1000,Final_Merged_Data!$B$2:$B$1000=$A68))</f>
        <v>1</v>
      </c>
      <c r="E68">
        <f>SUMIFS(Final_Merged_Data!$E:$E,Final_Merged_Data!$B:$B,$A68)</f>
        <v>246.9</v>
      </c>
      <c r="F68">
        <f>SUMIFS(Final_Merged_Data!$F:$F,Final_Merged_Data!$B:$B,$A68)</f>
        <v>333706</v>
      </c>
      <c r="G68">
        <f t="shared" si="2"/>
        <v>1351.5836371000405</v>
      </c>
      <c r="H68" cm="1">
        <f t="array" ref="H68">SUMPRODUCT((Final_Merged_Data!$B$2:$B$1000=$A68)*Final_Merged_Data!$H$2:$H$1000*Final_Merged_Data!$F$2:$F$1000)/F68</f>
        <v>4.3899999999999997</v>
      </c>
      <c r="I68" cm="1">
        <f t="array" ref="I68">SUMPRODUCT((Final_Merged_Data!$B$2:$B$1000=$A68)*Final_Merged_Data!$I$2:$I$1000*Final_Merged_Data!$F$2:$F$1000)/F68</f>
        <v>77.34</v>
      </c>
      <c r="J68" t="str" cm="1">
        <f t="array" ref="J68">_xlfn.TEXTJOIN(", ",TRUE,_xlfn.UNIQUE(_xlfn._xlws.FILTER(Final_Merged_Data!$J$2:$J$1000,Final_Merged_Data!$B$2:$B$1000=$A68)))</f>
        <v>Chittagong Range</v>
      </c>
      <c r="K68" cm="1">
        <f t="array" ref="K68">SUMPRODUCT((Final_Merged_Data!$B$2:$B$1000=$A68)*Final_Merged_Data!$K$2:$K$1000*Final_Merged_Data!$F$2:$F$1000)/F68</f>
        <v>84.879645400600893</v>
      </c>
      <c r="L68" cm="1">
        <f t="array" ref="L68">SUMPRODUCT((Final_Merged_Data!$B$2:$B$1000=$A68)*Final_Merged_Data!$L$2:$L$1000*Final_Merged_Data!$F$2:$F$1000)/F68</f>
        <v>10.309673910686193</v>
      </c>
      <c r="M68" t="str">
        <f>IF(COUNTIF(Master_Data!$C:$C,$A68)&gt;0,"Found","Missing")</f>
        <v>Found</v>
      </c>
      <c r="N68" t="str">
        <f>_xlfn.XLOOKUP($A68,Master_Data!$C:$C,Master_Data!$D:$D,"CHECK",0)</f>
        <v>Md. Abul Kalam</v>
      </c>
      <c r="O68" t="str">
        <f>_xlfn.XLOOKUP($A68,Master_Data!$C:$C,Master_Data!$E:$E,"CHECK",0)</f>
        <v>BNP</v>
      </c>
      <c r="P68">
        <f>_xlfn.XLOOKUP($A68,Master_Data!$C:$C,Master_Data!$F:$F,"CHECK",0)</f>
        <v>1</v>
      </c>
      <c r="Q68">
        <f>_xlfn.XLOOKUP($A68,Master_Data!$C:$C,Master_Data!$G:$G,"CHECK",0)</f>
        <v>170008</v>
      </c>
      <c r="R68">
        <f>IFERROR(_xlfn.XLOOKUP($A68,Master_Data!$C:$C,Master_Data!$H:$H,"CHECK",0),"")</f>
        <v>58.832608342071289</v>
      </c>
      <c r="S68" t="str">
        <f>_xlfn.XLOOKUP($A68,Master_Data!$C:$C,Master_Data!$I:$I,"CHECK",0)</f>
        <v>AKM Sarwar Uddin Siddiqui</v>
      </c>
      <c r="T68">
        <f>_xlfn.XLOOKUP($A68,Master_Data!$C:$C,Master_Data!$K:$K,"CHECK",0)</f>
        <v>118961</v>
      </c>
      <c r="U68">
        <f>IFERROR(_xlfn.XLOOKUP($A68,Master_Data!$C:$C,Master_Data!$L:$L,"CHECK",0),"")</f>
        <v>41.167391657928704</v>
      </c>
      <c r="V68">
        <f>_xlfn.XLOOKUP($A68,Master_Data!$C:$C,Master_Data!$M:$M,"CHECK",0)</f>
        <v>51047</v>
      </c>
      <c r="W68">
        <f>IFERROR(_xlfn.XLOOKUP($A68,Master_Data!$C:$C,Master_Data!$N:$N,"CHECK",0),"")</f>
        <v>17.665216684142589</v>
      </c>
      <c r="X68" t="str">
        <f>IFERROR(_xlfn.XLOOKUP($A68,Master_Data!$C:$C,Master_Data!$O:$O,"CHECK",0),"No Result")</f>
        <v>Safe Seat</v>
      </c>
      <c r="Y68">
        <f>_xlfn.XLOOKUP($A68,Master_Data!$C:$C,Master_Data!$P:$P,"CHECK",0)</f>
        <v>0</v>
      </c>
      <c r="Z68">
        <f t="shared" si="3"/>
        <v>1</v>
      </c>
    </row>
    <row r="69" spans="1:26">
      <c r="A69" t="str">
        <v>Cox's Bazar-1</v>
      </c>
      <c r="B69" t="str" cm="1">
        <f t="array" ref="B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Nawabganj","Chapainawabganj"),Final_Merged_Data!$B$2:$B$1000=$A69)))</f>
        <v>Cox's Bazar</v>
      </c>
      <c r="C69" t="str" cm="1">
        <f t="array" ref="C69">_xlfn.TEXTJOIN(", ",TRUE,_xlfn._xlws.FILTER(Final_Merged_Data!$C$2:$C$1000,Final_Merged_Data!$B$2:$B$1000=$A69))</f>
        <v>Chakaria, Pekua</v>
      </c>
      <c r="D69" cm="1">
        <f t="array" ref="D69">COUNTA(_xlfn._xlws.FILTER(Final_Merged_Data!$C$2:$C$1000,Final_Merged_Data!$B$2:$B$1000=$A69))</f>
        <v>2</v>
      </c>
      <c r="E69">
        <f>SUMIFS(Final_Merged_Data!$E:$E,Final_Merged_Data!$B:$B,$A69)</f>
        <v>422.37</v>
      </c>
      <c r="F69">
        <f>SUMIFS(Final_Merged_Data!$F:$F,Final_Merged_Data!$B:$B,$A69)</f>
        <v>785623</v>
      </c>
      <c r="G69">
        <f t="shared" si="2"/>
        <v>1860.0350403674504</v>
      </c>
      <c r="H69" cm="1">
        <f t="array" ref="H69">SUMPRODUCT((Final_Merged_Data!$B$2:$B$1000=$A69)*Final_Merged_Data!$H$2:$H$1000*Final_Merged_Data!$F$2:$F$1000)/F69</f>
        <v>4.7436172820805904</v>
      </c>
      <c r="I69" cm="1">
        <f t="array" ref="I69">SUMPRODUCT((Final_Merged_Data!$B$2:$B$1000=$A69)*Final_Merged_Data!$I$2:$I$1000*Final_Merged_Data!$F$2:$F$1000)/F69</f>
        <v>74.808444381083547</v>
      </c>
      <c r="J69" t="str" cm="1">
        <f t="array" ref="J69">_xlfn.TEXTJOIN(", ",TRUE,_xlfn.UNIQUE(_xlfn._xlws.FILTER(Final_Merged_Data!$J$2:$J$1000,Final_Merged_Data!$B$2:$B$1000=$A69)))</f>
        <v>Chittagong Range</v>
      </c>
      <c r="K69" cm="1">
        <f t="array" ref="K69">SUMPRODUCT((Final_Merged_Data!$B$2:$B$1000=$A69)*Final_Merged_Data!$K$2:$K$1000*Final_Merged_Data!$F$2:$F$1000)/F69</f>
        <v>84.879645400600907</v>
      </c>
      <c r="L69" cm="1">
        <f t="array" ref="L69">SUMPRODUCT((Final_Merged_Data!$B$2:$B$1000=$A69)*Final_Merged_Data!$L$2:$L$1000*Final_Merged_Data!$F$2:$F$1000)/F69</f>
        <v>10.309673910686193</v>
      </c>
      <c r="M69" t="str">
        <f>IF(COUNTIF(Master_Data!$C:$C,$A69)&gt;0,"Found","Missing")</f>
        <v>Found</v>
      </c>
      <c r="N69" t="str">
        <f>_xlfn.XLOOKUP($A69,Master_Data!$C:$C,Master_Data!$D:$D,"CHECK",0)</f>
        <v>Salahuddin Ahmed</v>
      </c>
      <c r="O69" t="str">
        <f>_xlfn.XLOOKUP($A69,Master_Data!$C:$C,Master_Data!$E:$E,"CHECK",0)</f>
        <v>BNP</v>
      </c>
      <c r="P69">
        <f>_xlfn.XLOOKUP($A69,Master_Data!$C:$C,Master_Data!$F:$F,"CHECK",0)</f>
        <v>1</v>
      </c>
      <c r="Q69">
        <f>_xlfn.XLOOKUP($A69,Master_Data!$C:$C,Master_Data!$G:$G,"CHECK",0)</f>
        <v>222019</v>
      </c>
      <c r="R69">
        <f>IFERROR(_xlfn.XLOOKUP($A69,Master_Data!$C:$C,Master_Data!$H:$H,"CHECK",0),"")</f>
        <v>63.118946288099117</v>
      </c>
      <c r="S69" t="str">
        <f>_xlfn.XLOOKUP($A69,Master_Data!$C:$C,Master_Data!$I:$I,"CHECK",0)</f>
        <v>Abdullah Al Farooq</v>
      </c>
      <c r="T69">
        <f>_xlfn.XLOOKUP($A69,Master_Data!$C:$C,Master_Data!$K:$K,"CHECK",0)</f>
        <v>129728</v>
      </c>
      <c r="U69">
        <f>IFERROR(_xlfn.XLOOKUP($A69,Master_Data!$C:$C,Master_Data!$L:$L,"CHECK",0),"")</f>
        <v>36.881053711900883</v>
      </c>
      <c r="V69">
        <f>_xlfn.XLOOKUP($A69,Master_Data!$C:$C,Master_Data!$M:$M,"CHECK",0)</f>
        <v>92291</v>
      </c>
      <c r="W69">
        <f>IFERROR(_xlfn.XLOOKUP($A69,Master_Data!$C:$C,Master_Data!$N:$N,"CHECK",0),"")</f>
        <v>26.237892576198234</v>
      </c>
      <c r="X69" t="str">
        <f>IFERROR(_xlfn.XLOOKUP($A69,Master_Data!$C:$C,Master_Data!$O:$O,"CHECK",0),"No Result")</f>
        <v>Safe Seat</v>
      </c>
      <c r="Y69">
        <f>_xlfn.XLOOKUP($A69,Master_Data!$C:$C,Master_Data!$P:$P,"CHECK",0)</f>
        <v>0</v>
      </c>
      <c r="Z69">
        <f t="shared" si="3"/>
        <v>1</v>
      </c>
    </row>
    <row r="70" spans="1:26">
      <c r="A70" t="str">
        <v>Cox's Bazar-2</v>
      </c>
      <c r="B70" t="str" cm="1">
        <f t="array" ref="B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Nawabganj","Chapainawabganj"),Final_Merged_Data!$B$2:$B$1000=$A70)))</f>
        <v>Cox's Bazar</v>
      </c>
      <c r="C70" t="str" cm="1">
        <f t="array" ref="C70">_xlfn.TEXTJOIN(", ",TRUE,_xlfn._xlws.FILTER(Final_Merged_Data!$C$2:$C$1000,Final_Merged_Data!$B$2:$B$1000=$A70))</f>
        <v>Maheshkhali, Kutubdia</v>
      </c>
      <c r="D70" cm="1">
        <f t="array" ref="D70">COUNTA(_xlfn._xlws.FILTER(Final_Merged_Data!$C$2:$C$1000,Final_Merged_Data!$B$2:$B$1000=$A70))</f>
        <v>2</v>
      </c>
      <c r="E70">
        <f>SUMIFS(Final_Merged_Data!$E:$E,Final_Merged_Data!$B:$B,$A70)</f>
        <v>577.98</v>
      </c>
      <c r="F70">
        <f>SUMIFS(Final_Merged_Data!$F:$F,Final_Merged_Data!$B:$B,$A70)</f>
        <v>529119</v>
      </c>
      <c r="G70">
        <f t="shared" si="2"/>
        <v>915.46247274992209</v>
      </c>
      <c r="H70" cm="1">
        <f t="array" ref="H70">SUMPRODUCT((Final_Merged_Data!$B$2:$B$1000=$A70)*Final_Merged_Data!$H$2:$H$1000*Final_Merged_Data!$F$2:$F$1000)/F70</f>
        <v>4.8332862172781557</v>
      </c>
      <c r="I70" cm="1">
        <f t="array" ref="I70">SUMPRODUCT((Final_Merged_Data!$B$2:$B$1000=$A70)*Final_Merged_Data!$I$2:$I$1000*Final_Merged_Data!$F$2:$F$1000)/F70</f>
        <v>65.619726432050257</v>
      </c>
      <c r="J70" t="str" cm="1">
        <f t="array" ref="J70">_xlfn.TEXTJOIN(", ",TRUE,_xlfn.UNIQUE(_xlfn._xlws.FILTER(Final_Merged_Data!$J$2:$J$1000,Final_Merged_Data!$B$2:$B$1000=$A70)))</f>
        <v>Chittagong Range</v>
      </c>
      <c r="K70" cm="1">
        <f t="array" ref="K70">SUMPRODUCT((Final_Merged_Data!$B$2:$B$1000=$A70)*Final_Merged_Data!$K$2:$K$1000*Final_Merged_Data!$F$2:$F$1000)/F70</f>
        <v>84.879645400600893</v>
      </c>
      <c r="L70" cm="1">
        <f t="array" ref="L70">SUMPRODUCT((Final_Merged_Data!$B$2:$B$1000=$A70)*Final_Merged_Data!$L$2:$L$1000*Final_Merged_Data!$F$2:$F$1000)/F70</f>
        <v>10.309673910686193</v>
      </c>
      <c r="M70" t="str">
        <f>IF(COUNTIF(Master_Data!$C:$C,$A70)&gt;0,"Found","Missing")</f>
        <v>Found</v>
      </c>
      <c r="N70" t="str">
        <f>_xlfn.XLOOKUP($A70,Master_Data!$C:$C,Master_Data!$D:$D,"CHECK",0)</f>
        <v>Alamgir Mahfuzullah Farid</v>
      </c>
      <c r="O70" t="str">
        <f>_xlfn.XLOOKUP($A70,Master_Data!$C:$C,Master_Data!$E:$E,"CHECK",0)</f>
        <v>BNP</v>
      </c>
      <c r="P70">
        <f>_xlfn.XLOOKUP($A70,Master_Data!$C:$C,Master_Data!$F:$F,"CHECK",0)</f>
        <v>1</v>
      </c>
      <c r="Q70">
        <f>_xlfn.XLOOKUP($A70,Master_Data!$C:$C,Master_Data!$G:$G,"CHECK",0)</f>
        <v>125543</v>
      </c>
      <c r="R70">
        <f>IFERROR(_xlfn.XLOOKUP($A70,Master_Data!$C:$C,Master_Data!$H:$H,"CHECK",0),"")</f>
        <v>57.738971264579277</v>
      </c>
      <c r="S70" t="str">
        <f>_xlfn.XLOOKUP($A70,Master_Data!$C:$C,Master_Data!$I:$I,"CHECK",0)</f>
        <v>A. H. M. Hamidur Rahman Azad</v>
      </c>
      <c r="T70">
        <f>_xlfn.XLOOKUP($A70,Master_Data!$C:$C,Master_Data!$K:$K,"CHECK",0)</f>
        <v>91889</v>
      </c>
      <c r="U70">
        <f>IFERROR(_xlfn.XLOOKUP($A70,Master_Data!$C:$C,Master_Data!$L:$L,"CHECK",0),"")</f>
        <v>42.26102873542073</v>
      </c>
      <c r="V70">
        <f>_xlfn.XLOOKUP($A70,Master_Data!$C:$C,Master_Data!$M:$M,"CHECK",0)</f>
        <v>33654</v>
      </c>
      <c r="W70">
        <f>IFERROR(_xlfn.XLOOKUP($A70,Master_Data!$C:$C,Master_Data!$N:$N,"CHECK",0),"")</f>
        <v>15.477942529158542</v>
      </c>
      <c r="X70" t="str">
        <f>IFERROR(_xlfn.XLOOKUP($A70,Master_Data!$C:$C,Master_Data!$O:$O,"CHECK",0),"No Result")</f>
        <v>Safe Seat</v>
      </c>
      <c r="Y70">
        <f>_xlfn.XLOOKUP($A70,Master_Data!$C:$C,Master_Data!$P:$P,"CHECK",0)</f>
        <v>0</v>
      </c>
      <c r="Z70">
        <f t="shared" si="3"/>
        <v>1</v>
      </c>
    </row>
    <row r="71" spans="1:26">
      <c r="A71" t="str">
        <v>Cox's Bazar-3</v>
      </c>
      <c r="B71" t="str" cm="1">
        <f t="array" ref="B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Nawabganj","Chapainawabganj"),Final_Merged_Data!$B$2:$B$1000=$A71)))</f>
        <v>Cox's Bazar</v>
      </c>
      <c r="C71" t="str" cm="1">
        <f t="array" ref="C71">_xlfn.TEXTJOIN(", ",TRUE,_xlfn._xlws.FILTER(Final_Merged_Data!$C$2:$C$1000,Final_Merged_Data!$B$2:$B$1000=$A71))</f>
        <v>Cox's Bazar Sadar, Ramu</v>
      </c>
      <c r="D71" cm="1">
        <f t="array" ref="D71">COUNTA(_xlfn._xlws.FILTER(Final_Merged_Data!$C$2:$C$1000,Final_Merged_Data!$B$2:$B$1000=$A71))</f>
        <v>2</v>
      </c>
      <c r="E71">
        <f>SUMIFS(Final_Merged_Data!$E:$E,Final_Merged_Data!$B:$B,$A71)</f>
        <v>620.89</v>
      </c>
      <c r="F71">
        <f>SUMIFS(Final_Merged_Data!$F:$F,Final_Merged_Data!$B:$B,$A71)</f>
        <v>761895</v>
      </c>
      <c r="G71">
        <f t="shared" si="2"/>
        <v>1227.1014189308896</v>
      </c>
      <c r="H71" cm="1">
        <f t="array" ref="H71">SUMPRODUCT((Final_Merged_Data!$B$2:$B$1000=$A71)*Final_Merged_Data!$H$2:$H$1000*Final_Merged_Data!$F$2:$F$1000)/F71</f>
        <v>4.6449653298682891</v>
      </c>
      <c r="I71" cm="1">
        <f t="array" ref="I71">SUMPRODUCT((Final_Merged_Data!$B$2:$B$1000=$A71)*Final_Merged_Data!$I$2:$I$1000*Final_Merged_Data!$F$2:$F$1000)/F71</f>
        <v>75.089246313468408</v>
      </c>
      <c r="J71" t="str" cm="1">
        <f t="array" ref="J71">_xlfn.TEXTJOIN(", ",TRUE,_xlfn.UNIQUE(_xlfn._xlws.FILTER(Final_Merged_Data!$J$2:$J$1000,Final_Merged_Data!$B$2:$B$1000=$A71)))</f>
        <v>Chittagong Range</v>
      </c>
      <c r="K71" cm="1">
        <f t="array" ref="K71">SUMPRODUCT((Final_Merged_Data!$B$2:$B$1000=$A71)*Final_Merged_Data!$K$2:$K$1000*Final_Merged_Data!$F$2:$F$1000)/F71</f>
        <v>84.879645400600879</v>
      </c>
      <c r="L71" cm="1">
        <f t="array" ref="L71">SUMPRODUCT((Final_Merged_Data!$B$2:$B$1000=$A71)*Final_Merged_Data!$L$2:$L$1000*Final_Merged_Data!$F$2:$F$1000)/F71</f>
        <v>10.309673910686193</v>
      </c>
      <c r="M71" t="str">
        <f>IF(COUNTIF(Master_Data!$C:$C,$A71)&gt;0,"Found","Missing")</f>
        <v>Found</v>
      </c>
      <c r="N71" t="str">
        <f>_xlfn.XLOOKUP($A71,Master_Data!$C:$C,Master_Data!$D:$D,"CHECK",0)</f>
        <v>Lutfur Rahman Kajal</v>
      </c>
      <c r="O71" t="str">
        <f>_xlfn.XLOOKUP($A71,Master_Data!$C:$C,Master_Data!$E:$E,"CHECK",0)</f>
        <v>BNP</v>
      </c>
      <c r="P71">
        <f>_xlfn.XLOOKUP($A71,Master_Data!$C:$C,Master_Data!$F:$F,"CHECK",0)</f>
        <v>1</v>
      </c>
      <c r="Q71">
        <f>_xlfn.XLOOKUP($A71,Master_Data!$C:$C,Master_Data!$G:$G,"CHECK",0)</f>
        <v>182096</v>
      </c>
      <c r="R71">
        <f>IFERROR(_xlfn.XLOOKUP($A71,Master_Data!$C:$C,Master_Data!$H:$H,"CHECK",0),"")</f>
        <v>52.946735170372442</v>
      </c>
      <c r="S71" t="str">
        <f>_xlfn.XLOOKUP($A71,Master_Data!$C:$C,Master_Data!$I:$I,"CHECK",0)</f>
        <v>Shahidul Alam</v>
      </c>
      <c r="T71">
        <f>_xlfn.XLOOKUP($A71,Master_Data!$C:$C,Master_Data!$K:$K,"CHECK",0)</f>
        <v>161827</v>
      </c>
      <c r="U71">
        <f>IFERROR(_xlfn.XLOOKUP($A71,Master_Data!$C:$C,Master_Data!$L:$L,"CHECK",0),"")</f>
        <v>47.053264829627558</v>
      </c>
      <c r="V71">
        <f>_xlfn.XLOOKUP($A71,Master_Data!$C:$C,Master_Data!$M:$M,"CHECK",0)</f>
        <v>20269</v>
      </c>
      <c r="W71">
        <f>IFERROR(_xlfn.XLOOKUP($A71,Master_Data!$C:$C,Master_Data!$N:$N,"CHECK",0),"")</f>
        <v>5.8934703407448756</v>
      </c>
      <c r="X71" t="str">
        <f>IFERROR(_xlfn.XLOOKUP($A71,Master_Data!$C:$C,Master_Data!$O:$O,"CHECK",0),"No Result")</f>
        <v>Safe Seat</v>
      </c>
      <c r="Y71">
        <f>_xlfn.XLOOKUP($A71,Master_Data!$C:$C,Master_Data!$P:$P,"CHECK",0)</f>
        <v>0</v>
      </c>
      <c r="Z71">
        <f t="shared" si="3"/>
        <v>1</v>
      </c>
    </row>
    <row r="72" spans="1:26">
      <c r="A72" t="str">
        <v>Cox's Bazar-4</v>
      </c>
      <c r="B72" t="str" cm="1">
        <f t="array" ref="B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Nawabganj","Chapainawabganj"),Final_Merged_Data!$B$2:$B$1000=$A72)))</f>
        <v>Cox's Bazar</v>
      </c>
      <c r="C72" t="str" cm="1">
        <f t="array" ref="C72">_xlfn.TEXTJOIN(", ",TRUE,_xlfn._xlws.FILTER(Final_Merged_Data!$C$2:$C$1000,Final_Merged_Data!$B$2:$B$1000=$A72))</f>
        <v>Teknaf, Ukhia</v>
      </c>
      <c r="D72" cm="1">
        <f t="array" ref="D72">COUNTA(_xlfn._xlws.FILTER(Final_Merged_Data!$C$2:$C$1000,Final_Merged_Data!$B$2:$B$1000=$A72))</f>
        <v>2</v>
      </c>
      <c r="E72">
        <f>SUMIFS(Final_Merged_Data!$E:$E,Final_Merged_Data!$B:$B,$A72)</f>
        <v>650.59</v>
      </c>
      <c r="F72">
        <f>SUMIFS(Final_Merged_Data!$F:$F,Final_Merged_Data!$B:$B,$A72)</f>
        <v>596983</v>
      </c>
      <c r="G72">
        <f t="shared" si="2"/>
        <v>917.60248389922992</v>
      </c>
      <c r="H72" cm="1">
        <f t="array" ref="H72">SUMPRODUCT((Final_Merged_Data!$B$2:$B$1000=$A72)*Final_Merged_Data!$H$2:$H$1000*Final_Merged_Data!$F$2:$F$1000)/F72</f>
        <v>4.8521714521184025</v>
      </c>
      <c r="I72" cm="1">
        <f t="array" ref="I72">SUMPRODUCT((Final_Merged_Data!$B$2:$B$1000=$A72)*Final_Merged_Data!$I$2:$I$1000*Final_Merged_Data!$F$2:$F$1000)/F72</f>
        <v>66.818413338403261</v>
      </c>
      <c r="J72" t="str" cm="1">
        <f t="array" ref="J72">_xlfn.TEXTJOIN(", ",TRUE,_xlfn.UNIQUE(_xlfn._xlws.FILTER(Final_Merged_Data!$J$2:$J$1000,Final_Merged_Data!$B$2:$B$1000=$A72)))</f>
        <v>Chittagong Range</v>
      </c>
      <c r="K72" cm="1">
        <f t="array" ref="K72">SUMPRODUCT((Final_Merged_Data!$B$2:$B$1000=$A72)*Final_Merged_Data!$K$2:$K$1000*Final_Merged_Data!$F$2:$F$1000)/F72</f>
        <v>84.879645400600893</v>
      </c>
      <c r="L72" cm="1">
        <f t="array" ref="L72">SUMPRODUCT((Final_Merged_Data!$B$2:$B$1000=$A72)*Final_Merged_Data!$L$2:$L$1000*Final_Merged_Data!$F$2:$F$1000)/F72</f>
        <v>10.309673910686193</v>
      </c>
      <c r="M72" t="str">
        <f>IF(COUNTIF(Master_Data!$C:$C,$A72)&gt;0,"Found","Missing")</f>
        <v>Found</v>
      </c>
      <c r="N72" t="str">
        <f>_xlfn.XLOOKUP($A72,Master_Data!$C:$C,Master_Data!$D:$D,"CHECK",0)</f>
        <v>Shahjahan Chowdhury</v>
      </c>
      <c r="O72" t="str">
        <f>_xlfn.XLOOKUP($A72,Master_Data!$C:$C,Master_Data!$E:$E,"CHECK",0)</f>
        <v>BNP</v>
      </c>
      <c r="P72">
        <f>_xlfn.XLOOKUP($A72,Master_Data!$C:$C,Master_Data!$F:$F,"CHECK",0)</f>
        <v>1</v>
      </c>
      <c r="Q72">
        <f>_xlfn.XLOOKUP($A72,Master_Data!$C:$C,Master_Data!$G:$G,"CHECK",0)</f>
        <v>122909</v>
      </c>
      <c r="R72">
        <f>IFERROR(_xlfn.XLOOKUP($A72,Master_Data!$C:$C,Master_Data!$H:$H,"CHECK",0),"")</f>
        <v>50.189677772378502</v>
      </c>
      <c r="S72" t="str">
        <f>_xlfn.XLOOKUP($A72,Master_Data!$C:$C,Master_Data!$I:$I,"CHECK",0)</f>
        <v>Noor Ahmad Anwari</v>
      </c>
      <c r="T72">
        <f>_xlfn.XLOOKUP($A72,Master_Data!$C:$C,Master_Data!$K:$K,"CHECK",0)</f>
        <v>121980</v>
      </c>
      <c r="U72">
        <f>IFERROR(_xlfn.XLOOKUP($A72,Master_Data!$C:$C,Master_Data!$L:$L,"CHECK",0),"")</f>
        <v>49.810322227621498</v>
      </c>
      <c r="V72">
        <f>_xlfn.XLOOKUP($A72,Master_Data!$C:$C,Master_Data!$M:$M,"CHECK",0)</f>
        <v>929</v>
      </c>
      <c r="W72">
        <f>IFERROR(_xlfn.XLOOKUP($A72,Master_Data!$C:$C,Master_Data!$N:$N,"CHECK",0),"")</f>
        <v>0.37935554475701233</v>
      </c>
      <c r="X72" t="str">
        <f>IFERROR(_xlfn.XLOOKUP($A72,Master_Data!$C:$C,Master_Data!$O:$O,"CHECK",0),"No Result")</f>
        <v>Highly Competitive</v>
      </c>
      <c r="Y72">
        <f>_xlfn.XLOOKUP($A72,Master_Data!$C:$C,Master_Data!$P:$P,"CHECK",0)</f>
        <v>0</v>
      </c>
      <c r="Z72">
        <f t="shared" si="3"/>
        <v>1</v>
      </c>
    </row>
    <row r="73" spans="1:26">
      <c r="A73" t="str">
        <v>Dhaka-1</v>
      </c>
      <c r="B73" t="str" cm="1">
        <f t="array" ref="B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Nawabganj","Chapainawabganj"),Final_Merged_Data!$B$2:$B$1000=$A73)))</f>
        <v>Dhaka</v>
      </c>
      <c r="C73" t="str" cm="1">
        <f t="array" ref="C73">_xlfn.TEXTJOIN(", ",TRUE,_xlfn._xlws.FILTER(Final_Merged_Data!$C$2:$C$1000,Final_Merged_Data!$B$2:$B$1000=$A73))</f>
        <v>Dohar, Nawabganj</v>
      </c>
      <c r="D73" cm="1">
        <f t="array" ref="D73">COUNTA(_xlfn._xlws.FILTER(Final_Merged_Data!$C$2:$C$1000,Final_Merged_Data!$B$2:$B$1000=$A73))</f>
        <v>2</v>
      </c>
      <c r="E73">
        <f>SUMIFS(Final_Merged_Data!$E:$E,Final_Merged_Data!$B:$B,$A73)</f>
        <v>616.27</v>
      </c>
      <c r="F73">
        <f>SUMIFS(Final_Merged_Data!$F:$F,Final_Merged_Data!$B:$B,$A73)</f>
        <v>598887</v>
      </c>
      <c r="G73">
        <f t="shared" si="2"/>
        <v>971.79320752267677</v>
      </c>
      <c r="H73" cm="1">
        <f t="array" ref="H73">SUMPRODUCT((Final_Merged_Data!$B$2:$B$1000=$A73)*Final_Merged_Data!$H$2:$H$1000*Final_Merged_Data!$F$2:$F$1000)/F73</f>
        <v>3.8851697398674538</v>
      </c>
      <c r="I73" cm="1">
        <f t="array" ref="I73">SUMPRODUCT((Final_Merged_Data!$B$2:$B$1000=$A73)*Final_Merged_Data!$I$2:$I$1000*Final_Merged_Data!$F$2:$F$1000)/F73</f>
        <v>79.257471710022074</v>
      </c>
      <c r="J73" t="str" cm="1">
        <f t="array" ref="J73">_xlfn.TEXTJOIN(", ",TRUE,_xlfn.UNIQUE(_xlfn._xlws.FILTER(Final_Merged_Data!$J$2:$J$1000,Final_Merged_Data!$B$2:$B$1000=$A73)))</f>
        <v>Dhaka Range</v>
      </c>
      <c r="K73" cm="1">
        <f t="array" ref="K73">SUMPRODUCT((Final_Merged_Data!$B$2:$B$1000=$A73)*Final_Merged_Data!$K$2:$K$1000*Final_Merged_Data!$F$2:$F$1000)/F73</f>
        <v>87.055167395391194</v>
      </c>
      <c r="L73" cm="1">
        <f t="array" ref="L73">SUMPRODUCT((Final_Merged_Data!$B$2:$B$1000=$A73)*Final_Merged_Data!$L$2:$L$1000*Final_Merged_Data!$F$2:$F$1000)/F73</f>
        <v>14.083489099923574</v>
      </c>
      <c r="M73" t="str">
        <f>IF(COUNTIF(Master_Data!$C:$C,$A73)&gt;0,"Found","Missing")</f>
        <v>Found</v>
      </c>
      <c r="N73" t="str">
        <f>_xlfn.XLOOKUP($A73,Master_Data!$C:$C,Master_Data!$D:$D,"CHECK",0)</f>
        <v>Khandaker Abu Ashfaq</v>
      </c>
      <c r="O73" t="str">
        <f>_xlfn.XLOOKUP($A73,Master_Data!$C:$C,Master_Data!$E:$E,"CHECK",0)</f>
        <v>BNP</v>
      </c>
      <c r="P73">
        <f>_xlfn.XLOOKUP($A73,Master_Data!$C:$C,Master_Data!$F:$F,"CHECK",0)</f>
        <v>1</v>
      </c>
      <c r="Q73">
        <f>_xlfn.XLOOKUP($A73,Master_Data!$C:$C,Master_Data!$G:$G,"CHECK",0)</f>
        <v>173781</v>
      </c>
      <c r="R73">
        <f>IFERROR(_xlfn.XLOOKUP($A73,Master_Data!$C:$C,Master_Data!$H:$H,"CHECK",0),"")</f>
        <v>60.677087879666068</v>
      </c>
      <c r="S73" t="str">
        <f>_xlfn.XLOOKUP($A73,Master_Data!$C:$C,Master_Data!$I:$I,"CHECK",0)</f>
        <v>Mohammad Nazrul Islam</v>
      </c>
      <c r="T73">
        <f>_xlfn.XLOOKUP($A73,Master_Data!$C:$C,Master_Data!$K:$K,"CHECK",0)</f>
        <v>112622</v>
      </c>
      <c r="U73">
        <f>IFERROR(_xlfn.XLOOKUP($A73,Master_Data!$C:$C,Master_Data!$L:$L,"CHECK",0),"")</f>
        <v>39.322912120333939</v>
      </c>
      <c r="V73">
        <f>_xlfn.XLOOKUP($A73,Master_Data!$C:$C,Master_Data!$M:$M,"CHECK",0)</f>
        <v>61159</v>
      </c>
      <c r="W73">
        <f>IFERROR(_xlfn.XLOOKUP($A73,Master_Data!$C:$C,Master_Data!$N:$N,"CHECK",0),"")</f>
        <v>21.354175759332129</v>
      </c>
      <c r="X73" t="str">
        <f>IFERROR(_xlfn.XLOOKUP($A73,Master_Data!$C:$C,Master_Data!$O:$O,"CHECK",0),"No Result")</f>
        <v>Safe Seat</v>
      </c>
      <c r="Y73">
        <f>_xlfn.XLOOKUP($A73,Master_Data!$C:$C,Master_Data!$P:$P,"CHECK",0)</f>
        <v>0</v>
      </c>
      <c r="Z73">
        <f t="shared" si="3"/>
        <v>1</v>
      </c>
    </row>
    <row r="74" spans="1:26">
      <c r="A74" t="str">
        <v>Dhaka-10</v>
      </c>
      <c r="B74" t="str" cm="1">
        <f t="array" ref="B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Nawabganj","Chapainawabganj"),Final_Merged_Data!$B$2:$B$1000=$A74)))</f>
        <v>Dhaka</v>
      </c>
      <c r="C74" t="str" cm="1">
        <f t="array" ref="C74">_xlfn.TEXTJOIN(", ",TRUE,_xlfn._xlws.FILTER(Final_Merged_Data!$C$2:$C$1000,Final_Merged_Data!$B$2:$B$1000=$A74))</f>
        <v>Dhanmondi</v>
      </c>
      <c r="D74" cm="1">
        <f t="array" ref="D74">COUNTA(_xlfn._xlws.FILTER(Final_Merged_Data!$C$2:$C$1000,Final_Merged_Data!$B$2:$B$1000=$A74))</f>
        <v>1</v>
      </c>
      <c r="E74">
        <f>SUMIFS(Final_Merged_Data!$E:$E,Final_Merged_Data!$B:$B,$A74)</f>
        <v>19.091875000000002</v>
      </c>
      <c r="F74">
        <f>SUMIFS(Final_Merged_Data!$F:$F,Final_Merged_Data!$B:$B,$A74)</f>
        <v>643487</v>
      </c>
      <c r="G74">
        <f t="shared" si="2"/>
        <v>33704.756604576549</v>
      </c>
      <c r="H74" cm="1">
        <f t="array" ref="H74">SUMPRODUCT((Final_Merged_Data!$B$2:$B$1000=$A74)*Final_Merged_Data!$H$2:$H$1000*Final_Merged_Data!$F$2:$F$1000)/F74</f>
        <v>3.7299999999999995</v>
      </c>
      <c r="I74" cm="1">
        <f t="array" ref="I74">SUMPRODUCT((Final_Merged_Data!$B$2:$B$1000=$A74)*Final_Merged_Data!$I$2:$I$1000*Final_Merged_Data!$F$2:$F$1000)/F74</f>
        <v>86.16</v>
      </c>
      <c r="J74" t="str" cm="1">
        <f t="array" ref="J74">_xlfn.TEXTJOIN(", ",TRUE,_xlfn.UNIQUE(_xlfn._xlws.FILTER(Final_Merged_Data!$J$2:$J$1000,Final_Merged_Data!$B$2:$B$1000=$A74)))</f>
        <v>Dhaka Range</v>
      </c>
      <c r="K74" cm="1">
        <f t="array" ref="K74">SUMPRODUCT((Final_Merged_Data!$B$2:$B$1000=$A74)*Final_Merged_Data!$K$2:$K$1000*Final_Merged_Data!$F$2:$F$1000)/F74</f>
        <v>87.055167395391194</v>
      </c>
      <c r="L74" cm="1">
        <f t="array" ref="L74">SUMPRODUCT((Final_Merged_Data!$B$2:$B$1000=$A74)*Final_Merged_Data!$L$2:$L$1000*Final_Merged_Data!$F$2:$F$1000)/F74</f>
        <v>14.083489099923574</v>
      </c>
      <c r="M74" t="str">
        <f>IF(COUNTIF(Master_Data!$C:$C,$A74)&gt;0,"Found","Missing")</f>
        <v>Found</v>
      </c>
      <c r="N74" t="str">
        <f>_xlfn.XLOOKUP($A74,Master_Data!$C:$C,Master_Data!$D:$D,"CHECK",0)</f>
        <v>Sheikh Rabiul Alam</v>
      </c>
      <c r="O74" t="str">
        <f>_xlfn.XLOOKUP($A74,Master_Data!$C:$C,Master_Data!$E:$E,"CHECK",0)</f>
        <v>BNP</v>
      </c>
      <c r="P74">
        <f>_xlfn.XLOOKUP($A74,Master_Data!$C:$C,Master_Data!$F:$F,"CHECK",0)</f>
        <v>1</v>
      </c>
      <c r="Q74">
        <f>_xlfn.XLOOKUP($A74,Master_Data!$C:$C,Master_Data!$G:$G,"CHECK",0)</f>
        <v>80436</v>
      </c>
      <c r="R74">
        <f>IFERROR(_xlfn.XLOOKUP($A74,Master_Data!$C:$C,Master_Data!$H:$H,"CHECK",0),"")</f>
        <v>51.047140354885393</v>
      </c>
      <c r="S74" t="str">
        <f>_xlfn.XLOOKUP($A74,Master_Data!$C:$C,Master_Data!$I:$I,"CHECK",0)</f>
        <v>Md. Jasim Uddin Sarkar</v>
      </c>
      <c r="T74">
        <f>_xlfn.XLOOKUP($A74,Master_Data!$C:$C,Master_Data!$K:$K,"CHECK",0)</f>
        <v>77136</v>
      </c>
      <c r="U74">
        <f>IFERROR(_xlfn.XLOOKUP($A74,Master_Data!$C:$C,Master_Data!$L:$L,"CHECK",0),"")</f>
        <v>48.952859645114614</v>
      </c>
      <c r="V74">
        <f>_xlfn.XLOOKUP($A74,Master_Data!$C:$C,Master_Data!$M:$M,"CHECK",0)</f>
        <v>3300</v>
      </c>
      <c r="W74">
        <f>IFERROR(_xlfn.XLOOKUP($A74,Master_Data!$C:$C,Master_Data!$N:$N,"CHECK",0),"")</f>
        <v>2.0942807097707714</v>
      </c>
      <c r="X74" t="str">
        <f>IFERROR(_xlfn.XLOOKUP($A74,Master_Data!$C:$C,Master_Data!$O:$O,"CHECK",0),"No Result")</f>
        <v>Highly Competitive</v>
      </c>
      <c r="Y74">
        <f>_xlfn.XLOOKUP($A74,Master_Data!$C:$C,Master_Data!$P:$P,"CHECK",0)</f>
        <v>1</v>
      </c>
      <c r="Z74">
        <f t="shared" si="3"/>
        <v>1</v>
      </c>
    </row>
    <row r="75" spans="1:26">
      <c r="A75" t="str">
        <v>Dhaka-11</v>
      </c>
      <c r="B75" t="str" cm="1">
        <f t="array" ref="B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Nawabganj","Chapainawabganj"),Final_Merged_Data!$B$2:$B$1000=$A75)))</f>
        <v>Dhaka</v>
      </c>
      <c r="C75" t="str" cm="1">
        <f t="array" ref="C75">_xlfn.TEXTJOIN(", ",TRUE,_xlfn._xlws.FILTER(Final_Merged_Data!$C$2:$C$1000,Final_Merged_Data!$B$2:$B$1000=$A75))</f>
        <v>Gulshan</v>
      </c>
      <c r="D75" cm="1">
        <f t="array" ref="D75">COUNTA(_xlfn._xlws.FILTER(Final_Merged_Data!$C$2:$C$1000,Final_Merged_Data!$B$2:$B$1000=$A75))</f>
        <v>1</v>
      </c>
      <c r="E75">
        <f>SUMIFS(Final_Merged_Data!$E:$E,Final_Merged_Data!$B:$B,$A75)</f>
        <v>19.091875000000002</v>
      </c>
      <c r="F75">
        <f>SUMIFS(Final_Merged_Data!$F:$F,Final_Merged_Data!$B:$B,$A75)</f>
        <v>643487</v>
      </c>
      <c r="G75">
        <f t="shared" si="2"/>
        <v>33704.756604576549</v>
      </c>
      <c r="H75" cm="1">
        <f t="array" ref="H75">SUMPRODUCT((Final_Merged_Data!$B$2:$B$1000=$A75)*Final_Merged_Data!$H$2:$H$1000*Final_Merged_Data!$F$2:$F$1000)/F75</f>
        <v>3.7299999999999995</v>
      </c>
      <c r="I75" cm="1">
        <f t="array" ref="I75">SUMPRODUCT((Final_Merged_Data!$B$2:$B$1000=$A75)*Final_Merged_Data!$I$2:$I$1000*Final_Merged_Data!$F$2:$F$1000)/F75</f>
        <v>86.16</v>
      </c>
      <c r="J75" t="str" cm="1">
        <f t="array" ref="J75">_xlfn.TEXTJOIN(", ",TRUE,_xlfn.UNIQUE(_xlfn._xlws.FILTER(Final_Merged_Data!$J$2:$J$1000,Final_Merged_Data!$B$2:$B$1000=$A75)))</f>
        <v>Dhaka Range</v>
      </c>
      <c r="K75" cm="1">
        <f t="array" ref="K75">SUMPRODUCT((Final_Merged_Data!$B$2:$B$1000=$A75)*Final_Merged_Data!$K$2:$K$1000*Final_Merged_Data!$F$2:$F$1000)/F75</f>
        <v>87.055167395391194</v>
      </c>
      <c r="L75" cm="1">
        <f t="array" ref="L75">SUMPRODUCT((Final_Merged_Data!$B$2:$B$1000=$A75)*Final_Merged_Data!$L$2:$L$1000*Final_Merged_Data!$F$2:$F$1000)/F75</f>
        <v>14.083489099923574</v>
      </c>
      <c r="M75" t="str">
        <f>IF(COUNTIF(Master_Data!$C:$C,$A75)&gt;0,"Found","Missing")</f>
        <v>Found</v>
      </c>
      <c r="N75" t="str">
        <f>_xlfn.XLOOKUP($A75,Master_Data!$C:$C,Master_Data!$D:$D,"CHECK",0)</f>
        <v>Nahid Islam</v>
      </c>
      <c r="O75" t="str">
        <f>_xlfn.XLOOKUP($A75,Master_Data!$C:$C,Master_Data!$E:$E,"CHECK",0)</f>
        <v>NCP</v>
      </c>
      <c r="P75">
        <f>_xlfn.XLOOKUP($A75,Master_Data!$C:$C,Master_Data!$F:$F,"CHECK",0)</f>
        <v>0</v>
      </c>
      <c r="Q75">
        <f>_xlfn.XLOOKUP($A75,Master_Data!$C:$C,Master_Data!$G:$G,"CHECK",0)</f>
        <v>93872</v>
      </c>
      <c r="R75">
        <f>IFERROR(_xlfn.XLOOKUP($A75,Master_Data!$C:$C,Master_Data!$H:$H,"CHECK",0),"")</f>
        <v>50.548988987910938</v>
      </c>
      <c r="S75" t="str">
        <f>_xlfn.XLOOKUP($A75,Master_Data!$C:$C,Master_Data!$I:$I,"CHECK",0)</f>
        <v>M. A. Qayyum</v>
      </c>
      <c r="T75">
        <f>_xlfn.XLOOKUP($A75,Master_Data!$C:$C,Master_Data!$K:$K,"CHECK",0)</f>
        <v>91833</v>
      </c>
      <c r="U75">
        <f>IFERROR(_xlfn.XLOOKUP($A75,Master_Data!$C:$C,Master_Data!$L:$L,"CHECK",0),"")</f>
        <v>49.451011012089062</v>
      </c>
      <c r="V75">
        <f>_xlfn.XLOOKUP($A75,Master_Data!$C:$C,Master_Data!$M:$M,"CHECK",0)</f>
        <v>2039</v>
      </c>
      <c r="W75">
        <f>IFERROR(_xlfn.XLOOKUP($A75,Master_Data!$C:$C,Master_Data!$N:$N,"CHECK",0),"")</f>
        <v>1.0979779758218682</v>
      </c>
      <c r="X75" t="str">
        <f>IFERROR(_xlfn.XLOOKUP($A75,Master_Data!$C:$C,Master_Data!$O:$O,"CHECK",0),"No Result")</f>
        <v>Highly Competitive</v>
      </c>
      <c r="Y75">
        <f>_xlfn.XLOOKUP($A75,Master_Data!$C:$C,Master_Data!$P:$P,"CHECK",0)</f>
        <v>1</v>
      </c>
      <c r="Z75">
        <f t="shared" si="3"/>
        <v>1</v>
      </c>
    </row>
    <row r="76" spans="1:26">
      <c r="A76" t="str">
        <v>Dhaka-12</v>
      </c>
      <c r="B76" t="str" cm="1">
        <f t="array" ref="B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Nawabganj","Chapainawabganj"),Final_Merged_Data!$B$2:$B$1000=$A76)))</f>
        <v>Dhaka</v>
      </c>
      <c r="C76" t="str" cm="1">
        <f t="array" ref="C76">_xlfn.TEXTJOIN(", ",TRUE,_xlfn._xlws.FILTER(Final_Merged_Data!$C$2:$C$1000,Final_Merged_Data!$B$2:$B$1000=$A76))</f>
        <v>Mohammadpur</v>
      </c>
      <c r="D76" cm="1">
        <f t="array" ref="D76">COUNTA(_xlfn._xlws.FILTER(Final_Merged_Data!$C$2:$C$1000,Final_Merged_Data!$B$2:$B$1000=$A76))</f>
        <v>1</v>
      </c>
      <c r="E76">
        <f>SUMIFS(Final_Merged_Data!$E:$E,Final_Merged_Data!$B:$B,$A76)</f>
        <v>19.091875000000002</v>
      </c>
      <c r="F76">
        <f>SUMIFS(Final_Merged_Data!$F:$F,Final_Merged_Data!$B:$B,$A76)</f>
        <v>643487</v>
      </c>
      <c r="G76">
        <f t="shared" si="2"/>
        <v>33704.756604576549</v>
      </c>
      <c r="H76" cm="1">
        <f t="array" ref="H76">SUMPRODUCT((Final_Merged_Data!$B$2:$B$1000=$A76)*Final_Merged_Data!$H$2:$H$1000*Final_Merged_Data!$F$2:$F$1000)/F76</f>
        <v>3.7299999999999995</v>
      </c>
      <c r="I76" cm="1">
        <f t="array" ref="I76">SUMPRODUCT((Final_Merged_Data!$B$2:$B$1000=$A76)*Final_Merged_Data!$I$2:$I$1000*Final_Merged_Data!$F$2:$F$1000)/F76</f>
        <v>86.16</v>
      </c>
      <c r="J76" t="str" cm="1">
        <f t="array" ref="J76">_xlfn.TEXTJOIN(", ",TRUE,_xlfn.UNIQUE(_xlfn._xlws.FILTER(Final_Merged_Data!$J$2:$J$1000,Final_Merged_Data!$B$2:$B$1000=$A76)))</f>
        <v>Dhaka Range</v>
      </c>
      <c r="K76" cm="1">
        <f t="array" ref="K76">SUMPRODUCT((Final_Merged_Data!$B$2:$B$1000=$A76)*Final_Merged_Data!$K$2:$K$1000*Final_Merged_Data!$F$2:$F$1000)/F76</f>
        <v>87.055167395391194</v>
      </c>
      <c r="L76" cm="1">
        <f t="array" ref="L76">SUMPRODUCT((Final_Merged_Data!$B$2:$B$1000=$A76)*Final_Merged_Data!$L$2:$L$1000*Final_Merged_Data!$F$2:$F$1000)/F76</f>
        <v>14.083489099923574</v>
      </c>
      <c r="M76" t="str">
        <f>IF(COUNTIF(Master_Data!$C:$C,$A76)&gt;0,"Found","Missing")</f>
        <v>Found</v>
      </c>
      <c r="N76" t="str">
        <f>_xlfn.XLOOKUP($A76,Master_Data!$C:$C,Master_Data!$D:$D,"CHECK",0)</f>
        <v>Saiful Alam Khan Milon</v>
      </c>
      <c r="O76" t="str">
        <f>_xlfn.XLOOKUP($A76,Master_Data!$C:$C,Master_Data!$E:$E,"CHECK",0)</f>
        <v>Jamaat</v>
      </c>
      <c r="P76">
        <f>_xlfn.XLOOKUP($A76,Master_Data!$C:$C,Master_Data!$F:$F,"CHECK",0)</f>
        <v>2</v>
      </c>
      <c r="Q76">
        <f>_xlfn.XLOOKUP($A76,Master_Data!$C:$C,Master_Data!$G:$G,"CHECK",0)</f>
        <v>53773</v>
      </c>
      <c r="R76">
        <f>IFERROR(_xlfn.XLOOKUP($A76,Master_Data!$C:$C,Master_Data!$H:$H,"CHECK",0),"")</f>
        <v>63.459450528700913</v>
      </c>
      <c r="S76" t="str">
        <f>_xlfn.XLOOKUP($A76,Master_Data!$C:$C,Master_Data!$I:$I,"CHECK",0)</f>
        <v>Saiful Haque</v>
      </c>
      <c r="T76">
        <f>_xlfn.XLOOKUP($A76,Master_Data!$C:$C,Master_Data!$K:$K,"CHECK",0)</f>
        <v>30963</v>
      </c>
      <c r="U76">
        <f>IFERROR(_xlfn.XLOOKUP($A76,Master_Data!$C:$C,Master_Data!$L:$L,"CHECK",0),"")</f>
        <v>36.540549471299094</v>
      </c>
      <c r="V76">
        <f>_xlfn.XLOOKUP($A76,Master_Data!$C:$C,Master_Data!$M:$M,"CHECK",0)</f>
        <v>22810</v>
      </c>
      <c r="W76">
        <f>IFERROR(_xlfn.XLOOKUP($A76,Master_Data!$C:$C,Master_Data!$N:$N,"CHECK",0),"")</f>
        <v>26.918901057401811</v>
      </c>
      <c r="X76" t="str">
        <f>IFERROR(_xlfn.XLOOKUP($A76,Master_Data!$C:$C,Master_Data!$O:$O,"CHECK",0),"No Result")</f>
        <v>Safe Seat</v>
      </c>
      <c r="Y76">
        <f>_xlfn.XLOOKUP($A76,Master_Data!$C:$C,Master_Data!$P:$P,"CHECK",0)</f>
        <v>1</v>
      </c>
      <c r="Z76">
        <f t="shared" si="3"/>
        <v>1</v>
      </c>
    </row>
    <row r="77" spans="1:26">
      <c r="A77" t="str">
        <v>Dhaka-13</v>
      </c>
      <c r="B77" t="str" cm="1">
        <f t="array" ref="B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Nawabganj","Chapainawabganj"),Final_Merged_Data!$B$2:$B$1000=$A77)))</f>
        <v>Dhaka</v>
      </c>
      <c r="C77" t="str" cm="1">
        <f t="array" ref="C77">_xlfn.TEXTJOIN(", ",TRUE,_xlfn._xlws.FILTER(Final_Merged_Data!$C$2:$C$1000,Final_Merged_Data!$B$2:$B$1000=$A77))</f>
        <v>Adabor</v>
      </c>
      <c r="D77" cm="1">
        <f t="array" ref="D77">COUNTA(_xlfn._xlws.FILTER(Final_Merged_Data!$C$2:$C$1000,Final_Merged_Data!$B$2:$B$1000=$A77))</f>
        <v>1</v>
      </c>
      <c r="E77">
        <f>SUMIFS(Final_Merged_Data!$E:$E,Final_Merged_Data!$B:$B,$A77)</f>
        <v>19.091875000000002</v>
      </c>
      <c r="F77">
        <f>SUMIFS(Final_Merged_Data!$F:$F,Final_Merged_Data!$B:$B,$A77)</f>
        <v>643486</v>
      </c>
      <c r="G77">
        <f t="shared" si="2"/>
        <v>33704.704226274262</v>
      </c>
      <c r="H77" cm="1">
        <f t="array" ref="H77">SUMPRODUCT((Final_Merged_Data!$B$2:$B$1000=$A77)*Final_Merged_Data!$H$2:$H$1000*Final_Merged_Data!$F$2:$F$1000)/F77</f>
        <v>3.7299999999999995</v>
      </c>
      <c r="I77" cm="1">
        <f t="array" ref="I77">SUMPRODUCT((Final_Merged_Data!$B$2:$B$1000=$A77)*Final_Merged_Data!$I$2:$I$1000*Final_Merged_Data!$F$2:$F$1000)/F77</f>
        <v>86.16</v>
      </c>
      <c r="J77" t="str" cm="1">
        <f t="array" ref="J77">_xlfn.TEXTJOIN(", ",TRUE,_xlfn.UNIQUE(_xlfn._xlws.FILTER(Final_Merged_Data!$J$2:$J$1000,Final_Merged_Data!$B$2:$B$1000=$A77)))</f>
        <v>Dhaka Range</v>
      </c>
      <c r="K77" cm="1">
        <f t="array" ref="K77">SUMPRODUCT((Final_Merged_Data!$B$2:$B$1000=$A77)*Final_Merged_Data!$K$2:$K$1000*Final_Merged_Data!$F$2:$F$1000)/F77</f>
        <v>87.055167395391194</v>
      </c>
      <c r="L77" cm="1">
        <f t="array" ref="L77">SUMPRODUCT((Final_Merged_Data!$B$2:$B$1000=$A77)*Final_Merged_Data!$L$2:$L$1000*Final_Merged_Data!$F$2:$F$1000)/F77</f>
        <v>14.08348909992357</v>
      </c>
      <c r="M77" t="str">
        <f>IF(COUNTIF(Master_Data!$C:$C,$A77)&gt;0,"Found","Missing")</f>
        <v>Found</v>
      </c>
      <c r="N77" t="str">
        <f>_xlfn.XLOOKUP($A77,Master_Data!$C:$C,Master_Data!$D:$D,"CHECK",0)</f>
        <v>Bobby Hajjaj</v>
      </c>
      <c r="O77" t="str">
        <f>_xlfn.XLOOKUP($A77,Master_Data!$C:$C,Master_Data!$E:$E,"CHECK",0)</f>
        <v>BNP</v>
      </c>
      <c r="P77">
        <f>_xlfn.XLOOKUP($A77,Master_Data!$C:$C,Master_Data!$F:$F,"CHECK",0)</f>
        <v>1</v>
      </c>
      <c r="Q77">
        <f>_xlfn.XLOOKUP($A77,Master_Data!$C:$C,Master_Data!$G:$G,"CHECK",0)</f>
        <v>88387</v>
      </c>
      <c r="R77">
        <f>IFERROR(_xlfn.XLOOKUP($A77,Master_Data!$C:$C,Master_Data!$H:$H,"CHECK",0),"")</f>
        <v>50.664931729854288</v>
      </c>
      <c r="S77" t="str">
        <f>_xlfn.XLOOKUP($A77,Master_Data!$C:$C,Master_Data!$I:$I,"CHECK",0)</f>
        <v>Mamunul Haque</v>
      </c>
      <c r="T77">
        <f>_xlfn.XLOOKUP($A77,Master_Data!$C:$C,Master_Data!$K:$K,"CHECK",0)</f>
        <v>86067</v>
      </c>
      <c r="U77">
        <f>IFERROR(_xlfn.XLOOKUP($A77,Master_Data!$C:$C,Master_Data!$L:$L,"CHECK",0),"")</f>
        <v>49.335068270145712</v>
      </c>
      <c r="V77">
        <f>_xlfn.XLOOKUP($A77,Master_Data!$C:$C,Master_Data!$M:$M,"CHECK",0)</f>
        <v>2320</v>
      </c>
      <c r="W77">
        <f>IFERROR(_xlfn.XLOOKUP($A77,Master_Data!$C:$C,Master_Data!$N:$N,"CHECK",0),"")</f>
        <v>1.3298634597085766</v>
      </c>
      <c r="X77" t="str">
        <f>IFERROR(_xlfn.XLOOKUP($A77,Master_Data!$C:$C,Master_Data!$O:$O,"CHECK",0),"No Result")</f>
        <v>Highly Competitive</v>
      </c>
      <c r="Y77">
        <f>_xlfn.XLOOKUP($A77,Master_Data!$C:$C,Master_Data!$P:$P,"CHECK",0)</f>
        <v>1</v>
      </c>
      <c r="Z77">
        <f t="shared" si="3"/>
        <v>1</v>
      </c>
    </row>
    <row r="78" spans="1:26">
      <c r="A78" t="str">
        <v>Dhaka-14</v>
      </c>
      <c r="B78" t="str" cm="1">
        <f t="array" ref="B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Nawabganj","Chapainawabganj"),Final_Merged_Data!$B$2:$B$1000=$A78)))</f>
        <v>Dhaka</v>
      </c>
      <c r="C78" t="str" cm="1">
        <f t="array" ref="C78">_xlfn.TEXTJOIN(", ",TRUE,_xlfn._xlws.FILTER(Final_Merged_Data!$C$2:$C$1000,Final_Merged_Data!$B$2:$B$1000=$A78))</f>
        <v>Mirpur</v>
      </c>
      <c r="D78" cm="1">
        <f t="array" ref="D78">COUNTA(_xlfn._xlws.FILTER(Final_Merged_Data!$C$2:$C$1000,Final_Merged_Data!$B$2:$B$1000=$A78))</f>
        <v>1</v>
      </c>
      <c r="E78">
        <f>SUMIFS(Final_Merged_Data!$E:$E,Final_Merged_Data!$B:$B,$A78)</f>
        <v>19.091875000000002</v>
      </c>
      <c r="F78">
        <f>SUMIFS(Final_Merged_Data!$F:$F,Final_Merged_Data!$B:$B,$A78)</f>
        <v>643486</v>
      </c>
      <c r="G78">
        <f t="shared" si="2"/>
        <v>33704.704226274262</v>
      </c>
      <c r="H78" cm="1">
        <f t="array" ref="H78">SUMPRODUCT((Final_Merged_Data!$B$2:$B$1000=$A78)*Final_Merged_Data!$H$2:$H$1000*Final_Merged_Data!$F$2:$F$1000)/F78</f>
        <v>3.7299999999999995</v>
      </c>
      <c r="I78" cm="1">
        <f t="array" ref="I78">SUMPRODUCT((Final_Merged_Data!$B$2:$B$1000=$A78)*Final_Merged_Data!$I$2:$I$1000*Final_Merged_Data!$F$2:$F$1000)/F78</f>
        <v>86.16</v>
      </c>
      <c r="J78" t="str" cm="1">
        <f t="array" ref="J78">_xlfn.TEXTJOIN(", ",TRUE,_xlfn.UNIQUE(_xlfn._xlws.FILTER(Final_Merged_Data!$J$2:$J$1000,Final_Merged_Data!$B$2:$B$1000=$A78)))</f>
        <v>Dhaka Range</v>
      </c>
      <c r="K78" cm="1">
        <f t="array" ref="K78">SUMPRODUCT((Final_Merged_Data!$B$2:$B$1000=$A78)*Final_Merged_Data!$K$2:$K$1000*Final_Merged_Data!$F$2:$F$1000)/F78</f>
        <v>87.055167395391194</v>
      </c>
      <c r="L78" cm="1">
        <f t="array" ref="L78">SUMPRODUCT((Final_Merged_Data!$B$2:$B$1000=$A78)*Final_Merged_Data!$L$2:$L$1000*Final_Merged_Data!$F$2:$F$1000)/F78</f>
        <v>14.08348909992357</v>
      </c>
      <c r="M78" t="str">
        <f>IF(COUNTIF(Master_Data!$C:$C,$A78)&gt;0,"Found","Missing")</f>
        <v>Found</v>
      </c>
      <c r="N78" t="str">
        <f>_xlfn.XLOOKUP($A78,Master_Data!$C:$C,Master_Data!$D:$D,"CHECK",0)</f>
        <v>Mir Ahmad Bin Quasem</v>
      </c>
      <c r="O78" t="str">
        <f>_xlfn.XLOOKUP($A78,Master_Data!$C:$C,Master_Data!$E:$E,"CHECK",0)</f>
        <v>Jamaat</v>
      </c>
      <c r="P78">
        <f>_xlfn.XLOOKUP($A78,Master_Data!$C:$C,Master_Data!$F:$F,"CHECK",0)</f>
        <v>2</v>
      </c>
      <c r="Q78">
        <f>_xlfn.XLOOKUP($A78,Master_Data!$C:$C,Master_Data!$G:$G,"CHECK",0)</f>
        <v>101113</v>
      </c>
      <c r="R78">
        <f>IFERROR(_xlfn.XLOOKUP($A78,Master_Data!$C:$C,Master_Data!$H:$H,"CHECK",0),"")</f>
        <v>54.822811164848503</v>
      </c>
      <c r="S78" t="str">
        <f>_xlfn.XLOOKUP($A78,Master_Data!$C:$C,Master_Data!$I:$I,"CHECK",0)</f>
        <v>Sanjida Islam</v>
      </c>
      <c r="T78">
        <f>_xlfn.XLOOKUP($A78,Master_Data!$C:$C,Master_Data!$K:$K,"CHECK",0)</f>
        <v>83323</v>
      </c>
      <c r="U78">
        <f>IFERROR(_xlfn.XLOOKUP($A78,Master_Data!$C:$C,Master_Data!$L:$L,"CHECK",0),"")</f>
        <v>45.17718883515149</v>
      </c>
      <c r="V78">
        <f>_xlfn.XLOOKUP($A78,Master_Data!$C:$C,Master_Data!$M:$M,"CHECK",0)</f>
        <v>17790</v>
      </c>
      <c r="W78">
        <f>IFERROR(_xlfn.XLOOKUP($A78,Master_Data!$C:$C,Master_Data!$N:$N,"CHECK",0),"")</f>
        <v>9.6456223296970212</v>
      </c>
      <c r="X78" t="str">
        <f>IFERROR(_xlfn.XLOOKUP($A78,Master_Data!$C:$C,Master_Data!$O:$O,"CHECK",0),"No Result")</f>
        <v>Safe Seat</v>
      </c>
      <c r="Y78">
        <f>_xlfn.XLOOKUP($A78,Master_Data!$C:$C,Master_Data!$P:$P,"CHECK",0)</f>
        <v>1</v>
      </c>
      <c r="Z78">
        <f t="shared" si="3"/>
        <v>1</v>
      </c>
    </row>
    <row r="79" spans="1:26">
      <c r="A79" t="str">
        <v>Dhaka-15</v>
      </c>
      <c r="B79" t="str" cm="1">
        <f t="array" ref="B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Nawabganj","Chapainawabganj"),Final_Merged_Data!$B$2:$B$1000=$A79)))</f>
        <v>Dhaka</v>
      </c>
      <c r="C79" t="str" cm="1">
        <f t="array" ref="C79">_xlfn.TEXTJOIN(", ",TRUE,_xlfn._xlws.FILTER(Final_Merged_Data!$C$2:$C$1000,Final_Merged_Data!$B$2:$B$1000=$A79))</f>
        <v>Pallabi</v>
      </c>
      <c r="D79" cm="1">
        <f t="array" ref="D79">COUNTA(_xlfn._xlws.FILTER(Final_Merged_Data!$C$2:$C$1000,Final_Merged_Data!$B$2:$B$1000=$A79))</f>
        <v>1</v>
      </c>
      <c r="E79">
        <f>SUMIFS(Final_Merged_Data!$E:$E,Final_Merged_Data!$B:$B,$A79)</f>
        <v>19.091875000000002</v>
      </c>
      <c r="F79">
        <f>SUMIFS(Final_Merged_Data!$F:$F,Final_Merged_Data!$B:$B,$A79)</f>
        <v>643486</v>
      </c>
      <c r="G79">
        <f t="shared" si="2"/>
        <v>33704.704226274262</v>
      </c>
      <c r="H79" cm="1">
        <f t="array" ref="H79">SUMPRODUCT((Final_Merged_Data!$B$2:$B$1000=$A79)*Final_Merged_Data!$H$2:$H$1000*Final_Merged_Data!$F$2:$F$1000)/F79</f>
        <v>3.7299999999999995</v>
      </c>
      <c r="I79" cm="1">
        <f t="array" ref="I79">SUMPRODUCT((Final_Merged_Data!$B$2:$B$1000=$A79)*Final_Merged_Data!$I$2:$I$1000*Final_Merged_Data!$F$2:$F$1000)/F79</f>
        <v>86.16</v>
      </c>
      <c r="J79" t="str" cm="1">
        <f t="array" ref="J79">_xlfn.TEXTJOIN(", ",TRUE,_xlfn.UNIQUE(_xlfn._xlws.FILTER(Final_Merged_Data!$J$2:$J$1000,Final_Merged_Data!$B$2:$B$1000=$A79)))</f>
        <v>Dhaka Range</v>
      </c>
      <c r="K79" cm="1">
        <f t="array" ref="K79">SUMPRODUCT((Final_Merged_Data!$B$2:$B$1000=$A79)*Final_Merged_Data!$K$2:$K$1000*Final_Merged_Data!$F$2:$F$1000)/F79</f>
        <v>87.055167395391194</v>
      </c>
      <c r="L79" cm="1">
        <f t="array" ref="L79">SUMPRODUCT((Final_Merged_Data!$B$2:$B$1000=$A79)*Final_Merged_Data!$L$2:$L$1000*Final_Merged_Data!$F$2:$F$1000)/F79</f>
        <v>14.08348909992357</v>
      </c>
      <c r="M79" t="str">
        <f>IF(COUNTIF(Master_Data!$C:$C,$A79)&gt;0,"Found","Missing")</f>
        <v>Found</v>
      </c>
      <c r="N79" t="str">
        <f>_xlfn.XLOOKUP($A79,Master_Data!$C:$C,Master_Data!$D:$D,"CHECK",0)</f>
        <v>Shafiqur Rahman</v>
      </c>
      <c r="O79" t="str">
        <f>_xlfn.XLOOKUP($A79,Master_Data!$C:$C,Master_Data!$E:$E,"CHECK",0)</f>
        <v>Jamaat</v>
      </c>
      <c r="P79">
        <f>_xlfn.XLOOKUP($A79,Master_Data!$C:$C,Master_Data!$F:$F,"CHECK",0)</f>
        <v>2</v>
      </c>
      <c r="Q79">
        <f>_xlfn.XLOOKUP($A79,Master_Data!$C:$C,Master_Data!$G:$G,"CHECK",0)</f>
        <v>85131</v>
      </c>
      <c r="R79">
        <f>IFERROR(_xlfn.XLOOKUP($A79,Master_Data!$C:$C,Master_Data!$H:$H,"CHECK",0),"")</f>
        <v>57.271736497941397</v>
      </c>
      <c r="S79" t="str">
        <f>_xlfn.XLOOKUP($A79,Master_Data!$C:$C,Master_Data!$I:$I,"CHECK",0)</f>
        <v>Md. Shafiqul Islam Khan</v>
      </c>
      <c r="T79">
        <f>_xlfn.XLOOKUP($A79,Master_Data!$C:$C,Master_Data!$K:$K,"CHECK",0)</f>
        <v>63513</v>
      </c>
      <c r="U79">
        <f>IFERROR(_xlfn.XLOOKUP($A79,Master_Data!$C:$C,Master_Data!$L:$L,"CHECK",0),"")</f>
        <v>42.72826350205861</v>
      </c>
      <c r="V79">
        <f>_xlfn.XLOOKUP($A79,Master_Data!$C:$C,Master_Data!$M:$M,"CHECK",0)</f>
        <v>21618</v>
      </c>
      <c r="W79">
        <f>IFERROR(_xlfn.XLOOKUP($A79,Master_Data!$C:$C,Master_Data!$N:$N,"CHECK",0),"")</f>
        <v>14.54347299588278</v>
      </c>
      <c r="X79" t="str">
        <f>IFERROR(_xlfn.XLOOKUP($A79,Master_Data!$C:$C,Master_Data!$O:$O,"CHECK",0),"No Result")</f>
        <v>Safe Seat</v>
      </c>
      <c r="Y79">
        <f>_xlfn.XLOOKUP($A79,Master_Data!$C:$C,Master_Data!$P:$P,"CHECK",0)</f>
        <v>1</v>
      </c>
      <c r="Z79">
        <f t="shared" si="3"/>
        <v>1</v>
      </c>
    </row>
    <row r="80" spans="1:26">
      <c r="A80" t="str">
        <v>Dhaka-16</v>
      </c>
      <c r="B80" t="str" cm="1">
        <f t="array" ref="B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Nawabganj","Chapainawabganj"),Final_Merged_Data!$B$2:$B$1000=$A80)))</f>
        <v>Dhaka</v>
      </c>
      <c r="C80" t="str" cm="1">
        <f t="array" ref="C80">_xlfn.TEXTJOIN(", ",TRUE,_xlfn._xlws.FILTER(Final_Merged_Data!$C$2:$C$1000,Final_Merged_Data!$B$2:$B$1000=$A80))</f>
        <v>Kafrul</v>
      </c>
      <c r="D80" cm="1">
        <f t="array" ref="D80">COUNTA(_xlfn._xlws.FILTER(Final_Merged_Data!$C$2:$C$1000,Final_Merged_Data!$B$2:$B$1000=$A80))</f>
        <v>1</v>
      </c>
      <c r="E80">
        <f>SUMIFS(Final_Merged_Data!$E:$E,Final_Merged_Data!$B:$B,$A80)</f>
        <v>19.091875000000002</v>
      </c>
      <c r="F80">
        <f>SUMIFS(Final_Merged_Data!$F:$F,Final_Merged_Data!$B:$B,$A80)</f>
        <v>643486</v>
      </c>
      <c r="G80">
        <f t="shared" si="2"/>
        <v>33704.704226274262</v>
      </c>
      <c r="H80" cm="1">
        <f t="array" ref="H80">SUMPRODUCT((Final_Merged_Data!$B$2:$B$1000=$A80)*Final_Merged_Data!$H$2:$H$1000*Final_Merged_Data!$F$2:$F$1000)/F80</f>
        <v>3.7299999999999995</v>
      </c>
      <c r="I80" cm="1">
        <f t="array" ref="I80">SUMPRODUCT((Final_Merged_Data!$B$2:$B$1000=$A80)*Final_Merged_Data!$I$2:$I$1000*Final_Merged_Data!$F$2:$F$1000)/F80</f>
        <v>86.16</v>
      </c>
      <c r="J80" t="str" cm="1">
        <f t="array" ref="J80">_xlfn.TEXTJOIN(", ",TRUE,_xlfn.UNIQUE(_xlfn._xlws.FILTER(Final_Merged_Data!$J$2:$J$1000,Final_Merged_Data!$B$2:$B$1000=$A80)))</f>
        <v>Dhaka Range</v>
      </c>
      <c r="K80" cm="1">
        <f t="array" ref="K80">SUMPRODUCT((Final_Merged_Data!$B$2:$B$1000=$A80)*Final_Merged_Data!$K$2:$K$1000*Final_Merged_Data!$F$2:$F$1000)/F80</f>
        <v>87.055167395391194</v>
      </c>
      <c r="L80" cm="1">
        <f t="array" ref="L80">SUMPRODUCT((Final_Merged_Data!$B$2:$B$1000=$A80)*Final_Merged_Data!$L$2:$L$1000*Final_Merged_Data!$F$2:$F$1000)/F80</f>
        <v>14.08348909992357</v>
      </c>
      <c r="M80" t="str">
        <f>IF(COUNTIF(Master_Data!$C:$C,$A80)&gt;0,"Found","Missing")</f>
        <v>Found</v>
      </c>
      <c r="N80" t="str">
        <f>_xlfn.XLOOKUP($A80,Master_Data!$C:$C,Master_Data!$D:$D,"CHECK",0)</f>
        <v>Md. Abdul Baten</v>
      </c>
      <c r="O80" t="str">
        <f>_xlfn.XLOOKUP($A80,Master_Data!$C:$C,Master_Data!$E:$E,"CHECK",0)</f>
        <v>Jamaat</v>
      </c>
      <c r="P80">
        <f>_xlfn.XLOOKUP($A80,Master_Data!$C:$C,Master_Data!$F:$F,"CHECK",0)</f>
        <v>2</v>
      </c>
      <c r="Q80">
        <f>_xlfn.XLOOKUP($A80,Master_Data!$C:$C,Master_Data!$G:$G,"CHECK",0)</f>
        <v>88828</v>
      </c>
      <c r="R80">
        <f>IFERROR(_xlfn.XLOOKUP($A80,Master_Data!$C:$C,Master_Data!$H:$H,"CHECK",0),"")</f>
        <v>50.964169941765405</v>
      </c>
      <c r="S80" t="str">
        <f>_xlfn.XLOOKUP($A80,Master_Data!$C:$C,Master_Data!$I:$I,"CHECK",0)</f>
        <v>Aminul Haque</v>
      </c>
      <c r="T80">
        <f>_xlfn.XLOOKUP($A80,Master_Data!$C:$C,Master_Data!$K:$K,"CHECK",0)</f>
        <v>85467</v>
      </c>
      <c r="U80">
        <f>IFERROR(_xlfn.XLOOKUP($A80,Master_Data!$C:$C,Master_Data!$L:$L,"CHECK",0),"")</f>
        <v>49.035830058234602</v>
      </c>
      <c r="V80">
        <f>_xlfn.XLOOKUP($A80,Master_Data!$C:$C,Master_Data!$M:$M,"CHECK",0)</f>
        <v>3361</v>
      </c>
      <c r="W80">
        <f>IFERROR(_xlfn.XLOOKUP($A80,Master_Data!$C:$C,Master_Data!$N:$N,"CHECK",0),"")</f>
        <v>1.9283398835307954</v>
      </c>
      <c r="X80" t="str">
        <f>IFERROR(_xlfn.XLOOKUP($A80,Master_Data!$C:$C,Master_Data!$O:$O,"CHECK",0),"No Result")</f>
        <v>Highly Competitive</v>
      </c>
      <c r="Y80">
        <f>_xlfn.XLOOKUP($A80,Master_Data!$C:$C,Master_Data!$P:$P,"CHECK",0)</f>
        <v>1</v>
      </c>
      <c r="Z80">
        <f t="shared" si="3"/>
        <v>1</v>
      </c>
    </row>
    <row r="81" spans="1:26">
      <c r="A81" t="str">
        <v>Dhaka-17</v>
      </c>
      <c r="B81" t="str" cm="1">
        <f t="array" ref="B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Nawabganj","Chapainawabganj"),Final_Merged_Data!$B$2:$B$1000=$A81)))</f>
        <v>Dhaka</v>
      </c>
      <c r="C81" t="str" cm="1">
        <f t="array" ref="C81">_xlfn.TEXTJOIN(", ",TRUE,_xlfn._xlws.FILTER(Final_Merged_Data!$C$2:$C$1000,Final_Merged_Data!$B$2:$B$1000=$A81))</f>
        <v>Cantonment</v>
      </c>
      <c r="D81" cm="1">
        <f t="array" ref="D81">COUNTA(_xlfn._xlws.FILTER(Final_Merged_Data!$C$2:$C$1000,Final_Merged_Data!$B$2:$B$1000=$A81))</f>
        <v>1</v>
      </c>
      <c r="E81">
        <f>SUMIFS(Final_Merged_Data!$E:$E,Final_Merged_Data!$B:$B,$A81)</f>
        <v>19.091875000000002</v>
      </c>
      <c r="F81">
        <f>SUMIFS(Final_Merged_Data!$F:$F,Final_Merged_Data!$B:$B,$A81)</f>
        <v>643486</v>
      </c>
      <c r="G81">
        <f t="shared" si="2"/>
        <v>33704.704226274262</v>
      </c>
      <c r="H81" cm="1">
        <f t="array" ref="H81">SUMPRODUCT((Final_Merged_Data!$B$2:$B$1000=$A81)*Final_Merged_Data!$H$2:$H$1000*Final_Merged_Data!$F$2:$F$1000)/F81</f>
        <v>3.7299999999999995</v>
      </c>
      <c r="I81" cm="1">
        <f t="array" ref="I81">SUMPRODUCT((Final_Merged_Data!$B$2:$B$1000=$A81)*Final_Merged_Data!$I$2:$I$1000*Final_Merged_Data!$F$2:$F$1000)/F81</f>
        <v>86.16</v>
      </c>
      <c r="J81" t="str" cm="1">
        <f t="array" ref="J81">_xlfn.TEXTJOIN(", ",TRUE,_xlfn.UNIQUE(_xlfn._xlws.FILTER(Final_Merged_Data!$J$2:$J$1000,Final_Merged_Data!$B$2:$B$1000=$A81)))</f>
        <v>Dhaka Range</v>
      </c>
      <c r="K81" cm="1">
        <f t="array" ref="K81">SUMPRODUCT((Final_Merged_Data!$B$2:$B$1000=$A81)*Final_Merged_Data!$K$2:$K$1000*Final_Merged_Data!$F$2:$F$1000)/F81</f>
        <v>87.055167395391194</v>
      </c>
      <c r="L81" cm="1">
        <f t="array" ref="L81">SUMPRODUCT((Final_Merged_Data!$B$2:$B$1000=$A81)*Final_Merged_Data!$L$2:$L$1000*Final_Merged_Data!$F$2:$F$1000)/F81</f>
        <v>14.08348909992357</v>
      </c>
      <c r="M81" t="str">
        <f>IF(COUNTIF(Master_Data!$C:$C,$A81)&gt;0,"Found","Missing")</f>
        <v>Found</v>
      </c>
      <c r="N81" t="str">
        <f>_xlfn.XLOOKUP($A81,Master_Data!$C:$C,Master_Data!$D:$D,"CHECK",0)</f>
        <v>Tarique Rahman</v>
      </c>
      <c r="O81" t="str">
        <f>_xlfn.XLOOKUP($A81,Master_Data!$C:$C,Master_Data!$E:$E,"CHECK",0)</f>
        <v>BNP</v>
      </c>
      <c r="P81">
        <f>_xlfn.XLOOKUP($A81,Master_Data!$C:$C,Master_Data!$F:$F,"CHECK",0)</f>
        <v>1</v>
      </c>
      <c r="Q81">
        <f>_xlfn.XLOOKUP($A81,Master_Data!$C:$C,Master_Data!$G:$G,"CHECK",0)</f>
        <v>72699</v>
      </c>
      <c r="R81">
        <f>IFERROR(_xlfn.XLOOKUP($A81,Master_Data!$C:$C,Master_Data!$H:$H,"CHECK",0),"")</f>
        <v>51.559940141419446</v>
      </c>
      <c r="S81" t="str">
        <f>_xlfn.XLOOKUP($A81,Master_Data!$C:$C,Master_Data!$I:$I,"CHECK",0)</f>
        <v>S. M. Khaliduzzaman</v>
      </c>
      <c r="T81">
        <f>_xlfn.XLOOKUP($A81,Master_Data!$C:$C,Master_Data!$K:$K,"CHECK",0)</f>
        <v>68300</v>
      </c>
      <c r="U81">
        <f>IFERROR(_xlfn.XLOOKUP($A81,Master_Data!$C:$C,Master_Data!$L:$L,"CHECK",0),"")</f>
        <v>48.440059858580561</v>
      </c>
      <c r="V81">
        <f>_xlfn.XLOOKUP($A81,Master_Data!$C:$C,Master_Data!$M:$M,"CHECK",0)</f>
        <v>4399</v>
      </c>
      <c r="W81">
        <f>IFERROR(_xlfn.XLOOKUP($A81,Master_Data!$C:$C,Master_Data!$N:$N,"CHECK",0),"")</f>
        <v>3.1198802828388854</v>
      </c>
      <c r="X81" t="str">
        <f>IFERROR(_xlfn.XLOOKUP($A81,Master_Data!$C:$C,Master_Data!$O:$O,"CHECK",0),"No Result")</f>
        <v>Highly Competitive</v>
      </c>
      <c r="Y81">
        <f>_xlfn.XLOOKUP($A81,Master_Data!$C:$C,Master_Data!$P:$P,"CHECK",0)</f>
        <v>1</v>
      </c>
      <c r="Z81">
        <f t="shared" si="3"/>
        <v>1</v>
      </c>
    </row>
    <row r="82" spans="1:26">
      <c r="A82" t="str">
        <v>Dhaka-18</v>
      </c>
      <c r="B82" t="str" cm="1">
        <f t="array" ref="B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Nawabganj","Chapainawabganj"),Final_Merged_Data!$B$2:$B$1000=$A82)))</f>
        <v>Dhaka</v>
      </c>
      <c r="C82" t="str" cm="1">
        <f t="array" ref="C82">_xlfn.TEXTJOIN(", ",TRUE,_xlfn._xlws.FILTER(Final_Merged_Data!$C$2:$C$1000,Final_Merged_Data!$B$2:$B$1000=$A82))</f>
        <v>Uttara</v>
      </c>
      <c r="D82" cm="1">
        <f t="array" ref="D82">COUNTA(_xlfn._xlws.FILTER(Final_Merged_Data!$C$2:$C$1000,Final_Merged_Data!$B$2:$B$1000=$A82))</f>
        <v>1</v>
      </c>
      <c r="E82">
        <f>SUMIFS(Final_Merged_Data!$E:$E,Final_Merged_Data!$B:$B,$A82)</f>
        <v>19.091875000000002</v>
      </c>
      <c r="F82">
        <f>SUMIFS(Final_Merged_Data!$F:$F,Final_Merged_Data!$B:$B,$A82)</f>
        <v>643486</v>
      </c>
      <c r="G82">
        <f t="shared" si="2"/>
        <v>33704.704226274262</v>
      </c>
      <c r="H82" cm="1">
        <f t="array" ref="H82">SUMPRODUCT((Final_Merged_Data!$B$2:$B$1000=$A82)*Final_Merged_Data!$H$2:$H$1000*Final_Merged_Data!$F$2:$F$1000)/F82</f>
        <v>3.7299999999999995</v>
      </c>
      <c r="I82" cm="1">
        <f t="array" ref="I82">SUMPRODUCT((Final_Merged_Data!$B$2:$B$1000=$A82)*Final_Merged_Data!$I$2:$I$1000*Final_Merged_Data!$F$2:$F$1000)/F82</f>
        <v>86.16</v>
      </c>
      <c r="J82" t="str" cm="1">
        <f t="array" ref="J82">_xlfn.TEXTJOIN(", ",TRUE,_xlfn.UNIQUE(_xlfn._xlws.FILTER(Final_Merged_Data!$J$2:$J$1000,Final_Merged_Data!$B$2:$B$1000=$A82)))</f>
        <v>Dhaka Range</v>
      </c>
      <c r="K82" cm="1">
        <f t="array" ref="K82">SUMPRODUCT((Final_Merged_Data!$B$2:$B$1000=$A82)*Final_Merged_Data!$K$2:$K$1000*Final_Merged_Data!$F$2:$F$1000)/F82</f>
        <v>87.055167395391194</v>
      </c>
      <c r="L82" cm="1">
        <f t="array" ref="L82">SUMPRODUCT((Final_Merged_Data!$B$2:$B$1000=$A82)*Final_Merged_Data!$L$2:$L$1000*Final_Merged_Data!$F$2:$F$1000)/F82</f>
        <v>14.08348909992357</v>
      </c>
      <c r="M82" t="str">
        <f>IF(COUNTIF(Master_Data!$C:$C,$A82)&gt;0,"Found","Missing")</f>
        <v>Found</v>
      </c>
      <c r="N82" t="str">
        <f>_xlfn.XLOOKUP($A82,Master_Data!$C:$C,Master_Data!$D:$D,"CHECK",0)</f>
        <v>SM Jahangir Hossain</v>
      </c>
      <c r="O82" t="str">
        <f>_xlfn.XLOOKUP($A82,Master_Data!$C:$C,Master_Data!$E:$E,"CHECK",0)</f>
        <v>BNP</v>
      </c>
      <c r="P82">
        <f>_xlfn.XLOOKUP($A82,Master_Data!$C:$C,Master_Data!$F:$F,"CHECK",0)</f>
        <v>1</v>
      </c>
      <c r="Q82">
        <f>_xlfn.XLOOKUP($A82,Master_Data!$C:$C,Master_Data!$G:$G,"CHECK",0)</f>
        <v>144715</v>
      </c>
      <c r="R82">
        <f>IFERROR(_xlfn.XLOOKUP($A82,Master_Data!$C:$C,Master_Data!$H:$H,"CHECK",0),"")</f>
        <v>56.526647188413051</v>
      </c>
      <c r="S82" t="str">
        <f>_xlfn.XLOOKUP($A82,Master_Data!$C:$C,Master_Data!$I:$I,"CHECK",0)</f>
        <v>Ariful Islam</v>
      </c>
      <c r="T82">
        <f>_xlfn.XLOOKUP($A82,Master_Data!$C:$C,Master_Data!$K:$K,"CHECK",0)</f>
        <v>111297</v>
      </c>
      <c r="U82">
        <f>IFERROR(_xlfn.XLOOKUP($A82,Master_Data!$C:$C,Master_Data!$L:$L,"CHECK",0),"")</f>
        <v>43.473352811586956</v>
      </c>
      <c r="V82">
        <f>_xlfn.XLOOKUP($A82,Master_Data!$C:$C,Master_Data!$M:$M,"CHECK",0)</f>
        <v>33418</v>
      </c>
      <c r="W82">
        <f>IFERROR(_xlfn.XLOOKUP($A82,Master_Data!$C:$C,Master_Data!$N:$N,"CHECK",0),"")</f>
        <v>13.053294376826086</v>
      </c>
      <c r="X82" t="str">
        <f>IFERROR(_xlfn.XLOOKUP($A82,Master_Data!$C:$C,Master_Data!$O:$O,"CHECK",0),"No Result")</f>
        <v>Safe Seat</v>
      </c>
      <c r="Y82">
        <f>_xlfn.XLOOKUP($A82,Master_Data!$C:$C,Master_Data!$P:$P,"CHECK",0)</f>
        <v>1</v>
      </c>
      <c r="Z82">
        <f t="shared" si="3"/>
        <v>1</v>
      </c>
    </row>
    <row r="83" spans="1:26">
      <c r="A83" t="str">
        <v>Dhaka-19</v>
      </c>
      <c r="B83" t="str" cm="1">
        <f t="array" ref="B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Nawabganj","Chapainawabganj"),Final_Merged_Data!$B$2:$B$1000=$A83)))</f>
        <v>Dhaka</v>
      </c>
      <c r="C83" t="str" cm="1">
        <f t="array" ref="C83">_xlfn.TEXTJOIN(", ",TRUE,_xlfn._xlws.FILTER(Final_Merged_Data!$C$2:$C$1000,Final_Merged_Data!$B$2:$B$1000=$A83))</f>
        <v>Savar</v>
      </c>
      <c r="D83" cm="1">
        <f t="array" ref="D83">COUNTA(_xlfn._xlws.FILTER(Final_Merged_Data!$C$2:$C$1000,Final_Merged_Data!$B$2:$B$1000=$A83))</f>
        <v>1</v>
      </c>
      <c r="E83">
        <f>SUMIFS(Final_Merged_Data!$E:$E,Final_Merged_Data!$B:$B,$A83)</f>
        <v>249.13</v>
      </c>
      <c r="F83">
        <f>SUMIFS(Final_Merged_Data!$F:$F,Final_Merged_Data!$B:$B,$A83)</f>
        <v>2311612</v>
      </c>
      <c r="G83">
        <f t="shared" si="2"/>
        <v>9278.738008268776</v>
      </c>
      <c r="H83" cm="1">
        <f t="array" ref="H83">SUMPRODUCT((Final_Merged_Data!$B$2:$B$1000=$A83)*Final_Merged_Data!$H$2:$H$1000*Final_Merged_Data!$F$2:$F$1000)/F83</f>
        <v>3.08</v>
      </c>
      <c r="I83" cm="1">
        <f t="array" ref="I83">SUMPRODUCT((Final_Merged_Data!$B$2:$B$1000=$A83)*Final_Merged_Data!$I$2:$I$1000*Final_Merged_Data!$F$2:$F$1000)/F83</f>
        <v>84.38</v>
      </c>
      <c r="J83" t="str" cm="1">
        <f t="array" ref="J83">_xlfn.TEXTJOIN(", ",TRUE,_xlfn.UNIQUE(_xlfn._xlws.FILTER(Final_Merged_Data!$J$2:$J$1000,Final_Merged_Data!$B$2:$B$1000=$A83)))</f>
        <v>Dhaka Range</v>
      </c>
      <c r="K83" cm="1">
        <f t="array" ref="K83">SUMPRODUCT((Final_Merged_Data!$B$2:$B$1000=$A83)*Final_Merged_Data!$K$2:$K$1000*Final_Merged_Data!$F$2:$F$1000)/F83</f>
        <v>87.055167395391194</v>
      </c>
      <c r="L83" cm="1">
        <f t="array" ref="L83">SUMPRODUCT((Final_Merged_Data!$B$2:$B$1000=$A83)*Final_Merged_Data!$L$2:$L$1000*Final_Merged_Data!$F$2:$F$1000)/F83</f>
        <v>14.083489099923572</v>
      </c>
      <c r="M83" t="str">
        <f>IF(COUNTIF(Master_Data!$C:$C,$A83)&gt;0,"Found","Missing")</f>
        <v>Found</v>
      </c>
      <c r="N83" t="str">
        <f>_xlfn.XLOOKUP($A83,Master_Data!$C:$C,Master_Data!$D:$D,"CHECK",0)</f>
        <v>Dewan Md. Salauddin</v>
      </c>
      <c r="O83" t="str">
        <f>_xlfn.XLOOKUP($A83,Master_Data!$C:$C,Master_Data!$E:$E,"CHECK",0)</f>
        <v>BNP</v>
      </c>
      <c r="P83">
        <f>_xlfn.XLOOKUP($A83,Master_Data!$C:$C,Master_Data!$F:$F,"CHECK",0)</f>
        <v>1</v>
      </c>
      <c r="Q83">
        <f>_xlfn.XLOOKUP($A83,Master_Data!$C:$C,Master_Data!$G:$G,"CHECK",0)</f>
        <v>190976</v>
      </c>
      <c r="R83">
        <f>IFERROR(_xlfn.XLOOKUP($A83,Master_Data!$C:$C,Master_Data!$H:$H,"CHECK",0),"")</f>
        <v>60.385949490765476</v>
      </c>
      <c r="S83" t="str">
        <f>_xlfn.XLOOKUP($A83,Master_Data!$C:$C,Master_Data!$I:$I,"CHECK",0)</f>
        <v>Dilshana Parul</v>
      </c>
      <c r="T83">
        <f>_xlfn.XLOOKUP($A83,Master_Data!$C:$C,Master_Data!$K:$K,"CHECK",0)</f>
        <v>125283</v>
      </c>
      <c r="U83">
        <f>IFERROR(_xlfn.XLOOKUP($A83,Master_Data!$C:$C,Master_Data!$L:$L,"CHECK",0),"")</f>
        <v>39.614050509234524</v>
      </c>
      <c r="V83">
        <f>_xlfn.XLOOKUP($A83,Master_Data!$C:$C,Master_Data!$M:$M,"CHECK",0)</f>
        <v>65693</v>
      </c>
      <c r="W83">
        <f>IFERROR(_xlfn.XLOOKUP($A83,Master_Data!$C:$C,Master_Data!$N:$N,"CHECK",0),"")</f>
        <v>20.77189898153096</v>
      </c>
      <c r="X83" t="str">
        <f>IFERROR(_xlfn.XLOOKUP($A83,Master_Data!$C:$C,Master_Data!$O:$O,"CHECK",0),"No Result")</f>
        <v>Safe Seat</v>
      </c>
      <c r="Y83">
        <f>_xlfn.XLOOKUP($A83,Master_Data!$C:$C,Master_Data!$P:$P,"CHECK",0)</f>
        <v>0</v>
      </c>
      <c r="Z83">
        <f t="shared" si="3"/>
        <v>1</v>
      </c>
    </row>
    <row r="84" spans="1:26">
      <c r="A84" t="str">
        <v>Dhaka-2</v>
      </c>
      <c r="B84" t="str" cm="1">
        <f t="array" ref="B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Nawabganj","Chapainawabganj"),Final_Merged_Data!$B$2:$B$1000=$A84)))</f>
        <v>Dhaka</v>
      </c>
      <c r="C84" t="str" cm="1">
        <f t="array" ref="C84">_xlfn.TEXTJOIN(", ",TRUE,_xlfn._xlws.FILTER(Final_Merged_Data!$C$2:$C$1000,Final_Merged_Data!$B$2:$B$1000=$A84))</f>
        <v>Keraniganj</v>
      </c>
      <c r="D84" cm="1">
        <f t="array" ref="D84">COUNTA(_xlfn._xlws.FILTER(Final_Merged_Data!$C$2:$C$1000,Final_Merged_Data!$B$2:$B$1000=$A84))</f>
        <v>1</v>
      </c>
      <c r="E84">
        <f>SUMIFS(Final_Merged_Data!$E:$E,Final_Merged_Data!$B:$B,$A84)</f>
        <v>166.82</v>
      </c>
      <c r="F84">
        <f>SUMIFS(Final_Merged_Data!$F:$F,Final_Merged_Data!$B:$B,$A84)</f>
        <v>1011001</v>
      </c>
      <c r="G84">
        <f t="shared" si="2"/>
        <v>6060.4304040282941</v>
      </c>
      <c r="H84" cm="1">
        <f t="array" ref="H84">SUMPRODUCT((Final_Merged_Data!$B$2:$B$1000=$A84)*Final_Merged_Data!$H$2:$H$1000*Final_Merged_Data!$F$2:$F$1000)/F84</f>
        <v>3.77</v>
      </c>
      <c r="I84" cm="1">
        <f t="array" ref="I84">SUMPRODUCT((Final_Merged_Data!$B$2:$B$1000=$A84)*Final_Merged_Data!$I$2:$I$1000*Final_Merged_Data!$F$2:$F$1000)/F84</f>
        <v>81.180000000000007</v>
      </c>
      <c r="J84" t="str" cm="1">
        <f t="array" ref="J84">_xlfn.TEXTJOIN(", ",TRUE,_xlfn.UNIQUE(_xlfn._xlws.FILTER(Final_Merged_Data!$J$2:$J$1000,Final_Merged_Data!$B$2:$B$1000=$A84)))</f>
        <v>Dhaka Range</v>
      </c>
      <c r="K84" cm="1">
        <f t="array" ref="K84">SUMPRODUCT((Final_Merged_Data!$B$2:$B$1000=$A84)*Final_Merged_Data!$K$2:$K$1000*Final_Merged_Data!$F$2:$F$1000)/F84</f>
        <v>87.055167395391194</v>
      </c>
      <c r="L84" cm="1">
        <f t="array" ref="L84">SUMPRODUCT((Final_Merged_Data!$B$2:$B$1000=$A84)*Final_Merged_Data!$L$2:$L$1000*Final_Merged_Data!$F$2:$F$1000)/F84</f>
        <v>14.083489099923572</v>
      </c>
      <c r="M84" t="str">
        <f>IF(COUNTIF(Master_Data!$C:$C,$A84)&gt;0,"Found","Missing")</f>
        <v>Found</v>
      </c>
      <c r="N84" t="str">
        <f>_xlfn.XLOOKUP($A84,Master_Data!$C:$C,Master_Data!$D:$D,"CHECK",0)</f>
        <v>Amanullah Aman</v>
      </c>
      <c r="O84" t="str">
        <f>_xlfn.XLOOKUP($A84,Master_Data!$C:$C,Master_Data!$E:$E,"CHECK",0)</f>
        <v>BNP</v>
      </c>
      <c r="P84">
        <f>_xlfn.XLOOKUP($A84,Master_Data!$C:$C,Master_Data!$F:$F,"CHECK",0)</f>
        <v>1</v>
      </c>
      <c r="Q84">
        <f>_xlfn.XLOOKUP($A84,Master_Data!$C:$C,Master_Data!$G:$G,"CHECK",0)</f>
        <v>163020</v>
      </c>
      <c r="R84">
        <f>IFERROR(_xlfn.XLOOKUP($A84,Master_Data!$C:$C,Master_Data!$H:$H,"CHECK",0),"")</f>
        <v>67.454225716354614</v>
      </c>
      <c r="S84" t="str">
        <f>_xlfn.XLOOKUP($A84,Master_Data!$C:$C,Master_Data!$I:$I,"CHECK",0)</f>
        <v>Md. Abdul Haque</v>
      </c>
      <c r="T84">
        <f>_xlfn.XLOOKUP($A84,Master_Data!$C:$C,Master_Data!$K:$K,"CHECK",0)</f>
        <v>78655</v>
      </c>
      <c r="U84">
        <f>IFERROR(_xlfn.XLOOKUP($A84,Master_Data!$C:$C,Master_Data!$L:$L,"CHECK",0),"")</f>
        <v>32.545774283645393</v>
      </c>
      <c r="V84">
        <f>_xlfn.XLOOKUP($A84,Master_Data!$C:$C,Master_Data!$M:$M,"CHECK",0)</f>
        <v>84365</v>
      </c>
      <c r="W84">
        <f>IFERROR(_xlfn.XLOOKUP($A84,Master_Data!$C:$C,Master_Data!$N:$N,"CHECK",0),"")</f>
        <v>34.908451432709214</v>
      </c>
      <c r="X84" t="str">
        <f>IFERROR(_xlfn.XLOOKUP($A84,Master_Data!$C:$C,Master_Data!$O:$O,"CHECK",0),"No Result")</f>
        <v>Safe Seat</v>
      </c>
      <c r="Y84">
        <f>_xlfn.XLOOKUP($A84,Master_Data!$C:$C,Master_Data!$P:$P,"CHECK",0)</f>
        <v>0</v>
      </c>
      <c r="Z84">
        <f t="shared" si="3"/>
        <v>1</v>
      </c>
    </row>
    <row r="85" spans="1:26">
      <c r="A85" t="str">
        <v>Dhaka-20</v>
      </c>
      <c r="B85" t="str" cm="1">
        <f t="array" ref="B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Nawabganj","Chapainawabganj"),Final_Merged_Data!$B$2:$B$1000=$A85)))</f>
        <v>Dhaka</v>
      </c>
      <c r="C85" t="str" cm="1">
        <f t="array" ref="C85">_xlfn.TEXTJOIN(", ",TRUE,_xlfn._xlws.FILTER(Final_Merged_Data!$C$2:$C$1000,Final_Merged_Data!$B$2:$B$1000=$A85))</f>
        <v>Dhamrai</v>
      </c>
      <c r="D85" cm="1">
        <f t="array" ref="D85">COUNTA(_xlfn._xlws.FILTER(Final_Merged_Data!$C$2:$C$1000,Final_Merged_Data!$B$2:$B$1000=$A85))</f>
        <v>1</v>
      </c>
      <c r="E85">
        <f>SUMIFS(Final_Merged_Data!$E:$E,Final_Merged_Data!$B:$B,$A85)</f>
        <v>307.83</v>
      </c>
      <c r="F85">
        <f>SUMIFS(Final_Merged_Data!$F:$F,Final_Merged_Data!$B:$B,$A85)</f>
        <v>517117</v>
      </c>
      <c r="G85">
        <f t="shared" si="2"/>
        <v>1679.8785043692949</v>
      </c>
      <c r="H85" cm="1">
        <f t="array" ref="H85">SUMPRODUCT((Final_Merged_Data!$B$2:$B$1000=$A85)*Final_Merged_Data!$H$2:$H$1000*Final_Merged_Data!$F$2:$F$1000)/F85</f>
        <v>3.82</v>
      </c>
      <c r="I85" cm="1">
        <f t="array" ref="I85">SUMPRODUCT((Final_Merged_Data!$B$2:$B$1000=$A85)*Final_Merged_Data!$I$2:$I$1000*Final_Merged_Data!$F$2:$F$1000)/F85</f>
        <v>73.72</v>
      </c>
      <c r="J85" t="str" cm="1">
        <f t="array" ref="J85">_xlfn.TEXTJOIN(", ",TRUE,_xlfn.UNIQUE(_xlfn._xlws.FILTER(Final_Merged_Data!$J$2:$J$1000,Final_Merged_Data!$B$2:$B$1000=$A85)))</f>
        <v>Dhaka Range</v>
      </c>
      <c r="K85" cm="1">
        <f t="array" ref="K85">SUMPRODUCT((Final_Merged_Data!$B$2:$B$1000=$A85)*Final_Merged_Data!$K$2:$K$1000*Final_Merged_Data!$F$2:$F$1000)/F85</f>
        <v>87.055167395391194</v>
      </c>
      <c r="L85" cm="1">
        <f t="array" ref="L85">SUMPRODUCT((Final_Merged_Data!$B$2:$B$1000=$A85)*Final_Merged_Data!$L$2:$L$1000*Final_Merged_Data!$F$2:$F$1000)/F85</f>
        <v>14.083489099923572</v>
      </c>
      <c r="M85" t="str">
        <f>IF(COUNTIF(Master_Data!$C:$C,$A85)&gt;0,"Found","Missing")</f>
        <v>Found</v>
      </c>
      <c r="N85" t="str">
        <f>_xlfn.XLOOKUP($A85,Master_Data!$C:$C,Master_Data!$D:$D,"CHECK",0)</f>
        <v>Md. Tamiz Uddin</v>
      </c>
      <c r="O85" t="str">
        <f>_xlfn.XLOOKUP($A85,Master_Data!$C:$C,Master_Data!$E:$E,"CHECK",0)</f>
        <v>BNP</v>
      </c>
      <c r="P85">
        <f>_xlfn.XLOOKUP($A85,Master_Data!$C:$C,Master_Data!$F:$F,"CHECK",0)</f>
        <v>1</v>
      </c>
      <c r="Q85">
        <f>_xlfn.XLOOKUP($A85,Master_Data!$C:$C,Master_Data!$G:$G,"CHECK",0)</f>
        <v>160428</v>
      </c>
      <c r="R85">
        <f>IFERROR(_xlfn.XLOOKUP($A85,Master_Data!$C:$C,Master_Data!$H:$H,"CHECK",0),"")</f>
        <v>74.008054582946983</v>
      </c>
      <c r="S85" t="str">
        <f>_xlfn.XLOOKUP($A85,Master_Data!$C:$C,Master_Data!$I:$I,"CHECK",0)</f>
        <v>Nabila Tasnid</v>
      </c>
      <c r="T85">
        <f>_xlfn.XLOOKUP($A85,Master_Data!$C:$C,Master_Data!$K:$K,"CHECK",0)</f>
        <v>56343</v>
      </c>
      <c r="U85">
        <f>IFERROR(_xlfn.XLOOKUP($A85,Master_Data!$C:$C,Master_Data!$L:$L,"CHECK",0),"")</f>
        <v>25.991945417053021</v>
      </c>
      <c r="V85">
        <f>_xlfn.XLOOKUP($A85,Master_Data!$C:$C,Master_Data!$M:$M,"CHECK",0)</f>
        <v>104085</v>
      </c>
      <c r="W85">
        <f>IFERROR(_xlfn.XLOOKUP($A85,Master_Data!$C:$C,Master_Data!$N:$N,"CHECK",0),"")</f>
        <v>48.016109165893958</v>
      </c>
      <c r="X85" t="str">
        <f>IFERROR(_xlfn.XLOOKUP($A85,Master_Data!$C:$C,Master_Data!$O:$O,"CHECK",0),"No Result")</f>
        <v>Safe Seat</v>
      </c>
      <c r="Y85">
        <f>_xlfn.XLOOKUP($A85,Master_Data!$C:$C,Master_Data!$P:$P,"CHECK",0)</f>
        <v>0</v>
      </c>
      <c r="Z85">
        <f t="shared" si="3"/>
        <v>1</v>
      </c>
    </row>
    <row r="86" spans="1:26">
      <c r="A86" t="str">
        <v>Dhaka-3</v>
      </c>
      <c r="B86" t="str" cm="1">
        <f t="array" ref="B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Nawabganj","Chapainawabganj"),Final_Merged_Data!$B$2:$B$1000=$A86)))</f>
        <v>Dhaka</v>
      </c>
      <c r="C86" t="str" cm="1">
        <f t="array" ref="C86">_xlfn.TEXTJOIN(", ",TRUE,_xlfn._xlws.FILTER(Final_Merged_Data!$C$2:$C$1000,Final_Merged_Data!$B$2:$B$1000=$A86))</f>
        <v>Keraniganj, Kotwali</v>
      </c>
      <c r="D86" cm="1">
        <f t="array" ref="D86">COUNTA(_xlfn._xlws.FILTER(Final_Merged_Data!$C$2:$C$1000,Final_Merged_Data!$B$2:$B$1000=$A86))</f>
        <v>2</v>
      </c>
      <c r="E86">
        <f>SUMIFS(Final_Merged_Data!$E:$E,Final_Merged_Data!$B:$B,$A86)</f>
        <v>185.91187500000001</v>
      </c>
      <c r="F86">
        <f>SUMIFS(Final_Merged_Data!$F:$F,Final_Merged_Data!$B:$B,$A86)</f>
        <v>1654488</v>
      </c>
      <c r="G86">
        <f t="shared" si="2"/>
        <v>8899.3131826571062</v>
      </c>
      <c r="H86" cm="1">
        <f t="array" ref="H86">SUMPRODUCT((Final_Merged_Data!$B$2:$B$1000=$A86)*Final_Merged_Data!$H$2:$H$1000*Final_Merged_Data!$F$2:$F$1000)/F86</f>
        <v>3.754442631194665</v>
      </c>
      <c r="I86" cm="1">
        <f t="array" ref="I86">SUMPRODUCT((Final_Merged_Data!$B$2:$B$1000=$A86)*Final_Merged_Data!$I$2:$I$1000*Final_Merged_Data!$F$2:$F$1000)/F86</f>
        <v>83.116892416264122</v>
      </c>
      <c r="J86" t="str" cm="1">
        <f t="array" ref="J86">_xlfn.TEXTJOIN(", ",TRUE,_xlfn.UNIQUE(_xlfn._xlws.FILTER(Final_Merged_Data!$J$2:$J$1000,Final_Merged_Data!$B$2:$B$1000=$A86)))</f>
        <v>Dhaka Range</v>
      </c>
      <c r="K86" cm="1">
        <f t="array" ref="K86">SUMPRODUCT((Final_Merged_Data!$B$2:$B$1000=$A86)*Final_Merged_Data!$K$2:$K$1000*Final_Merged_Data!$F$2:$F$1000)/F86</f>
        <v>87.055167395391194</v>
      </c>
      <c r="L86" cm="1">
        <f t="array" ref="L86">SUMPRODUCT((Final_Merged_Data!$B$2:$B$1000=$A86)*Final_Merged_Data!$L$2:$L$1000*Final_Merged_Data!$F$2:$F$1000)/F86</f>
        <v>14.083489099923572</v>
      </c>
      <c r="M86" t="str">
        <f>IF(COUNTIF(Master_Data!$C:$C,$A86)&gt;0,"Found","Missing")</f>
        <v>Found</v>
      </c>
      <c r="N86" t="str">
        <f>_xlfn.XLOOKUP($A86,Master_Data!$C:$C,Master_Data!$D:$D,"CHECK",0)</f>
        <v>Gayeshwar Chandra Roy</v>
      </c>
      <c r="O86" t="str">
        <f>_xlfn.XLOOKUP($A86,Master_Data!$C:$C,Master_Data!$E:$E,"CHECK",0)</f>
        <v>BNP</v>
      </c>
      <c r="P86">
        <f>_xlfn.XLOOKUP($A86,Master_Data!$C:$C,Master_Data!$F:$F,"CHECK",0)</f>
        <v>1</v>
      </c>
      <c r="Q86">
        <f>_xlfn.XLOOKUP($A86,Master_Data!$C:$C,Master_Data!$G:$G,"CHECK",0)</f>
        <v>99163</v>
      </c>
      <c r="R86">
        <f>IFERROR(_xlfn.XLOOKUP($A86,Master_Data!$C:$C,Master_Data!$H:$H,"CHECK",0),"")</f>
        <v>54.357633464344644</v>
      </c>
      <c r="S86" t="str">
        <f>_xlfn.XLOOKUP($A86,Master_Data!$C:$C,Master_Data!$I:$I,"CHECK",0)</f>
        <v>Md. Shahinur Islam</v>
      </c>
      <c r="T86">
        <f>_xlfn.XLOOKUP($A86,Master_Data!$C:$C,Master_Data!$K:$K,"CHECK",0)</f>
        <v>83264</v>
      </c>
      <c r="U86">
        <f>IFERROR(_xlfn.XLOOKUP($A86,Master_Data!$C:$C,Master_Data!$L:$L,"CHECK",0),"")</f>
        <v>45.642366535655363</v>
      </c>
      <c r="V86">
        <f>_xlfn.XLOOKUP($A86,Master_Data!$C:$C,Master_Data!$M:$M,"CHECK",0)</f>
        <v>15899</v>
      </c>
      <c r="W86">
        <f>IFERROR(_xlfn.XLOOKUP($A86,Master_Data!$C:$C,Master_Data!$N:$N,"CHECK",0),"")</f>
        <v>8.7152669286892852</v>
      </c>
      <c r="X86" t="str">
        <f>IFERROR(_xlfn.XLOOKUP($A86,Master_Data!$C:$C,Master_Data!$O:$O,"CHECK",0),"No Result")</f>
        <v>Safe Seat</v>
      </c>
      <c r="Y86">
        <f>_xlfn.XLOOKUP($A86,Master_Data!$C:$C,Master_Data!$P:$P,"CHECK",0)</f>
        <v>1</v>
      </c>
      <c r="Z86">
        <f t="shared" si="3"/>
        <v>1</v>
      </c>
    </row>
    <row r="87" spans="1:26">
      <c r="A87" t="str">
        <v>Dhaka-4</v>
      </c>
      <c r="B87" t="str" cm="1">
        <f t="array" ref="B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Nawabganj","Chapainawabganj"),Final_Merged_Data!$B$2:$B$1000=$A87)))</f>
        <v>Dhaka</v>
      </c>
      <c r="C87" t="str" cm="1">
        <f t="array" ref="C87">_xlfn.TEXTJOIN(", ",TRUE,_xlfn._xlws.FILTER(Final_Merged_Data!$C$2:$C$1000,Final_Merged_Data!$B$2:$B$1000=$A87))</f>
        <v>Demra</v>
      </c>
      <c r="D87" cm="1">
        <f t="array" ref="D87">COUNTA(_xlfn._xlws.FILTER(Final_Merged_Data!$C$2:$C$1000,Final_Merged_Data!$B$2:$B$1000=$A87))</f>
        <v>1</v>
      </c>
      <c r="E87">
        <f>SUMIFS(Final_Merged_Data!$E:$E,Final_Merged_Data!$B:$B,$A87)</f>
        <v>19.091875000000002</v>
      </c>
      <c r="F87">
        <f>SUMIFS(Final_Merged_Data!$F:$F,Final_Merged_Data!$B:$B,$A87)</f>
        <v>643487</v>
      </c>
      <c r="G87">
        <f t="shared" si="2"/>
        <v>33704.756604576549</v>
      </c>
      <c r="H87" cm="1">
        <f t="array" ref="H87">SUMPRODUCT((Final_Merged_Data!$B$2:$B$1000=$A87)*Final_Merged_Data!$H$2:$H$1000*Final_Merged_Data!$F$2:$F$1000)/F87</f>
        <v>3.7299999999999995</v>
      </c>
      <c r="I87" cm="1">
        <f t="array" ref="I87">SUMPRODUCT((Final_Merged_Data!$B$2:$B$1000=$A87)*Final_Merged_Data!$I$2:$I$1000*Final_Merged_Data!$F$2:$F$1000)/F87</f>
        <v>86.16</v>
      </c>
      <c r="J87" t="str" cm="1">
        <f t="array" ref="J87">_xlfn.TEXTJOIN(", ",TRUE,_xlfn.UNIQUE(_xlfn._xlws.FILTER(Final_Merged_Data!$J$2:$J$1000,Final_Merged_Data!$B$2:$B$1000=$A87)))</f>
        <v>Dhaka Range</v>
      </c>
      <c r="K87" cm="1">
        <f t="array" ref="K87">SUMPRODUCT((Final_Merged_Data!$B$2:$B$1000=$A87)*Final_Merged_Data!$K$2:$K$1000*Final_Merged_Data!$F$2:$F$1000)/F87</f>
        <v>87.055167395391194</v>
      </c>
      <c r="L87" cm="1">
        <f t="array" ref="L87">SUMPRODUCT((Final_Merged_Data!$B$2:$B$1000=$A87)*Final_Merged_Data!$L$2:$L$1000*Final_Merged_Data!$F$2:$F$1000)/F87</f>
        <v>14.083489099923574</v>
      </c>
      <c r="M87" t="str">
        <f>IF(COUNTIF(Master_Data!$C:$C,$A87)&gt;0,"Found","Missing")</f>
        <v>Found</v>
      </c>
      <c r="N87" t="str">
        <f>_xlfn.XLOOKUP($A87,Master_Data!$C:$C,Master_Data!$D:$D,"CHECK",0)</f>
        <v>Syed Zainul Abedin</v>
      </c>
      <c r="O87" t="str">
        <f>_xlfn.XLOOKUP($A87,Master_Data!$C:$C,Master_Data!$E:$E,"CHECK",0)</f>
        <v>Jamaat</v>
      </c>
      <c r="P87">
        <f>_xlfn.XLOOKUP($A87,Master_Data!$C:$C,Master_Data!$F:$F,"CHECK",0)</f>
        <v>2</v>
      </c>
      <c r="Q87">
        <f>_xlfn.XLOOKUP($A87,Master_Data!$C:$C,Master_Data!$G:$G,"CHECK",0)</f>
        <v>77367</v>
      </c>
      <c r="R87">
        <f>IFERROR(_xlfn.XLOOKUP($A87,Master_Data!$C:$C,Master_Data!$H:$H,"CHECK",0),"")</f>
        <v>50.961703136733107</v>
      </c>
      <c r="S87" t="str">
        <f>_xlfn.XLOOKUP($A87,Master_Data!$C:$C,Master_Data!$I:$I,"CHECK",0)</f>
        <v>Tanveer Ahmed</v>
      </c>
      <c r="T87">
        <f>_xlfn.XLOOKUP($A87,Master_Data!$C:$C,Master_Data!$K:$K,"CHECK",0)</f>
        <v>74447</v>
      </c>
      <c r="U87">
        <f>IFERROR(_xlfn.XLOOKUP($A87,Master_Data!$C:$C,Master_Data!$L:$L,"CHECK",0),"")</f>
        <v>49.038296863266893</v>
      </c>
      <c r="V87">
        <f>_xlfn.XLOOKUP($A87,Master_Data!$C:$C,Master_Data!$M:$M,"CHECK",0)</f>
        <v>2920</v>
      </c>
      <c r="W87">
        <f>IFERROR(_xlfn.XLOOKUP($A87,Master_Data!$C:$C,Master_Data!$N:$N,"CHECK",0),"")</f>
        <v>1.9234062734662154</v>
      </c>
      <c r="X87" t="str">
        <f>IFERROR(_xlfn.XLOOKUP($A87,Master_Data!$C:$C,Master_Data!$O:$O,"CHECK",0),"No Result")</f>
        <v>Highly Competitive</v>
      </c>
      <c r="Y87">
        <f>_xlfn.XLOOKUP($A87,Master_Data!$C:$C,Master_Data!$P:$P,"CHECK",0)</f>
        <v>1</v>
      </c>
      <c r="Z87">
        <f t="shared" si="3"/>
        <v>1</v>
      </c>
    </row>
    <row r="88" spans="1:26">
      <c r="A88" t="str">
        <v>Dhaka-5</v>
      </c>
      <c r="B88" t="str" cm="1">
        <f t="array" ref="B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Nawabganj","Chapainawabganj"),Final_Merged_Data!$B$2:$B$1000=$A88)))</f>
        <v>Dhaka</v>
      </c>
      <c r="C88" t="str" cm="1">
        <f t="array" ref="C88">_xlfn.TEXTJOIN(", ",TRUE,_xlfn._xlws.FILTER(Final_Merged_Data!$C$2:$C$1000,Final_Merged_Data!$B$2:$B$1000=$A88))</f>
        <v>Motijheel</v>
      </c>
      <c r="D88" cm="1">
        <f t="array" ref="D88">COUNTA(_xlfn._xlws.FILTER(Final_Merged_Data!$C$2:$C$1000,Final_Merged_Data!$B$2:$B$1000=$A88))</f>
        <v>1</v>
      </c>
      <c r="E88">
        <f>SUMIFS(Final_Merged_Data!$E:$E,Final_Merged_Data!$B:$B,$A88)</f>
        <v>19.091875000000002</v>
      </c>
      <c r="F88">
        <f>SUMIFS(Final_Merged_Data!$F:$F,Final_Merged_Data!$B:$B,$A88)</f>
        <v>643487</v>
      </c>
      <c r="G88">
        <f t="shared" si="2"/>
        <v>33704.756604576549</v>
      </c>
      <c r="H88" cm="1">
        <f t="array" ref="H88">SUMPRODUCT((Final_Merged_Data!$B$2:$B$1000=$A88)*Final_Merged_Data!$H$2:$H$1000*Final_Merged_Data!$F$2:$F$1000)/F88</f>
        <v>3.7299999999999995</v>
      </c>
      <c r="I88" cm="1">
        <f t="array" ref="I88">SUMPRODUCT((Final_Merged_Data!$B$2:$B$1000=$A88)*Final_Merged_Data!$I$2:$I$1000*Final_Merged_Data!$F$2:$F$1000)/F88</f>
        <v>86.16</v>
      </c>
      <c r="J88" t="str" cm="1">
        <f t="array" ref="J88">_xlfn.TEXTJOIN(", ",TRUE,_xlfn.UNIQUE(_xlfn._xlws.FILTER(Final_Merged_Data!$J$2:$J$1000,Final_Merged_Data!$B$2:$B$1000=$A88)))</f>
        <v>Dhaka Range</v>
      </c>
      <c r="K88" cm="1">
        <f t="array" ref="K88">SUMPRODUCT((Final_Merged_Data!$B$2:$B$1000=$A88)*Final_Merged_Data!$K$2:$K$1000*Final_Merged_Data!$F$2:$F$1000)/F88</f>
        <v>87.055167395391194</v>
      </c>
      <c r="L88" cm="1">
        <f t="array" ref="L88">SUMPRODUCT((Final_Merged_Data!$B$2:$B$1000=$A88)*Final_Merged_Data!$L$2:$L$1000*Final_Merged_Data!$F$2:$F$1000)/F88</f>
        <v>14.083489099923574</v>
      </c>
      <c r="M88" t="str">
        <f>IF(COUNTIF(Master_Data!$C:$C,$A88)&gt;0,"Found","Missing")</f>
        <v>Found</v>
      </c>
      <c r="N88" t="str">
        <f>_xlfn.XLOOKUP($A88,Master_Data!$C:$C,Master_Data!$D:$D,"CHECK",0)</f>
        <v>Mohammad Kamal Hossain</v>
      </c>
      <c r="O88" t="str">
        <f>_xlfn.XLOOKUP($A88,Master_Data!$C:$C,Master_Data!$E:$E,"CHECK",0)</f>
        <v>Jamaat</v>
      </c>
      <c r="P88">
        <f>_xlfn.XLOOKUP($A88,Master_Data!$C:$C,Master_Data!$F:$F,"CHECK",0)</f>
        <v>2</v>
      </c>
      <c r="Q88">
        <f>_xlfn.XLOOKUP($A88,Master_Data!$C:$C,Master_Data!$G:$G,"CHECK",0)</f>
        <v>96641</v>
      </c>
      <c r="R88">
        <f>IFERROR(_xlfn.XLOOKUP($A88,Master_Data!$C:$C,Master_Data!$H:$H,"CHECK",0),"")</f>
        <v>52.484630591097691</v>
      </c>
      <c r="S88" t="str">
        <f>_xlfn.XLOOKUP($A88,Master_Data!$C:$C,Master_Data!$I:$I,"CHECK",0)</f>
        <v>Md Nabi Ulla</v>
      </c>
      <c r="T88">
        <f>_xlfn.XLOOKUP($A88,Master_Data!$C:$C,Master_Data!$K:$K,"CHECK",0)</f>
        <v>87491</v>
      </c>
      <c r="U88">
        <f>IFERROR(_xlfn.XLOOKUP($A88,Master_Data!$C:$C,Master_Data!$L:$L,"CHECK",0),"")</f>
        <v>47.515369408902309</v>
      </c>
      <c r="V88">
        <f>_xlfn.XLOOKUP($A88,Master_Data!$C:$C,Master_Data!$M:$M,"CHECK",0)</f>
        <v>9150</v>
      </c>
      <c r="W88">
        <f>IFERROR(_xlfn.XLOOKUP($A88,Master_Data!$C:$C,Master_Data!$N:$N,"CHECK",0),"")</f>
        <v>4.9692611821953818</v>
      </c>
      <c r="X88" t="str">
        <f>IFERROR(_xlfn.XLOOKUP($A88,Master_Data!$C:$C,Master_Data!$O:$O,"CHECK",0),"No Result")</f>
        <v>Highly Competitive</v>
      </c>
      <c r="Y88">
        <f>_xlfn.XLOOKUP($A88,Master_Data!$C:$C,Master_Data!$P:$P,"CHECK",0)</f>
        <v>1</v>
      </c>
      <c r="Z88">
        <f t="shared" si="3"/>
        <v>1</v>
      </c>
    </row>
    <row r="89" spans="1:26">
      <c r="A89" t="str">
        <v>Dhaka-6</v>
      </c>
      <c r="B89" t="str" cm="1">
        <f t="array" ref="B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Nawabganj","Chapainawabganj"),Final_Merged_Data!$B$2:$B$1000=$A89)))</f>
        <v>Dhaka</v>
      </c>
      <c r="C89" t="str" cm="1">
        <f t="array" ref="C89">_xlfn.TEXTJOIN(", ",TRUE,_xlfn._xlws.FILTER(Final_Merged_Data!$C$2:$C$1000,Final_Merged_Data!$B$2:$B$1000=$A89))</f>
        <v>Sutrapur</v>
      </c>
      <c r="D89" cm="1">
        <f t="array" ref="D89">COUNTA(_xlfn._xlws.FILTER(Final_Merged_Data!$C$2:$C$1000,Final_Merged_Data!$B$2:$B$1000=$A89))</f>
        <v>1</v>
      </c>
      <c r="E89">
        <f>SUMIFS(Final_Merged_Data!$E:$E,Final_Merged_Data!$B:$B,$A89)</f>
        <v>19.091875000000002</v>
      </c>
      <c r="F89">
        <f>SUMIFS(Final_Merged_Data!$F:$F,Final_Merged_Data!$B:$B,$A89)</f>
        <v>643487</v>
      </c>
      <c r="G89">
        <f t="shared" si="2"/>
        <v>33704.756604576549</v>
      </c>
      <c r="H89" cm="1">
        <f t="array" ref="H89">SUMPRODUCT((Final_Merged_Data!$B$2:$B$1000=$A89)*Final_Merged_Data!$H$2:$H$1000*Final_Merged_Data!$F$2:$F$1000)/F89</f>
        <v>3.7299999999999995</v>
      </c>
      <c r="I89" cm="1">
        <f t="array" ref="I89">SUMPRODUCT((Final_Merged_Data!$B$2:$B$1000=$A89)*Final_Merged_Data!$I$2:$I$1000*Final_Merged_Data!$F$2:$F$1000)/F89</f>
        <v>86.16</v>
      </c>
      <c r="J89" t="str" cm="1">
        <f t="array" ref="J89">_xlfn.TEXTJOIN(", ",TRUE,_xlfn.UNIQUE(_xlfn._xlws.FILTER(Final_Merged_Data!$J$2:$J$1000,Final_Merged_Data!$B$2:$B$1000=$A89)))</f>
        <v>Dhaka Range</v>
      </c>
      <c r="K89" cm="1">
        <f t="array" ref="K89">SUMPRODUCT((Final_Merged_Data!$B$2:$B$1000=$A89)*Final_Merged_Data!$K$2:$K$1000*Final_Merged_Data!$F$2:$F$1000)/F89</f>
        <v>87.055167395391194</v>
      </c>
      <c r="L89" cm="1">
        <f t="array" ref="L89">SUMPRODUCT((Final_Merged_Data!$B$2:$B$1000=$A89)*Final_Merged_Data!$L$2:$L$1000*Final_Merged_Data!$F$2:$F$1000)/F89</f>
        <v>14.083489099923574</v>
      </c>
      <c r="M89" t="str">
        <f>IF(COUNTIF(Master_Data!$C:$C,$A89)&gt;0,"Found","Missing")</f>
        <v>Found</v>
      </c>
      <c r="N89" t="str">
        <f>_xlfn.XLOOKUP($A89,Master_Data!$C:$C,Master_Data!$D:$D,"CHECK",0)</f>
        <v>Ishraque Hossain</v>
      </c>
      <c r="O89" t="str">
        <f>_xlfn.XLOOKUP($A89,Master_Data!$C:$C,Master_Data!$E:$E,"CHECK",0)</f>
        <v>BNP</v>
      </c>
      <c r="P89">
        <f>_xlfn.XLOOKUP($A89,Master_Data!$C:$C,Master_Data!$F:$F,"CHECK",0)</f>
        <v>1</v>
      </c>
      <c r="Q89">
        <f>_xlfn.XLOOKUP($A89,Master_Data!$C:$C,Master_Data!$G:$G,"CHECK",0)</f>
        <v>78850</v>
      </c>
      <c r="R89">
        <f>IFERROR(_xlfn.XLOOKUP($A89,Master_Data!$C:$C,Master_Data!$H:$H,"CHECK",0),"")</f>
        <v>58.60405657502583</v>
      </c>
      <c r="S89" t="str">
        <f>_xlfn.XLOOKUP($A89,Master_Data!$C:$C,Master_Data!$I:$I,"CHECK",0)</f>
        <v>Md. Abdul Mannan</v>
      </c>
      <c r="T89">
        <f>_xlfn.XLOOKUP($A89,Master_Data!$C:$C,Master_Data!$K:$K,"CHECK",0)</f>
        <v>55697</v>
      </c>
      <c r="U89">
        <f>IFERROR(_xlfn.XLOOKUP($A89,Master_Data!$C:$C,Master_Data!$L:$L,"CHECK",0),"")</f>
        <v>41.395943424974178</v>
      </c>
      <c r="V89">
        <f>_xlfn.XLOOKUP($A89,Master_Data!$C:$C,Master_Data!$M:$M,"CHECK",0)</f>
        <v>23153</v>
      </c>
      <c r="W89">
        <f>IFERROR(_xlfn.XLOOKUP($A89,Master_Data!$C:$C,Master_Data!$N:$N,"CHECK",0),"")</f>
        <v>17.208113150051656</v>
      </c>
      <c r="X89" t="str">
        <f>IFERROR(_xlfn.XLOOKUP($A89,Master_Data!$C:$C,Master_Data!$O:$O,"CHECK",0),"No Result")</f>
        <v>Safe Seat</v>
      </c>
      <c r="Y89">
        <f>_xlfn.XLOOKUP($A89,Master_Data!$C:$C,Master_Data!$P:$P,"CHECK",0)</f>
        <v>1</v>
      </c>
      <c r="Z89">
        <f t="shared" si="3"/>
        <v>1</v>
      </c>
    </row>
    <row r="90" spans="1:26">
      <c r="A90" t="str">
        <v>Dhaka-7</v>
      </c>
      <c r="B90" t="str" cm="1">
        <f t="array" ref="B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Nawabganj","Chapainawabganj"),Final_Merged_Data!$B$2:$B$1000=$A90)))</f>
        <v>Dhaka</v>
      </c>
      <c r="C90" t="str" cm="1">
        <f t="array" ref="C90">_xlfn.TEXTJOIN(", ",TRUE,_xlfn._xlws.FILTER(Final_Merged_Data!$C$2:$C$1000,Final_Merged_Data!$B$2:$B$1000=$A90))</f>
        <v>Lalbagh</v>
      </c>
      <c r="D90" cm="1">
        <f t="array" ref="D90">COUNTA(_xlfn._xlws.FILTER(Final_Merged_Data!$C$2:$C$1000,Final_Merged_Data!$B$2:$B$1000=$A90))</f>
        <v>1</v>
      </c>
      <c r="E90">
        <f>SUMIFS(Final_Merged_Data!$E:$E,Final_Merged_Data!$B:$B,$A90)</f>
        <v>19.091875000000002</v>
      </c>
      <c r="F90">
        <f>SUMIFS(Final_Merged_Data!$F:$F,Final_Merged_Data!$B:$B,$A90)</f>
        <v>643487</v>
      </c>
      <c r="G90">
        <f t="shared" si="2"/>
        <v>33704.756604576549</v>
      </c>
      <c r="H90" cm="1">
        <f t="array" ref="H90">SUMPRODUCT((Final_Merged_Data!$B$2:$B$1000=$A90)*Final_Merged_Data!$H$2:$H$1000*Final_Merged_Data!$F$2:$F$1000)/F90</f>
        <v>3.7299999999999995</v>
      </c>
      <c r="I90" cm="1">
        <f t="array" ref="I90">SUMPRODUCT((Final_Merged_Data!$B$2:$B$1000=$A90)*Final_Merged_Data!$I$2:$I$1000*Final_Merged_Data!$F$2:$F$1000)/F90</f>
        <v>86.16</v>
      </c>
      <c r="J90" t="str" cm="1">
        <f t="array" ref="J90">_xlfn.TEXTJOIN(", ",TRUE,_xlfn.UNIQUE(_xlfn._xlws.FILTER(Final_Merged_Data!$J$2:$J$1000,Final_Merged_Data!$B$2:$B$1000=$A90)))</f>
        <v>Dhaka Range</v>
      </c>
      <c r="K90" cm="1">
        <f t="array" ref="K90">SUMPRODUCT((Final_Merged_Data!$B$2:$B$1000=$A90)*Final_Merged_Data!$K$2:$K$1000*Final_Merged_Data!$F$2:$F$1000)/F90</f>
        <v>87.055167395391194</v>
      </c>
      <c r="L90" cm="1">
        <f t="array" ref="L90">SUMPRODUCT((Final_Merged_Data!$B$2:$B$1000=$A90)*Final_Merged_Data!$L$2:$L$1000*Final_Merged_Data!$F$2:$F$1000)/F90</f>
        <v>14.083489099923574</v>
      </c>
      <c r="M90" t="str">
        <f>IF(COUNTIF(Master_Data!$C:$C,$A90)&gt;0,"Found","Missing")</f>
        <v>Found</v>
      </c>
      <c r="N90" t="str">
        <f>_xlfn.XLOOKUP($A90,Master_Data!$C:$C,Master_Data!$D:$D,"CHECK",0)</f>
        <v>Hamidur Rahman</v>
      </c>
      <c r="O90" t="str">
        <f>_xlfn.XLOOKUP($A90,Master_Data!$C:$C,Master_Data!$E:$E,"CHECK",0)</f>
        <v>BNP</v>
      </c>
      <c r="P90">
        <f>_xlfn.XLOOKUP($A90,Master_Data!$C:$C,Master_Data!$F:$F,"CHECK",0)</f>
        <v>1</v>
      </c>
      <c r="Q90">
        <f>_xlfn.XLOOKUP($A90,Master_Data!$C:$C,Master_Data!$G:$G,"CHECK",0)</f>
        <v>104666</v>
      </c>
      <c r="R90">
        <f>IFERROR(_xlfn.XLOOKUP($A90,Master_Data!$C:$C,Master_Data!$H:$H,"CHECK",0),"")</f>
        <v>51.52178942549557</v>
      </c>
      <c r="S90" t="str">
        <f>_xlfn.XLOOKUP($A90,Master_Data!$C:$C,Master_Data!$I:$I,"CHECK",0)</f>
        <v>Md. Enayat Ulla</v>
      </c>
      <c r="T90">
        <f>_xlfn.XLOOKUP($A90,Master_Data!$C:$C,Master_Data!$K:$K,"CHECK",0)</f>
        <v>98483</v>
      </c>
      <c r="U90">
        <f>IFERROR(_xlfn.XLOOKUP($A90,Master_Data!$C:$C,Master_Data!$L:$L,"CHECK",0),"")</f>
        <v>48.478210574504423</v>
      </c>
      <c r="V90">
        <f>_xlfn.XLOOKUP($A90,Master_Data!$C:$C,Master_Data!$M:$M,"CHECK",0)</f>
        <v>6183</v>
      </c>
      <c r="W90">
        <f>IFERROR(_xlfn.XLOOKUP($A90,Master_Data!$C:$C,Master_Data!$N:$N,"CHECK",0),"")</f>
        <v>3.0435788509911443</v>
      </c>
      <c r="X90" t="str">
        <f>IFERROR(_xlfn.XLOOKUP($A90,Master_Data!$C:$C,Master_Data!$O:$O,"CHECK",0),"No Result")</f>
        <v>Highly Competitive</v>
      </c>
      <c r="Y90">
        <f>_xlfn.XLOOKUP($A90,Master_Data!$C:$C,Master_Data!$P:$P,"CHECK",0)</f>
        <v>1</v>
      </c>
      <c r="Z90">
        <f t="shared" si="3"/>
        <v>1</v>
      </c>
    </row>
    <row r="91" spans="1:26">
      <c r="A91" t="str">
        <v>Dhaka-8</v>
      </c>
      <c r="B91" t="str" cm="1">
        <f t="array" ref="B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Nawabganj","Chapainawabganj"),Final_Merged_Data!$B$2:$B$1000=$A91)))</f>
        <v>Dhaka</v>
      </c>
      <c r="C91" t="str" cm="1">
        <f t="array" ref="C91">_xlfn.TEXTJOIN(", ",TRUE,_xlfn._xlws.FILTER(Final_Merged_Data!$C$2:$C$1000,Final_Merged_Data!$B$2:$B$1000=$A91))</f>
        <v>Ramna</v>
      </c>
      <c r="D91" cm="1">
        <f t="array" ref="D91">COUNTA(_xlfn._xlws.FILTER(Final_Merged_Data!$C$2:$C$1000,Final_Merged_Data!$B$2:$B$1000=$A91))</f>
        <v>1</v>
      </c>
      <c r="E91">
        <f>SUMIFS(Final_Merged_Data!$E:$E,Final_Merged_Data!$B:$B,$A91)</f>
        <v>19.091875000000002</v>
      </c>
      <c r="F91">
        <f>SUMIFS(Final_Merged_Data!$F:$F,Final_Merged_Data!$B:$B,$A91)</f>
        <v>643487</v>
      </c>
      <c r="G91">
        <f t="shared" si="2"/>
        <v>33704.756604576549</v>
      </c>
      <c r="H91" cm="1">
        <f t="array" ref="H91">SUMPRODUCT((Final_Merged_Data!$B$2:$B$1000=$A91)*Final_Merged_Data!$H$2:$H$1000*Final_Merged_Data!$F$2:$F$1000)/F91</f>
        <v>3.7299999999999995</v>
      </c>
      <c r="I91" cm="1">
        <f t="array" ref="I91">SUMPRODUCT((Final_Merged_Data!$B$2:$B$1000=$A91)*Final_Merged_Data!$I$2:$I$1000*Final_Merged_Data!$F$2:$F$1000)/F91</f>
        <v>86.16</v>
      </c>
      <c r="J91" t="str" cm="1">
        <f t="array" ref="J91">_xlfn.TEXTJOIN(", ",TRUE,_xlfn.UNIQUE(_xlfn._xlws.FILTER(Final_Merged_Data!$J$2:$J$1000,Final_Merged_Data!$B$2:$B$1000=$A91)))</f>
        <v>Dhaka Range</v>
      </c>
      <c r="K91" cm="1">
        <f t="array" ref="K91">SUMPRODUCT((Final_Merged_Data!$B$2:$B$1000=$A91)*Final_Merged_Data!$K$2:$K$1000*Final_Merged_Data!$F$2:$F$1000)/F91</f>
        <v>87.055167395391194</v>
      </c>
      <c r="L91" cm="1">
        <f t="array" ref="L91">SUMPRODUCT((Final_Merged_Data!$B$2:$B$1000=$A91)*Final_Merged_Data!$L$2:$L$1000*Final_Merged_Data!$F$2:$F$1000)/F91</f>
        <v>14.083489099923574</v>
      </c>
      <c r="M91" t="str">
        <f>IF(COUNTIF(Master_Data!$C:$C,$A91)&gt;0,"Found","Missing")</f>
        <v>Found</v>
      </c>
      <c r="N91" t="str">
        <f>_xlfn.XLOOKUP($A91,Master_Data!$C:$C,Master_Data!$D:$D,"CHECK",0)</f>
        <v>Mirza Abbas</v>
      </c>
      <c r="O91" t="str">
        <f>_xlfn.XLOOKUP($A91,Master_Data!$C:$C,Master_Data!$E:$E,"CHECK",0)</f>
        <v>BNP</v>
      </c>
      <c r="P91">
        <f>_xlfn.XLOOKUP($A91,Master_Data!$C:$C,Master_Data!$F:$F,"CHECK",0)</f>
        <v>1</v>
      </c>
      <c r="Q91">
        <f>_xlfn.XLOOKUP($A91,Master_Data!$C:$C,Master_Data!$G:$G,"CHECK",0)</f>
        <v>59366</v>
      </c>
      <c r="R91">
        <f>IFERROR(_xlfn.XLOOKUP($A91,Master_Data!$C:$C,Master_Data!$H:$H,"CHECK",0),"")</f>
        <v>52.308071863462949</v>
      </c>
      <c r="S91" t="str">
        <f>_xlfn.XLOOKUP($A91,Master_Data!$C:$C,Master_Data!$I:$I,"CHECK",0)</f>
        <v>Nasiruddin Patwary</v>
      </c>
      <c r="T91">
        <f>_xlfn.XLOOKUP($A91,Master_Data!$C:$C,Master_Data!$K:$K,"CHECK",0)</f>
        <v>54127</v>
      </c>
      <c r="U91">
        <f>IFERROR(_xlfn.XLOOKUP($A91,Master_Data!$C:$C,Master_Data!$L:$L,"CHECK",0),"")</f>
        <v>47.691928136537051</v>
      </c>
      <c r="V91">
        <f>_xlfn.XLOOKUP($A91,Master_Data!$C:$C,Master_Data!$M:$M,"CHECK",0)</f>
        <v>5239</v>
      </c>
      <c r="W91">
        <f>IFERROR(_xlfn.XLOOKUP($A91,Master_Data!$C:$C,Master_Data!$N:$N,"CHECK",0),"")</f>
        <v>4.6161437269258903</v>
      </c>
      <c r="X91" t="str">
        <f>IFERROR(_xlfn.XLOOKUP($A91,Master_Data!$C:$C,Master_Data!$O:$O,"CHECK",0),"No Result")</f>
        <v>Highly Competitive</v>
      </c>
      <c r="Y91">
        <f>_xlfn.XLOOKUP($A91,Master_Data!$C:$C,Master_Data!$P:$P,"CHECK",0)</f>
        <v>1</v>
      </c>
      <c r="Z91">
        <f t="shared" si="3"/>
        <v>1</v>
      </c>
    </row>
    <row r="92" spans="1:26">
      <c r="A92" t="str">
        <v>Dhaka-9</v>
      </c>
      <c r="B92" t="str" cm="1">
        <f t="array" ref="B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Nawabganj","Chapainawabganj"),Final_Merged_Data!$B$2:$B$1000=$A92)))</f>
        <v>Dhaka</v>
      </c>
      <c r="C92" t="str" cm="1">
        <f t="array" ref="C92">_xlfn.TEXTJOIN(", ",TRUE,_xlfn._xlws.FILTER(Final_Merged_Data!$C$2:$C$1000,Final_Merged_Data!$B$2:$B$1000=$A92))</f>
        <v>Khilgaon</v>
      </c>
      <c r="D92" cm="1">
        <f t="array" ref="D92">COUNTA(_xlfn._xlws.FILTER(Final_Merged_Data!$C$2:$C$1000,Final_Merged_Data!$B$2:$B$1000=$A92))</f>
        <v>1</v>
      </c>
      <c r="E92">
        <f>SUMIFS(Final_Merged_Data!$E:$E,Final_Merged_Data!$B:$B,$A92)</f>
        <v>19.091875000000002</v>
      </c>
      <c r="F92">
        <f>SUMIFS(Final_Merged_Data!$F:$F,Final_Merged_Data!$B:$B,$A92)</f>
        <v>643487</v>
      </c>
      <c r="G92">
        <f t="shared" si="2"/>
        <v>33704.756604576549</v>
      </c>
      <c r="H92" cm="1">
        <f t="array" ref="H92">SUMPRODUCT((Final_Merged_Data!$B$2:$B$1000=$A92)*Final_Merged_Data!$H$2:$H$1000*Final_Merged_Data!$F$2:$F$1000)/F92</f>
        <v>3.7299999999999995</v>
      </c>
      <c r="I92" cm="1">
        <f t="array" ref="I92">SUMPRODUCT((Final_Merged_Data!$B$2:$B$1000=$A92)*Final_Merged_Data!$I$2:$I$1000*Final_Merged_Data!$F$2:$F$1000)/F92</f>
        <v>86.16</v>
      </c>
      <c r="J92" t="str" cm="1">
        <f t="array" ref="J92">_xlfn.TEXTJOIN(", ",TRUE,_xlfn.UNIQUE(_xlfn._xlws.FILTER(Final_Merged_Data!$J$2:$J$1000,Final_Merged_Data!$B$2:$B$1000=$A92)))</f>
        <v>Dhaka Range</v>
      </c>
      <c r="K92" cm="1">
        <f t="array" ref="K92">SUMPRODUCT((Final_Merged_Data!$B$2:$B$1000=$A92)*Final_Merged_Data!$K$2:$K$1000*Final_Merged_Data!$F$2:$F$1000)/F92</f>
        <v>87.055167395391194</v>
      </c>
      <c r="L92" cm="1">
        <f t="array" ref="L92">SUMPRODUCT((Final_Merged_Data!$B$2:$B$1000=$A92)*Final_Merged_Data!$L$2:$L$1000*Final_Merged_Data!$F$2:$F$1000)/F92</f>
        <v>14.083489099923574</v>
      </c>
      <c r="M92" t="str">
        <f>IF(COUNTIF(Master_Data!$C:$C,$A92)&gt;0,"Found","Missing")</f>
        <v>Found</v>
      </c>
      <c r="N92" t="str">
        <f>_xlfn.XLOOKUP($A92,Master_Data!$C:$C,Master_Data!$D:$D,"CHECK",0)</f>
        <v>Habibur Rashid</v>
      </c>
      <c r="O92" t="str">
        <f>_xlfn.XLOOKUP($A92,Master_Data!$C:$C,Master_Data!$E:$E,"CHECK",0)</f>
        <v>BNP</v>
      </c>
      <c r="P92">
        <f>_xlfn.XLOOKUP($A92,Master_Data!$C:$C,Master_Data!$F:$F,"CHECK",0)</f>
        <v>1</v>
      </c>
      <c r="Q92">
        <f>_xlfn.XLOOKUP($A92,Master_Data!$C:$C,Master_Data!$G:$G,"CHECK",0)</f>
        <v>111212</v>
      </c>
      <c r="R92">
        <f>IFERROR(_xlfn.XLOOKUP($A92,Master_Data!$C:$C,Master_Data!$H:$H,"CHECK",0),"")</f>
        <v>67.535464438398748</v>
      </c>
      <c r="S92" t="str">
        <f>_xlfn.XLOOKUP($A92,Master_Data!$C:$C,Master_Data!$I:$I,"CHECK",0)</f>
        <v>Mohammad Javed Mia</v>
      </c>
      <c r="T92">
        <f>_xlfn.XLOOKUP($A92,Master_Data!$C:$C,Master_Data!$K:$K,"CHECK",0)</f>
        <v>53460</v>
      </c>
      <c r="U92">
        <f>IFERROR(_xlfn.XLOOKUP($A92,Master_Data!$C:$C,Master_Data!$L:$L,"CHECK",0),"")</f>
        <v>32.464535561601245</v>
      </c>
      <c r="V92">
        <f>_xlfn.XLOOKUP($A92,Master_Data!$C:$C,Master_Data!$M:$M,"CHECK",0)</f>
        <v>57752</v>
      </c>
      <c r="W92">
        <f>IFERROR(_xlfn.XLOOKUP($A92,Master_Data!$C:$C,Master_Data!$N:$N,"CHECK",0),"")</f>
        <v>35.070928876797517</v>
      </c>
      <c r="X92" t="str">
        <f>IFERROR(_xlfn.XLOOKUP($A92,Master_Data!$C:$C,Master_Data!$O:$O,"CHECK",0),"No Result")</f>
        <v>Safe Seat</v>
      </c>
      <c r="Y92">
        <f>_xlfn.XLOOKUP($A92,Master_Data!$C:$C,Master_Data!$P:$P,"CHECK",0)</f>
        <v>1</v>
      </c>
      <c r="Z92">
        <f t="shared" si="3"/>
        <v>1</v>
      </c>
    </row>
    <row r="93" spans="1:26">
      <c r="A93" t="str">
        <v>Dinajpur-1</v>
      </c>
      <c r="B93" t="str" cm="1">
        <f t="array" ref="B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Nawabganj","Chapainawabganj"),Final_Merged_Data!$B$2:$B$1000=$A93)))</f>
        <v>Dinajpur</v>
      </c>
      <c r="C93" t="str" cm="1">
        <f t="array" ref="C93">_xlfn.TEXTJOIN(", ",TRUE,_xlfn._xlws.FILTER(Final_Merged_Data!$C$2:$C$1000,Final_Merged_Data!$B$2:$B$1000=$A93))</f>
        <v>Birganj, Kaharole</v>
      </c>
      <c r="D93" cm="1">
        <f t="array" ref="D93">COUNTA(_xlfn._xlws.FILTER(Final_Merged_Data!$C$2:$C$1000,Final_Merged_Data!$B$2:$B$1000=$A93))</f>
        <v>2</v>
      </c>
      <c r="E93">
        <f>SUMIFS(Final_Merged_Data!$E:$E,Final_Merged_Data!$B:$B,$A93)</f>
        <v>399.02</v>
      </c>
      <c r="F93">
        <f>SUMIFS(Final_Merged_Data!$F:$F,Final_Merged_Data!$B:$B,$A93)</f>
        <v>530697</v>
      </c>
      <c r="G93">
        <f t="shared" si="2"/>
        <v>1330.0010024560172</v>
      </c>
      <c r="H93" cm="1">
        <f t="array" ref="H93">SUMPRODUCT((Final_Merged_Data!$B$2:$B$1000=$A93)*Final_Merged_Data!$H$2:$H$1000*Final_Merged_Data!$F$2:$F$1000)/F93</f>
        <v>4.0098676080701416</v>
      </c>
      <c r="I93" cm="1">
        <f t="array" ref="I93">SUMPRODUCT((Final_Merged_Data!$B$2:$B$1000=$A93)*Final_Merged_Data!$I$2:$I$1000*Final_Merged_Data!$F$2:$F$1000)/F93</f>
        <v>73.62443953894595</v>
      </c>
      <c r="J93" t="str" cm="1">
        <f t="array" ref="J93">_xlfn.TEXTJOIN(", ",TRUE,_xlfn.UNIQUE(_xlfn._xlws.FILTER(Final_Merged_Data!$J$2:$J$1000,Final_Merged_Data!$B$2:$B$1000=$A93)))</f>
        <v>Rangpur Range</v>
      </c>
      <c r="K93" cm="1">
        <f t="array" ref="K93">SUMPRODUCT((Final_Merged_Data!$B$2:$B$1000=$A93)*Final_Merged_Data!$K$2:$K$1000*Final_Merged_Data!$F$2:$F$1000)/F93</f>
        <v>101.90869513385242</v>
      </c>
      <c r="L93" cm="1">
        <f t="array" ref="L93">SUMPRODUCT((Final_Merged_Data!$B$2:$B$1000=$A93)*Final_Merged_Data!$L$2:$L$1000*Final_Merged_Data!$F$2:$F$1000)/F93</f>
        <v>15.175373179583827</v>
      </c>
      <c r="M93" t="str">
        <f>IF(COUNTIF(Master_Data!$C:$C,$A93)&gt;0,"Found","Missing")</f>
        <v>Found</v>
      </c>
      <c r="N93" t="str">
        <f>_xlfn.XLOOKUP($A93,Master_Data!$C:$C,Master_Data!$D:$D,"CHECK",0)</f>
        <v>Md. Manjurul Islam</v>
      </c>
      <c r="O93" t="str">
        <f>_xlfn.XLOOKUP($A93,Master_Data!$C:$C,Master_Data!$E:$E,"CHECK",0)</f>
        <v>BNP</v>
      </c>
      <c r="P93">
        <f>_xlfn.XLOOKUP($A93,Master_Data!$C:$C,Master_Data!$F:$F,"CHECK",0)</f>
        <v>1</v>
      </c>
      <c r="Q93">
        <f>_xlfn.XLOOKUP($A93,Master_Data!$C:$C,Master_Data!$G:$G,"CHECK",0)</f>
        <v>179314</v>
      </c>
      <c r="R93">
        <f>IFERROR(_xlfn.XLOOKUP($A93,Master_Data!$C:$C,Master_Data!$H:$H,"CHECK",0),"")</f>
        <v>60.416785997068679</v>
      </c>
      <c r="S93" t="str">
        <f>_xlfn.XLOOKUP($A93,Master_Data!$C:$C,Master_Data!$I:$I,"CHECK",0)</f>
        <v>Md. Matiur Rahman</v>
      </c>
      <c r="T93">
        <f>_xlfn.XLOOKUP($A93,Master_Data!$C:$C,Master_Data!$K:$K,"CHECK",0)</f>
        <v>117481</v>
      </c>
      <c r="U93">
        <f>IFERROR(_xlfn.XLOOKUP($A93,Master_Data!$C:$C,Master_Data!$L:$L,"CHECK",0),"")</f>
        <v>39.583214002931314</v>
      </c>
      <c r="V93">
        <f>_xlfn.XLOOKUP($A93,Master_Data!$C:$C,Master_Data!$M:$M,"CHECK",0)</f>
        <v>61833</v>
      </c>
      <c r="W93">
        <f>IFERROR(_xlfn.XLOOKUP($A93,Master_Data!$C:$C,Master_Data!$N:$N,"CHECK",0),"")</f>
        <v>20.833571994137369</v>
      </c>
      <c r="X93" t="str">
        <f>IFERROR(_xlfn.XLOOKUP($A93,Master_Data!$C:$C,Master_Data!$O:$O,"CHECK",0),"No Result")</f>
        <v>Safe Seat</v>
      </c>
      <c r="Y93">
        <f>_xlfn.XLOOKUP($A93,Master_Data!$C:$C,Master_Data!$P:$P,"CHECK",0)</f>
        <v>0</v>
      </c>
      <c r="Z93">
        <f t="shared" si="3"/>
        <v>1</v>
      </c>
    </row>
    <row r="94" spans="1:26">
      <c r="A94" t="str">
        <v>Dinajpur-2</v>
      </c>
      <c r="B94" t="str" cm="1">
        <f t="array" ref="B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Nawabganj","Chapainawabganj"),Final_Merged_Data!$B$2:$B$1000=$A94)))</f>
        <v>Dinajpur</v>
      </c>
      <c r="C94" t="str" cm="1">
        <f t="array" ref="C94">_xlfn.TEXTJOIN(", ",TRUE,_xlfn._xlws.FILTER(Final_Merged_Data!$C$2:$C$1000,Final_Merged_Data!$B$2:$B$1000=$A94))</f>
        <v>Birol, Bochaganj</v>
      </c>
      <c r="D94" cm="1">
        <f t="array" ref="D94">COUNTA(_xlfn._xlws.FILTER(Final_Merged_Data!$C$2:$C$1000,Final_Merged_Data!$B$2:$B$1000=$A94))</f>
        <v>2</v>
      </c>
      <c r="E94">
        <f>SUMIFS(Final_Merged_Data!$E:$E,Final_Merged_Data!$B:$B,$A94)</f>
        <v>680.01</v>
      </c>
      <c r="F94">
        <f>SUMIFS(Final_Merged_Data!$F:$F,Final_Merged_Data!$B:$B,$A94)</f>
        <v>453264</v>
      </c>
      <c r="G94">
        <f t="shared" si="2"/>
        <v>666.55490360435874</v>
      </c>
      <c r="H94" cm="1">
        <f t="array" ref="H94">SUMPRODUCT((Final_Merged_Data!$B$2:$B$1000=$A94)*Final_Merged_Data!$H$2:$H$1000*Final_Merged_Data!$F$2:$F$1000)/F94</f>
        <v>3.9969622559920932</v>
      </c>
      <c r="I94" cm="1">
        <f t="array" ref="I94">SUMPRODUCT((Final_Merged_Data!$B$2:$B$1000=$A94)*Final_Merged_Data!$I$2:$I$1000*Final_Merged_Data!$F$2:$F$1000)/F94</f>
        <v>75.854574155459076</v>
      </c>
      <c r="J94" t="str" cm="1">
        <f t="array" ref="J94">_xlfn.TEXTJOIN(", ",TRUE,_xlfn.UNIQUE(_xlfn._xlws.FILTER(Final_Merged_Data!$J$2:$J$1000,Final_Merged_Data!$B$2:$B$1000=$A94)))</f>
        <v>Rangpur Range</v>
      </c>
      <c r="K94" cm="1">
        <f t="array" ref="K94">SUMPRODUCT((Final_Merged_Data!$B$2:$B$1000=$A94)*Final_Merged_Data!$K$2:$K$1000*Final_Merged_Data!$F$2:$F$1000)/F94</f>
        <v>101.90869513385242</v>
      </c>
      <c r="L94" cm="1">
        <f t="array" ref="L94">SUMPRODUCT((Final_Merged_Data!$B$2:$B$1000=$A94)*Final_Merged_Data!$L$2:$L$1000*Final_Merged_Data!$F$2:$F$1000)/F94</f>
        <v>15.175373179583827</v>
      </c>
      <c r="M94" t="str">
        <f>IF(COUNTIF(Master_Data!$C:$C,$A94)&gt;0,"Found","Missing")</f>
        <v>Found</v>
      </c>
      <c r="N94" t="str">
        <f>_xlfn.XLOOKUP($A94,Master_Data!$C:$C,Master_Data!$D:$D,"CHECK",0)</f>
        <v>Md. Sadiq Riaz</v>
      </c>
      <c r="O94" t="str">
        <f>_xlfn.XLOOKUP($A94,Master_Data!$C:$C,Master_Data!$E:$E,"CHECK",0)</f>
        <v>BNP</v>
      </c>
      <c r="P94">
        <f>_xlfn.XLOOKUP($A94,Master_Data!$C:$C,Master_Data!$F:$F,"CHECK",0)</f>
        <v>1</v>
      </c>
      <c r="Q94">
        <f>_xlfn.XLOOKUP($A94,Master_Data!$C:$C,Master_Data!$G:$G,"CHECK",0)</f>
        <v>144317</v>
      </c>
      <c r="R94">
        <f>IFERROR(_xlfn.XLOOKUP($A94,Master_Data!$C:$C,Master_Data!$H:$H,"CHECK",0),"")</f>
        <v>58.630173716625769</v>
      </c>
      <c r="S94" t="str">
        <f>_xlfn.XLOOKUP($A94,Master_Data!$C:$C,Master_Data!$I:$I,"CHECK",0)</f>
        <v>A. K. M. Afzalul Anam</v>
      </c>
      <c r="T94">
        <f>_xlfn.XLOOKUP($A94,Master_Data!$C:$C,Master_Data!$K:$K,"CHECK",0)</f>
        <v>101831</v>
      </c>
      <c r="U94">
        <f>IFERROR(_xlfn.XLOOKUP($A94,Master_Data!$C:$C,Master_Data!$L:$L,"CHECK",0),"")</f>
        <v>41.369826283374231</v>
      </c>
      <c r="V94">
        <f>_xlfn.XLOOKUP($A94,Master_Data!$C:$C,Master_Data!$M:$M,"CHECK",0)</f>
        <v>42486</v>
      </c>
      <c r="W94">
        <f>IFERROR(_xlfn.XLOOKUP($A94,Master_Data!$C:$C,Master_Data!$N:$N,"CHECK",0),"")</f>
        <v>17.260347433251543</v>
      </c>
      <c r="X94" t="str">
        <f>IFERROR(_xlfn.XLOOKUP($A94,Master_Data!$C:$C,Master_Data!$O:$O,"CHECK",0),"No Result")</f>
        <v>Safe Seat</v>
      </c>
      <c r="Y94">
        <f>_xlfn.XLOOKUP($A94,Master_Data!$C:$C,Master_Data!$P:$P,"CHECK",0)</f>
        <v>0</v>
      </c>
      <c r="Z94">
        <f t="shared" si="3"/>
        <v>1</v>
      </c>
    </row>
    <row r="95" spans="1:26">
      <c r="A95" t="str">
        <v>Dinajpur-3</v>
      </c>
      <c r="B95" t="str" cm="1">
        <f t="array" ref="B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Nawabganj","Chapainawabganj"),Final_Merged_Data!$B$2:$B$1000=$A95)))</f>
        <v>Dinajpur</v>
      </c>
      <c r="C95" t="str" cm="1">
        <f t="array" ref="C95">_xlfn.TEXTJOIN(", ",TRUE,_xlfn._xlws.FILTER(Final_Merged_Data!$C$2:$C$1000,Final_Merged_Data!$B$2:$B$1000=$A95))</f>
        <v>Dinajpur Sadar</v>
      </c>
      <c r="D95" cm="1">
        <f t="array" ref="D95">COUNTA(_xlfn._xlws.FILTER(Final_Merged_Data!$C$2:$C$1000,Final_Merged_Data!$B$2:$B$1000=$A95))</f>
        <v>1</v>
      </c>
      <c r="E95">
        <f>SUMIFS(Final_Merged_Data!$E:$E,Final_Merged_Data!$B:$B,$A95)</f>
        <v>344.3</v>
      </c>
      <c r="F95">
        <f>SUMIFS(Final_Merged_Data!$F:$F,Final_Merged_Data!$B:$B,$A95)</f>
        <v>549160</v>
      </c>
      <c r="G95">
        <f t="shared" si="2"/>
        <v>1595.0043566656984</v>
      </c>
      <c r="H95" cm="1">
        <f t="array" ref="H95">SUMPRODUCT((Final_Merged_Data!$B$2:$B$1000=$A95)*Final_Merged_Data!$H$2:$H$1000*Final_Merged_Data!$F$2:$F$1000)/F95</f>
        <v>3.8700000000000006</v>
      </c>
      <c r="I95" cm="1">
        <f t="array" ref="I95">SUMPRODUCT((Final_Merged_Data!$B$2:$B$1000=$A95)*Final_Merged_Data!$I$2:$I$1000*Final_Merged_Data!$F$2:$F$1000)/F95</f>
        <v>82.78</v>
      </c>
      <c r="J95" t="str" cm="1">
        <f t="array" ref="J95">_xlfn.TEXTJOIN(", ",TRUE,_xlfn.UNIQUE(_xlfn._xlws.FILTER(Final_Merged_Data!$J$2:$J$1000,Final_Merged_Data!$B$2:$B$1000=$A95)))</f>
        <v>Rangpur Range</v>
      </c>
      <c r="K95" cm="1">
        <f t="array" ref="K95">SUMPRODUCT((Final_Merged_Data!$B$2:$B$1000=$A95)*Final_Merged_Data!$K$2:$K$1000*Final_Merged_Data!$F$2:$F$1000)/F95</f>
        <v>101.90869513385242</v>
      </c>
      <c r="L95" cm="1">
        <f t="array" ref="L95">SUMPRODUCT((Final_Merged_Data!$B$2:$B$1000=$A95)*Final_Merged_Data!$L$2:$L$1000*Final_Merged_Data!$F$2:$F$1000)/F95</f>
        <v>15.175373179583827</v>
      </c>
      <c r="M95" t="str">
        <f>IF(COUNTIF(Master_Data!$C:$C,$A95)&gt;0,"Found","Missing")</f>
        <v>Found</v>
      </c>
      <c r="N95" t="str">
        <f>_xlfn.XLOOKUP($A95,Master_Data!$C:$C,Master_Data!$D:$D,"CHECK",0)</f>
        <v>Syed Jahangir Alam</v>
      </c>
      <c r="O95" t="str">
        <f>_xlfn.XLOOKUP($A95,Master_Data!$C:$C,Master_Data!$E:$E,"CHECK",0)</f>
        <v>BNP</v>
      </c>
      <c r="P95">
        <f>_xlfn.XLOOKUP($A95,Master_Data!$C:$C,Master_Data!$F:$F,"CHECK",0)</f>
        <v>1</v>
      </c>
      <c r="Q95">
        <f>_xlfn.XLOOKUP($A95,Master_Data!$C:$C,Master_Data!$G:$G,"CHECK",0)</f>
        <v>139207</v>
      </c>
      <c r="R95">
        <f>IFERROR(_xlfn.XLOOKUP($A95,Master_Data!$C:$C,Master_Data!$H:$H,"CHECK",0),"")</f>
        <v>50.837943942298914</v>
      </c>
      <c r="S95" t="str">
        <f>_xlfn.XLOOKUP($A95,Master_Data!$C:$C,Master_Data!$I:$I,"CHECK",0)</f>
        <v>Md. Mainul Alam</v>
      </c>
      <c r="T95">
        <f>_xlfn.XLOOKUP($A95,Master_Data!$C:$C,Master_Data!$K:$K,"CHECK",0)</f>
        <v>134618</v>
      </c>
      <c r="U95">
        <f>IFERROR(_xlfn.XLOOKUP($A95,Master_Data!$C:$C,Master_Data!$L:$L,"CHECK",0),"")</f>
        <v>49.162056057701086</v>
      </c>
      <c r="V95">
        <f>_xlfn.XLOOKUP($A95,Master_Data!$C:$C,Master_Data!$M:$M,"CHECK",0)</f>
        <v>4589</v>
      </c>
      <c r="W95">
        <f>IFERROR(_xlfn.XLOOKUP($A95,Master_Data!$C:$C,Master_Data!$N:$N,"CHECK",0),"")</f>
        <v>1.6758878845978271</v>
      </c>
      <c r="X95" t="str">
        <f>IFERROR(_xlfn.XLOOKUP($A95,Master_Data!$C:$C,Master_Data!$O:$O,"CHECK",0),"No Result")</f>
        <v>Highly Competitive</v>
      </c>
      <c r="Y95">
        <f>_xlfn.XLOOKUP($A95,Master_Data!$C:$C,Master_Data!$P:$P,"CHECK",0)</f>
        <v>0</v>
      </c>
      <c r="Z95">
        <f t="shared" si="3"/>
        <v>1</v>
      </c>
    </row>
    <row r="96" spans="1:26">
      <c r="A96" t="str">
        <v>Dinajpur-4</v>
      </c>
      <c r="B96" t="str" cm="1">
        <f t="array" ref="B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Nawabganj","Chapainawabganj"),Final_Merged_Data!$B$2:$B$1000=$A96)))</f>
        <v>Dinajpur</v>
      </c>
      <c r="C96" t="str" cm="1">
        <f t="array" ref="C96">_xlfn.TEXTJOIN(", ",TRUE,_xlfn._xlws.FILTER(Final_Merged_Data!$C$2:$C$1000,Final_Merged_Data!$B$2:$B$1000=$A96))</f>
        <v>Khansama, Chirirbandar</v>
      </c>
      <c r="D96" cm="1">
        <f t="array" ref="D96">COUNTA(_xlfn._xlws.FILTER(Final_Merged_Data!$C$2:$C$1000,Final_Merged_Data!$B$2:$B$1000=$A96))</f>
        <v>2</v>
      </c>
      <c r="E96">
        <f>SUMIFS(Final_Merged_Data!$E:$E,Final_Merged_Data!$B:$B,$A96)</f>
        <v>692</v>
      </c>
      <c r="F96">
        <f>SUMIFS(Final_Merged_Data!$F:$F,Final_Merged_Data!$B:$B,$A96)</f>
        <v>521281</v>
      </c>
      <c r="G96">
        <f t="shared" si="2"/>
        <v>753.29624277456651</v>
      </c>
      <c r="H96" cm="1">
        <f t="array" ref="H96">SUMPRODUCT((Final_Merged_Data!$B$2:$B$1000=$A96)*Final_Merged_Data!$H$2:$H$1000*Final_Merged_Data!$F$2:$F$1000)/F96</f>
        <v>4.105147377326241</v>
      </c>
      <c r="I96" cm="1">
        <f t="array" ref="I96">SUMPRODUCT((Final_Merged_Data!$B$2:$B$1000=$A96)*Final_Merged_Data!$I$2:$I$1000*Final_Merged_Data!$F$2:$F$1000)/F96</f>
        <v>74.076872588872405</v>
      </c>
      <c r="J96" t="str" cm="1">
        <f t="array" ref="J96">_xlfn.TEXTJOIN(", ",TRUE,_xlfn.UNIQUE(_xlfn._xlws.FILTER(Final_Merged_Data!$J$2:$J$1000,Final_Merged_Data!$B$2:$B$1000=$A96)))</f>
        <v>Rangpur Range</v>
      </c>
      <c r="K96" cm="1">
        <f t="array" ref="K96">SUMPRODUCT((Final_Merged_Data!$B$2:$B$1000=$A96)*Final_Merged_Data!$K$2:$K$1000*Final_Merged_Data!$F$2:$F$1000)/F96</f>
        <v>101.90869513385242</v>
      </c>
      <c r="L96" cm="1">
        <f t="array" ref="L96">SUMPRODUCT((Final_Merged_Data!$B$2:$B$1000=$A96)*Final_Merged_Data!$L$2:$L$1000*Final_Merged_Data!$F$2:$F$1000)/F96</f>
        <v>15.175373179583827</v>
      </c>
      <c r="M96" t="str">
        <f>IF(COUNTIF(Master_Data!$C:$C,$A96)&gt;0,"Found","Missing")</f>
        <v>Found</v>
      </c>
      <c r="N96" t="str">
        <f>_xlfn.XLOOKUP($A96,Master_Data!$C:$C,Master_Data!$D:$D,"CHECK",0)</f>
        <v>Md. Akhtaruzzaman Mia</v>
      </c>
      <c r="O96" t="str">
        <f>_xlfn.XLOOKUP($A96,Master_Data!$C:$C,Master_Data!$E:$E,"CHECK",0)</f>
        <v>BNP</v>
      </c>
      <c r="P96">
        <f>_xlfn.XLOOKUP($A96,Master_Data!$C:$C,Master_Data!$F:$F,"CHECK",0)</f>
        <v>1</v>
      </c>
      <c r="Q96">
        <f>_xlfn.XLOOKUP($A96,Master_Data!$C:$C,Master_Data!$G:$G,"CHECK",0)</f>
        <v>165577</v>
      </c>
      <c r="R96">
        <f>IFERROR(_xlfn.XLOOKUP($A96,Master_Data!$C:$C,Master_Data!$H:$H,"CHECK",0),"")</f>
        <v>56.464092919524077</v>
      </c>
      <c r="S96" t="str">
        <f>_xlfn.XLOOKUP($A96,Master_Data!$C:$C,Master_Data!$I:$I,"CHECK",0)</f>
        <v>Md. Aftab Uddin Mollah</v>
      </c>
      <c r="T96">
        <f>_xlfn.XLOOKUP($A96,Master_Data!$C:$C,Master_Data!$K:$K,"CHECK",0)</f>
        <v>127666</v>
      </c>
      <c r="U96">
        <f>IFERROR(_xlfn.XLOOKUP($A96,Master_Data!$C:$C,Master_Data!$L:$L,"CHECK",0),"")</f>
        <v>43.535907080475923</v>
      </c>
      <c r="V96">
        <f>_xlfn.XLOOKUP($A96,Master_Data!$C:$C,Master_Data!$M:$M,"CHECK",0)</f>
        <v>37911</v>
      </c>
      <c r="W96">
        <f>IFERROR(_xlfn.XLOOKUP($A96,Master_Data!$C:$C,Master_Data!$N:$N,"CHECK",0),"")</f>
        <v>12.928185839048162</v>
      </c>
      <c r="X96" t="str">
        <f>IFERROR(_xlfn.XLOOKUP($A96,Master_Data!$C:$C,Master_Data!$O:$O,"CHECK",0),"No Result")</f>
        <v>Safe Seat</v>
      </c>
      <c r="Y96">
        <f>_xlfn.XLOOKUP($A96,Master_Data!$C:$C,Master_Data!$P:$P,"CHECK",0)</f>
        <v>0</v>
      </c>
      <c r="Z96">
        <f t="shared" si="3"/>
        <v>1</v>
      </c>
    </row>
    <row r="97" spans="1:26">
      <c r="A97" t="str">
        <v>Dinajpur-5</v>
      </c>
      <c r="B97" t="str" cm="1">
        <f t="array" ref="B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Nawabganj","Chapainawabganj"),Final_Merged_Data!$B$2:$B$1000=$A97)))</f>
        <v>Dinajpur</v>
      </c>
      <c r="C97" t="str" cm="1">
        <f t="array" ref="C97">_xlfn.TEXTJOIN(", ",TRUE,_xlfn._xlws.FILTER(Final_Merged_Data!$C$2:$C$1000,Final_Merged_Data!$B$2:$B$1000=$A97))</f>
        <v>Parbatipur, Phulbari</v>
      </c>
      <c r="D97" cm="1">
        <f t="array" ref="D97">COUNTA(_xlfn._xlws.FILTER(Final_Merged_Data!$C$2:$C$1000,Final_Merged_Data!$B$2:$B$1000=$A97))</f>
        <v>2</v>
      </c>
      <c r="E97">
        <f>SUMIFS(Final_Merged_Data!$E:$E,Final_Merged_Data!$B:$B,$A97)</f>
        <v>630.79</v>
      </c>
      <c r="F97">
        <f>SUMIFS(Final_Merged_Data!$F:$F,Final_Merged_Data!$B:$B,$A97)</f>
        <v>587306</v>
      </c>
      <c r="G97">
        <f t="shared" si="2"/>
        <v>931.06422105613603</v>
      </c>
      <c r="H97" cm="1">
        <f t="array" ref="H97">SUMPRODUCT((Final_Merged_Data!$B$2:$B$1000=$A97)*Final_Merged_Data!$H$2:$H$1000*Final_Merged_Data!$F$2:$F$1000)/F97</f>
        <v>3.8090710804929624</v>
      </c>
      <c r="I97" cm="1">
        <f t="array" ref="I97">SUMPRODUCT((Final_Merged_Data!$B$2:$B$1000=$A97)*Final_Merged_Data!$I$2:$I$1000*Final_Merged_Data!$F$2:$F$1000)/F97</f>
        <v>73.527278216125836</v>
      </c>
      <c r="J97" t="str" cm="1">
        <f t="array" ref="J97">_xlfn.TEXTJOIN(", ",TRUE,_xlfn.UNIQUE(_xlfn._xlws.FILTER(Final_Merged_Data!$J$2:$J$1000,Final_Merged_Data!$B$2:$B$1000=$A97)))</f>
        <v>Rangpur Range</v>
      </c>
      <c r="K97" cm="1">
        <f t="array" ref="K97">SUMPRODUCT((Final_Merged_Data!$B$2:$B$1000=$A97)*Final_Merged_Data!$K$2:$K$1000*Final_Merged_Data!$F$2:$F$1000)/F97</f>
        <v>101.90869513385243</v>
      </c>
      <c r="L97" cm="1">
        <f t="array" ref="L97">SUMPRODUCT((Final_Merged_Data!$B$2:$B$1000=$A97)*Final_Merged_Data!$L$2:$L$1000*Final_Merged_Data!$F$2:$F$1000)/F97</f>
        <v>15.175373179583827</v>
      </c>
      <c r="M97" t="str">
        <f>IF(COUNTIF(Master_Data!$C:$C,$A97)&gt;0,"Found","Missing")</f>
        <v>Found</v>
      </c>
      <c r="N97" t="str">
        <f>_xlfn.XLOOKUP($A97,Master_Data!$C:$C,Master_Data!$D:$D,"CHECK",0)</f>
        <v>A. Z. M. Rezwanul Haque</v>
      </c>
      <c r="O97" t="str">
        <f>_xlfn.XLOOKUP($A97,Master_Data!$C:$C,Master_Data!$E:$E,"CHECK",0)</f>
        <v>IND</v>
      </c>
      <c r="P97">
        <f>_xlfn.XLOOKUP($A97,Master_Data!$C:$C,Master_Data!$F:$F,"CHECK",0)</f>
        <v>5</v>
      </c>
      <c r="Q97">
        <f>_xlfn.XLOOKUP($A97,Master_Data!$C:$C,Master_Data!$G:$G,"CHECK",0)</f>
        <v>113650</v>
      </c>
      <c r="R97">
        <f>IFERROR(_xlfn.XLOOKUP($A97,Master_Data!$C:$C,Master_Data!$H:$H,"CHECK",0),"")</f>
        <v>51.056164026630967</v>
      </c>
      <c r="S97" t="str">
        <f>_xlfn.XLOOKUP($A97,Master_Data!$C:$C,Master_Data!$I:$I,"CHECK",0)</f>
        <v>Md. Abdul Ahad</v>
      </c>
      <c r="T97">
        <f>_xlfn.XLOOKUP($A97,Master_Data!$C:$C,Master_Data!$K:$K,"CHECK",0)</f>
        <v>108948</v>
      </c>
      <c r="U97">
        <f>IFERROR(_xlfn.XLOOKUP($A97,Master_Data!$C:$C,Master_Data!$L:$L,"CHECK",0),"")</f>
        <v>48.943835973369033</v>
      </c>
      <c r="V97">
        <f>_xlfn.XLOOKUP($A97,Master_Data!$C:$C,Master_Data!$M:$M,"CHECK",0)</f>
        <v>4702</v>
      </c>
      <c r="W97">
        <f>IFERROR(_xlfn.XLOOKUP($A97,Master_Data!$C:$C,Master_Data!$N:$N,"CHECK",0),"")</f>
        <v>2.1123280532619342</v>
      </c>
      <c r="X97" t="str">
        <f>IFERROR(_xlfn.XLOOKUP($A97,Master_Data!$C:$C,Master_Data!$O:$O,"CHECK",0),"No Result")</f>
        <v>Highly Competitive</v>
      </c>
      <c r="Y97">
        <f>_xlfn.XLOOKUP($A97,Master_Data!$C:$C,Master_Data!$P:$P,"CHECK",0)</f>
        <v>0</v>
      </c>
      <c r="Z97">
        <f t="shared" si="3"/>
        <v>1</v>
      </c>
    </row>
    <row r="98" spans="1:26">
      <c r="A98" t="str">
        <v>Dinajpur-6</v>
      </c>
      <c r="B98" t="str" cm="1">
        <f t="array" ref="B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Nawabganj","Chapainawabganj"),Final_Merged_Data!$B$2:$B$1000=$A98)))</f>
        <v>Dinajpur</v>
      </c>
      <c r="C98" t="str" cm="1">
        <f t="array" ref="C98">_xlfn.TEXTJOIN(", ",TRUE,_xlfn._xlws.FILTER(Final_Merged_Data!$C$2:$C$1000,Final_Merged_Data!$B$2:$B$1000=$A98))</f>
        <v>Hakimpur, Nawabganj, Ghoraghat</v>
      </c>
      <c r="D98" cm="1">
        <f t="array" ref="D98">COUNTA(_xlfn._xlws.FILTER(Final_Merged_Data!$C$2:$C$1000,Final_Merged_Data!$B$2:$B$1000=$A98))</f>
        <v>3</v>
      </c>
      <c r="E98">
        <f>SUMIFS(Final_Merged_Data!$E:$E,Final_Merged_Data!$B:$B,$A98)</f>
        <v>709.26</v>
      </c>
      <c r="F98">
        <f>SUMIFS(Final_Merged_Data!$F:$F,Final_Merged_Data!$B:$B,$A98)</f>
        <v>576153</v>
      </c>
      <c r="G98">
        <f t="shared" si="2"/>
        <v>812.32975213602913</v>
      </c>
      <c r="H98" cm="1">
        <f t="array" ref="H98">SUMPRODUCT((Final_Merged_Data!$B$2:$B$1000=$A98)*Final_Merged_Data!$H$2:$H$1000*Final_Merged_Data!$F$2:$F$1000)/F98</f>
        <v>3.7607986420273782</v>
      </c>
      <c r="I98" cm="1">
        <f t="array" ref="I98">SUMPRODUCT((Final_Merged_Data!$B$2:$B$1000=$A98)*Final_Merged_Data!$I$2:$I$1000*Final_Merged_Data!$F$2:$F$1000)/F98</f>
        <v>76.940162092360879</v>
      </c>
      <c r="J98" t="str" cm="1">
        <f t="array" ref="J98">_xlfn.TEXTJOIN(", ",TRUE,_xlfn.UNIQUE(_xlfn._xlws.FILTER(Final_Merged_Data!$J$2:$J$1000,Final_Merged_Data!$B$2:$B$1000=$A98)))</f>
        <v>Rangpur Range</v>
      </c>
      <c r="K98" cm="1">
        <f t="array" ref="K98">SUMPRODUCT((Final_Merged_Data!$B$2:$B$1000=$A98)*Final_Merged_Data!$K$2:$K$1000*Final_Merged_Data!$F$2:$F$1000)/F98</f>
        <v>101.90869513385242</v>
      </c>
      <c r="L98" cm="1">
        <f t="array" ref="L98">SUMPRODUCT((Final_Merged_Data!$B$2:$B$1000=$A98)*Final_Merged_Data!$L$2:$L$1000*Final_Merged_Data!$F$2:$F$1000)/F98</f>
        <v>15.175373179583829</v>
      </c>
      <c r="M98" t="str">
        <f>IF(COUNTIF(Master_Data!$C:$C,$A98)&gt;0,"Found","Missing")</f>
        <v>Found</v>
      </c>
      <c r="N98" t="str">
        <f>_xlfn.XLOOKUP($A98,Master_Data!$C:$C,Master_Data!$D:$D,"CHECK",0)</f>
        <v>A. Z. M. Zahid Hossain</v>
      </c>
      <c r="O98" t="str">
        <f>_xlfn.XLOOKUP($A98,Master_Data!$C:$C,Master_Data!$E:$E,"CHECK",0)</f>
        <v>BNP</v>
      </c>
      <c r="P98">
        <f>_xlfn.XLOOKUP($A98,Master_Data!$C:$C,Master_Data!$F:$F,"CHECK",0)</f>
        <v>1</v>
      </c>
      <c r="Q98">
        <f>_xlfn.XLOOKUP($A98,Master_Data!$C:$C,Master_Data!$G:$G,"CHECK",0)</f>
        <v>203887</v>
      </c>
      <c r="R98">
        <f>IFERROR(_xlfn.XLOOKUP($A98,Master_Data!$C:$C,Master_Data!$H:$H,"CHECK",0),"")</f>
        <v>51.93170761526823</v>
      </c>
      <c r="S98" t="str">
        <f>_xlfn.XLOOKUP($A98,Master_Data!$C:$C,Master_Data!$I:$I,"CHECK",0)</f>
        <v>Md. Anwarul Islam</v>
      </c>
      <c r="T98">
        <f>_xlfn.XLOOKUP($A98,Master_Data!$C:$C,Master_Data!$K:$K,"CHECK",0)</f>
        <v>188719</v>
      </c>
      <c r="U98">
        <f>IFERROR(_xlfn.XLOOKUP($A98,Master_Data!$C:$C,Master_Data!$L:$L,"CHECK",0),"")</f>
        <v>48.068292384731762</v>
      </c>
      <c r="V98">
        <f>_xlfn.XLOOKUP($A98,Master_Data!$C:$C,Master_Data!$M:$M,"CHECK",0)</f>
        <v>15168</v>
      </c>
      <c r="W98">
        <f>IFERROR(_xlfn.XLOOKUP($A98,Master_Data!$C:$C,Master_Data!$N:$N,"CHECK",0),"")</f>
        <v>3.8634152305364671</v>
      </c>
      <c r="X98" t="str">
        <f>IFERROR(_xlfn.XLOOKUP($A98,Master_Data!$C:$C,Master_Data!$O:$O,"CHECK",0),"No Result")</f>
        <v>Highly Competitive</v>
      </c>
      <c r="Y98">
        <f>_xlfn.XLOOKUP($A98,Master_Data!$C:$C,Master_Data!$P:$P,"CHECK",0)</f>
        <v>0</v>
      </c>
      <c r="Z98">
        <f t="shared" si="3"/>
        <v>1</v>
      </c>
    </row>
    <row r="99" spans="1:26">
      <c r="A99" t="str">
        <v>Faridpur-1</v>
      </c>
      <c r="B99" t="str" cm="1">
        <f t="array" ref="B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Nawabganj","Chapainawabganj"),Final_Merged_Data!$B$2:$B$1000=$A99)))</f>
        <v>Faridpur</v>
      </c>
      <c r="C99" t="str" cm="1">
        <f t="array" ref="C99">_xlfn.TEXTJOIN(", ",TRUE,_xlfn._xlws.FILTER(Final_Merged_Data!$C$2:$C$1000,Final_Merged_Data!$B$2:$B$1000=$A99))</f>
        <v>Boalmari, Alfadanga, Madhukhali</v>
      </c>
      <c r="D99" cm="1">
        <f t="array" ref="D99">COUNTA(_xlfn._xlws.FILTER(Final_Merged_Data!$C$2:$C$1000,Final_Merged_Data!$B$2:$B$1000=$A99))</f>
        <v>3</v>
      </c>
      <c r="E99">
        <f>SUMIFS(Final_Merged_Data!$E:$E,Final_Merged_Data!$B:$B,$A99)</f>
        <v>517.28</v>
      </c>
      <c r="F99">
        <f>SUMIFS(Final_Merged_Data!$F:$F,Final_Merged_Data!$B:$B,$A99)</f>
        <v>619745</v>
      </c>
      <c r="G99">
        <f t="shared" si="2"/>
        <v>1198.0842097123416</v>
      </c>
      <c r="H99" cm="1">
        <f t="array" ref="H99">SUMPRODUCT((Final_Merged_Data!$B$2:$B$1000=$A99)*Final_Merged_Data!$H$2:$H$1000*Final_Merged_Data!$F$2:$F$1000)/F99</f>
        <v>4.061460616866615</v>
      </c>
      <c r="I99" cm="1">
        <f t="array" ref="I99">SUMPRODUCT((Final_Merged_Data!$B$2:$B$1000=$A99)*Final_Merged_Data!$I$2:$I$1000*Final_Merged_Data!$F$2:$F$1000)/F99</f>
        <v>73.058440987825634</v>
      </c>
      <c r="J99" t="str" cm="1">
        <f t="array" ref="J99">_xlfn.TEXTJOIN(", ",TRUE,_xlfn.UNIQUE(_xlfn._xlws.FILTER(Final_Merged_Data!$J$2:$J$1000,Final_Merged_Data!$B$2:$B$1000=$A99)))</f>
        <v>Dhaka Range</v>
      </c>
      <c r="K99" cm="1">
        <f t="array" ref="K99">SUMPRODUCT((Final_Merged_Data!$B$2:$B$1000=$A99)*Final_Merged_Data!$K$2:$K$1000*Final_Merged_Data!$F$2:$F$1000)/F99</f>
        <v>87.055167395391194</v>
      </c>
      <c r="L99" cm="1">
        <f t="array" ref="L99">SUMPRODUCT((Final_Merged_Data!$B$2:$B$1000=$A99)*Final_Merged_Data!$L$2:$L$1000*Final_Merged_Data!$F$2:$F$1000)/F99</f>
        <v>14.083489099923572</v>
      </c>
      <c r="M99" t="str">
        <f>IF(COUNTIF(Master_Data!$C:$C,$A99)&gt;0,"Found","Missing")</f>
        <v>Found</v>
      </c>
      <c r="N99" t="str">
        <f>_xlfn.XLOOKUP($A99,Master_Data!$C:$C,Master_Data!$D:$D,"CHECK",0)</f>
        <v>Md. Elias Molla</v>
      </c>
      <c r="O99" t="str">
        <f>_xlfn.XLOOKUP($A99,Master_Data!$C:$C,Master_Data!$E:$E,"CHECK",0)</f>
        <v>Jamaat</v>
      </c>
      <c r="P99">
        <f>_xlfn.XLOOKUP($A99,Master_Data!$C:$C,Master_Data!$F:$F,"CHECK",0)</f>
        <v>2</v>
      </c>
      <c r="Q99">
        <f>_xlfn.XLOOKUP($A99,Master_Data!$C:$C,Master_Data!$G:$G,"CHECK",0)</f>
        <v>154145</v>
      </c>
      <c r="R99">
        <f>IFERROR(_xlfn.XLOOKUP($A99,Master_Data!$C:$C,Master_Data!$H:$H,"CHECK",0),"")</f>
        <v>54.929958912554653</v>
      </c>
      <c r="S99" t="str">
        <f>_xlfn.XLOOKUP($A99,Master_Data!$C:$C,Master_Data!$I:$I,"CHECK",0)</f>
        <v>Khandokar Nasirul Islam</v>
      </c>
      <c r="T99">
        <f>_xlfn.XLOOKUP($A99,Master_Data!$C:$C,Master_Data!$K:$K,"CHECK",0)</f>
        <v>126476</v>
      </c>
      <c r="U99">
        <f>IFERROR(_xlfn.XLOOKUP($A99,Master_Data!$C:$C,Master_Data!$L:$L,"CHECK",0),"")</f>
        <v>45.070041087445347</v>
      </c>
      <c r="V99">
        <f>_xlfn.XLOOKUP($A99,Master_Data!$C:$C,Master_Data!$M:$M,"CHECK",0)</f>
        <v>27669</v>
      </c>
      <c r="W99">
        <f>IFERROR(_xlfn.XLOOKUP($A99,Master_Data!$C:$C,Master_Data!$N:$N,"CHECK",0),"")</f>
        <v>9.8599178251093118</v>
      </c>
      <c r="X99" t="str">
        <f>IFERROR(_xlfn.XLOOKUP($A99,Master_Data!$C:$C,Master_Data!$O:$O,"CHECK",0),"No Result")</f>
        <v>Safe Seat</v>
      </c>
      <c r="Y99">
        <f>_xlfn.XLOOKUP($A99,Master_Data!$C:$C,Master_Data!$P:$P,"CHECK",0)</f>
        <v>0</v>
      </c>
      <c r="Z99">
        <f t="shared" si="3"/>
        <v>1</v>
      </c>
    </row>
    <row r="100" spans="1:26">
      <c r="A100" t="str">
        <v>Faridpur-2</v>
      </c>
      <c r="B100" t="str" cm="1">
        <f t="array" ref="B1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Nawabganj","Chapainawabganj"),Final_Merged_Data!$B$2:$B$1000=$A100)))</f>
        <v>Faridpur</v>
      </c>
      <c r="C100" t="str" cm="1">
        <f t="array" ref="C100">_xlfn.TEXTJOIN(", ",TRUE,_xlfn._xlws.FILTER(Final_Merged_Data!$C$2:$C$1000,Final_Merged_Data!$B$2:$B$1000=$A100))</f>
        <v>Nagarkanda, Saltha</v>
      </c>
      <c r="D100" cm="1">
        <f t="array" ref="D100">COUNTA(_xlfn._xlws.FILTER(Final_Merged_Data!$C$2:$C$1000,Final_Merged_Data!$B$2:$B$1000=$A100))</f>
        <v>2</v>
      </c>
      <c r="E100">
        <f>SUMIFS(Final_Merged_Data!$E:$E,Final_Merged_Data!$B:$B,$A100)</f>
        <v>525.47</v>
      </c>
      <c r="F100">
        <f>SUMIFS(Final_Merged_Data!$F:$F,Final_Merged_Data!$B:$B,$A100)</f>
        <v>409139</v>
      </c>
      <c r="G100">
        <f t="shared" si="2"/>
        <v>778.6153348430928</v>
      </c>
      <c r="H100" cm="1">
        <f t="array" ref="H100">SUMPRODUCT((Final_Merged_Data!$B$2:$B$1000=$A100)*Final_Merged_Data!$H$2:$H$1000*Final_Merged_Data!$F$2:$F$1000)/F100</f>
        <v>4.1144863726019762</v>
      </c>
      <c r="I100" cm="1">
        <f t="array" ref="I100">SUMPRODUCT((Final_Merged_Data!$B$2:$B$1000=$A100)*Final_Merged_Data!$I$2:$I$1000*Final_Merged_Data!$F$2:$F$1000)/F100</f>
        <v>68.436555522695215</v>
      </c>
      <c r="J100" t="str" cm="1">
        <f t="array" ref="J100">_xlfn.TEXTJOIN(", ",TRUE,_xlfn.UNIQUE(_xlfn._xlws.FILTER(Final_Merged_Data!$J$2:$J$1000,Final_Merged_Data!$B$2:$B$1000=$A100)))</f>
        <v>Dhaka Range</v>
      </c>
      <c r="K100" cm="1">
        <f t="array" ref="K100">SUMPRODUCT((Final_Merged_Data!$B$2:$B$1000=$A100)*Final_Merged_Data!$K$2:$K$1000*Final_Merged_Data!$F$2:$F$1000)/F100</f>
        <v>87.05516739539118</v>
      </c>
      <c r="L100" cm="1">
        <f t="array" ref="L100">SUMPRODUCT((Final_Merged_Data!$B$2:$B$1000=$A100)*Final_Merged_Data!$L$2:$L$1000*Final_Merged_Data!$F$2:$F$1000)/F100</f>
        <v>14.083489099923572</v>
      </c>
      <c r="M100" t="str">
        <f>IF(COUNTIF(Master_Data!$C:$C,$A100)&gt;0,"Found","Missing")</f>
        <v>Found</v>
      </c>
      <c r="N100" t="str">
        <f>_xlfn.XLOOKUP($A100,Master_Data!$C:$C,Master_Data!$D:$D,"CHECK",0)</f>
        <v>Shama Obaed</v>
      </c>
      <c r="O100" t="str">
        <f>_xlfn.XLOOKUP($A100,Master_Data!$C:$C,Master_Data!$E:$E,"CHECK",0)</f>
        <v>BNP</v>
      </c>
      <c r="P100">
        <f>_xlfn.XLOOKUP($A100,Master_Data!$C:$C,Master_Data!$F:$F,"CHECK",0)</f>
        <v>1</v>
      </c>
      <c r="Q100">
        <f>_xlfn.XLOOKUP($A100,Master_Data!$C:$C,Master_Data!$G:$G,"CHECK",0)</f>
        <v>121694</v>
      </c>
      <c r="R100">
        <f>IFERROR(_xlfn.XLOOKUP($A100,Master_Data!$C:$C,Master_Data!$H:$H,"CHECK",0),"")</f>
        <v>57.675154858553832</v>
      </c>
      <c r="S100" t="str">
        <f>_xlfn.XLOOKUP($A100,Master_Data!$C:$C,Master_Data!$I:$I,"CHECK",0)</f>
        <v>Md. Akram Ali</v>
      </c>
      <c r="T100">
        <f>_xlfn.XLOOKUP($A100,Master_Data!$C:$C,Master_Data!$K:$K,"CHECK",0)</f>
        <v>89305</v>
      </c>
      <c r="U100">
        <f>IFERROR(_xlfn.XLOOKUP($A100,Master_Data!$C:$C,Master_Data!$L:$L,"CHECK",0),"")</f>
        <v>42.324845141446168</v>
      </c>
      <c r="V100">
        <f>_xlfn.XLOOKUP($A100,Master_Data!$C:$C,Master_Data!$M:$M,"CHECK",0)</f>
        <v>32389</v>
      </c>
      <c r="W100">
        <f>IFERROR(_xlfn.XLOOKUP($A100,Master_Data!$C:$C,Master_Data!$N:$N,"CHECK",0),"")</f>
        <v>15.350309717107663</v>
      </c>
      <c r="X100" t="str">
        <f>IFERROR(_xlfn.XLOOKUP($A100,Master_Data!$C:$C,Master_Data!$O:$O,"CHECK",0),"No Result")</f>
        <v>Safe Seat</v>
      </c>
      <c r="Y100">
        <f>_xlfn.XLOOKUP($A100,Master_Data!$C:$C,Master_Data!$P:$P,"CHECK",0)</f>
        <v>0</v>
      </c>
      <c r="Z100">
        <f t="shared" si="3"/>
        <v>1</v>
      </c>
    </row>
    <row r="101" spans="1:26">
      <c r="A101" t="str">
        <v>Faridpur-3</v>
      </c>
      <c r="B101" t="str" cm="1">
        <f t="array" ref="B1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Nawabganj","Chapainawabganj"),Final_Merged_Data!$B$2:$B$1000=$A101)))</f>
        <v>Faridpur</v>
      </c>
      <c r="C101" t="str" cm="1">
        <f t="array" ref="C101">_xlfn.TEXTJOIN(", ",TRUE,_xlfn._xlws.FILTER(Final_Merged_Data!$C$2:$C$1000,Final_Merged_Data!$B$2:$B$1000=$A101))</f>
        <v>Faridpur Sadar</v>
      </c>
      <c r="D101" cm="1">
        <f t="array" ref="D101">COUNTA(_xlfn._xlws.FILTER(Final_Merged_Data!$C$2:$C$1000,Final_Merged_Data!$B$2:$B$1000=$A101))</f>
        <v>1</v>
      </c>
      <c r="E101">
        <f>SUMIFS(Final_Merged_Data!$E:$E,Final_Merged_Data!$B:$B,$A101)</f>
        <v>247.03</v>
      </c>
      <c r="F101">
        <f>SUMIFS(Final_Merged_Data!$F:$F,Final_Merged_Data!$B:$B,$A101)</f>
        <v>567621</v>
      </c>
      <c r="G101">
        <f t="shared" si="2"/>
        <v>2297.7816459539326</v>
      </c>
      <c r="H101" cm="1">
        <f t="array" ref="H101">SUMPRODUCT((Final_Merged_Data!$B$2:$B$1000=$A101)*Final_Merged_Data!$H$2:$H$1000*Final_Merged_Data!$F$2:$F$1000)/F101</f>
        <v>4.01</v>
      </c>
      <c r="I101" cm="1">
        <f t="array" ref="I101">SUMPRODUCT((Final_Merged_Data!$B$2:$B$1000=$A101)*Final_Merged_Data!$I$2:$I$1000*Final_Merged_Data!$F$2:$F$1000)/F101</f>
        <v>74.84</v>
      </c>
      <c r="J101" t="str" cm="1">
        <f t="array" ref="J101">_xlfn.TEXTJOIN(", ",TRUE,_xlfn.UNIQUE(_xlfn._xlws.FILTER(Final_Merged_Data!$J$2:$J$1000,Final_Merged_Data!$B$2:$B$1000=$A101)))</f>
        <v>Dhaka Range</v>
      </c>
      <c r="K101" cm="1">
        <f t="array" ref="K101">SUMPRODUCT((Final_Merged_Data!$B$2:$B$1000=$A101)*Final_Merged_Data!$K$2:$K$1000*Final_Merged_Data!$F$2:$F$1000)/F101</f>
        <v>87.055167395391194</v>
      </c>
      <c r="L101" cm="1">
        <f t="array" ref="L101">SUMPRODUCT((Final_Merged_Data!$B$2:$B$1000=$A101)*Final_Merged_Data!$L$2:$L$1000*Final_Merged_Data!$F$2:$F$1000)/F101</f>
        <v>14.083489099923572</v>
      </c>
      <c r="M101" t="str">
        <f>IF(COUNTIF(Master_Data!$C:$C,$A101)&gt;0,"Found","Missing")</f>
        <v>Found</v>
      </c>
      <c r="N101" t="str">
        <f>_xlfn.XLOOKUP($A101,Master_Data!$C:$C,Master_Data!$D:$D,"CHECK",0)</f>
        <v>Nayab Yusuf Ahmed</v>
      </c>
      <c r="O101" t="str">
        <f>_xlfn.XLOOKUP($A101,Master_Data!$C:$C,Master_Data!$E:$E,"CHECK",0)</f>
        <v>BNP</v>
      </c>
      <c r="P101">
        <f>_xlfn.XLOOKUP($A101,Master_Data!$C:$C,Master_Data!$F:$F,"CHECK",0)</f>
        <v>1</v>
      </c>
      <c r="Q101">
        <f>_xlfn.XLOOKUP($A101,Master_Data!$C:$C,Master_Data!$G:$G,"CHECK",0)</f>
        <v>148545</v>
      </c>
      <c r="R101">
        <f>IFERROR(_xlfn.XLOOKUP($A101,Master_Data!$C:$C,Master_Data!$H:$H,"CHECK",0),"")</f>
        <v>54.479938384801585</v>
      </c>
      <c r="S101" t="str">
        <f>_xlfn.XLOOKUP($A101,Master_Data!$C:$C,Master_Data!$I:$I,"CHECK",0)</f>
        <v>Md. Abdul Tawab</v>
      </c>
      <c r="T101">
        <f>_xlfn.XLOOKUP($A101,Master_Data!$C:$C,Master_Data!$K:$K,"CHECK",0)</f>
        <v>124115</v>
      </c>
      <c r="U101">
        <f>IFERROR(_xlfn.XLOOKUP($A101,Master_Data!$C:$C,Master_Data!$L:$L,"CHECK",0),"")</f>
        <v>45.520061615198415</v>
      </c>
      <c r="V101">
        <f>_xlfn.XLOOKUP($A101,Master_Data!$C:$C,Master_Data!$M:$M,"CHECK",0)</f>
        <v>24430</v>
      </c>
      <c r="W101">
        <f>IFERROR(_xlfn.XLOOKUP($A101,Master_Data!$C:$C,Master_Data!$N:$N,"CHECK",0),"")</f>
        <v>8.9598767696031683</v>
      </c>
      <c r="X101" t="str">
        <f>IFERROR(_xlfn.XLOOKUP($A101,Master_Data!$C:$C,Master_Data!$O:$O,"CHECK",0),"No Result")</f>
        <v>Safe Seat</v>
      </c>
      <c r="Y101">
        <f>_xlfn.XLOOKUP($A101,Master_Data!$C:$C,Master_Data!$P:$P,"CHECK",0)</f>
        <v>0</v>
      </c>
      <c r="Z101">
        <f t="shared" si="3"/>
        <v>1</v>
      </c>
    </row>
    <row r="102" spans="1:26">
      <c r="A102" t="str">
        <v>Faridpur-4</v>
      </c>
      <c r="B102" t="str" cm="1">
        <f t="array" ref="B10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Nawabganj","Chapainawabganj"),Final_Merged_Data!$B$2:$B$1000=$A102)))</f>
        <v>Faridpur</v>
      </c>
      <c r="C102" t="str" cm="1">
        <f t="array" ref="C102">_xlfn.TEXTJOIN(", ",TRUE,_xlfn._xlws.FILTER(Final_Merged_Data!$C$2:$C$1000,Final_Merged_Data!$B$2:$B$1000=$A102))</f>
        <v>Bhanga, Char Bhadrasan, Sadarpur</v>
      </c>
      <c r="D102" cm="1">
        <f t="array" ref="D102">COUNTA(_xlfn._xlws.FILTER(Final_Merged_Data!$C$2:$C$1000,Final_Merged_Data!$B$2:$B$1000=$A102))</f>
        <v>3</v>
      </c>
      <c r="E102">
        <f>SUMIFS(Final_Merged_Data!$E:$E,Final_Merged_Data!$B:$B,$A102)</f>
        <v>803.46</v>
      </c>
      <c r="F102">
        <f>SUMIFS(Final_Merged_Data!$F:$F,Final_Merged_Data!$B:$B,$A102)</f>
        <v>566249</v>
      </c>
      <c r="G102">
        <f t="shared" si="2"/>
        <v>704.76314937893608</v>
      </c>
      <c r="H102" cm="1">
        <f t="array" ref="H102">SUMPRODUCT((Final_Merged_Data!$B$2:$B$1000=$A102)*Final_Merged_Data!$H$2:$H$1000*Final_Merged_Data!$F$2:$F$1000)/F102</f>
        <v>3.9898206619349437</v>
      </c>
      <c r="I102" cm="1">
        <f t="array" ref="I102">SUMPRODUCT((Final_Merged_Data!$B$2:$B$1000=$A102)*Final_Merged_Data!$I$2:$I$1000*Final_Merged_Data!$F$2:$F$1000)/F102</f>
        <v>70.997587722009214</v>
      </c>
      <c r="J102" t="str" cm="1">
        <f t="array" ref="J102">_xlfn.TEXTJOIN(", ",TRUE,_xlfn.UNIQUE(_xlfn._xlws.FILTER(Final_Merged_Data!$J$2:$J$1000,Final_Merged_Data!$B$2:$B$1000=$A102)))</f>
        <v>Dhaka Range</v>
      </c>
      <c r="K102" cm="1">
        <f t="array" ref="K102">SUMPRODUCT((Final_Merged_Data!$B$2:$B$1000=$A102)*Final_Merged_Data!$K$2:$K$1000*Final_Merged_Data!$F$2:$F$1000)/F102</f>
        <v>87.055167395391194</v>
      </c>
      <c r="L102" cm="1">
        <f t="array" ref="L102">SUMPRODUCT((Final_Merged_Data!$B$2:$B$1000=$A102)*Final_Merged_Data!$L$2:$L$1000*Final_Merged_Data!$F$2:$F$1000)/F102</f>
        <v>14.083489099923574</v>
      </c>
      <c r="M102" t="str">
        <f>IF(COUNTIF(Master_Data!$C:$C,$A102)&gt;0,"Found","Missing")</f>
        <v>Found</v>
      </c>
      <c r="N102" t="str">
        <f>_xlfn.XLOOKUP($A102,Master_Data!$C:$C,Master_Data!$D:$D,"CHECK",0)</f>
        <v>Md. Shahidul Islam</v>
      </c>
      <c r="O102" t="str">
        <f>_xlfn.XLOOKUP($A102,Master_Data!$C:$C,Master_Data!$E:$E,"CHECK",0)</f>
        <v>BNP</v>
      </c>
      <c r="P102">
        <f>_xlfn.XLOOKUP($A102,Master_Data!$C:$C,Master_Data!$F:$F,"CHECK",0)</f>
        <v>1</v>
      </c>
      <c r="Q102">
        <f>_xlfn.XLOOKUP($A102,Master_Data!$C:$C,Master_Data!$G:$G,"CHECK",0)</f>
        <v>127443</v>
      </c>
      <c r="R102">
        <f>IFERROR(_xlfn.XLOOKUP($A102,Master_Data!$C:$C,Master_Data!$H:$H,"CHECK",0),"")</f>
        <v>62.703200031488628</v>
      </c>
      <c r="S102" t="str">
        <f>_xlfn.XLOOKUP($A102,Master_Data!$C:$C,Master_Data!$I:$I,"CHECK",0)</f>
        <v>Md. Sarwar Hossain</v>
      </c>
      <c r="T102">
        <f>_xlfn.XLOOKUP($A102,Master_Data!$C:$C,Master_Data!$K:$K,"CHECK",0)</f>
        <v>75805</v>
      </c>
      <c r="U102">
        <f>IFERROR(_xlfn.XLOOKUP($A102,Master_Data!$C:$C,Master_Data!$L:$L,"CHECK",0),"")</f>
        <v>37.296799968511372</v>
      </c>
      <c r="V102">
        <f>_xlfn.XLOOKUP($A102,Master_Data!$C:$C,Master_Data!$M:$M,"CHECK",0)</f>
        <v>51638</v>
      </c>
      <c r="W102">
        <f>IFERROR(_xlfn.XLOOKUP($A102,Master_Data!$C:$C,Master_Data!$N:$N,"CHECK",0),"")</f>
        <v>25.406400062977248</v>
      </c>
      <c r="X102" t="str">
        <f>IFERROR(_xlfn.XLOOKUP($A102,Master_Data!$C:$C,Master_Data!$O:$O,"CHECK",0),"No Result")</f>
        <v>Safe Seat</v>
      </c>
      <c r="Y102">
        <f>_xlfn.XLOOKUP($A102,Master_Data!$C:$C,Master_Data!$P:$P,"CHECK",0)</f>
        <v>0</v>
      </c>
      <c r="Z102">
        <f t="shared" si="3"/>
        <v>1</v>
      </c>
    </row>
    <row r="103" spans="1:26">
      <c r="A103" t="str">
        <v>Feni-1</v>
      </c>
      <c r="B103" t="str" cm="1">
        <f t="array" ref="B10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Nawabganj","Chapainawabganj"),Final_Merged_Data!$B$2:$B$1000=$A103)))</f>
        <v>Feni</v>
      </c>
      <c r="C103" t="str" cm="1">
        <f t="array" ref="C103">_xlfn.TEXTJOIN(", ",TRUE,_xlfn._xlws.FILTER(Final_Merged_Data!$C$2:$C$1000,Final_Merged_Data!$B$2:$B$1000=$A103))</f>
        <v>Chhagalnaiya, Parshuram</v>
      </c>
      <c r="D103" cm="1">
        <f t="array" ref="D103">COUNTA(_xlfn._xlws.FILTER(Final_Merged_Data!$C$2:$C$1000,Final_Merged_Data!$B$2:$B$1000=$A103))</f>
        <v>2</v>
      </c>
      <c r="E103">
        <f>SUMIFS(Final_Merged_Data!$E:$E,Final_Merged_Data!$B:$B,$A103)</f>
        <v>287.82000000000005</v>
      </c>
      <c r="F103">
        <f>SUMIFS(Final_Merged_Data!$F:$F,Final_Merged_Data!$B:$B,$A103)</f>
        <v>321535</v>
      </c>
      <c r="G103">
        <f t="shared" si="2"/>
        <v>1117.1391842123548</v>
      </c>
      <c r="H103" cm="1">
        <f t="array" ref="H103">SUMPRODUCT((Final_Merged_Data!$B$2:$B$1000=$A103)*Final_Merged_Data!$H$2:$H$1000*Final_Merged_Data!$F$2:$F$1000)/F103</f>
        <v>4.2517168581958416</v>
      </c>
      <c r="I103" cm="1">
        <f t="array" ref="I103">SUMPRODUCT((Final_Merged_Data!$B$2:$B$1000=$A103)*Final_Merged_Data!$I$2:$I$1000*Final_Merged_Data!$F$2:$F$1000)/F103</f>
        <v>80.809548447291903</v>
      </c>
      <c r="J103" t="str" cm="1">
        <f t="array" ref="J103">_xlfn.TEXTJOIN(", ",TRUE,_xlfn.UNIQUE(_xlfn._xlws.FILTER(Final_Merged_Data!$J$2:$J$1000,Final_Merged_Data!$B$2:$B$1000=$A103)))</f>
        <v>Chittagong Range</v>
      </c>
      <c r="K103" cm="1">
        <f t="array" ref="K103">SUMPRODUCT((Final_Merged_Data!$B$2:$B$1000=$A103)*Final_Merged_Data!$K$2:$K$1000*Final_Merged_Data!$F$2:$F$1000)/F103</f>
        <v>84.879645400600893</v>
      </c>
      <c r="L103" cm="1">
        <f t="array" ref="L103">SUMPRODUCT((Final_Merged_Data!$B$2:$B$1000=$A103)*Final_Merged_Data!$L$2:$L$1000*Final_Merged_Data!$F$2:$F$1000)/F103</f>
        <v>10.309673910686193</v>
      </c>
      <c r="M103" t="str">
        <f>IF(COUNTIF(Master_Data!$C:$C,$A103)&gt;0,"Found","Missing")</f>
        <v>Found</v>
      </c>
      <c r="N103" t="str">
        <f>_xlfn.XLOOKUP($A103,Master_Data!$C:$C,Master_Data!$D:$D,"CHECK",0)</f>
        <v>Rafiqul Alam Majnu</v>
      </c>
      <c r="O103" t="str">
        <f>_xlfn.XLOOKUP($A103,Master_Data!$C:$C,Master_Data!$E:$E,"CHECK",0)</f>
        <v>BNP</v>
      </c>
      <c r="P103">
        <f>_xlfn.XLOOKUP($A103,Master_Data!$C:$C,Master_Data!$F:$F,"CHECK",0)</f>
        <v>1</v>
      </c>
      <c r="Q103">
        <f>_xlfn.XLOOKUP($A103,Master_Data!$C:$C,Master_Data!$G:$G,"CHECK",0)</f>
        <v>119904</v>
      </c>
      <c r="R103">
        <f>IFERROR(_xlfn.XLOOKUP($A103,Master_Data!$C:$C,Master_Data!$H:$H,"CHECK",0),"")</f>
        <v>58.342051099898306</v>
      </c>
      <c r="S103" t="str">
        <f>_xlfn.XLOOKUP($A103,Master_Data!$C:$C,Master_Data!$I:$I,"CHECK",0)</f>
        <v>SM Kamaluddin</v>
      </c>
      <c r="T103">
        <f>_xlfn.XLOOKUP($A103,Master_Data!$C:$C,Master_Data!$K:$K,"CHECK",0)</f>
        <v>85615</v>
      </c>
      <c r="U103">
        <f>IFERROR(_xlfn.XLOOKUP($A103,Master_Data!$C:$C,Master_Data!$L:$L,"CHECK",0),"")</f>
        <v>41.657948900101694</v>
      </c>
      <c r="V103">
        <f>_xlfn.XLOOKUP($A103,Master_Data!$C:$C,Master_Data!$M:$M,"CHECK",0)</f>
        <v>34289</v>
      </c>
      <c r="W103">
        <f>IFERROR(_xlfn.XLOOKUP($A103,Master_Data!$C:$C,Master_Data!$N:$N,"CHECK",0),"")</f>
        <v>16.684102199796612</v>
      </c>
      <c r="X103" t="str">
        <f>IFERROR(_xlfn.XLOOKUP($A103,Master_Data!$C:$C,Master_Data!$O:$O,"CHECK",0),"No Result")</f>
        <v>Safe Seat</v>
      </c>
      <c r="Y103">
        <f>_xlfn.XLOOKUP($A103,Master_Data!$C:$C,Master_Data!$P:$P,"CHECK",0)</f>
        <v>0</v>
      </c>
      <c r="Z103">
        <f t="shared" si="3"/>
        <v>1</v>
      </c>
    </row>
    <row r="104" spans="1:26">
      <c r="A104" t="str">
        <v>Feni-2</v>
      </c>
      <c r="B104" t="str" cm="1">
        <f t="array" ref="B10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Nawabganj","Chapainawabganj"),Final_Merged_Data!$B$2:$B$1000=$A104)))</f>
        <v>Feni</v>
      </c>
      <c r="C104" t="str" cm="1">
        <f t="array" ref="C104">_xlfn.TEXTJOIN(", ",TRUE,_xlfn._xlws.FILTER(Final_Merged_Data!$C$2:$C$1000,Final_Merged_Data!$B$2:$B$1000=$A104))</f>
        <v>Feni Sadar</v>
      </c>
      <c r="D104" cm="1">
        <f t="array" ref="D104">COUNTA(_xlfn._xlws.FILTER(Final_Merged_Data!$C$2:$C$1000,Final_Merged_Data!$B$2:$B$1000=$A104))</f>
        <v>1</v>
      </c>
      <c r="E104">
        <f>SUMIFS(Final_Merged_Data!$E:$E,Final_Merged_Data!$B:$B,$A104)</f>
        <v>421.92</v>
      </c>
      <c r="F104">
        <f>SUMIFS(Final_Merged_Data!$F:$F,Final_Merged_Data!$B:$B,$A104)</f>
        <v>634303</v>
      </c>
      <c r="G104">
        <f t="shared" si="2"/>
        <v>1503.3726772847933</v>
      </c>
      <c r="H104" cm="1">
        <f t="array" ref="H104">SUMPRODUCT((Final_Merged_Data!$B$2:$B$1000=$A104)*Final_Merged_Data!$H$2:$H$1000*Final_Merged_Data!$F$2:$F$1000)/F104</f>
        <v>4.2699999999999996</v>
      </c>
      <c r="I104" cm="1">
        <f t="array" ref="I104">SUMPRODUCT((Final_Merged_Data!$B$2:$B$1000=$A104)*Final_Merged_Data!$I$2:$I$1000*Final_Merged_Data!$F$2:$F$1000)/F104</f>
        <v>83.17</v>
      </c>
      <c r="J104" t="str" cm="1">
        <f t="array" ref="J104">_xlfn.TEXTJOIN(", ",TRUE,_xlfn.UNIQUE(_xlfn._xlws.FILTER(Final_Merged_Data!$J$2:$J$1000,Final_Merged_Data!$B$2:$B$1000=$A104)))</f>
        <v>Chittagong Range</v>
      </c>
      <c r="K104" cm="1">
        <f t="array" ref="K104">SUMPRODUCT((Final_Merged_Data!$B$2:$B$1000=$A104)*Final_Merged_Data!$K$2:$K$1000*Final_Merged_Data!$F$2:$F$1000)/F104</f>
        <v>84.879645400600893</v>
      </c>
      <c r="L104" cm="1">
        <f t="array" ref="L104">SUMPRODUCT((Final_Merged_Data!$B$2:$B$1000=$A104)*Final_Merged_Data!$L$2:$L$1000*Final_Merged_Data!$F$2:$F$1000)/F104</f>
        <v>10.309673910686193</v>
      </c>
      <c r="M104" t="str">
        <f>IF(COUNTIF(Master_Data!$C:$C,$A104)&gt;0,"Found","Missing")</f>
        <v>Found</v>
      </c>
      <c r="N104" t="str">
        <f>_xlfn.XLOOKUP($A104,Master_Data!$C:$C,Master_Data!$D:$D,"CHECK",0)</f>
        <v>Joynal Abedin</v>
      </c>
      <c r="O104" t="str">
        <f>_xlfn.XLOOKUP($A104,Master_Data!$C:$C,Master_Data!$E:$E,"CHECK",0)</f>
        <v>BNP</v>
      </c>
      <c r="P104">
        <f>_xlfn.XLOOKUP($A104,Master_Data!$C:$C,Master_Data!$F:$F,"CHECK",0)</f>
        <v>1</v>
      </c>
      <c r="Q104">
        <f>_xlfn.XLOOKUP($A104,Master_Data!$C:$C,Master_Data!$G:$G,"CHECK",0)</f>
        <v>131210</v>
      </c>
      <c r="R104">
        <f>IFERROR(_xlfn.XLOOKUP($A104,Master_Data!$C:$C,Master_Data!$H:$H,"CHECK",0),"")</f>
        <v>62.105950735558622</v>
      </c>
      <c r="S104" t="str">
        <f>_xlfn.XLOOKUP($A104,Master_Data!$C:$C,Master_Data!$I:$I,"CHECK",0)</f>
        <v>Mojibur Rahman Bhuiyan Monju</v>
      </c>
      <c r="T104">
        <f>_xlfn.XLOOKUP($A104,Master_Data!$C:$C,Master_Data!$K:$K,"CHECK",0)</f>
        <v>80058</v>
      </c>
      <c r="U104">
        <f>IFERROR(_xlfn.XLOOKUP($A104,Master_Data!$C:$C,Master_Data!$L:$L,"CHECK",0),"")</f>
        <v>37.894049264441371</v>
      </c>
      <c r="V104">
        <f>_xlfn.XLOOKUP($A104,Master_Data!$C:$C,Master_Data!$M:$M,"CHECK",0)</f>
        <v>51152</v>
      </c>
      <c r="W104">
        <f>IFERROR(_xlfn.XLOOKUP($A104,Master_Data!$C:$C,Master_Data!$N:$N,"CHECK",0),"")</f>
        <v>24.211901471117255</v>
      </c>
      <c r="X104" t="str">
        <f>IFERROR(_xlfn.XLOOKUP($A104,Master_Data!$C:$C,Master_Data!$O:$O,"CHECK",0),"No Result")</f>
        <v>Safe Seat</v>
      </c>
      <c r="Y104">
        <f>_xlfn.XLOOKUP($A104,Master_Data!$C:$C,Master_Data!$P:$P,"CHECK",0)</f>
        <v>0</v>
      </c>
      <c r="Z104">
        <f t="shared" si="3"/>
        <v>1</v>
      </c>
    </row>
    <row r="105" spans="1:26">
      <c r="A105" t="str">
        <v>Feni-3</v>
      </c>
      <c r="B105" t="str" cm="1">
        <f t="array" ref="B10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Nawabganj","Chapainawabganj"),Final_Merged_Data!$B$2:$B$1000=$A105)))</f>
        <v>Feni</v>
      </c>
      <c r="C105" t="str" cm="1">
        <f t="array" ref="C105">_xlfn.TEXTJOIN(", ",TRUE,_xlfn._xlws.FILTER(Final_Merged_Data!$C$2:$C$1000,Final_Merged_Data!$B$2:$B$1000=$A105))</f>
        <v>Sonagazi, Daganbhuiyan</v>
      </c>
      <c r="D105" cm="1">
        <f t="array" ref="D105">COUNTA(_xlfn._xlws.FILTER(Final_Merged_Data!$C$2:$C$1000,Final_Merged_Data!$B$2:$B$1000=$A105))</f>
        <v>2</v>
      </c>
      <c r="E105">
        <f>SUMIFS(Final_Merged_Data!$E:$E,Final_Merged_Data!$B:$B,$A105)</f>
        <v>404.33000000000004</v>
      </c>
      <c r="F105">
        <f>SUMIFS(Final_Merged_Data!$F:$F,Final_Merged_Data!$B:$B,$A105)</f>
        <v>567570</v>
      </c>
      <c r="G105">
        <f t="shared" si="2"/>
        <v>1403.7296267899981</v>
      </c>
      <c r="H105" cm="1">
        <f t="array" ref="H105">SUMPRODUCT((Final_Merged_Data!$B$2:$B$1000=$A105)*Final_Merged_Data!$H$2:$H$1000*Final_Merged_Data!$F$2:$F$1000)/F105</f>
        <v>4.3434243881811936</v>
      </c>
      <c r="I105" cm="1">
        <f t="array" ref="I105">SUMPRODUCT((Final_Merged_Data!$B$2:$B$1000=$A105)*Final_Merged_Data!$I$2:$I$1000*Final_Merged_Data!$F$2:$F$1000)/F105</f>
        <v>77.918368412706798</v>
      </c>
      <c r="J105" t="str" cm="1">
        <f t="array" ref="J105">_xlfn.TEXTJOIN(", ",TRUE,_xlfn.UNIQUE(_xlfn._xlws.FILTER(Final_Merged_Data!$J$2:$J$1000,Final_Merged_Data!$B$2:$B$1000=$A105)))</f>
        <v>Chittagong Range</v>
      </c>
      <c r="K105" cm="1">
        <f t="array" ref="K105">SUMPRODUCT((Final_Merged_Data!$B$2:$B$1000=$A105)*Final_Merged_Data!$K$2:$K$1000*Final_Merged_Data!$F$2:$F$1000)/F105</f>
        <v>84.879645400600893</v>
      </c>
      <c r="L105" cm="1">
        <f t="array" ref="L105">SUMPRODUCT((Final_Merged_Data!$B$2:$B$1000=$A105)*Final_Merged_Data!$L$2:$L$1000*Final_Merged_Data!$F$2:$F$1000)/F105</f>
        <v>10.309673910686193</v>
      </c>
      <c r="M105" t="str">
        <f>IF(COUNTIF(Master_Data!$C:$C,$A105)&gt;0,"Found","Missing")</f>
        <v>Found</v>
      </c>
      <c r="N105" t="str">
        <f>_xlfn.XLOOKUP($A105,Master_Data!$C:$C,Master_Data!$D:$D,"CHECK",0)</f>
        <v>Abdul Awal Mintoo</v>
      </c>
      <c r="O105" t="str">
        <f>_xlfn.XLOOKUP($A105,Master_Data!$C:$C,Master_Data!$E:$E,"CHECK",0)</f>
        <v>BNP</v>
      </c>
      <c r="P105">
        <f>_xlfn.XLOOKUP($A105,Master_Data!$C:$C,Master_Data!$F:$F,"CHECK",0)</f>
        <v>1</v>
      </c>
      <c r="Q105">
        <f>_xlfn.XLOOKUP($A105,Master_Data!$C:$C,Master_Data!$G:$G,"CHECK",0)</f>
        <v>157425</v>
      </c>
      <c r="R105">
        <f>IFERROR(_xlfn.XLOOKUP($A105,Master_Data!$C:$C,Master_Data!$H:$H,"CHECK",0),"")</f>
        <v>59.274808441741811</v>
      </c>
      <c r="S105" t="str">
        <f>_xlfn.XLOOKUP($A105,Master_Data!$C:$C,Master_Data!$I:$I,"CHECK",0)</f>
        <v>Mohammad Fakhruddin</v>
      </c>
      <c r="T105">
        <f>_xlfn.XLOOKUP($A105,Master_Data!$C:$C,Master_Data!$K:$K,"CHECK",0)</f>
        <v>108160</v>
      </c>
      <c r="U105">
        <f>IFERROR(_xlfn.XLOOKUP($A105,Master_Data!$C:$C,Master_Data!$L:$L,"CHECK",0),"")</f>
        <v>40.725191558258182</v>
      </c>
      <c r="V105">
        <f>_xlfn.XLOOKUP($A105,Master_Data!$C:$C,Master_Data!$M:$M,"CHECK",0)</f>
        <v>49265</v>
      </c>
      <c r="W105">
        <f>IFERROR(_xlfn.XLOOKUP($A105,Master_Data!$C:$C,Master_Data!$N:$N,"CHECK",0),"")</f>
        <v>18.54961688348363</v>
      </c>
      <c r="X105" t="str">
        <f>IFERROR(_xlfn.XLOOKUP($A105,Master_Data!$C:$C,Master_Data!$O:$O,"CHECK",0),"No Result")</f>
        <v>Safe Seat</v>
      </c>
      <c r="Y105">
        <f>_xlfn.XLOOKUP($A105,Master_Data!$C:$C,Master_Data!$P:$P,"CHECK",0)</f>
        <v>0</v>
      </c>
      <c r="Z105">
        <f t="shared" si="3"/>
        <v>1</v>
      </c>
    </row>
    <row r="106" spans="1:26">
      <c r="A106" t="str">
        <v>Gaibandha-1</v>
      </c>
      <c r="B106" t="str" cm="1">
        <f t="array" ref="B10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Nawabganj","Chapainawabganj"),Final_Merged_Data!$B$2:$B$1000=$A106)))</f>
        <v>Gaibandha</v>
      </c>
      <c r="C106" t="str" cm="1">
        <f t="array" ref="C106">_xlfn.TEXTJOIN(", ",TRUE,_xlfn._xlws.FILTER(Final_Merged_Data!$C$2:$C$1000,Final_Merged_Data!$B$2:$B$1000=$A106))</f>
        <v>Sundarganj</v>
      </c>
      <c r="D106" cm="1">
        <f t="array" ref="D106">COUNTA(_xlfn._xlws.FILTER(Final_Merged_Data!$C$2:$C$1000,Final_Merged_Data!$B$2:$B$1000=$A106))</f>
        <v>1</v>
      </c>
      <c r="E106">
        <f>SUMIFS(Final_Merged_Data!$E:$E,Final_Merged_Data!$B:$B,$A106)</f>
        <v>426.52</v>
      </c>
      <c r="F106">
        <f>SUMIFS(Final_Merged_Data!$F:$F,Final_Merged_Data!$B:$B,$A106)</f>
        <v>482515</v>
      </c>
      <c r="G106">
        <f t="shared" si="2"/>
        <v>1131.2834099221609</v>
      </c>
      <c r="H106" cm="1">
        <f t="array" ref="H106">SUMPRODUCT((Final_Merged_Data!$B$2:$B$1000=$A106)*Final_Merged_Data!$H$2:$H$1000*Final_Merged_Data!$F$2:$F$1000)/F106</f>
        <v>3.61</v>
      </c>
      <c r="I106" cm="1">
        <f t="array" ref="I106">SUMPRODUCT((Final_Merged_Data!$B$2:$B$1000=$A106)*Final_Merged_Data!$I$2:$I$1000*Final_Merged_Data!$F$2:$F$1000)/F106</f>
        <v>64.81</v>
      </c>
      <c r="J106" t="str" cm="1">
        <f t="array" ref="J106">_xlfn.TEXTJOIN(", ",TRUE,_xlfn.UNIQUE(_xlfn._xlws.FILTER(Final_Merged_Data!$J$2:$J$1000,Final_Merged_Data!$B$2:$B$1000=$A106)))</f>
        <v>Rangpur Range</v>
      </c>
      <c r="K106" cm="1">
        <f t="array" ref="K106">SUMPRODUCT((Final_Merged_Data!$B$2:$B$1000=$A106)*Final_Merged_Data!$K$2:$K$1000*Final_Merged_Data!$F$2:$F$1000)/F106</f>
        <v>101.90869513385242</v>
      </c>
      <c r="L106" cm="1">
        <f t="array" ref="L106">SUMPRODUCT((Final_Merged_Data!$B$2:$B$1000=$A106)*Final_Merged_Data!$L$2:$L$1000*Final_Merged_Data!$F$2:$F$1000)/F106</f>
        <v>15.175373179583827</v>
      </c>
      <c r="M106" t="str">
        <f>IF(COUNTIF(Master_Data!$C:$C,$A106)&gt;0,"Found","Missing")</f>
        <v>Found</v>
      </c>
      <c r="N106" t="str">
        <f>_xlfn.XLOOKUP($A106,Master_Data!$C:$C,Master_Data!$D:$D,"CHECK",0)</f>
        <v>Md. Majedur Rahman</v>
      </c>
      <c r="O106" t="str">
        <f>_xlfn.XLOOKUP($A106,Master_Data!$C:$C,Master_Data!$E:$E,"CHECK",0)</f>
        <v>Jamaat</v>
      </c>
      <c r="P106">
        <f>_xlfn.XLOOKUP($A106,Master_Data!$C:$C,Master_Data!$F:$F,"CHECK",0)</f>
        <v>2</v>
      </c>
      <c r="Q106">
        <f>_xlfn.XLOOKUP($A106,Master_Data!$C:$C,Master_Data!$G:$G,"CHECK",0)</f>
        <v>140726</v>
      </c>
      <c r="R106">
        <f>IFERROR(_xlfn.XLOOKUP($A106,Master_Data!$C:$C,Master_Data!$H:$H,"CHECK",0),"")</f>
        <v>78.739725720808167</v>
      </c>
      <c r="S106" t="str">
        <f>_xlfn.XLOOKUP($A106,Master_Data!$C:$C,Master_Data!$I:$I,"CHECK",0)</f>
        <v>Khandaker Ziaul Islam</v>
      </c>
      <c r="T106">
        <f>_xlfn.XLOOKUP($A106,Master_Data!$C:$C,Master_Data!$K:$K,"CHECK",0)</f>
        <v>37997</v>
      </c>
      <c r="U106">
        <f>IFERROR(_xlfn.XLOOKUP($A106,Master_Data!$C:$C,Master_Data!$L:$L,"CHECK",0),"")</f>
        <v>21.260274279191822</v>
      </c>
      <c r="V106">
        <f>_xlfn.XLOOKUP($A106,Master_Data!$C:$C,Master_Data!$M:$M,"CHECK",0)</f>
        <v>102729</v>
      </c>
      <c r="W106">
        <f>IFERROR(_xlfn.XLOOKUP($A106,Master_Data!$C:$C,Master_Data!$N:$N,"CHECK",0),"")</f>
        <v>57.479451441616355</v>
      </c>
      <c r="X106" t="str">
        <f>IFERROR(_xlfn.XLOOKUP($A106,Master_Data!$C:$C,Master_Data!$O:$O,"CHECK",0),"No Result")</f>
        <v>Safe Seat</v>
      </c>
      <c r="Y106">
        <f>_xlfn.XLOOKUP($A106,Master_Data!$C:$C,Master_Data!$P:$P,"CHECK",0)</f>
        <v>0</v>
      </c>
      <c r="Z106">
        <f t="shared" si="3"/>
        <v>1</v>
      </c>
    </row>
    <row r="107" spans="1:26">
      <c r="A107" t="str">
        <v>Gaibandha-2</v>
      </c>
      <c r="B107" t="str" cm="1">
        <f t="array" ref="B10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Nawabganj","Chapainawabganj"),Final_Merged_Data!$B$2:$B$1000=$A107)))</f>
        <v>Gaibandha</v>
      </c>
      <c r="C107" t="str" cm="1">
        <f t="array" ref="C107">_xlfn.TEXTJOIN(", ",TRUE,_xlfn._xlws.FILTER(Final_Merged_Data!$C$2:$C$1000,Final_Merged_Data!$B$2:$B$1000=$A107))</f>
        <v>Sadullapur, Palashbari</v>
      </c>
      <c r="D107" cm="1">
        <f t="array" ref="D107">COUNTA(_xlfn._xlws.FILTER(Final_Merged_Data!$C$2:$C$1000,Final_Merged_Data!$B$2:$B$1000=$A107))</f>
        <v>2</v>
      </c>
      <c r="E107">
        <f>SUMIFS(Final_Merged_Data!$E:$E,Final_Merged_Data!$B:$B,$A107)</f>
        <v>670.82999999999993</v>
      </c>
      <c r="F107">
        <f>SUMIFS(Final_Merged_Data!$F:$F,Final_Merged_Data!$B:$B,$A107)</f>
        <v>581050</v>
      </c>
      <c r="G107">
        <f t="shared" si="2"/>
        <v>866.16579461264416</v>
      </c>
      <c r="H107" cm="1">
        <f t="array" ref="H107">SUMPRODUCT((Final_Merged_Data!$B$2:$B$1000=$A107)*Final_Merged_Data!$H$2:$H$1000*Final_Merged_Data!$F$2:$F$1000)/F107</f>
        <v>3.5814233886928832</v>
      </c>
      <c r="I107" cm="1">
        <f t="array" ref="I107">SUMPRODUCT((Final_Merged_Data!$B$2:$B$1000=$A107)*Final_Merged_Data!$I$2:$I$1000*Final_Merged_Data!$F$2:$F$1000)/F107</f>
        <v>68.204753635659586</v>
      </c>
      <c r="J107" t="str" cm="1">
        <f t="array" ref="J107">_xlfn.TEXTJOIN(", ",TRUE,_xlfn.UNIQUE(_xlfn._xlws.FILTER(Final_Merged_Data!$J$2:$J$1000,Final_Merged_Data!$B$2:$B$1000=$A107)))</f>
        <v>Rangpur Range</v>
      </c>
      <c r="K107" cm="1">
        <f t="array" ref="K107">SUMPRODUCT((Final_Merged_Data!$B$2:$B$1000=$A107)*Final_Merged_Data!$K$2:$K$1000*Final_Merged_Data!$F$2:$F$1000)/F107</f>
        <v>101.90869513385242</v>
      </c>
      <c r="L107" cm="1">
        <f t="array" ref="L107">SUMPRODUCT((Final_Merged_Data!$B$2:$B$1000=$A107)*Final_Merged_Data!$L$2:$L$1000*Final_Merged_Data!$F$2:$F$1000)/F107</f>
        <v>15.175373179583827</v>
      </c>
      <c r="M107" t="str">
        <f>IF(COUNTIF(Master_Data!$C:$C,$A107)&gt;0,"Found","Missing")</f>
        <v>Found</v>
      </c>
      <c r="N107" t="str">
        <f>_xlfn.XLOOKUP($A107,Master_Data!$C:$C,Master_Data!$D:$D,"CHECK",0)</f>
        <v>Md. Abdul Karim</v>
      </c>
      <c r="O107" t="str">
        <f>_xlfn.XLOOKUP($A107,Master_Data!$C:$C,Master_Data!$E:$E,"CHECK",0)</f>
        <v>Jamaat</v>
      </c>
      <c r="P107">
        <f>_xlfn.XLOOKUP($A107,Master_Data!$C:$C,Master_Data!$F:$F,"CHECK",0)</f>
        <v>2</v>
      </c>
      <c r="Q107">
        <f>_xlfn.XLOOKUP($A107,Master_Data!$C:$C,Master_Data!$G:$G,"CHECK",0)</f>
        <v>122630</v>
      </c>
      <c r="R107">
        <f>IFERROR(_xlfn.XLOOKUP($A107,Master_Data!$C:$C,Master_Data!$H:$H,"CHECK",0),"")</f>
        <v>56.899591685226426</v>
      </c>
      <c r="S107" t="str">
        <f>_xlfn.XLOOKUP($A107,Master_Data!$C:$C,Master_Data!$I:$I,"CHECK",0)</f>
        <v>Anisuzzaman Khan Babu</v>
      </c>
      <c r="T107">
        <f>_xlfn.XLOOKUP($A107,Master_Data!$C:$C,Master_Data!$K:$K,"CHECK",0)</f>
        <v>92890</v>
      </c>
      <c r="U107">
        <f>IFERROR(_xlfn.XLOOKUP($A107,Master_Data!$C:$C,Master_Data!$L:$L,"CHECK",0),"")</f>
        <v>43.100408314773567</v>
      </c>
      <c r="V107">
        <f>_xlfn.XLOOKUP($A107,Master_Data!$C:$C,Master_Data!$M:$M,"CHECK",0)</f>
        <v>29740</v>
      </c>
      <c r="W107">
        <f>IFERROR(_xlfn.XLOOKUP($A107,Master_Data!$C:$C,Master_Data!$N:$N,"CHECK",0),"")</f>
        <v>13.799183370452859</v>
      </c>
      <c r="X107" t="str">
        <f>IFERROR(_xlfn.XLOOKUP($A107,Master_Data!$C:$C,Master_Data!$O:$O,"CHECK",0),"No Result")</f>
        <v>Safe Seat</v>
      </c>
      <c r="Y107">
        <f>_xlfn.XLOOKUP($A107,Master_Data!$C:$C,Master_Data!$P:$P,"CHECK",0)</f>
        <v>0</v>
      </c>
      <c r="Z107">
        <f t="shared" si="3"/>
        <v>1</v>
      </c>
    </row>
    <row r="108" spans="1:26">
      <c r="A108" t="str">
        <v>Gaibandha-3</v>
      </c>
      <c r="B108" t="str" cm="1">
        <f t="array" ref="B10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Nawabganj","Chapainawabganj"),Final_Merged_Data!$B$2:$B$1000=$A108)))</f>
        <v>Gaibandha</v>
      </c>
      <c r="C108" t="str" cm="1">
        <f t="array" ref="C108">_xlfn.TEXTJOIN(", ",TRUE,_xlfn._xlws.FILTER(Final_Merged_Data!$C$2:$C$1000,Final_Merged_Data!$B$2:$B$1000=$A108))</f>
        <v>Gaibandha Sadar</v>
      </c>
      <c r="D108" cm="1">
        <f t="array" ref="D108">COUNTA(_xlfn._xlws.FILTER(Final_Merged_Data!$C$2:$C$1000,Final_Merged_Data!$B$2:$B$1000=$A108))</f>
        <v>1</v>
      </c>
      <c r="E108">
        <f>SUMIFS(Final_Merged_Data!$E:$E,Final_Merged_Data!$B:$B,$A108)</f>
        <v>354.67</v>
      </c>
      <c r="F108">
        <f>SUMIFS(Final_Merged_Data!$F:$F,Final_Merged_Data!$B:$B,$A108)</f>
        <v>499155</v>
      </c>
      <c r="G108">
        <f t="shared" si="2"/>
        <v>1407.3786900499056</v>
      </c>
      <c r="H108" cm="1">
        <f t="array" ref="H108">SUMPRODUCT((Final_Merged_Data!$B$2:$B$1000=$A108)*Final_Merged_Data!$H$2:$H$1000*Final_Merged_Data!$F$2:$F$1000)/F108</f>
        <v>3.72</v>
      </c>
      <c r="I108" cm="1">
        <f t="array" ref="I108">SUMPRODUCT((Final_Merged_Data!$B$2:$B$1000=$A108)*Final_Merged_Data!$I$2:$I$1000*Final_Merged_Data!$F$2:$F$1000)/F108</f>
        <v>70.3</v>
      </c>
      <c r="J108" t="str" cm="1">
        <f t="array" ref="J108">_xlfn.TEXTJOIN(", ",TRUE,_xlfn.UNIQUE(_xlfn._xlws.FILTER(Final_Merged_Data!$J$2:$J$1000,Final_Merged_Data!$B$2:$B$1000=$A108)))</f>
        <v>Rangpur Range</v>
      </c>
      <c r="K108" cm="1">
        <f t="array" ref="K108">SUMPRODUCT((Final_Merged_Data!$B$2:$B$1000=$A108)*Final_Merged_Data!$K$2:$K$1000*Final_Merged_Data!$F$2:$F$1000)/F108</f>
        <v>101.90869513385242</v>
      </c>
      <c r="L108" cm="1">
        <f t="array" ref="L108">SUMPRODUCT((Final_Merged_Data!$B$2:$B$1000=$A108)*Final_Merged_Data!$L$2:$L$1000*Final_Merged_Data!$F$2:$F$1000)/F108</f>
        <v>15.175373179583827</v>
      </c>
      <c r="M108" t="str">
        <f>IF(COUNTIF(Master_Data!$C:$C,$A108)&gt;0,"Found","Missing")</f>
        <v>Found</v>
      </c>
      <c r="N108" t="str">
        <f>_xlfn.XLOOKUP($A108,Master_Data!$C:$C,Master_Data!$D:$D,"CHECK",0)</f>
        <v>Mohammad Nazrul Islam</v>
      </c>
      <c r="O108" t="str">
        <f>_xlfn.XLOOKUP($A108,Master_Data!$C:$C,Master_Data!$E:$E,"CHECK",0)</f>
        <v>Jamaat</v>
      </c>
      <c r="P108">
        <f>_xlfn.XLOOKUP($A108,Master_Data!$C:$C,Master_Data!$F:$F,"CHECK",0)</f>
        <v>2</v>
      </c>
      <c r="Q108">
        <f>_xlfn.XLOOKUP($A108,Master_Data!$C:$C,Master_Data!$G:$G,"CHECK",0)</f>
        <v>162457</v>
      </c>
      <c r="R108">
        <f>IFERROR(_xlfn.XLOOKUP($A108,Master_Data!$C:$C,Master_Data!$H:$H,"CHECK",0),"")</f>
        <v>53.736591239113395</v>
      </c>
      <c r="S108" t="str">
        <f>_xlfn.XLOOKUP($A108,Master_Data!$C:$C,Master_Data!$I:$I,"CHECK",0)</f>
        <v>Syed Mainul Hasan Sadiq</v>
      </c>
      <c r="T108">
        <f>_xlfn.XLOOKUP($A108,Master_Data!$C:$C,Master_Data!$K:$K,"CHECK",0)</f>
        <v>139864</v>
      </c>
      <c r="U108">
        <f>IFERROR(_xlfn.XLOOKUP($A108,Master_Data!$C:$C,Master_Data!$L:$L,"CHECK",0),"")</f>
        <v>46.263408760886612</v>
      </c>
      <c r="V108">
        <f>_xlfn.XLOOKUP($A108,Master_Data!$C:$C,Master_Data!$M:$M,"CHECK",0)</f>
        <v>22593</v>
      </c>
      <c r="W108">
        <f>IFERROR(_xlfn.XLOOKUP($A108,Master_Data!$C:$C,Master_Data!$N:$N,"CHECK",0),"")</f>
        <v>7.4731824782267848</v>
      </c>
      <c r="X108" t="str">
        <f>IFERROR(_xlfn.XLOOKUP($A108,Master_Data!$C:$C,Master_Data!$O:$O,"CHECK",0),"No Result")</f>
        <v>Safe Seat</v>
      </c>
      <c r="Y108">
        <f>_xlfn.XLOOKUP($A108,Master_Data!$C:$C,Master_Data!$P:$P,"CHECK",0)</f>
        <v>0</v>
      </c>
      <c r="Z108">
        <f t="shared" si="3"/>
        <v>1</v>
      </c>
    </row>
    <row r="109" spans="1:26">
      <c r="A109" t="str">
        <v>Gaibandha-4</v>
      </c>
      <c r="B109" t="str" cm="1">
        <f t="array" ref="B10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Nawabganj","Chapainawabganj"),Final_Merged_Data!$B$2:$B$1000=$A109)))</f>
        <v>Gaibandha</v>
      </c>
      <c r="C109" t="str" cm="1">
        <f t="array" ref="C109">_xlfn.TEXTJOIN(", ",TRUE,_xlfn._xlws.FILTER(Final_Merged_Data!$C$2:$C$1000,Final_Merged_Data!$B$2:$B$1000=$A109))</f>
        <v>Gobindaganj</v>
      </c>
      <c r="D109" cm="1">
        <f t="array" ref="D109">COUNTA(_xlfn._xlws.FILTER(Final_Merged_Data!$C$2:$C$1000,Final_Merged_Data!$B$2:$B$1000=$A109))</f>
        <v>1</v>
      </c>
      <c r="E109">
        <f>SUMIFS(Final_Merged_Data!$E:$E,Final_Merged_Data!$B:$B,$A109)</f>
        <v>481.98</v>
      </c>
      <c r="F109">
        <f>SUMIFS(Final_Merged_Data!$F:$F,Final_Merged_Data!$B:$B,$A109)</f>
        <v>543101</v>
      </c>
      <c r="G109">
        <f t="shared" si="2"/>
        <v>1126.8123158637288</v>
      </c>
      <c r="H109" cm="1">
        <f t="array" ref="H109">SUMPRODUCT((Final_Merged_Data!$B$2:$B$1000=$A109)*Final_Merged_Data!$H$2:$H$1000*Final_Merged_Data!$F$2:$F$1000)/F109</f>
        <v>3.6</v>
      </c>
      <c r="I109" cm="1">
        <f t="array" ref="I109">SUMPRODUCT((Final_Merged_Data!$B$2:$B$1000=$A109)*Final_Merged_Data!$I$2:$I$1000*Final_Merged_Data!$F$2:$F$1000)/F109</f>
        <v>67.239999999999995</v>
      </c>
      <c r="J109" t="str" cm="1">
        <f t="array" ref="J109">_xlfn.TEXTJOIN(", ",TRUE,_xlfn.UNIQUE(_xlfn._xlws.FILTER(Final_Merged_Data!$J$2:$J$1000,Final_Merged_Data!$B$2:$B$1000=$A109)))</f>
        <v>Rangpur Range</v>
      </c>
      <c r="K109" cm="1">
        <f t="array" ref="K109">SUMPRODUCT((Final_Merged_Data!$B$2:$B$1000=$A109)*Final_Merged_Data!$K$2:$K$1000*Final_Merged_Data!$F$2:$F$1000)/F109</f>
        <v>101.90869513385242</v>
      </c>
      <c r="L109" cm="1">
        <f t="array" ref="L109">SUMPRODUCT((Final_Merged_Data!$B$2:$B$1000=$A109)*Final_Merged_Data!$L$2:$L$1000*Final_Merged_Data!$F$2:$F$1000)/F109</f>
        <v>15.175373179583827</v>
      </c>
      <c r="M109" t="str">
        <f>IF(COUNTIF(Master_Data!$C:$C,$A109)&gt;0,"Found","Missing")</f>
        <v>Found</v>
      </c>
      <c r="N109" t="str">
        <f>_xlfn.XLOOKUP($A109,Master_Data!$C:$C,Master_Data!$D:$D,"CHECK",0)</f>
        <v>Shamim Kaisar Lincoln</v>
      </c>
      <c r="O109" t="str">
        <f>_xlfn.XLOOKUP($A109,Master_Data!$C:$C,Master_Data!$E:$E,"CHECK",0)</f>
        <v>BNP</v>
      </c>
      <c r="P109">
        <f>_xlfn.XLOOKUP($A109,Master_Data!$C:$C,Master_Data!$F:$F,"CHECK",0)</f>
        <v>1</v>
      </c>
      <c r="Q109">
        <f>_xlfn.XLOOKUP($A109,Master_Data!$C:$C,Master_Data!$G:$G,"CHECK",0)</f>
        <v>142772</v>
      </c>
      <c r="R109">
        <f>IFERROR(_xlfn.XLOOKUP($A109,Master_Data!$C:$C,Master_Data!$H:$H,"CHECK",0),"")</f>
        <v>50.536972142579032</v>
      </c>
      <c r="S109" t="str">
        <f>_xlfn.XLOOKUP($A109,Master_Data!$C:$C,Master_Data!$I:$I,"CHECK",0)</f>
        <v>Md. Abdur Rahim Sarkar</v>
      </c>
      <c r="T109">
        <f>_xlfn.XLOOKUP($A109,Master_Data!$C:$C,Master_Data!$K:$K,"CHECK",0)</f>
        <v>139738</v>
      </c>
      <c r="U109">
        <f>IFERROR(_xlfn.XLOOKUP($A109,Master_Data!$C:$C,Master_Data!$L:$L,"CHECK",0),"")</f>
        <v>49.463027857420975</v>
      </c>
      <c r="V109">
        <f>_xlfn.XLOOKUP($A109,Master_Data!$C:$C,Master_Data!$M:$M,"CHECK",0)</f>
        <v>3034</v>
      </c>
      <c r="W109">
        <f>IFERROR(_xlfn.XLOOKUP($A109,Master_Data!$C:$C,Master_Data!$N:$N,"CHECK",0),"")</f>
        <v>1.0739442851580474</v>
      </c>
      <c r="X109" t="str">
        <f>IFERROR(_xlfn.XLOOKUP($A109,Master_Data!$C:$C,Master_Data!$O:$O,"CHECK",0),"No Result")</f>
        <v>Highly Competitive</v>
      </c>
      <c r="Y109">
        <f>_xlfn.XLOOKUP($A109,Master_Data!$C:$C,Master_Data!$P:$P,"CHECK",0)</f>
        <v>0</v>
      </c>
      <c r="Z109">
        <f t="shared" si="3"/>
        <v>1</v>
      </c>
    </row>
    <row r="110" spans="1:26">
      <c r="A110" t="str">
        <v>Gaibandha-5</v>
      </c>
      <c r="B110" t="str" cm="1">
        <f t="array" ref="B1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Nawabganj","Chapainawabganj"),Final_Merged_Data!$B$2:$B$1000=$A110)))</f>
        <v>Gaibandha</v>
      </c>
      <c r="C110" t="str" cm="1">
        <f t="array" ref="C110">_xlfn.TEXTJOIN(", ",TRUE,_xlfn._xlws.FILTER(Final_Merged_Data!$C$2:$C$1000,Final_Merged_Data!$B$2:$B$1000=$A110))</f>
        <v>Saghata, Fulchhari</v>
      </c>
      <c r="D110" cm="1">
        <f t="array" ref="D110">COUNTA(_xlfn._xlws.FILTER(Final_Merged_Data!$C$2:$C$1000,Final_Merged_Data!$B$2:$B$1000=$A110))</f>
        <v>2</v>
      </c>
      <c r="E110">
        <f>SUMIFS(Final_Merged_Data!$E:$E,Final_Merged_Data!$B:$B,$A110)</f>
        <v>379.27</v>
      </c>
      <c r="F110">
        <f>SUMIFS(Final_Merged_Data!$F:$F,Final_Merged_Data!$B:$B,$A110)</f>
        <v>456259</v>
      </c>
      <c r="G110">
        <f t="shared" si="2"/>
        <v>1202.992591030137</v>
      </c>
      <c r="H110" cm="1">
        <f t="array" ref="H110">SUMPRODUCT((Final_Merged_Data!$B$2:$B$1000=$A110)*Final_Merged_Data!$H$2:$H$1000*Final_Merged_Data!$F$2:$F$1000)/F110</f>
        <v>3.6365279369831609</v>
      </c>
      <c r="I110" cm="1">
        <f t="array" ref="I110">SUMPRODUCT((Final_Merged_Data!$B$2:$B$1000=$A110)*Final_Merged_Data!$I$2:$I$1000*Final_Merged_Data!$F$2:$F$1000)/F110</f>
        <v>63.855448637725502</v>
      </c>
      <c r="J110" t="str" cm="1">
        <f t="array" ref="J110">_xlfn.TEXTJOIN(", ",TRUE,_xlfn.UNIQUE(_xlfn._xlws.FILTER(Final_Merged_Data!$J$2:$J$1000,Final_Merged_Data!$B$2:$B$1000=$A110)))</f>
        <v>Rangpur Range</v>
      </c>
      <c r="K110" cm="1">
        <f t="array" ref="K110">SUMPRODUCT((Final_Merged_Data!$B$2:$B$1000=$A110)*Final_Merged_Data!$K$2:$K$1000*Final_Merged_Data!$F$2:$F$1000)/F110</f>
        <v>101.90869513385242</v>
      </c>
      <c r="L110" cm="1">
        <f t="array" ref="L110">SUMPRODUCT((Final_Merged_Data!$B$2:$B$1000=$A110)*Final_Merged_Data!$L$2:$L$1000*Final_Merged_Data!$F$2:$F$1000)/F110</f>
        <v>15.175373179583827</v>
      </c>
      <c r="M110" t="str">
        <f>IF(COUNTIF(Master_Data!$C:$C,$A110)&gt;0,"Found","Missing")</f>
        <v>Found</v>
      </c>
      <c r="N110" t="str">
        <f>_xlfn.XLOOKUP($A110,Master_Data!$C:$C,Master_Data!$D:$D,"CHECK",0)</f>
        <v>Md. Abdul Warres</v>
      </c>
      <c r="O110" t="str">
        <f>_xlfn.XLOOKUP($A110,Master_Data!$C:$C,Master_Data!$E:$E,"CHECK",0)</f>
        <v>Jamaat</v>
      </c>
      <c r="P110">
        <f>_xlfn.XLOOKUP($A110,Master_Data!$C:$C,Master_Data!$F:$F,"CHECK",0)</f>
        <v>2</v>
      </c>
      <c r="Q110">
        <f>_xlfn.XLOOKUP($A110,Master_Data!$C:$C,Master_Data!$G:$G,"CHECK",0)</f>
        <v>89274</v>
      </c>
      <c r="R110">
        <f>IFERROR(_xlfn.XLOOKUP($A110,Master_Data!$C:$C,Master_Data!$H:$H,"CHECK",0),"")</f>
        <v>54.851097034228943</v>
      </c>
      <c r="S110" t="str">
        <f>_xlfn.XLOOKUP($A110,Master_Data!$C:$C,Master_Data!$I:$I,"CHECK",0)</f>
        <v>Md. Farooq Alam Sarkar</v>
      </c>
      <c r="T110">
        <f>_xlfn.XLOOKUP($A110,Master_Data!$C:$C,Master_Data!$K:$K,"CHECK",0)</f>
        <v>73483</v>
      </c>
      <c r="U110">
        <f>IFERROR(_xlfn.XLOOKUP($A110,Master_Data!$C:$C,Master_Data!$L:$L,"CHECK",0),"")</f>
        <v>45.148902965771057</v>
      </c>
      <c r="V110">
        <f>_xlfn.XLOOKUP($A110,Master_Data!$C:$C,Master_Data!$M:$M,"CHECK",0)</f>
        <v>15791</v>
      </c>
      <c r="W110">
        <f>IFERROR(_xlfn.XLOOKUP($A110,Master_Data!$C:$C,Master_Data!$N:$N,"CHECK",0),"")</f>
        <v>9.7021940684578851</v>
      </c>
      <c r="X110" t="str">
        <f>IFERROR(_xlfn.XLOOKUP($A110,Master_Data!$C:$C,Master_Data!$O:$O,"CHECK",0),"No Result")</f>
        <v>Safe Seat</v>
      </c>
      <c r="Y110">
        <f>_xlfn.XLOOKUP($A110,Master_Data!$C:$C,Master_Data!$P:$P,"CHECK",0)</f>
        <v>0</v>
      </c>
      <c r="Z110">
        <f t="shared" si="3"/>
        <v>1</v>
      </c>
    </row>
    <row r="111" spans="1:26">
      <c r="A111" t="str">
        <v>Gazipur-1</v>
      </c>
      <c r="B111" t="str" cm="1">
        <f t="array" ref="B1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Nawabganj","Chapainawabganj"),Final_Merged_Data!$B$2:$B$1000=$A111)))</f>
        <v>Gazipur</v>
      </c>
      <c r="C111" t="str" cm="1">
        <f t="array" ref="C111">_xlfn.TEXTJOIN(", ",TRUE,_xlfn._xlws.FILTER(Final_Merged_Data!$C$2:$C$1000,Final_Merged_Data!$B$2:$B$1000=$A111))</f>
        <v>Kaliganj</v>
      </c>
      <c r="D111" cm="1">
        <f t="array" ref="D111">COUNTA(_xlfn._xlws.FILTER(Final_Merged_Data!$C$2:$C$1000,Final_Merged_Data!$B$2:$B$1000=$A111))</f>
        <v>1</v>
      </c>
      <c r="E111">
        <f>SUMIFS(Final_Merged_Data!$E:$E,Final_Merged_Data!$B:$B,$A111)</f>
        <v>236.67</v>
      </c>
      <c r="F111">
        <f>SUMIFS(Final_Merged_Data!$F:$F,Final_Merged_Data!$B:$B,$A111)</f>
        <v>310943</v>
      </c>
      <c r="G111">
        <f t="shared" si="2"/>
        <v>1313.8251573921495</v>
      </c>
      <c r="H111" cm="1">
        <f t="array" ref="H111">SUMPRODUCT((Final_Merged_Data!$B$2:$B$1000=$A111)*Final_Merged_Data!$H$2:$H$1000*Final_Merged_Data!$F$2:$F$1000)/F111</f>
        <v>3.9699999999999998</v>
      </c>
      <c r="I111" cm="1">
        <f t="array" ref="I111">SUMPRODUCT((Final_Merged_Data!$B$2:$B$1000=$A111)*Final_Merged_Data!$I$2:$I$1000*Final_Merged_Data!$F$2:$F$1000)/F111</f>
        <v>79.58</v>
      </c>
      <c r="J111" t="str" cm="1">
        <f t="array" ref="J111">_xlfn.TEXTJOIN(", ",TRUE,_xlfn.UNIQUE(_xlfn._xlws.FILTER(Final_Merged_Data!$J$2:$J$1000,Final_Merged_Data!$B$2:$B$1000=$A111)))</f>
        <v>Dhaka Range</v>
      </c>
      <c r="K111" cm="1">
        <f t="array" ref="K111">SUMPRODUCT((Final_Merged_Data!$B$2:$B$1000=$A111)*Final_Merged_Data!$K$2:$K$1000*Final_Merged_Data!$F$2:$F$1000)/F111</f>
        <v>87.055167395391194</v>
      </c>
      <c r="L111" cm="1">
        <f t="array" ref="L111">SUMPRODUCT((Final_Merged_Data!$B$2:$B$1000=$A111)*Final_Merged_Data!$L$2:$L$1000*Final_Merged_Data!$F$2:$F$1000)/F111</f>
        <v>14.083489099923572</v>
      </c>
      <c r="M111" t="str">
        <f>IF(COUNTIF(Master_Data!$C:$C,$A111)&gt;0,"Found","Missing")</f>
        <v>Found</v>
      </c>
      <c r="N111" t="str">
        <f>_xlfn.XLOOKUP($A111,Master_Data!$C:$C,Master_Data!$D:$D,"CHECK",0)</f>
        <v>Md. Mojibur Rahman</v>
      </c>
      <c r="O111" t="str">
        <f>_xlfn.XLOOKUP($A111,Master_Data!$C:$C,Master_Data!$E:$E,"CHECK",0)</f>
        <v>BNP</v>
      </c>
      <c r="P111">
        <f>_xlfn.XLOOKUP($A111,Master_Data!$C:$C,Master_Data!$F:$F,"CHECK",0)</f>
        <v>1</v>
      </c>
      <c r="Q111">
        <f>_xlfn.XLOOKUP($A111,Master_Data!$C:$C,Master_Data!$G:$G,"CHECK",0)</f>
        <v>208688</v>
      </c>
      <c r="R111">
        <f>IFERROR(_xlfn.XLOOKUP($A111,Master_Data!$C:$C,Master_Data!$H:$H,"CHECK",0),"")</f>
        <v>58.253522070338128</v>
      </c>
      <c r="S111" t="str">
        <f>_xlfn.XLOOKUP($A111,Master_Data!$C:$C,Master_Data!$I:$I,"CHECK",0)</f>
        <v>Md. Shah Alam Bakshi</v>
      </c>
      <c r="T111">
        <f>_xlfn.XLOOKUP($A111,Master_Data!$C:$C,Master_Data!$K:$K,"CHECK",0)</f>
        <v>149553</v>
      </c>
      <c r="U111">
        <f>IFERROR(_xlfn.XLOOKUP($A111,Master_Data!$C:$C,Master_Data!$L:$L,"CHECK",0),"")</f>
        <v>41.746477929661872</v>
      </c>
      <c r="V111">
        <f>_xlfn.XLOOKUP($A111,Master_Data!$C:$C,Master_Data!$M:$M,"CHECK",0)</f>
        <v>59135</v>
      </c>
      <c r="W111">
        <f>IFERROR(_xlfn.XLOOKUP($A111,Master_Data!$C:$C,Master_Data!$N:$N,"CHECK",0),"")</f>
        <v>16.50704414067625</v>
      </c>
      <c r="X111" t="str">
        <f>IFERROR(_xlfn.XLOOKUP($A111,Master_Data!$C:$C,Master_Data!$O:$O,"CHECK",0),"No Result")</f>
        <v>Safe Seat</v>
      </c>
      <c r="Y111">
        <f>_xlfn.XLOOKUP($A111,Master_Data!$C:$C,Master_Data!$P:$P,"CHECK",0)</f>
        <v>1</v>
      </c>
      <c r="Z111">
        <f t="shared" si="3"/>
        <v>1</v>
      </c>
    </row>
    <row r="112" spans="1:26">
      <c r="A112" t="str">
        <v>Gazipur-2</v>
      </c>
      <c r="B112" t="str" cm="1">
        <f t="array" ref="B1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Nawabganj","Chapainawabganj"),Final_Merged_Data!$B$2:$B$1000=$A112)))</f>
        <v>Gazipur</v>
      </c>
      <c r="C112" t="str" cm="1">
        <f t="array" ref="C112">_xlfn.TEXTJOIN(", ",TRUE,_xlfn._xlws.FILTER(Final_Merged_Data!$C$2:$C$1000,Final_Merged_Data!$B$2:$B$1000=$A112))</f>
        <v>Kaliakair</v>
      </c>
      <c r="D112" cm="1">
        <f t="array" ref="D112">COUNTA(_xlfn._xlws.FILTER(Final_Merged_Data!$C$2:$C$1000,Final_Merged_Data!$B$2:$B$1000=$A112))</f>
        <v>1</v>
      </c>
      <c r="E112">
        <f>SUMIFS(Final_Merged_Data!$E:$E,Final_Merged_Data!$B:$B,$A112)</f>
        <v>214.63</v>
      </c>
      <c r="F112">
        <f>SUMIFS(Final_Merged_Data!$F:$F,Final_Merged_Data!$B:$B,$A112)</f>
        <v>694574</v>
      </c>
      <c r="G112">
        <f t="shared" si="2"/>
        <v>3236.1459255462892</v>
      </c>
      <c r="H112" cm="1">
        <f t="array" ref="H112">SUMPRODUCT((Final_Merged_Data!$B$2:$B$1000=$A112)*Final_Merged_Data!$H$2:$H$1000*Final_Merged_Data!$F$2:$F$1000)/F112</f>
        <v>3.26</v>
      </c>
      <c r="I112" cm="1">
        <f t="array" ref="I112">SUMPRODUCT((Final_Merged_Data!$B$2:$B$1000=$A112)*Final_Merged_Data!$I$2:$I$1000*Final_Merged_Data!$F$2:$F$1000)/F112</f>
        <v>80.19</v>
      </c>
      <c r="J112" t="str" cm="1">
        <f t="array" ref="J112">_xlfn.TEXTJOIN(", ",TRUE,_xlfn.UNIQUE(_xlfn._xlws.FILTER(Final_Merged_Data!$J$2:$J$1000,Final_Merged_Data!$B$2:$B$1000=$A112)))</f>
        <v>Dhaka Range</v>
      </c>
      <c r="K112" cm="1">
        <f t="array" ref="K112">SUMPRODUCT((Final_Merged_Data!$B$2:$B$1000=$A112)*Final_Merged_Data!$K$2:$K$1000*Final_Merged_Data!$F$2:$F$1000)/F112</f>
        <v>87.055167395391194</v>
      </c>
      <c r="L112" cm="1">
        <f t="array" ref="L112">SUMPRODUCT((Final_Merged_Data!$B$2:$B$1000=$A112)*Final_Merged_Data!$L$2:$L$1000*Final_Merged_Data!$F$2:$F$1000)/F112</f>
        <v>14.083489099923572</v>
      </c>
      <c r="M112" t="str">
        <f>IF(COUNTIF(Master_Data!$C:$C,$A112)&gt;0,"Found","Missing")</f>
        <v>Found</v>
      </c>
      <c r="N112" t="str">
        <f>_xlfn.XLOOKUP($A112,Master_Data!$C:$C,Master_Data!$D:$D,"CHECK",0)</f>
        <v>M. Manjurul Karim Roni</v>
      </c>
      <c r="O112" t="str">
        <f>_xlfn.XLOOKUP($A112,Master_Data!$C:$C,Master_Data!$E:$E,"CHECK",0)</f>
        <v>BNP</v>
      </c>
      <c r="P112">
        <f>_xlfn.XLOOKUP($A112,Master_Data!$C:$C,Master_Data!$F:$F,"CHECK",0)</f>
        <v>1</v>
      </c>
      <c r="Q112">
        <f>_xlfn.XLOOKUP($A112,Master_Data!$C:$C,Master_Data!$G:$G,"CHECK",0)</f>
        <v>188606</v>
      </c>
      <c r="R112">
        <f>IFERROR(_xlfn.XLOOKUP($A112,Master_Data!$C:$C,Master_Data!$H:$H,"CHECK",0),"")</f>
        <v>57.230334146548692</v>
      </c>
      <c r="S112" t="str">
        <f>_xlfn.XLOOKUP($A112,Master_Data!$C:$C,Master_Data!$I:$I,"CHECK",0)</f>
        <v>Ali Nacher Khan</v>
      </c>
      <c r="T112">
        <f>_xlfn.XLOOKUP($A112,Master_Data!$C:$C,Master_Data!$K:$K,"CHECK",0)</f>
        <v>140950</v>
      </c>
      <c r="U112">
        <f>IFERROR(_xlfn.XLOOKUP($A112,Master_Data!$C:$C,Master_Data!$L:$L,"CHECK",0),"")</f>
        <v>42.769665853451308</v>
      </c>
      <c r="V112">
        <f>_xlfn.XLOOKUP($A112,Master_Data!$C:$C,Master_Data!$M:$M,"CHECK",0)</f>
        <v>47656</v>
      </c>
      <c r="W112">
        <f>IFERROR(_xlfn.XLOOKUP($A112,Master_Data!$C:$C,Master_Data!$N:$N,"CHECK",0),"")</f>
        <v>14.460668293097378</v>
      </c>
      <c r="X112" t="str">
        <f>IFERROR(_xlfn.XLOOKUP($A112,Master_Data!$C:$C,Master_Data!$O:$O,"CHECK",0),"No Result")</f>
        <v>Safe Seat</v>
      </c>
      <c r="Y112">
        <f>_xlfn.XLOOKUP($A112,Master_Data!$C:$C,Master_Data!$P:$P,"CHECK",0)</f>
        <v>1</v>
      </c>
      <c r="Z112">
        <f t="shared" si="3"/>
        <v>1</v>
      </c>
    </row>
    <row r="113" spans="1:26">
      <c r="A113" t="str">
        <v>Gazipur-3</v>
      </c>
      <c r="B113" t="str" cm="1">
        <f t="array" ref="B1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Nawabganj","Chapainawabganj"),Final_Merged_Data!$B$2:$B$1000=$A113)))</f>
        <v>Gazipur</v>
      </c>
      <c r="C113" t="str" cm="1">
        <f t="array" ref="C113">_xlfn.TEXTJOIN(", ",TRUE,_xlfn._xlws.FILTER(Final_Merged_Data!$C$2:$C$1000,Final_Merged_Data!$B$2:$B$1000=$A113))</f>
        <v>Sreepur</v>
      </c>
      <c r="D113" cm="1">
        <f t="array" ref="D113">COUNTA(_xlfn._xlws.FILTER(Final_Merged_Data!$C$2:$C$1000,Final_Merged_Data!$B$2:$B$1000=$A113))</f>
        <v>1</v>
      </c>
      <c r="E113">
        <f>SUMIFS(Final_Merged_Data!$E:$E,Final_Merged_Data!$B:$B,$A113)</f>
        <v>353.67</v>
      </c>
      <c r="F113">
        <f>SUMIFS(Final_Merged_Data!$F:$F,Final_Merged_Data!$B:$B,$A113)</f>
        <v>855204</v>
      </c>
      <c r="G113">
        <f t="shared" si="2"/>
        <v>2418.0846551870386</v>
      </c>
      <c r="H113" cm="1">
        <f t="array" ref="H113">SUMPRODUCT((Final_Merged_Data!$B$2:$B$1000=$A113)*Final_Merged_Data!$H$2:$H$1000*Final_Merged_Data!$F$2:$F$1000)/F113</f>
        <v>3.34</v>
      </c>
      <c r="I113" cm="1">
        <f t="array" ref="I113">SUMPRODUCT((Final_Merged_Data!$B$2:$B$1000=$A113)*Final_Merged_Data!$I$2:$I$1000*Final_Merged_Data!$F$2:$F$1000)/F113</f>
        <v>78.150000000000006</v>
      </c>
      <c r="J113" t="str" cm="1">
        <f t="array" ref="J113">_xlfn.TEXTJOIN(", ",TRUE,_xlfn.UNIQUE(_xlfn._xlws.FILTER(Final_Merged_Data!$J$2:$J$1000,Final_Merged_Data!$B$2:$B$1000=$A113)))</f>
        <v>Dhaka Range</v>
      </c>
      <c r="K113" cm="1">
        <f t="array" ref="K113">SUMPRODUCT((Final_Merged_Data!$B$2:$B$1000=$A113)*Final_Merged_Data!$K$2:$K$1000*Final_Merged_Data!$F$2:$F$1000)/F113</f>
        <v>87.055167395391194</v>
      </c>
      <c r="L113" cm="1">
        <f t="array" ref="L113">SUMPRODUCT((Final_Merged_Data!$B$2:$B$1000=$A113)*Final_Merged_Data!$L$2:$L$1000*Final_Merged_Data!$F$2:$F$1000)/F113</f>
        <v>14.083489099923572</v>
      </c>
      <c r="M113" t="str">
        <f>IF(COUNTIF(Master_Data!$C:$C,$A113)&gt;0,"Found","Missing")</f>
        <v>Found</v>
      </c>
      <c r="N113" t="str">
        <f>_xlfn.XLOOKUP($A113,Master_Data!$C:$C,Master_Data!$D:$D,"CHECK",0)</f>
        <v>S. M. Rafiqul Islam</v>
      </c>
      <c r="O113" t="str">
        <f>_xlfn.XLOOKUP($A113,Master_Data!$C:$C,Master_Data!$E:$E,"CHECK",0)</f>
        <v>BNP</v>
      </c>
      <c r="P113">
        <f>_xlfn.XLOOKUP($A113,Master_Data!$C:$C,Master_Data!$F:$F,"CHECK",0)</f>
        <v>1</v>
      </c>
      <c r="Q113">
        <f>_xlfn.XLOOKUP($A113,Master_Data!$C:$C,Master_Data!$G:$G,"CHECK",0)</f>
        <v>162343</v>
      </c>
      <c r="R113">
        <f>IFERROR(_xlfn.XLOOKUP($A113,Master_Data!$C:$C,Master_Data!$H:$H,"CHECK",0),"")</f>
        <v>61.755084030097152</v>
      </c>
      <c r="S113" t="str">
        <f>_xlfn.XLOOKUP($A113,Master_Data!$C:$C,Master_Data!$I:$I,"CHECK",0)</f>
        <v>Muhammad Ehsanul Haque</v>
      </c>
      <c r="T113">
        <f>_xlfn.XLOOKUP($A113,Master_Data!$C:$C,Master_Data!$K:$K,"CHECK",0)</f>
        <v>100539</v>
      </c>
      <c r="U113">
        <f>IFERROR(_xlfn.XLOOKUP($A113,Master_Data!$C:$C,Master_Data!$L:$L,"CHECK",0),"")</f>
        <v>38.244915969902848</v>
      </c>
      <c r="V113">
        <f>_xlfn.XLOOKUP($A113,Master_Data!$C:$C,Master_Data!$M:$M,"CHECK",0)</f>
        <v>61804</v>
      </c>
      <c r="W113">
        <f>IFERROR(_xlfn.XLOOKUP($A113,Master_Data!$C:$C,Master_Data!$N:$N,"CHECK",0),"")</f>
        <v>23.51016806019431</v>
      </c>
      <c r="X113" t="str">
        <f>IFERROR(_xlfn.XLOOKUP($A113,Master_Data!$C:$C,Master_Data!$O:$O,"CHECK",0),"No Result")</f>
        <v>Safe Seat</v>
      </c>
      <c r="Y113">
        <f>_xlfn.XLOOKUP($A113,Master_Data!$C:$C,Master_Data!$P:$P,"CHECK",0)</f>
        <v>0</v>
      </c>
      <c r="Z113">
        <f t="shared" si="3"/>
        <v>1</v>
      </c>
    </row>
    <row r="114" spans="1:26">
      <c r="A114" t="str">
        <v>Gazipur-4</v>
      </c>
      <c r="B114" t="str" cm="1">
        <f t="array" ref="B1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Nawabganj","Chapainawabganj"),Final_Merged_Data!$B$2:$B$1000=$A114)))</f>
        <v>Gazipur</v>
      </c>
      <c r="C114" t="str" cm="1">
        <f t="array" ref="C114">_xlfn.TEXTJOIN(", ",TRUE,_xlfn._xlws.FILTER(Final_Merged_Data!$C$2:$C$1000,Final_Merged_Data!$B$2:$B$1000=$A114))</f>
        <v>Kapasia</v>
      </c>
      <c r="D114" cm="1">
        <f t="array" ref="D114">COUNTA(_xlfn._xlws.FILTER(Final_Merged_Data!$C$2:$C$1000,Final_Merged_Data!$B$2:$B$1000=$A114))</f>
        <v>1</v>
      </c>
      <c r="E114">
        <f>SUMIFS(Final_Merged_Data!$E:$E,Final_Merged_Data!$B:$B,$A114)</f>
        <v>356.33</v>
      </c>
      <c r="F114">
        <f>SUMIFS(Final_Merged_Data!$F:$F,Final_Merged_Data!$B:$B,$A114)</f>
        <v>379093</v>
      </c>
      <c r="G114">
        <f t="shared" si="2"/>
        <v>1063.8817949653412</v>
      </c>
      <c r="H114" cm="1">
        <f t="array" ref="H114">SUMPRODUCT((Final_Merged_Data!$B$2:$B$1000=$A114)*Final_Merged_Data!$H$2:$H$1000*Final_Merged_Data!$F$2:$F$1000)/F114</f>
        <v>3.83</v>
      </c>
      <c r="I114" cm="1">
        <f t="array" ref="I114">SUMPRODUCT((Final_Merged_Data!$B$2:$B$1000=$A114)*Final_Merged_Data!$I$2:$I$1000*Final_Merged_Data!$F$2:$F$1000)/F114</f>
        <v>77.849999999999994</v>
      </c>
      <c r="J114" t="str" cm="1">
        <f t="array" ref="J114">_xlfn.TEXTJOIN(", ",TRUE,_xlfn.UNIQUE(_xlfn._xlws.FILTER(Final_Merged_Data!$J$2:$J$1000,Final_Merged_Data!$B$2:$B$1000=$A114)))</f>
        <v>Dhaka Range</v>
      </c>
      <c r="K114" cm="1">
        <f t="array" ref="K114">SUMPRODUCT((Final_Merged_Data!$B$2:$B$1000=$A114)*Final_Merged_Data!$K$2:$K$1000*Final_Merged_Data!$F$2:$F$1000)/F114</f>
        <v>87.055167395391194</v>
      </c>
      <c r="L114" cm="1">
        <f t="array" ref="L114">SUMPRODUCT((Final_Merged_Data!$B$2:$B$1000=$A114)*Final_Merged_Data!$L$2:$L$1000*Final_Merged_Data!$F$2:$F$1000)/F114</f>
        <v>14.083489099923572</v>
      </c>
      <c r="M114" t="str">
        <f>IF(COUNTIF(Master_Data!$C:$C,$A114)&gt;0,"Found","Missing")</f>
        <v>Found</v>
      </c>
      <c r="N114" t="str">
        <f>_xlfn.XLOOKUP($A114,Master_Data!$C:$C,Master_Data!$D:$D,"CHECK",0)</f>
        <v>Salahuddin Aiyubi</v>
      </c>
      <c r="O114" t="str">
        <f>_xlfn.XLOOKUP($A114,Master_Data!$C:$C,Master_Data!$E:$E,"CHECK",0)</f>
        <v>Jamaat</v>
      </c>
      <c r="P114">
        <f>_xlfn.XLOOKUP($A114,Master_Data!$C:$C,Master_Data!$F:$F,"CHECK",0)</f>
        <v>2</v>
      </c>
      <c r="Q114">
        <f>_xlfn.XLOOKUP($A114,Master_Data!$C:$C,Master_Data!$G:$G,"CHECK",0)</f>
        <v>101779</v>
      </c>
      <c r="R114">
        <f>IFERROR(_xlfn.XLOOKUP($A114,Master_Data!$C:$C,Master_Data!$H:$H,"CHECK",0),"")</f>
        <v>52.963277115455668</v>
      </c>
      <c r="S114" t="str">
        <f>_xlfn.XLOOKUP($A114,Master_Data!$C:$C,Master_Data!$I:$I,"CHECK",0)</f>
        <v>Shah Riazul Hannan</v>
      </c>
      <c r="T114">
        <f>_xlfn.XLOOKUP($A114,Master_Data!$C:$C,Master_Data!$K:$K,"CHECK",0)</f>
        <v>90390</v>
      </c>
      <c r="U114">
        <f>IFERROR(_xlfn.XLOOKUP($A114,Master_Data!$C:$C,Master_Data!$L:$L,"CHECK",0),"")</f>
        <v>47.036722884544332</v>
      </c>
      <c r="V114">
        <f>_xlfn.XLOOKUP($A114,Master_Data!$C:$C,Master_Data!$M:$M,"CHECK",0)</f>
        <v>11389</v>
      </c>
      <c r="W114">
        <f>IFERROR(_xlfn.XLOOKUP($A114,Master_Data!$C:$C,Master_Data!$N:$N,"CHECK",0),"")</f>
        <v>5.926554230911333</v>
      </c>
      <c r="X114" t="str">
        <f>IFERROR(_xlfn.XLOOKUP($A114,Master_Data!$C:$C,Master_Data!$O:$O,"CHECK",0),"No Result")</f>
        <v>Safe Seat</v>
      </c>
      <c r="Y114">
        <f>_xlfn.XLOOKUP($A114,Master_Data!$C:$C,Master_Data!$P:$P,"CHECK",0)</f>
        <v>0</v>
      </c>
      <c r="Z114">
        <f t="shared" si="3"/>
        <v>1</v>
      </c>
    </row>
    <row r="115" spans="1:26">
      <c r="A115" t="str">
        <v>Gazipur-5</v>
      </c>
      <c r="B115" t="str" cm="1">
        <f t="array" ref="B1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Nawabganj","Chapainawabganj"),Final_Merged_Data!$B$2:$B$1000=$A115)))</f>
        <v>Gazipur</v>
      </c>
      <c r="C115" t="str" cm="1">
        <f t="array" ref="C115">_xlfn.TEXTJOIN(", ",TRUE,_xlfn._xlws.FILTER(Final_Merged_Data!$C$2:$C$1000,Final_Merged_Data!$B$2:$B$1000=$A115))</f>
        <v>Gazipur Sadar</v>
      </c>
      <c r="D115" cm="1">
        <f t="array" ref="D115">COUNTA(_xlfn._xlws.FILTER(Final_Merged_Data!$C$2:$C$1000,Final_Merged_Data!$B$2:$B$1000=$A115))</f>
        <v>1</v>
      </c>
      <c r="E115">
        <f>SUMIFS(Final_Merged_Data!$E:$E,Final_Merged_Data!$B:$B,$A115)</f>
        <v>174.09</v>
      </c>
      <c r="F115">
        <f>SUMIFS(Final_Merged_Data!$F:$F,Final_Merged_Data!$B:$B,$A115)</f>
        <v>345760</v>
      </c>
      <c r="G115">
        <f t="shared" si="2"/>
        <v>1986.0991441208571</v>
      </c>
      <c r="H115" cm="1">
        <f t="array" ref="H115">SUMPRODUCT((Final_Merged_Data!$B$2:$B$1000=$A115)*Final_Merged_Data!$H$2:$H$1000*Final_Merged_Data!$F$2:$F$1000)/F115</f>
        <v>3.18</v>
      </c>
      <c r="I115" cm="1">
        <f t="array" ref="I115">SUMPRODUCT((Final_Merged_Data!$B$2:$B$1000=$A115)*Final_Merged_Data!$I$2:$I$1000*Final_Merged_Data!$F$2:$F$1000)/F115</f>
        <v>80.680000000000007</v>
      </c>
      <c r="J115" t="str" cm="1">
        <f t="array" ref="J115">_xlfn.TEXTJOIN(", ",TRUE,_xlfn.UNIQUE(_xlfn._xlws.FILTER(Final_Merged_Data!$J$2:$J$1000,Final_Merged_Data!$B$2:$B$1000=$A115)))</f>
        <v>Dhaka Range</v>
      </c>
      <c r="K115" cm="1">
        <f t="array" ref="K115">SUMPRODUCT((Final_Merged_Data!$B$2:$B$1000=$A115)*Final_Merged_Data!$K$2:$K$1000*Final_Merged_Data!$F$2:$F$1000)/F115</f>
        <v>87.055167395391194</v>
      </c>
      <c r="L115" cm="1">
        <f t="array" ref="L115">SUMPRODUCT((Final_Merged_Data!$B$2:$B$1000=$A115)*Final_Merged_Data!$L$2:$L$1000*Final_Merged_Data!$F$2:$F$1000)/F115</f>
        <v>14.083489099923572</v>
      </c>
      <c r="M115" t="str">
        <f>IF(COUNTIF(Master_Data!$C:$C,$A115)&gt;0,"Found","Missing")</f>
        <v>Found</v>
      </c>
      <c r="N115" t="str">
        <f>_xlfn.XLOOKUP($A115,Master_Data!$C:$C,Master_Data!$D:$D,"CHECK",0)</f>
        <v>AKM Fazlul Haque Milon</v>
      </c>
      <c r="O115" t="str">
        <f>_xlfn.XLOOKUP($A115,Master_Data!$C:$C,Master_Data!$E:$E,"CHECK",0)</f>
        <v>BNP</v>
      </c>
      <c r="P115">
        <f>_xlfn.XLOOKUP($A115,Master_Data!$C:$C,Master_Data!$F:$F,"CHECK",0)</f>
        <v>1</v>
      </c>
      <c r="Q115">
        <f>_xlfn.XLOOKUP($A115,Master_Data!$C:$C,Master_Data!$G:$G,"CHECK",0)</f>
        <v>133869</v>
      </c>
      <c r="R115">
        <f>IFERROR(_xlfn.XLOOKUP($A115,Master_Data!$C:$C,Master_Data!$H:$H,"CHECK",0),"")</f>
        <v>63.148137665572293</v>
      </c>
      <c r="S115" t="str">
        <f>_xlfn.XLOOKUP($A115,Master_Data!$C:$C,Master_Data!$I:$I,"CHECK",0)</f>
        <v>Md. Khairul Hasan</v>
      </c>
      <c r="T115">
        <f>_xlfn.XLOOKUP($A115,Master_Data!$C:$C,Master_Data!$K:$K,"CHECK",0)</f>
        <v>78123</v>
      </c>
      <c r="U115">
        <f>IFERROR(_xlfn.XLOOKUP($A115,Master_Data!$C:$C,Master_Data!$L:$L,"CHECK",0),"")</f>
        <v>36.851862334427715</v>
      </c>
      <c r="V115">
        <f>_xlfn.XLOOKUP($A115,Master_Data!$C:$C,Master_Data!$M:$M,"CHECK",0)</f>
        <v>55746</v>
      </c>
      <c r="W115">
        <f>IFERROR(_xlfn.XLOOKUP($A115,Master_Data!$C:$C,Master_Data!$N:$N,"CHECK",0),"")</f>
        <v>26.296275331144571</v>
      </c>
      <c r="X115" t="str">
        <f>IFERROR(_xlfn.XLOOKUP($A115,Master_Data!$C:$C,Master_Data!$O:$O,"CHECK",0),"No Result")</f>
        <v>Safe Seat</v>
      </c>
      <c r="Y115">
        <f>_xlfn.XLOOKUP($A115,Master_Data!$C:$C,Master_Data!$P:$P,"CHECK",0)</f>
        <v>1</v>
      </c>
      <c r="Z115">
        <f t="shared" si="3"/>
        <v>1</v>
      </c>
    </row>
    <row r="116" spans="1:26">
      <c r="A116" t="str">
        <v>Gopalganj-1</v>
      </c>
      <c r="B116" t="str" cm="1">
        <f t="array" ref="B1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Nawabganj","Chapainawabganj"),Final_Merged_Data!$B$2:$B$1000=$A116)))</f>
        <v>Gopalganj</v>
      </c>
      <c r="C116" t="str" cm="1">
        <f t="array" ref="C116">_xlfn.TEXTJOIN(", ",TRUE,_xlfn._xlws.FILTER(Final_Merged_Data!$C$2:$C$1000,Final_Merged_Data!$B$2:$B$1000=$A116))</f>
        <v>Muksudpur, Kashiani</v>
      </c>
      <c r="D116" cm="1">
        <f t="array" ref="D116">COUNTA(_xlfn._xlws.FILTER(Final_Merged_Data!$C$2:$C$1000,Final_Merged_Data!$B$2:$B$1000=$A116))</f>
        <v>2</v>
      </c>
      <c r="E116">
        <f>SUMIFS(Final_Merged_Data!$E:$E,Final_Merged_Data!$B:$B,$A116)</f>
        <v>535.77</v>
      </c>
      <c r="F116">
        <f>SUMIFS(Final_Merged_Data!$F:$F,Final_Merged_Data!$B:$B,$A116)</f>
        <v>535668</v>
      </c>
      <c r="G116">
        <f t="shared" si="2"/>
        <v>999.80961979954088</v>
      </c>
      <c r="H116" cm="1">
        <f t="array" ref="H116">SUMPRODUCT((Final_Merged_Data!$B$2:$B$1000=$A116)*Final_Merged_Data!$H$2:$H$1000*Final_Merged_Data!$F$2:$F$1000)/F116</f>
        <v>4.027222215999462</v>
      </c>
      <c r="I116" cm="1">
        <f t="array" ref="I116">SUMPRODUCT((Final_Merged_Data!$B$2:$B$1000=$A116)*Final_Merged_Data!$I$2:$I$1000*Final_Merged_Data!$F$2:$F$1000)/F116</f>
        <v>77.451296418677245</v>
      </c>
      <c r="J116" t="str" cm="1">
        <f t="array" ref="J116">_xlfn.TEXTJOIN(", ",TRUE,_xlfn.UNIQUE(_xlfn._xlws.FILTER(Final_Merged_Data!$J$2:$J$1000,Final_Merged_Data!$B$2:$B$1000=$A116)))</f>
        <v>Dhaka Range</v>
      </c>
      <c r="K116" cm="1">
        <f t="array" ref="K116">SUMPRODUCT((Final_Merged_Data!$B$2:$B$1000=$A116)*Final_Merged_Data!$K$2:$K$1000*Final_Merged_Data!$F$2:$F$1000)/F116</f>
        <v>87.055167395391209</v>
      </c>
      <c r="L116" cm="1">
        <f t="array" ref="L116">SUMPRODUCT((Final_Merged_Data!$B$2:$B$1000=$A116)*Final_Merged_Data!$L$2:$L$1000*Final_Merged_Data!$F$2:$F$1000)/F116</f>
        <v>14.083489099923572</v>
      </c>
      <c r="M116" t="str">
        <f>IF(COUNTIF(Master_Data!$C:$C,$A116)&gt;0,"Found","Missing")</f>
        <v>Found</v>
      </c>
      <c r="N116" t="str">
        <f>_xlfn.XLOOKUP($A116,Master_Data!$C:$C,Master_Data!$D:$D,"CHECK",0)</f>
        <v>Md. Selimuzzaman Molya</v>
      </c>
      <c r="O116" t="str">
        <f>_xlfn.XLOOKUP($A116,Master_Data!$C:$C,Master_Data!$E:$E,"CHECK",0)</f>
        <v>BNP</v>
      </c>
      <c r="P116">
        <f>_xlfn.XLOOKUP($A116,Master_Data!$C:$C,Master_Data!$F:$F,"CHECK",0)</f>
        <v>1</v>
      </c>
      <c r="Q116">
        <f>_xlfn.XLOOKUP($A116,Master_Data!$C:$C,Master_Data!$G:$G,"CHECK",0)</f>
        <v>69462</v>
      </c>
      <c r="R116">
        <f>IFERROR(_xlfn.XLOOKUP($A116,Master_Data!$C:$C,Master_Data!$H:$H,"CHECK",0),"")</f>
        <v>56.112318343013627</v>
      </c>
      <c r="S116" t="str">
        <f>_xlfn.XLOOKUP($A116,Master_Data!$C:$C,Master_Data!$I:$I,"CHECK",0)</f>
        <v>Md. Kabir Miya</v>
      </c>
      <c r="T116">
        <f>_xlfn.XLOOKUP($A116,Master_Data!$C:$C,Master_Data!$K:$K,"CHECK",0)</f>
        <v>54329</v>
      </c>
      <c r="U116">
        <f>IFERROR(_xlfn.XLOOKUP($A116,Master_Data!$C:$C,Master_Data!$L:$L,"CHECK",0),"")</f>
        <v>43.887681656986373</v>
      </c>
      <c r="V116">
        <f>_xlfn.XLOOKUP($A116,Master_Data!$C:$C,Master_Data!$M:$M,"CHECK",0)</f>
        <v>15133</v>
      </c>
      <c r="W116">
        <f>IFERROR(_xlfn.XLOOKUP($A116,Master_Data!$C:$C,Master_Data!$N:$N,"CHECK",0),"")</f>
        <v>12.224636686027255</v>
      </c>
      <c r="X116" t="str">
        <f>IFERROR(_xlfn.XLOOKUP($A116,Master_Data!$C:$C,Master_Data!$O:$O,"CHECK",0),"No Result")</f>
        <v>Safe Seat</v>
      </c>
      <c r="Y116">
        <f>_xlfn.XLOOKUP($A116,Master_Data!$C:$C,Master_Data!$P:$P,"CHECK",0)</f>
        <v>0</v>
      </c>
      <c r="Z116">
        <f t="shared" si="3"/>
        <v>1</v>
      </c>
    </row>
    <row r="117" spans="1:26">
      <c r="A117" t="str">
        <v>Gopalganj-2</v>
      </c>
      <c r="B117" t="str" cm="1">
        <f t="array" ref="B1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Nawabganj","Chapainawabganj"),Final_Merged_Data!$B$2:$B$1000=$A117)))</f>
        <v>Gopalganj</v>
      </c>
      <c r="C117" t="str" cm="1">
        <f t="array" ref="C117">_xlfn.TEXTJOIN(", ",TRUE,_xlfn._xlws.FILTER(Final_Merged_Data!$C$2:$C$1000,Final_Merged_Data!$B$2:$B$1000=$A117))</f>
        <v>Gopalganj Sadar, Kotalipara</v>
      </c>
      <c r="D117" cm="1">
        <f t="array" ref="D117">COUNTA(_xlfn._xlws.FILTER(Final_Merged_Data!$C$2:$C$1000,Final_Merged_Data!$B$2:$B$1000=$A117))</f>
        <v>2</v>
      </c>
      <c r="E117">
        <f>SUMIFS(Final_Merged_Data!$E:$E,Final_Merged_Data!$B:$B,$A117)</f>
        <v>629.33000000000004</v>
      </c>
      <c r="F117">
        <f>SUMIFS(Final_Merged_Data!$F:$F,Final_Merged_Data!$B:$B,$A117)</f>
        <v>644857</v>
      </c>
      <c r="G117">
        <f t="shared" si="2"/>
        <v>1024.6722705099073</v>
      </c>
      <c r="H117" cm="1">
        <f t="array" ref="H117">SUMPRODUCT((Final_Merged_Data!$B$2:$B$1000=$A117)*Final_Merged_Data!$H$2:$H$1000*Final_Merged_Data!$F$2:$F$1000)/F117</f>
        <v>4.1688971353338804</v>
      </c>
      <c r="I117" cm="1">
        <f t="array" ref="I117">SUMPRODUCT((Final_Merged_Data!$B$2:$B$1000=$A117)*Final_Merged_Data!$I$2:$I$1000*Final_Merged_Data!$F$2:$F$1000)/F117</f>
        <v>81.537658597177355</v>
      </c>
      <c r="J117" t="str" cm="1">
        <f t="array" ref="J117">_xlfn.TEXTJOIN(", ",TRUE,_xlfn.UNIQUE(_xlfn._xlws.FILTER(Final_Merged_Data!$J$2:$J$1000,Final_Merged_Data!$B$2:$B$1000=$A117)))</f>
        <v>Dhaka Range</v>
      </c>
      <c r="K117" cm="1">
        <f t="array" ref="K117">SUMPRODUCT((Final_Merged_Data!$B$2:$B$1000=$A117)*Final_Merged_Data!$K$2:$K$1000*Final_Merged_Data!$F$2:$F$1000)/F117</f>
        <v>87.055167395391194</v>
      </c>
      <c r="L117" cm="1">
        <f t="array" ref="L117">SUMPRODUCT((Final_Merged_Data!$B$2:$B$1000=$A117)*Final_Merged_Data!$L$2:$L$1000*Final_Merged_Data!$F$2:$F$1000)/F117</f>
        <v>14.08348909992357</v>
      </c>
      <c r="M117" t="str">
        <f>IF(COUNTIF(Master_Data!$C:$C,$A117)&gt;0,"Found","Missing")</f>
        <v>Found</v>
      </c>
      <c r="N117" t="str">
        <f>_xlfn.XLOOKUP($A117,Master_Data!$C:$C,Master_Data!$D:$D,"CHECK",0)</f>
        <v>KM Babar</v>
      </c>
      <c r="O117" t="str">
        <f>_xlfn.XLOOKUP($A117,Master_Data!$C:$C,Master_Data!$E:$E,"CHECK",0)</f>
        <v>BNP</v>
      </c>
      <c r="P117">
        <f>_xlfn.XLOOKUP($A117,Master_Data!$C:$C,Master_Data!$F:$F,"CHECK",0)</f>
        <v>1</v>
      </c>
      <c r="Q117">
        <f>_xlfn.XLOOKUP($A117,Master_Data!$C:$C,Master_Data!$G:$G,"CHECK",0)</f>
        <v>40048</v>
      </c>
      <c r="R117">
        <f>IFERROR(_xlfn.XLOOKUP($A117,Master_Data!$C:$C,Master_Data!$H:$H,"CHECK",0),"")</f>
        <v>54.794970377768962</v>
      </c>
      <c r="S117" t="str">
        <f>_xlfn.XLOOKUP($A117,Master_Data!$C:$C,Master_Data!$I:$I,"CHECK",0)</f>
        <v>M. H. Khan Manju</v>
      </c>
      <c r="T117">
        <f>_xlfn.XLOOKUP($A117,Master_Data!$C:$C,Master_Data!$K:$K,"CHECK",0)</f>
        <v>33039</v>
      </c>
      <c r="U117">
        <f>IFERROR(_xlfn.XLOOKUP($A117,Master_Data!$C:$C,Master_Data!$L:$L,"CHECK",0),"")</f>
        <v>45.205029622231038</v>
      </c>
      <c r="V117">
        <f>_xlfn.XLOOKUP($A117,Master_Data!$C:$C,Master_Data!$M:$M,"CHECK",0)</f>
        <v>7009</v>
      </c>
      <c r="W117">
        <f>IFERROR(_xlfn.XLOOKUP($A117,Master_Data!$C:$C,Master_Data!$N:$N,"CHECK",0),"")</f>
        <v>9.5899407555379206</v>
      </c>
      <c r="X117" t="str">
        <f>IFERROR(_xlfn.XLOOKUP($A117,Master_Data!$C:$C,Master_Data!$O:$O,"CHECK",0),"No Result")</f>
        <v>Safe Seat</v>
      </c>
      <c r="Y117">
        <f>_xlfn.XLOOKUP($A117,Master_Data!$C:$C,Master_Data!$P:$P,"CHECK",0)</f>
        <v>0</v>
      </c>
      <c r="Z117">
        <f t="shared" si="3"/>
        <v>1</v>
      </c>
    </row>
    <row r="118" spans="1:26">
      <c r="A118" t="str">
        <v>Gopalganj-3</v>
      </c>
      <c r="B118" t="str" cm="1">
        <f t="array" ref="B1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Nawabganj","Chapainawabganj"),Final_Merged_Data!$B$2:$B$1000=$A118)))</f>
        <v>Gopalganj</v>
      </c>
      <c r="C118" t="str" cm="1">
        <f t="array" ref="C118">_xlfn.TEXTJOIN(", ",TRUE,_xlfn._xlws.FILTER(Final_Merged_Data!$C$2:$C$1000,Final_Merged_Data!$B$2:$B$1000=$A118))</f>
        <v>Tungipara</v>
      </c>
      <c r="D118" cm="1">
        <f t="array" ref="D118">COUNTA(_xlfn._xlws.FILTER(Final_Merged_Data!$C$2:$C$1000,Final_Merged_Data!$B$2:$B$1000=$A118))</f>
        <v>1</v>
      </c>
      <c r="E118">
        <f>SUMIFS(Final_Merged_Data!$E:$E,Final_Merged_Data!$B:$B,$A118)</f>
        <v>127.49</v>
      </c>
      <c r="F118">
        <f>SUMIFS(Final_Merged_Data!$F:$F,Final_Merged_Data!$B:$B,$A118)</f>
        <v>114480</v>
      </c>
      <c r="G118">
        <f t="shared" si="2"/>
        <v>897.95278061024396</v>
      </c>
      <c r="H118" cm="1">
        <f t="array" ref="H118">SUMPRODUCT((Final_Merged_Data!$B$2:$B$1000=$A118)*Final_Merged_Data!$H$2:$H$1000*Final_Merged_Data!$F$2:$F$1000)/F118</f>
        <v>4.2300000000000004</v>
      </c>
      <c r="I118" cm="1">
        <f t="array" ref="I118">SUMPRODUCT((Final_Merged_Data!$B$2:$B$1000=$A118)*Final_Merged_Data!$I$2:$I$1000*Final_Merged_Data!$F$2:$F$1000)/F118</f>
        <v>81.41</v>
      </c>
      <c r="J118" t="str" cm="1">
        <f t="array" ref="J118">_xlfn.TEXTJOIN(", ",TRUE,_xlfn.UNIQUE(_xlfn._xlws.FILTER(Final_Merged_Data!$J$2:$J$1000,Final_Merged_Data!$B$2:$B$1000=$A118)))</f>
        <v>Dhaka Range</v>
      </c>
      <c r="K118" cm="1">
        <f t="array" ref="K118">SUMPRODUCT((Final_Merged_Data!$B$2:$B$1000=$A118)*Final_Merged_Data!$K$2:$K$1000*Final_Merged_Data!$F$2:$F$1000)/F118</f>
        <v>87.055167395391194</v>
      </c>
      <c r="L118" cm="1">
        <f t="array" ref="L118">SUMPRODUCT((Final_Merged_Data!$B$2:$B$1000=$A118)*Final_Merged_Data!$L$2:$L$1000*Final_Merged_Data!$F$2:$F$1000)/F118</f>
        <v>14.083489099923572</v>
      </c>
      <c r="M118" t="str">
        <f>IF(COUNTIF(Master_Data!$C:$C,$A118)&gt;0,"Found","Missing")</f>
        <v>Found</v>
      </c>
      <c r="N118" t="str">
        <f>_xlfn.XLOOKUP($A118,Master_Data!$C:$C,Master_Data!$D:$D,"CHECK",0)</f>
        <v>S. M. Jilani</v>
      </c>
      <c r="O118" t="str">
        <f>_xlfn.XLOOKUP($A118,Master_Data!$C:$C,Master_Data!$E:$E,"CHECK",0)</f>
        <v>BNP</v>
      </c>
      <c r="P118">
        <f>_xlfn.XLOOKUP($A118,Master_Data!$C:$C,Master_Data!$F:$F,"CHECK",0)</f>
        <v>1</v>
      </c>
      <c r="Q118">
        <f>_xlfn.XLOOKUP($A118,Master_Data!$C:$C,Master_Data!$G:$G,"CHECK",0)</f>
        <v>60166</v>
      </c>
      <c r="R118">
        <f>IFERROR(_xlfn.XLOOKUP($A118,Master_Data!$C:$C,Master_Data!$H:$H,"CHECK",0),"")</f>
        <v>63.983920538534342</v>
      </c>
      <c r="S118" t="str">
        <f>_xlfn.XLOOKUP($A118,Master_Data!$C:$C,Master_Data!$I:$I,"CHECK",0)</f>
        <v>Gobinda Chandra Pramanik</v>
      </c>
      <c r="T118">
        <f>_xlfn.XLOOKUP($A118,Master_Data!$C:$C,Master_Data!$K:$K,"CHECK",0)</f>
        <v>33867</v>
      </c>
      <c r="U118">
        <f>IFERROR(_xlfn.XLOOKUP($A118,Master_Data!$C:$C,Master_Data!$L:$L,"CHECK",0),"")</f>
        <v>36.016079461465658</v>
      </c>
      <c r="V118">
        <f>_xlfn.XLOOKUP($A118,Master_Data!$C:$C,Master_Data!$M:$M,"CHECK",0)</f>
        <v>26299</v>
      </c>
      <c r="W118">
        <f>IFERROR(_xlfn.XLOOKUP($A118,Master_Data!$C:$C,Master_Data!$N:$N,"CHECK",0),"")</f>
        <v>27.967841077068691</v>
      </c>
      <c r="X118" t="str">
        <f>IFERROR(_xlfn.XLOOKUP($A118,Master_Data!$C:$C,Master_Data!$O:$O,"CHECK",0),"No Result")</f>
        <v>Safe Seat</v>
      </c>
      <c r="Y118">
        <f>_xlfn.XLOOKUP($A118,Master_Data!$C:$C,Master_Data!$P:$P,"CHECK",0)</f>
        <v>0</v>
      </c>
      <c r="Z118">
        <f t="shared" si="3"/>
        <v>1</v>
      </c>
    </row>
    <row r="119" spans="1:26">
      <c r="A119" t="str">
        <v>Habiganj-1</v>
      </c>
      <c r="B119" t="str" cm="1">
        <f t="array" ref="B1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Nawabganj","Chapainawabganj"),Final_Merged_Data!$B$2:$B$1000=$A119)))</f>
        <v>Habiganj</v>
      </c>
      <c r="C119" t="str" cm="1">
        <f t="array" ref="C119">_xlfn.TEXTJOIN(", ",TRUE,_xlfn._xlws.FILTER(Final_Merged_Data!$C$2:$C$1000,Final_Merged_Data!$B$2:$B$1000=$A119))</f>
        <v>Nabiganj, Bahubal</v>
      </c>
      <c r="D119" cm="1">
        <f t="array" ref="D119">COUNTA(_xlfn._xlws.FILTER(Final_Merged_Data!$C$2:$C$1000,Final_Merged_Data!$B$2:$B$1000=$A119))</f>
        <v>2</v>
      </c>
      <c r="E119">
        <f>SUMIFS(Final_Merged_Data!$E:$E,Final_Merged_Data!$B:$B,$A119)</f>
        <v>677.14</v>
      </c>
      <c r="F119">
        <f>SUMIFS(Final_Merged_Data!$F:$F,Final_Merged_Data!$B:$B,$A119)</f>
        <v>586736</v>
      </c>
      <c r="G119">
        <f t="shared" si="2"/>
        <v>866.49141979502031</v>
      </c>
      <c r="H119" cm="1">
        <f t="array" ref="H119">SUMPRODUCT((Final_Merged_Data!$B$2:$B$1000=$A119)*Final_Merged_Data!$H$2:$H$1000*Final_Merged_Data!$F$2:$F$1000)/F119</f>
        <v>4.9813951248943313</v>
      </c>
      <c r="I119" cm="1">
        <f t="array" ref="I119">SUMPRODUCT((Final_Merged_Data!$B$2:$B$1000=$A119)*Final_Merged_Data!$I$2:$I$1000*Final_Merged_Data!$F$2:$F$1000)/F119</f>
        <v>69.607813190259336</v>
      </c>
      <c r="J119" t="str" cm="1">
        <f t="array" ref="J119">_xlfn.TEXTJOIN(", ",TRUE,_xlfn.UNIQUE(_xlfn._xlws.FILTER(Final_Merged_Data!$J$2:$J$1000,Final_Merged_Data!$B$2:$B$1000=$A119)))</f>
        <v>Sylhet Range</v>
      </c>
      <c r="K119" cm="1">
        <f t="array" ref="K119">SUMPRODUCT((Final_Merged_Data!$B$2:$B$1000=$A119)*Final_Merged_Data!$K$2:$K$1000*Final_Merged_Data!$F$2:$F$1000)/F119</f>
        <v>74.251724391082064</v>
      </c>
      <c r="L119" cm="1">
        <f t="array" ref="L119">SUMPRODUCT((Final_Merged_Data!$B$2:$B$1000=$A119)*Final_Merged_Data!$L$2:$L$1000*Final_Merged_Data!$F$2:$F$1000)/F119</f>
        <v>9.6171122896887518</v>
      </c>
      <c r="M119" t="str">
        <f>IF(COUNTIF(Master_Data!$C:$C,$A119)&gt;0,"Found","Missing")</f>
        <v>Found</v>
      </c>
      <c r="N119" t="str">
        <f>_xlfn.XLOOKUP($A119,Master_Data!$C:$C,Master_Data!$D:$D,"CHECK",0)</f>
        <v>Reza Kibria</v>
      </c>
      <c r="O119" t="str">
        <f>_xlfn.XLOOKUP($A119,Master_Data!$C:$C,Master_Data!$E:$E,"CHECK",0)</f>
        <v>BNP</v>
      </c>
      <c r="P119">
        <f>_xlfn.XLOOKUP($A119,Master_Data!$C:$C,Master_Data!$F:$F,"CHECK",0)</f>
        <v>1</v>
      </c>
      <c r="Q119">
        <f>_xlfn.XLOOKUP($A119,Master_Data!$C:$C,Master_Data!$G:$G,"CHECK",0)</f>
        <v>111999</v>
      </c>
      <c r="R119">
        <f>IFERROR(_xlfn.XLOOKUP($A119,Master_Data!$C:$C,Master_Data!$H:$H,"CHECK",0),"")</f>
        <v>66.614128269028313</v>
      </c>
      <c r="S119" t="str">
        <f>_xlfn.XLOOKUP($A119,Master_Data!$C:$C,Master_Data!$I:$I,"CHECK",0)</f>
        <v>Maulana Sirajul Islam</v>
      </c>
      <c r="T119">
        <f>_xlfn.XLOOKUP($A119,Master_Data!$C:$C,Master_Data!$K:$K,"CHECK",0)</f>
        <v>56132</v>
      </c>
      <c r="U119">
        <f>IFERROR(_xlfn.XLOOKUP($A119,Master_Data!$C:$C,Master_Data!$L:$L,"CHECK",0),"")</f>
        <v>33.385871730971687</v>
      </c>
      <c r="V119">
        <f>_xlfn.XLOOKUP($A119,Master_Data!$C:$C,Master_Data!$M:$M,"CHECK",0)</f>
        <v>55867</v>
      </c>
      <c r="W119">
        <f>IFERROR(_xlfn.XLOOKUP($A119,Master_Data!$C:$C,Master_Data!$N:$N,"CHECK",0),"")</f>
        <v>33.228256538056634</v>
      </c>
      <c r="X119" t="str">
        <f>IFERROR(_xlfn.XLOOKUP($A119,Master_Data!$C:$C,Master_Data!$O:$O,"CHECK",0),"No Result")</f>
        <v>Safe Seat</v>
      </c>
      <c r="Y119">
        <f>_xlfn.XLOOKUP($A119,Master_Data!$C:$C,Master_Data!$P:$P,"CHECK",0)</f>
        <v>0</v>
      </c>
      <c r="Z119">
        <f t="shared" si="3"/>
        <v>1</v>
      </c>
    </row>
    <row r="120" spans="1:26">
      <c r="A120" t="str">
        <v>Habiganj-2</v>
      </c>
      <c r="B120" t="str" cm="1">
        <f t="array" ref="B1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Nawabganj","Chapainawabganj"),Final_Merged_Data!$B$2:$B$1000=$A120)))</f>
        <v>Habiganj</v>
      </c>
      <c r="C120" t="str" cm="1">
        <f t="array" ref="C120">_xlfn.TEXTJOIN(", ",TRUE,_xlfn._xlws.FILTER(Final_Merged_Data!$C$2:$C$1000,Final_Merged_Data!$B$2:$B$1000=$A120))</f>
        <v>Ajmiriganj, Baniachong</v>
      </c>
      <c r="D120" cm="1">
        <f t="array" ref="D120">COUNTA(_xlfn._xlws.FILTER(Final_Merged_Data!$C$2:$C$1000,Final_Merged_Data!$B$2:$B$1000=$A120))</f>
        <v>2</v>
      </c>
      <c r="E120">
        <f>SUMIFS(Final_Merged_Data!$E:$E,Final_Merged_Data!$B:$B,$A120)</f>
        <v>676.17000000000007</v>
      </c>
      <c r="F120">
        <f>SUMIFS(Final_Merged_Data!$F:$F,Final_Merged_Data!$B:$B,$A120)</f>
        <v>482722</v>
      </c>
      <c r="G120">
        <f t="shared" si="2"/>
        <v>713.90626617566579</v>
      </c>
      <c r="H120" cm="1">
        <f t="array" ref="H120">SUMPRODUCT((Final_Merged_Data!$B$2:$B$1000=$A120)*Final_Merged_Data!$H$2:$H$1000*Final_Merged_Data!$F$2:$F$1000)/F120</f>
        <v>5.0469154503005873</v>
      </c>
      <c r="I120" cm="1">
        <f t="array" ref="I120">SUMPRODUCT((Final_Merged_Data!$B$2:$B$1000=$A120)*Final_Merged_Data!$I$2:$I$1000*Final_Merged_Data!$F$2:$F$1000)/F120</f>
        <v>65.238299642444304</v>
      </c>
      <c r="J120" t="str" cm="1">
        <f t="array" ref="J120">_xlfn.TEXTJOIN(", ",TRUE,_xlfn.UNIQUE(_xlfn._xlws.FILTER(Final_Merged_Data!$J$2:$J$1000,Final_Merged_Data!$B$2:$B$1000=$A120)))</f>
        <v>Sylhet Range</v>
      </c>
      <c r="K120" cm="1">
        <f t="array" ref="K120">SUMPRODUCT((Final_Merged_Data!$B$2:$B$1000=$A120)*Final_Merged_Data!$K$2:$K$1000*Final_Merged_Data!$F$2:$F$1000)/F120</f>
        <v>74.251724391082064</v>
      </c>
      <c r="L120" cm="1">
        <f t="array" ref="L120">SUMPRODUCT((Final_Merged_Data!$B$2:$B$1000=$A120)*Final_Merged_Data!$L$2:$L$1000*Final_Merged_Data!$F$2:$F$1000)/F120</f>
        <v>9.6171122896887518</v>
      </c>
      <c r="M120" t="str">
        <f>IF(COUNTIF(Master_Data!$C:$C,$A120)&gt;0,"Found","Missing")</f>
        <v>Found</v>
      </c>
      <c r="N120" t="str">
        <f>_xlfn.XLOOKUP($A120,Master_Data!$C:$C,Master_Data!$D:$D,"CHECK",0)</f>
        <v>Abu Mansoor Sakhawat Hasan</v>
      </c>
      <c r="O120" t="str">
        <f>_xlfn.XLOOKUP($A120,Master_Data!$C:$C,Master_Data!$E:$E,"CHECK",0)</f>
        <v>BNP</v>
      </c>
      <c r="P120">
        <f>_xlfn.XLOOKUP($A120,Master_Data!$C:$C,Master_Data!$F:$F,"CHECK",0)</f>
        <v>1</v>
      </c>
      <c r="Q120">
        <f>_xlfn.XLOOKUP($A120,Master_Data!$C:$C,Master_Data!$G:$G,"CHECK",0)</f>
        <v>126583</v>
      </c>
      <c r="R120">
        <f>IFERROR(_xlfn.XLOOKUP($A120,Master_Data!$C:$C,Master_Data!$H:$H,"CHECK",0),"")</f>
        <v>65.810392783799941</v>
      </c>
      <c r="S120" t="str">
        <f>_xlfn.XLOOKUP($A120,Master_Data!$C:$C,Master_Data!$I:$I,"CHECK",0)</f>
        <v>Abdul Basit Azad</v>
      </c>
      <c r="T120">
        <f>_xlfn.XLOOKUP($A120,Master_Data!$C:$C,Master_Data!$K:$K,"CHECK",0)</f>
        <v>65762</v>
      </c>
      <c r="U120">
        <f>IFERROR(_xlfn.XLOOKUP($A120,Master_Data!$C:$C,Master_Data!$L:$L,"CHECK",0),"")</f>
        <v>34.189607216200059</v>
      </c>
      <c r="V120">
        <f>_xlfn.XLOOKUP($A120,Master_Data!$C:$C,Master_Data!$M:$M,"CHECK",0)</f>
        <v>60821</v>
      </c>
      <c r="W120">
        <f>IFERROR(_xlfn.XLOOKUP($A120,Master_Data!$C:$C,Master_Data!$N:$N,"CHECK",0),"")</f>
        <v>31.620785567599885</v>
      </c>
      <c r="X120" t="str">
        <f>IFERROR(_xlfn.XLOOKUP($A120,Master_Data!$C:$C,Master_Data!$O:$O,"CHECK",0),"No Result")</f>
        <v>Safe Seat</v>
      </c>
      <c r="Y120">
        <f>_xlfn.XLOOKUP($A120,Master_Data!$C:$C,Master_Data!$P:$P,"CHECK",0)</f>
        <v>0</v>
      </c>
      <c r="Z120">
        <f t="shared" si="3"/>
        <v>1</v>
      </c>
    </row>
    <row r="121" spans="1:26">
      <c r="A121" t="str">
        <v>Habiganj-3</v>
      </c>
      <c r="B121" t="str" cm="1">
        <f t="array" ref="B1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Nawabganj","Chapainawabganj"),Final_Merged_Data!$B$2:$B$1000=$A121)))</f>
        <v>Habiganj</v>
      </c>
      <c r="C121" t="str" cm="1">
        <f t="array" ref="C121">_xlfn.TEXTJOIN(", ",TRUE,_xlfn._xlws.FILTER(Final_Merged_Data!$C$2:$C$1000,Final_Merged_Data!$B$2:$B$1000=$A121))</f>
        <v>Habiganj Sadar, Lakhai, Shayestaganj</v>
      </c>
      <c r="D121" cm="1">
        <f t="array" ref="D121">COUNTA(_xlfn._xlws.FILTER(Final_Merged_Data!$C$2:$C$1000,Final_Merged_Data!$B$2:$B$1000=$A121))</f>
        <v>3</v>
      </c>
      <c r="E121">
        <f>SUMIFS(Final_Merged_Data!$E:$E,Final_Merged_Data!$B:$B,$A121)</f>
        <v>849.75</v>
      </c>
      <c r="F121">
        <f>SUMIFS(Final_Merged_Data!$F:$F,Final_Merged_Data!$B:$B,$A121)</f>
        <v>562803</v>
      </c>
      <c r="G121">
        <f t="shared" si="2"/>
        <v>662.31597528684904</v>
      </c>
      <c r="H121" cm="1">
        <f t="array" ref="H121">SUMPRODUCT((Final_Merged_Data!$B$2:$B$1000=$A121)*Final_Merged_Data!$H$2:$H$1000*Final_Merged_Data!$F$2:$F$1000)/F121</f>
        <v>4.6894230840986983</v>
      </c>
      <c r="I121" cm="1">
        <f t="array" ref="I121">SUMPRODUCT((Final_Merged_Data!$B$2:$B$1000=$A121)*Final_Merged_Data!$I$2:$I$1000*Final_Merged_Data!$F$2:$F$1000)/F121</f>
        <v>72.570976647246027</v>
      </c>
      <c r="J121" t="str" cm="1">
        <f t="array" ref="J121">_xlfn.TEXTJOIN(", ",TRUE,_xlfn.UNIQUE(_xlfn._xlws.FILTER(Final_Merged_Data!$J$2:$J$1000,Final_Merged_Data!$B$2:$B$1000=$A121)))</f>
        <v>Sylhet Range</v>
      </c>
      <c r="K121" cm="1">
        <f t="array" ref="K121">SUMPRODUCT((Final_Merged_Data!$B$2:$B$1000=$A121)*Final_Merged_Data!$K$2:$K$1000*Final_Merged_Data!$F$2:$F$1000)/F121</f>
        <v>74.251724391082064</v>
      </c>
      <c r="L121" cm="1">
        <f t="array" ref="L121">SUMPRODUCT((Final_Merged_Data!$B$2:$B$1000=$A121)*Final_Merged_Data!$L$2:$L$1000*Final_Merged_Data!$F$2:$F$1000)/F121</f>
        <v>9.6171122896887535</v>
      </c>
      <c r="M121" t="str">
        <f>IF(COUNTIF(Master_Data!$C:$C,$A121)&gt;0,"Found","Missing")</f>
        <v>Found</v>
      </c>
      <c r="N121" t="str">
        <f>_xlfn.XLOOKUP($A121,Master_Data!$C:$C,Master_Data!$D:$D,"CHECK",0)</f>
        <v>G. K. Gouse</v>
      </c>
      <c r="O121" t="str">
        <f>_xlfn.XLOOKUP($A121,Master_Data!$C:$C,Master_Data!$E:$E,"CHECK",0)</f>
        <v>BNP</v>
      </c>
      <c r="P121">
        <f>_xlfn.XLOOKUP($A121,Master_Data!$C:$C,Master_Data!$F:$F,"CHECK",0)</f>
        <v>1</v>
      </c>
      <c r="Q121">
        <f>_xlfn.XLOOKUP($A121,Master_Data!$C:$C,Master_Data!$G:$G,"CHECK",0)</f>
        <v>142348</v>
      </c>
      <c r="R121">
        <f>IFERROR(_xlfn.XLOOKUP($A121,Master_Data!$C:$C,Master_Data!$H:$H,"CHECK",0),"")</f>
        <v>75.750867408842254</v>
      </c>
      <c r="S121" t="str">
        <f>_xlfn.XLOOKUP($A121,Master_Data!$C:$C,Master_Data!$I:$I,"CHECK",0)</f>
        <v>Qazi Mohsin Ahmad</v>
      </c>
      <c r="T121">
        <f>_xlfn.XLOOKUP($A121,Master_Data!$C:$C,Master_Data!$K:$K,"CHECK",0)</f>
        <v>45568</v>
      </c>
      <c r="U121">
        <f>IFERROR(_xlfn.XLOOKUP($A121,Master_Data!$C:$C,Master_Data!$L:$L,"CHECK",0),"")</f>
        <v>24.249132591157753</v>
      </c>
      <c r="V121">
        <f>_xlfn.XLOOKUP($A121,Master_Data!$C:$C,Master_Data!$M:$M,"CHECK",0)</f>
        <v>96780</v>
      </c>
      <c r="W121">
        <f>IFERROR(_xlfn.XLOOKUP($A121,Master_Data!$C:$C,Master_Data!$N:$N,"CHECK",0),"")</f>
        <v>51.501734817684493</v>
      </c>
      <c r="X121" t="str">
        <f>IFERROR(_xlfn.XLOOKUP($A121,Master_Data!$C:$C,Master_Data!$O:$O,"CHECK",0),"No Result")</f>
        <v>Safe Seat</v>
      </c>
      <c r="Y121">
        <f>_xlfn.XLOOKUP($A121,Master_Data!$C:$C,Master_Data!$P:$P,"CHECK",0)</f>
        <v>0</v>
      </c>
      <c r="Z121">
        <f t="shared" si="3"/>
        <v>1</v>
      </c>
    </row>
    <row r="122" spans="1:26">
      <c r="A122" t="str">
        <v>Habiganj-4</v>
      </c>
      <c r="B122" t="str" cm="1">
        <f t="array" ref="B1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Nawabganj","Chapainawabganj"),Final_Merged_Data!$B$2:$B$1000=$A122)))</f>
        <v>Habiganj</v>
      </c>
      <c r="C122" t="str" cm="1">
        <f t="array" ref="C122">_xlfn.TEXTJOIN(", ",TRUE,_xlfn._xlws.FILTER(Final_Merged_Data!$C$2:$C$1000,Final_Merged_Data!$B$2:$B$1000=$A122))</f>
        <v>Madhabpur, Chunarughat</v>
      </c>
      <c r="D122" cm="1">
        <f t="array" ref="D122">COUNTA(_xlfn._xlws.FILTER(Final_Merged_Data!$C$2:$C$1000,Final_Merged_Data!$B$2:$B$1000=$A122))</f>
        <v>2</v>
      </c>
      <c r="E122">
        <f>SUMIFS(Final_Merged_Data!$E:$E,Final_Merged_Data!$B:$B,$A122)</f>
        <v>866.06999999999994</v>
      </c>
      <c r="F122">
        <f>SUMIFS(Final_Merged_Data!$F:$F,Final_Merged_Data!$B:$B,$A122)</f>
        <v>726486</v>
      </c>
      <c r="G122">
        <f t="shared" si="2"/>
        <v>838.83057951435808</v>
      </c>
      <c r="H122" cm="1">
        <f t="array" ref="H122">SUMPRODUCT((Final_Merged_Data!$B$2:$B$1000=$A122)*Final_Merged_Data!$H$2:$H$1000*Final_Merged_Data!$F$2:$F$1000)/F122</f>
        <v>4.4911545439278937</v>
      </c>
      <c r="I122" cm="1">
        <f t="array" ref="I122">SUMPRODUCT((Final_Merged_Data!$B$2:$B$1000=$A122)*Final_Merged_Data!$I$2:$I$1000*Final_Merged_Data!$F$2:$F$1000)/F122</f>
        <v>69.533054594307401</v>
      </c>
      <c r="J122" t="str" cm="1">
        <f t="array" ref="J122">_xlfn.TEXTJOIN(", ",TRUE,_xlfn.UNIQUE(_xlfn._xlws.FILTER(Final_Merged_Data!$J$2:$J$1000,Final_Merged_Data!$B$2:$B$1000=$A122)))</f>
        <v>Sylhet Range</v>
      </c>
      <c r="K122" cm="1">
        <f t="array" ref="K122">SUMPRODUCT((Final_Merged_Data!$B$2:$B$1000=$A122)*Final_Merged_Data!$K$2:$K$1000*Final_Merged_Data!$F$2:$F$1000)/F122</f>
        <v>74.251724391082064</v>
      </c>
      <c r="L122" cm="1">
        <f t="array" ref="L122">SUMPRODUCT((Final_Merged_Data!$B$2:$B$1000=$A122)*Final_Merged_Data!$L$2:$L$1000*Final_Merged_Data!$F$2:$F$1000)/F122</f>
        <v>9.6171122896887518</v>
      </c>
      <c r="M122" t="str">
        <f>IF(COUNTIF(Master_Data!$C:$C,$A122)&gt;0,"Found","Missing")</f>
        <v>Found</v>
      </c>
      <c r="N122" t="str">
        <f>_xlfn.XLOOKUP($A122,Master_Data!$C:$C,Master_Data!$D:$D,"CHECK",0)</f>
        <v>S. M. Faisal</v>
      </c>
      <c r="O122" t="str">
        <f>_xlfn.XLOOKUP($A122,Master_Data!$C:$C,Master_Data!$E:$E,"CHECK",0)</f>
        <v>BNP</v>
      </c>
      <c r="P122">
        <f>_xlfn.XLOOKUP($A122,Master_Data!$C:$C,Master_Data!$F:$F,"CHECK",0)</f>
        <v>1</v>
      </c>
      <c r="Q122">
        <f>_xlfn.XLOOKUP($A122,Master_Data!$C:$C,Master_Data!$G:$G,"CHECK",0)</f>
        <v>188072</v>
      </c>
      <c r="R122">
        <f>IFERROR(_xlfn.XLOOKUP($A122,Master_Data!$C:$C,Master_Data!$H:$H,"CHECK",0),"")</f>
        <v>69.043851759393533</v>
      </c>
      <c r="S122" t="str">
        <f>_xlfn.XLOOKUP($A122,Master_Data!$C:$C,Master_Data!$I:$I,"CHECK",0)</f>
        <v>Md Ghiyas Uddin</v>
      </c>
      <c r="T122">
        <f>_xlfn.XLOOKUP($A122,Master_Data!$C:$C,Master_Data!$K:$K,"CHECK",0)</f>
        <v>84323</v>
      </c>
      <c r="U122">
        <f>IFERROR(_xlfn.XLOOKUP($A122,Master_Data!$C:$C,Master_Data!$L:$L,"CHECK",0),"")</f>
        <v>30.956148240606474</v>
      </c>
      <c r="V122">
        <f>_xlfn.XLOOKUP($A122,Master_Data!$C:$C,Master_Data!$M:$M,"CHECK",0)</f>
        <v>103749</v>
      </c>
      <c r="W122">
        <f>IFERROR(_xlfn.XLOOKUP($A122,Master_Data!$C:$C,Master_Data!$N:$N,"CHECK",0),"")</f>
        <v>38.087703518787059</v>
      </c>
      <c r="X122" t="str">
        <f>IFERROR(_xlfn.XLOOKUP($A122,Master_Data!$C:$C,Master_Data!$O:$O,"CHECK",0),"No Result")</f>
        <v>Safe Seat</v>
      </c>
      <c r="Y122">
        <f>_xlfn.XLOOKUP($A122,Master_Data!$C:$C,Master_Data!$P:$P,"CHECK",0)</f>
        <v>0</v>
      </c>
      <c r="Z122">
        <f t="shared" si="3"/>
        <v>1</v>
      </c>
    </row>
    <row r="123" spans="1:26">
      <c r="A123" t="str">
        <v>Jamalpur-1</v>
      </c>
      <c r="B123" t="str" cm="1">
        <f t="array" ref="B1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Nawabganj","Chapainawabganj"),Final_Merged_Data!$B$2:$B$1000=$A123)))</f>
        <v>Jamalpur</v>
      </c>
      <c r="C123" t="str" cm="1">
        <f t="array" ref="C123">_xlfn.TEXTJOIN(", ",TRUE,_xlfn._xlws.FILTER(Final_Merged_Data!$C$2:$C$1000,Final_Merged_Data!$B$2:$B$1000=$A123))</f>
        <v>Dewanganj, Bakshiganj</v>
      </c>
      <c r="D123" cm="1">
        <f t="array" ref="D123">COUNTA(_xlfn._xlws.FILTER(Final_Merged_Data!$C$2:$C$1000,Final_Merged_Data!$B$2:$B$1000=$A123))</f>
        <v>2</v>
      </c>
      <c r="E123">
        <f>SUMIFS(Final_Merged_Data!$E:$E,Final_Merged_Data!$B:$B,$A123)</f>
        <v>560.92000000000007</v>
      </c>
      <c r="F123">
        <f>SUMIFS(Final_Merged_Data!$F:$F,Final_Merged_Data!$B:$B,$A123)</f>
        <v>528013</v>
      </c>
      <c r="G123">
        <f t="shared" si="2"/>
        <v>941.33388005419658</v>
      </c>
      <c r="H123" cm="1">
        <f t="array" ref="H123">SUMPRODUCT((Final_Merged_Data!$B$2:$B$1000=$A123)*Final_Merged_Data!$H$2:$H$1000*Final_Merged_Data!$F$2:$F$1000)/F123</f>
        <v>3.875489296665044</v>
      </c>
      <c r="I123" cm="1">
        <f t="array" ref="I123">SUMPRODUCT((Final_Merged_Data!$B$2:$B$1000=$A123)*Final_Merged_Data!$I$2:$I$1000*Final_Merged_Data!$F$2:$F$1000)/F123</f>
        <v>60.239458460303062</v>
      </c>
      <c r="J123" t="str" cm="1">
        <f t="array" ref="J123">_xlfn.TEXTJOIN(", ",TRUE,_xlfn.UNIQUE(_xlfn._xlws.FILTER(Final_Merged_Data!$J$2:$J$1000,Final_Merged_Data!$B$2:$B$1000=$A123)))</f>
        <v>Mymensingh Range</v>
      </c>
      <c r="K123" cm="1">
        <f t="array" ref="K123">SUMPRODUCT((Final_Merged_Data!$B$2:$B$1000=$A123)*Final_Merged_Data!$K$2:$K$1000*Final_Merged_Data!$F$2:$F$1000)/F123</f>
        <v>84.741263899591758</v>
      </c>
      <c r="L123" cm="1">
        <f t="array" ref="L123">SUMPRODUCT((Final_Merged_Data!$B$2:$B$1000=$A123)*Final_Merged_Data!$L$2:$L$1000*Final_Merged_Data!$F$2:$F$1000)/F123</f>
        <v>13.635491015503808</v>
      </c>
      <c r="M123" t="str">
        <f>IF(COUNTIF(Master_Data!$C:$C,$A123)&gt;0,"Found","Missing")</f>
        <v>Found</v>
      </c>
      <c r="N123" t="str">
        <f>_xlfn.XLOOKUP($A123,Master_Data!$C:$C,Master_Data!$D:$D,"CHECK",0)</f>
        <v>M Rashiduzzaman Millat</v>
      </c>
      <c r="O123" t="str">
        <f>_xlfn.XLOOKUP($A123,Master_Data!$C:$C,Master_Data!$E:$E,"CHECK",0)</f>
        <v>BNP</v>
      </c>
      <c r="P123">
        <f>_xlfn.XLOOKUP($A123,Master_Data!$C:$C,Master_Data!$F:$F,"CHECK",0)</f>
        <v>1</v>
      </c>
      <c r="Q123">
        <f>_xlfn.XLOOKUP($A123,Master_Data!$C:$C,Master_Data!$G:$G,"CHECK",0)</f>
        <v>172011</v>
      </c>
      <c r="R123">
        <f>IFERROR(_xlfn.XLOOKUP($A123,Master_Data!$C:$C,Master_Data!$H:$H,"CHECK",0),"")</f>
        <v>64.745626185672549</v>
      </c>
      <c r="S123" t="str">
        <f>_xlfn.XLOOKUP($A123,Master_Data!$C:$C,Master_Data!$I:$I,"CHECK",0)</f>
        <v>Muhammad Nazmul Haque Sayeedi</v>
      </c>
      <c r="T123">
        <f>_xlfn.XLOOKUP($A123,Master_Data!$C:$C,Master_Data!$K:$K,"CHECK",0)</f>
        <v>93661</v>
      </c>
      <c r="U123">
        <f>IFERROR(_xlfn.XLOOKUP($A123,Master_Data!$C:$C,Master_Data!$L:$L,"CHECK",0),"")</f>
        <v>35.254373814327437</v>
      </c>
      <c r="V123">
        <f>_xlfn.XLOOKUP($A123,Master_Data!$C:$C,Master_Data!$M:$M,"CHECK",0)</f>
        <v>78350</v>
      </c>
      <c r="W123">
        <f>IFERROR(_xlfn.XLOOKUP($A123,Master_Data!$C:$C,Master_Data!$N:$N,"CHECK",0),"")</f>
        <v>29.491252371345116</v>
      </c>
      <c r="X123" t="str">
        <f>IFERROR(_xlfn.XLOOKUP($A123,Master_Data!$C:$C,Master_Data!$O:$O,"CHECK",0),"No Result")</f>
        <v>Safe Seat</v>
      </c>
      <c r="Y123">
        <f>_xlfn.XLOOKUP($A123,Master_Data!$C:$C,Master_Data!$P:$P,"CHECK",0)</f>
        <v>0</v>
      </c>
      <c r="Z123">
        <f t="shared" si="3"/>
        <v>1</v>
      </c>
    </row>
    <row r="124" spans="1:26">
      <c r="A124" t="str">
        <v>Jamalpur-2</v>
      </c>
      <c r="B124" t="str" cm="1">
        <f t="array" ref="B1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Nawabganj","Chapainawabganj"),Final_Merged_Data!$B$2:$B$1000=$A124)))</f>
        <v>Jamalpur</v>
      </c>
      <c r="C124" t="str" cm="1">
        <f t="array" ref="C124">_xlfn.TEXTJOIN(", ",TRUE,_xlfn._xlws.FILTER(Final_Merged_Data!$C$2:$C$1000,Final_Merged_Data!$B$2:$B$1000=$A124))</f>
        <v>Islampur</v>
      </c>
      <c r="D124" cm="1">
        <f t="array" ref="D124">COUNTA(_xlfn._xlws.FILTER(Final_Merged_Data!$C$2:$C$1000,Final_Merged_Data!$B$2:$B$1000=$A124))</f>
        <v>1</v>
      </c>
      <c r="E124">
        <f>SUMIFS(Final_Merged_Data!$E:$E,Final_Merged_Data!$B:$B,$A124)</f>
        <v>245.12</v>
      </c>
      <c r="F124">
        <f>SUMIFS(Final_Merged_Data!$F:$F,Final_Merged_Data!$B:$B,$A124)</f>
        <v>319746</v>
      </c>
      <c r="G124">
        <f t="shared" si="2"/>
        <v>1304.4468015665796</v>
      </c>
      <c r="H124" cm="1">
        <f t="array" ref="H124">SUMPRODUCT((Final_Merged_Data!$B$2:$B$1000=$A124)*Final_Merged_Data!$H$2:$H$1000*Final_Merged_Data!$F$2:$F$1000)/F124</f>
        <v>3.81</v>
      </c>
      <c r="I124" cm="1">
        <f t="array" ref="I124">SUMPRODUCT((Final_Merged_Data!$B$2:$B$1000=$A124)*Final_Merged_Data!$I$2:$I$1000*Final_Merged_Data!$F$2:$F$1000)/F124</f>
        <v>54.66</v>
      </c>
      <c r="J124" t="str" cm="1">
        <f t="array" ref="J124">_xlfn.TEXTJOIN(", ",TRUE,_xlfn.UNIQUE(_xlfn._xlws.FILTER(Final_Merged_Data!$J$2:$J$1000,Final_Merged_Data!$B$2:$B$1000=$A124)))</f>
        <v>Mymensingh Range</v>
      </c>
      <c r="K124" cm="1">
        <f t="array" ref="K124">SUMPRODUCT((Final_Merged_Data!$B$2:$B$1000=$A124)*Final_Merged_Data!$K$2:$K$1000*Final_Merged_Data!$F$2:$F$1000)/F124</f>
        <v>84.741263899591743</v>
      </c>
      <c r="L124" cm="1">
        <f t="array" ref="L124">SUMPRODUCT((Final_Merged_Data!$B$2:$B$1000=$A124)*Final_Merged_Data!$L$2:$L$1000*Final_Merged_Data!$F$2:$F$1000)/F124</f>
        <v>13.63549101550381</v>
      </c>
      <c r="M124" t="str">
        <f>IF(COUNTIF(Master_Data!$C:$C,$A124)&gt;0,"Found","Missing")</f>
        <v>Found</v>
      </c>
      <c r="N124" t="str">
        <f>_xlfn.XLOOKUP($A124,Master_Data!$C:$C,Master_Data!$D:$D,"CHECK",0)</f>
        <v>A. E. Sultan Mahmud Babu</v>
      </c>
      <c r="O124" t="str">
        <f>_xlfn.XLOOKUP($A124,Master_Data!$C:$C,Master_Data!$E:$E,"CHECK",0)</f>
        <v>BNP</v>
      </c>
      <c r="P124">
        <f>_xlfn.XLOOKUP($A124,Master_Data!$C:$C,Master_Data!$F:$F,"CHECK",0)</f>
        <v>1</v>
      </c>
      <c r="Q124">
        <f>_xlfn.XLOOKUP($A124,Master_Data!$C:$C,Master_Data!$G:$G,"CHECK",0)</f>
        <v>95860</v>
      </c>
      <c r="R124">
        <f>IFERROR(_xlfn.XLOOKUP($A124,Master_Data!$C:$C,Master_Data!$H:$H,"CHECK",0),"")</f>
        <v>60.558201826980174</v>
      </c>
      <c r="S124" t="str">
        <f>_xlfn.XLOOKUP($A124,Master_Data!$C:$C,Master_Data!$I:$I,"CHECK",0)</f>
        <v>Md. Shamiul Haque</v>
      </c>
      <c r="T124">
        <f>_xlfn.XLOOKUP($A124,Master_Data!$C:$C,Master_Data!$K:$K,"CHECK",0)</f>
        <v>62434</v>
      </c>
      <c r="U124">
        <f>IFERROR(_xlfn.XLOOKUP($A124,Master_Data!$C:$C,Master_Data!$L:$L,"CHECK",0),"")</f>
        <v>39.441798173019826</v>
      </c>
      <c r="V124">
        <f>_xlfn.XLOOKUP($A124,Master_Data!$C:$C,Master_Data!$M:$M,"CHECK",0)</f>
        <v>33426</v>
      </c>
      <c r="W124">
        <f>IFERROR(_xlfn.XLOOKUP($A124,Master_Data!$C:$C,Master_Data!$N:$N,"CHECK",0),"")</f>
        <v>21.116403653960354</v>
      </c>
      <c r="X124" t="str">
        <f>IFERROR(_xlfn.XLOOKUP($A124,Master_Data!$C:$C,Master_Data!$O:$O,"CHECK",0),"No Result")</f>
        <v>Safe Seat</v>
      </c>
      <c r="Y124">
        <f>_xlfn.XLOOKUP($A124,Master_Data!$C:$C,Master_Data!$P:$P,"CHECK",0)</f>
        <v>0</v>
      </c>
      <c r="Z124">
        <f t="shared" si="3"/>
        <v>1</v>
      </c>
    </row>
    <row r="125" spans="1:26">
      <c r="A125" t="str">
        <v>Jamalpur-3</v>
      </c>
      <c r="B125" t="str" cm="1">
        <f t="array" ref="B1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Nawabganj","Chapainawabganj"),Final_Merged_Data!$B$2:$B$1000=$A125)))</f>
        <v>Jamalpur</v>
      </c>
      <c r="C125" t="str" cm="1">
        <f t="array" ref="C125">_xlfn.TEXTJOIN(", ",TRUE,_xlfn._xlws.FILTER(Final_Merged_Data!$C$2:$C$1000,Final_Merged_Data!$B$2:$B$1000=$A125))</f>
        <v>Jamalpur Sadar</v>
      </c>
      <c r="D125" cm="1">
        <f t="array" ref="D125">COUNTA(_xlfn._xlws.FILTER(Final_Merged_Data!$C$2:$C$1000,Final_Merged_Data!$B$2:$B$1000=$A125))</f>
        <v>1</v>
      </c>
      <c r="E125">
        <f>SUMIFS(Final_Merged_Data!$E:$E,Final_Merged_Data!$B:$B,$A125)</f>
        <v>489.56</v>
      </c>
      <c r="F125">
        <f>SUMIFS(Final_Merged_Data!$F:$F,Final_Merged_Data!$B:$B,$A125)</f>
        <v>668212</v>
      </c>
      <c r="G125">
        <f t="shared" si="2"/>
        <v>1364.9236048696789</v>
      </c>
      <c r="H125" cm="1">
        <f t="array" ref="H125">SUMPRODUCT((Final_Merged_Data!$B$2:$B$1000=$A125)*Final_Merged_Data!$H$2:$H$1000*Final_Merged_Data!$F$2:$F$1000)/F125</f>
        <v>3.75</v>
      </c>
      <c r="I125" cm="1">
        <f t="array" ref="I125">SUMPRODUCT((Final_Merged_Data!$B$2:$B$1000=$A125)*Final_Merged_Data!$I$2:$I$1000*Final_Merged_Data!$F$2:$F$1000)/F125</f>
        <v>67.41</v>
      </c>
      <c r="J125" t="str" cm="1">
        <f t="array" ref="J125">_xlfn.TEXTJOIN(", ",TRUE,_xlfn.UNIQUE(_xlfn._xlws.FILTER(Final_Merged_Data!$J$2:$J$1000,Final_Merged_Data!$B$2:$B$1000=$A125)))</f>
        <v>Mymensingh Range</v>
      </c>
      <c r="K125" cm="1">
        <f t="array" ref="K125">SUMPRODUCT((Final_Merged_Data!$B$2:$B$1000=$A125)*Final_Merged_Data!$K$2:$K$1000*Final_Merged_Data!$F$2:$F$1000)/F125</f>
        <v>84.741263899591743</v>
      </c>
      <c r="L125" cm="1">
        <f t="array" ref="L125">SUMPRODUCT((Final_Merged_Data!$B$2:$B$1000=$A125)*Final_Merged_Data!$L$2:$L$1000*Final_Merged_Data!$F$2:$F$1000)/F125</f>
        <v>13.635491015503808</v>
      </c>
      <c r="M125" t="str">
        <f>IF(COUNTIF(Master_Data!$C:$C,$A125)&gt;0,"Found","Missing")</f>
        <v>Found</v>
      </c>
      <c r="N125" t="str">
        <f>_xlfn.XLOOKUP($A125,Master_Data!$C:$C,Master_Data!$D:$D,"CHECK",0)</f>
        <v>Md. Mostafizur Rahman Babul</v>
      </c>
      <c r="O125" t="str">
        <f>_xlfn.XLOOKUP($A125,Master_Data!$C:$C,Master_Data!$E:$E,"CHECK",0)</f>
        <v>BNP</v>
      </c>
      <c r="P125">
        <f>_xlfn.XLOOKUP($A125,Master_Data!$C:$C,Master_Data!$F:$F,"CHECK",0)</f>
        <v>1</v>
      </c>
      <c r="Q125">
        <f>_xlfn.XLOOKUP($A125,Master_Data!$C:$C,Master_Data!$G:$G,"CHECK",0)</f>
        <v>207412</v>
      </c>
      <c r="R125">
        <f>IFERROR(_xlfn.XLOOKUP($A125,Master_Data!$C:$C,Master_Data!$H:$H,"CHECK",0),"")</f>
        <v>71.808116548147424</v>
      </c>
      <c r="S125" t="str">
        <f>_xlfn.XLOOKUP($A125,Master_Data!$C:$C,Master_Data!$I:$I,"CHECK",0)</f>
        <v>Md. Mujibur Rahman Azadi</v>
      </c>
      <c r="T125">
        <f>_xlfn.XLOOKUP($A125,Master_Data!$C:$C,Master_Data!$K:$K,"CHECK",0)</f>
        <v>81430</v>
      </c>
      <c r="U125">
        <f>IFERROR(_xlfn.XLOOKUP($A125,Master_Data!$C:$C,Master_Data!$L:$L,"CHECK",0),"")</f>
        <v>28.191883451852568</v>
      </c>
      <c r="V125">
        <f>_xlfn.XLOOKUP($A125,Master_Data!$C:$C,Master_Data!$M:$M,"CHECK",0)</f>
        <v>125982</v>
      </c>
      <c r="W125">
        <f>IFERROR(_xlfn.XLOOKUP($A125,Master_Data!$C:$C,Master_Data!$N:$N,"CHECK",0),"")</f>
        <v>43.616233096294863</v>
      </c>
      <c r="X125" t="str">
        <f>IFERROR(_xlfn.XLOOKUP($A125,Master_Data!$C:$C,Master_Data!$O:$O,"CHECK",0),"No Result")</f>
        <v>Safe Seat</v>
      </c>
      <c r="Y125">
        <f>_xlfn.XLOOKUP($A125,Master_Data!$C:$C,Master_Data!$P:$P,"CHECK",0)</f>
        <v>0</v>
      </c>
      <c r="Z125">
        <f t="shared" si="3"/>
        <v>1</v>
      </c>
    </row>
    <row r="126" spans="1:26">
      <c r="A126" t="str">
        <v>Jamalpur-4</v>
      </c>
      <c r="B126" t="str" cm="1">
        <f t="array" ref="B1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Nawabganj","Chapainawabganj"),Final_Merged_Data!$B$2:$B$1000=$A126)))</f>
        <v>Jamalpur</v>
      </c>
      <c r="C126" t="str" cm="1">
        <f t="array" ref="C126">_xlfn.TEXTJOIN(", ",TRUE,_xlfn._xlws.FILTER(Final_Merged_Data!$C$2:$C$1000,Final_Merged_Data!$B$2:$B$1000=$A126))</f>
        <v>Sarishabari</v>
      </c>
      <c r="D126" cm="1">
        <f t="array" ref="D126">COUNTA(_xlfn._xlws.FILTER(Final_Merged_Data!$C$2:$C$1000,Final_Merged_Data!$B$2:$B$1000=$A126))</f>
        <v>1</v>
      </c>
      <c r="E126">
        <f>SUMIFS(Final_Merged_Data!$E:$E,Final_Merged_Data!$B:$B,$A126)</f>
        <v>263.5</v>
      </c>
      <c r="F126">
        <f>SUMIFS(Final_Merged_Data!$F:$F,Final_Merged_Data!$B:$B,$A126)</f>
        <v>343161</v>
      </c>
      <c r="G126">
        <f t="shared" si="2"/>
        <v>1302.3187855787476</v>
      </c>
      <c r="H126" cm="1">
        <f t="array" ref="H126">SUMPRODUCT((Final_Merged_Data!$B$2:$B$1000=$A126)*Final_Merged_Data!$H$2:$H$1000*Final_Merged_Data!$F$2:$F$1000)/F126</f>
        <v>3.84</v>
      </c>
      <c r="I126" cm="1">
        <f t="array" ref="I126">SUMPRODUCT((Final_Merged_Data!$B$2:$B$1000=$A126)*Final_Merged_Data!$I$2:$I$1000*Final_Merged_Data!$F$2:$F$1000)/F126</f>
        <v>64.42</v>
      </c>
      <c r="J126" t="str" cm="1">
        <f t="array" ref="J126">_xlfn.TEXTJOIN(", ",TRUE,_xlfn.UNIQUE(_xlfn._xlws.FILTER(Final_Merged_Data!$J$2:$J$1000,Final_Merged_Data!$B$2:$B$1000=$A126)))</f>
        <v>Mymensingh Range</v>
      </c>
      <c r="K126" cm="1">
        <f t="array" ref="K126">SUMPRODUCT((Final_Merged_Data!$B$2:$B$1000=$A126)*Final_Merged_Data!$K$2:$K$1000*Final_Merged_Data!$F$2:$F$1000)/F126</f>
        <v>84.741263899591743</v>
      </c>
      <c r="L126" cm="1">
        <f t="array" ref="L126">SUMPRODUCT((Final_Merged_Data!$B$2:$B$1000=$A126)*Final_Merged_Data!$L$2:$L$1000*Final_Merged_Data!$F$2:$F$1000)/F126</f>
        <v>13.635491015503808</v>
      </c>
      <c r="M126" t="str">
        <f>IF(COUNTIF(Master_Data!$C:$C,$A126)&gt;0,"Found","Missing")</f>
        <v>Found</v>
      </c>
      <c r="N126" t="str">
        <f>_xlfn.XLOOKUP($A126,Master_Data!$C:$C,Master_Data!$D:$D,"CHECK",0)</f>
        <v>Md. Faridul Kabir Talukder</v>
      </c>
      <c r="O126" t="str">
        <f>_xlfn.XLOOKUP($A126,Master_Data!$C:$C,Master_Data!$E:$E,"CHECK",0)</f>
        <v>BNP</v>
      </c>
      <c r="P126">
        <f>_xlfn.XLOOKUP($A126,Master_Data!$C:$C,Master_Data!$F:$F,"CHECK",0)</f>
        <v>1</v>
      </c>
      <c r="Q126">
        <f>_xlfn.XLOOKUP($A126,Master_Data!$C:$C,Master_Data!$G:$G,"CHECK",0)</f>
        <v>147406</v>
      </c>
      <c r="R126">
        <f>IFERROR(_xlfn.XLOOKUP($A126,Master_Data!$C:$C,Master_Data!$H:$H,"CHECK",0),"")</f>
        <v>76.633065249827141</v>
      </c>
      <c r="S126" t="str">
        <f>_xlfn.XLOOKUP($A126,Master_Data!$C:$C,Master_Data!$I:$I,"CHECK",0)</f>
        <v>Mohammad Abdul Awal</v>
      </c>
      <c r="T126">
        <f>_xlfn.XLOOKUP($A126,Master_Data!$C:$C,Master_Data!$K:$K,"CHECK",0)</f>
        <v>44947</v>
      </c>
      <c r="U126">
        <f>IFERROR(_xlfn.XLOOKUP($A126,Master_Data!$C:$C,Master_Data!$L:$L,"CHECK",0),"")</f>
        <v>23.366934750172859</v>
      </c>
      <c r="V126">
        <f>_xlfn.XLOOKUP($A126,Master_Data!$C:$C,Master_Data!$M:$M,"CHECK",0)</f>
        <v>102459</v>
      </c>
      <c r="W126">
        <f>IFERROR(_xlfn.XLOOKUP($A126,Master_Data!$C:$C,Master_Data!$N:$N,"CHECK",0),"")</f>
        <v>53.266130499654288</v>
      </c>
      <c r="X126" t="str">
        <f>IFERROR(_xlfn.XLOOKUP($A126,Master_Data!$C:$C,Master_Data!$O:$O,"CHECK",0),"No Result")</f>
        <v>Safe Seat</v>
      </c>
      <c r="Y126">
        <f>_xlfn.XLOOKUP($A126,Master_Data!$C:$C,Master_Data!$P:$P,"CHECK",0)</f>
        <v>0</v>
      </c>
      <c r="Z126">
        <f t="shared" si="3"/>
        <v>1</v>
      </c>
    </row>
    <row r="127" spans="1:26">
      <c r="A127" t="str">
        <v>Jamalpur-5</v>
      </c>
      <c r="B127" t="str" cm="1">
        <f t="array" ref="B1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Nawabganj","Chapainawabganj"),Final_Merged_Data!$B$2:$B$1000=$A127)))</f>
        <v>Jamalpur</v>
      </c>
      <c r="C127" t="str" cm="1">
        <f t="array" ref="C127">_xlfn.TEXTJOIN(", ",TRUE,_xlfn._xlws.FILTER(Final_Merged_Data!$C$2:$C$1000,Final_Merged_Data!$B$2:$B$1000=$A127))</f>
        <v>Melandaha, Madarganj</v>
      </c>
      <c r="D127" cm="1">
        <f t="array" ref="D127">COUNTA(_xlfn._xlws.FILTER(Final_Merged_Data!$C$2:$C$1000,Final_Merged_Data!$B$2:$B$1000=$A127))</f>
        <v>2</v>
      </c>
      <c r="E127">
        <f>SUMIFS(Final_Merged_Data!$E:$E,Final_Merged_Data!$B:$B,$A127)</f>
        <v>670.49</v>
      </c>
      <c r="F127">
        <f>SUMIFS(Final_Merged_Data!$F:$F,Final_Merged_Data!$B:$B,$A127)</f>
        <v>640495</v>
      </c>
      <c r="G127">
        <f t="shared" si="2"/>
        <v>955.26406061238799</v>
      </c>
      <c r="H127" cm="1">
        <f t="array" ref="H127">SUMPRODUCT((Final_Merged_Data!$B$2:$B$1000=$A127)*Final_Merged_Data!$H$2:$H$1000*Final_Merged_Data!$F$2:$F$1000)/F127</f>
        <v>3.8076745329783996</v>
      </c>
      <c r="I127" cm="1">
        <f t="array" ref="I127">SUMPRODUCT((Final_Merged_Data!$B$2:$B$1000=$A127)*Final_Merged_Data!$I$2:$I$1000*Final_Merged_Data!$F$2:$F$1000)/F127</f>
        <v>58.861536873824157</v>
      </c>
      <c r="J127" t="str" cm="1">
        <f t="array" ref="J127">_xlfn.TEXTJOIN(", ",TRUE,_xlfn.UNIQUE(_xlfn._xlws.FILTER(Final_Merged_Data!$J$2:$J$1000,Final_Merged_Data!$B$2:$B$1000=$A127)))</f>
        <v>Mymensingh Range</v>
      </c>
      <c r="K127" cm="1">
        <f t="array" ref="K127">SUMPRODUCT((Final_Merged_Data!$B$2:$B$1000=$A127)*Final_Merged_Data!$K$2:$K$1000*Final_Merged_Data!$F$2:$F$1000)/F127</f>
        <v>84.741263899591743</v>
      </c>
      <c r="L127" cm="1">
        <f t="array" ref="L127">SUMPRODUCT((Final_Merged_Data!$B$2:$B$1000=$A127)*Final_Merged_Data!$L$2:$L$1000*Final_Merged_Data!$F$2:$F$1000)/F127</f>
        <v>13.635491015503808</v>
      </c>
      <c r="M127" t="str">
        <f>IF(COUNTIF(Master_Data!$C:$C,$A127)&gt;0,"Found","Missing")</f>
        <v>Found</v>
      </c>
      <c r="N127" t="str">
        <f>_xlfn.XLOOKUP($A127,Master_Data!$C:$C,Master_Data!$D:$D,"CHECK",0)</f>
        <v>Shah Md Waresh Ali Mamun</v>
      </c>
      <c r="O127" t="str">
        <f>_xlfn.XLOOKUP($A127,Master_Data!$C:$C,Master_Data!$E:$E,"CHECK",0)</f>
        <v>BNP</v>
      </c>
      <c r="P127">
        <f>_xlfn.XLOOKUP($A127,Master_Data!$C:$C,Master_Data!$F:$F,"CHECK",0)</f>
        <v>1</v>
      </c>
      <c r="Q127">
        <f>_xlfn.XLOOKUP($A127,Master_Data!$C:$C,Master_Data!$G:$G,"CHECK",0)</f>
        <v>199344</v>
      </c>
      <c r="R127">
        <f>IFERROR(_xlfn.XLOOKUP($A127,Master_Data!$C:$C,Master_Data!$H:$H,"CHECK",0),"")</f>
        <v>63.780895551040651</v>
      </c>
      <c r="S127" t="str">
        <f>_xlfn.XLOOKUP($A127,Master_Data!$C:$C,Master_Data!$I:$I,"CHECK",0)</f>
        <v>Muhammad Abdus Sattar</v>
      </c>
      <c r="T127">
        <f>_xlfn.XLOOKUP($A127,Master_Data!$C:$C,Master_Data!$K:$K,"CHECK",0)</f>
        <v>113201</v>
      </c>
      <c r="U127">
        <f>IFERROR(_xlfn.XLOOKUP($A127,Master_Data!$C:$C,Master_Data!$L:$L,"CHECK",0),"")</f>
        <v>36.219104448959349</v>
      </c>
      <c r="V127">
        <f>_xlfn.XLOOKUP($A127,Master_Data!$C:$C,Master_Data!$M:$M,"CHECK",0)</f>
        <v>86143</v>
      </c>
      <c r="W127">
        <f>IFERROR(_xlfn.XLOOKUP($A127,Master_Data!$C:$C,Master_Data!$N:$N,"CHECK",0),"")</f>
        <v>27.561791102081301</v>
      </c>
      <c r="X127" t="str">
        <f>IFERROR(_xlfn.XLOOKUP($A127,Master_Data!$C:$C,Master_Data!$O:$O,"CHECK",0),"No Result")</f>
        <v>Safe Seat</v>
      </c>
      <c r="Y127">
        <f>_xlfn.XLOOKUP($A127,Master_Data!$C:$C,Master_Data!$P:$P,"CHECK",0)</f>
        <v>0</v>
      </c>
      <c r="Z127">
        <f t="shared" si="3"/>
        <v>1</v>
      </c>
    </row>
    <row r="128" spans="1:26">
      <c r="A128" t="str">
        <v>Jashore-1</v>
      </c>
      <c r="B128" t="str" cm="1">
        <f t="array" ref="B1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Nawabganj","Chapainawabganj"),Final_Merged_Data!$B$2:$B$1000=$A128)))</f>
        <v>Jashore</v>
      </c>
      <c r="C128" t="str" cm="1">
        <f t="array" ref="C128">_xlfn.TEXTJOIN(", ",TRUE,_xlfn._xlws.FILTER(Final_Merged_Data!$C$2:$C$1000,Final_Merged_Data!$B$2:$B$1000=$A128))</f>
        <v>Sharsha, Bagherpara</v>
      </c>
      <c r="D128" cm="1">
        <f t="array" ref="D128">COUNTA(_xlfn._xlws.FILTER(Final_Merged_Data!$C$2:$C$1000,Final_Merged_Data!$B$2:$B$1000=$A128))</f>
        <v>2</v>
      </c>
      <c r="E128">
        <f>SUMIFS(Final_Merged_Data!$E:$E,Final_Merged_Data!$B:$B,$A128)</f>
        <v>644.56999999999994</v>
      </c>
      <c r="F128">
        <f>SUMIFS(Final_Merged_Data!$F:$F,Final_Merged_Data!$B:$B,$A128)</f>
        <v>625723</v>
      </c>
      <c r="G128">
        <f t="shared" si="2"/>
        <v>970.76035186248203</v>
      </c>
      <c r="H128" cm="1">
        <f t="array" ref="H128">SUMPRODUCT((Final_Merged_Data!$B$2:$B$1000=$A128)*Final_Merged_Data!$H$2:$H$1000*Final_Merged_Data!$F$2:$F$1000)/F128</f>
        <v>3.8184912653042962</v>
      </c>
      <c r="I128" cm="1">
        <f t="array" ref="I128">SUMPRODUCT((Final_Merged_Data!$B$2:$B$1000=$A128)*Final_Merged_Data!$I$2:$I$1000*Final_Merged_Data!$F$2:$F$1000)/F128</f>
        <v>75.747317215445179</v>
      </c>
      <c r="J128" t="str" cm="1">
        <f t="array" ref="J128">_xlfn.TEXTJOIN(", ",TRUE,_xlfn.UNIQUE(_xlfn._xlws.FILTER(Final_Merged_Data!$J$2:$J$1000,Final_Merged_Data!$B$2:$B$1000=$A128)))</f>
        <v>Khulna Range</v>
      </c>
      <c r="K128" cm="1">
        <f t="array" ref="K128">SUMPRODUCT((Final_Merged_Data!$B$2:$B$1000=$A128)*Final_Merged_Data!$K$2:$K$1000*Final_Merged_Data!$F$2:$F$1000)/F128</f>
        <v>102.32166075410298</v>
      </c>
      <c r="L128" cm="1">
        <f t="array" ref="L128">SUMPRODUCT((Final_Merged_Data!$B$2:$B$1000=$A128)*Final_Merged_Data!$L$2:$L$1000*Final_Merged_Data!$F$2:$F$1000)/F128</f>
        <v>12.212237548443921</v>
      </c>
      <c r="M128" t="str">
        <f>IF(COUNTIF(Master_Data!$C:$C,$A128)&gt;0,"Found","Missing")</f>
        <v>Found</v>
      </c>
      <c r="N128" t="str">
        <f>_xlfn.XLOOKUP($A128,Master_Data!$C:$C,Master_Data!$D:$D,"CHECK",0)</f>
        <v>Muhammad Azizur Rahman</v>
      </c>
      <c r="O128" t="str">
        <f>_xlfn.XLOOKUP($A128,Master_Data!$C:$C,Master_Data!$E:$E,"CHECK",0)</f>
        <v>Jamaat</v>
      </c>
      <c r="P128">
        <f>_xlfn.XLOOKUP($A128,Master_Data!$C:$C,Master_Data!$F:$F,"CHECK",0)</f>
        <v>2</v>
      </c>
      <c r="Q128">
        <f>_xlfn.XLOOKUP($A128,Master_Data!$C:$C,Master_Data!$G:$G,"CHECK",0)</f>
        <v>119093</v>
      </c>
      <c r="R128">
        <f>IFERROR(_xlfn.XLOOKUP($A128,Master_Data!$C:$C,Master_Data!$H:$H,"CHECK",0),"")</f>
        <v>56.008183036659062</v>
      </c>
      <c r="S128" t="str">
        <f>_xlfn.XLOOKUP($A128,Master_Data!$C:$C,Master_Data!$I:$I,"CHECK",0)</f>
        <v>Md. Nuruzzaman Liton</v>
      </c>
      <c r="T128">
        <f>_xlfn.XLOOKUP($A128,Master_Data!$C:$C,Master_Data!$K:$K,"CHECK",0)</f>
        <v>93542</v>
      </c>
      <c r="U128">
        <f>IFERROR(_xlfn.XLOOKUP($A128,Master_Data!$C:$C,Master_Data!$L:$L,"CHECK",0),"")</f>
        <v>43.991816963340938</v>
      </c>
      <c r="V128">
        <f>_xlfn.XLOOKUP($A128,Master_Data!$C:$C,Master_Data!$M:$M,"CHECK",0)</f>
        <v>25551</v>
      </c>
      <c r="W128">
        <f>IFERROR(_xlfn.XLOOKUP($A128,Master_Data!$C:$C,Master_Data!$N:$N,"CHECK",0),"")</f>
        <v>12.016366073318126</v>
      </c>
      <c r="X128" t="str">
        <f>IFERROR(_xlfn.XLOOKUP($A128,Master_Data!$C:$C,Master_Data!$O:$O,"CHECK",0),"No Result")</f>
        <v>Safe Seat</v>
      </c>
      <c r="Y128">
        <f>_xlfn.XLOOKUP($A128,Master_Data!$C:$C,Master_Data!$P:$P,"CHECK",0)</f>
        <v>0</v>
      </c>
      <c r="Z128">
        <f t="shared" si="3"/>
        <v>1</v>
      </c>
    </row>
    <row r="129" spans="1:26">
      <c r="A129" t="str">
        <v>Jashore-2</v>
      </c>
      <c r="B129" t="str" cm="1">
        <f t="array" ref="B1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Nawabganj","Chapainawabganj"),Final_Merged_Data!$B$2:$B$1000=$A129)))</f>
        <v>Jashore</v>
      </c>
      <c r="C129" t="str" cm="1">
        <f t="array" ref="C129">_xlfn.TEXTJOIN(", ",TRUE,_xlfn._xlws.FILTER(Final_Merged_Data!$C$2:$C$1000,Final_Merged_Data!$B$2:$B$1000=$A129))</f>
        <v>Chaugachha, Jhikargacha</v>
      </c>
      <c r="D129" cm="1">
        <f t="array" ref="D129">COUNTA(_xlfn._xlws.FILTER(Final_Merged_Data!$C$2:$C$1000,Final_Merged_Data!$B$2:$B$1000=$A129))</f>
        <v>2</v>
      </c>
      <c r="E129">
        <f>SUMIFS(Final_Merged_Data!$E:$E,Final_Merged_Data!$B:$B,$A129)</f>
        <v>473.52</v>
      </c>
      <c r="F129">
        <f>SUMIFS(Final_Merged_Data!$F:$F,Final_Merged_Data!$B:$B,$A129)</f>
        <v>580394</v>
      </c>
      <c r="G129">
        <f t="shared" si="2"/>
        <v>1225.7011319479643</v>
      </c>
      <c r="H129" cm="1">
        <f t="array" ref="H129">SUMPRODUCT((Final_Merged_Data!$B$2:$B$1000=$A129)*Final_Merged_Data!$H$2:$H$1000*Final_Merged_Data!$F$2:$F$1000)/F129</f>
        <v>3.7042308500777055</v>
      </c>
      <c r="I129" cm="1">
        <f t="array" ref="I129">SUMPRODUCT((Final_Merged_Data!$B$2:$B$1000=$A129)*Final_Merged_Data!$I$2:$I$1000*Final_Merged_Data!$F$2:$F$1000)/F129</f>
        <v>75.100196228768723</v>
      </c>
      <c r="J129" t="str" cm="1">
        <f t="array" ref="J129">_xlfn.TEXTJOIN(", ",TRUE,_xlfn.UNIQUE(_xlfn._xlws.FILTER(Final_Merged_Data!$J$2:$J$1000,Final_Merged_Data!$B$2:$B$1000=$A129)))</f>
        <v>Khulna Range</v>
      </c>
      <c r="K129" cm="1">
        <f t="array" ref="K129">SUMPRODUCT((Final_Merged_Data!$B$2:$B$1000=$A129)*Final_Merged_Data!$K$2:$K$1000*Final_Merged_Data!$F$2:$F$1000)/F129</f>
        <v>102.32166075410298</v>
      </c>
      <c r="L129" cm="1">
        <f t="array" ref="L129">SUMPRODUCT((Final_Merged_Data!$B$2:$B$1000=$A129)*Final_Merged_Data!$L$2:$L$1000*Final_Merged_Data!$F$2:$F$1000)/F129</f>
        <v>12.212237548443923</v>
      </c>
      <c r="M129" t="str">
        <f>IF(COUNTIF(Master_Data!$C:$C,$A129)&gt;0,"Found","Missing")</f>
        <v>Found</v>
      </c>
      <c r="N129" t="str">
        <f>_xlfn.XLOOKUP($A129,Master_Data!$C:$C,Master_Data!$D:$D,"CHECK",0)</f>
        <v>Mohammad Moslehuddin Farid</v>
      </c>
      <c r="O129" t="str">
        <f>_xlfn.XLOOKUP($A129,Master_Data!$C:$C,Master_Data!$E:$E,"CHECK",0)</f>
        <v>Jamaat</v>
      </c>
      <c r="P129">
        <f>_xlfn.XLOOKUP($A129,Master_Data!$C:$C,Master_Data!$F:$F,"CHECK",0)</f>
        <v>2</v>
      </c>
      <c r="Q129">
        <f>_xlfn.XLOOKUP($A129,Master_Data!$C:$C,Master_Data!$G:$G,"CHECK",0)</f>
        <v>180965</v>
      </c>
      <c r="R129">
        <f>IFERROR(_xlfn.XLOOKUP($A129,Master_Data!$C:$C,Master_Data!$H:$H,"CHECK",0),"")</f>
        <v>55.271340085274822</v>
      </c>
      <c r="S129" t="str">
        <f>_xlfn.XLOOKUP($A129,Master_Data!$C:$C,Master_Data!$I:$I,"CHECK",0)</f>
        <v>Sabira Sultana</v>
      </c>
      <c r="T129">
        <f>_xlfn.XLOOKUP($A129,Master_Data!$C:$C,Master_Data!$K:$K,"CHECK",0)</f>
        <v>146447</v>
      </c>
      <c r="U129">
        <f>IFERROR(_xlfn.XLOOKUP($A129,Master_Data!$C:$C,Master_Data!$L:$L,"CHECK",0),"")</f>
        <v>44.728659914725178</v>
      </c>
      <c r="V129">
        <f>_xlfn.XLOOKUP($A129,Master_Data!$C:$C,Master_Data!$M:$M,"CHECK",0)</f>
        <v>34518</v>
      </c>
      <c r="W129">
        <f>IFERROR(_xlfn.XLOOKUP($A129,Master_Data!$C:$C,Master_Data!$N:$N,"CHECK",0),"")</f>
        <v>10.542680170549644</v>
      </c>
      <c r="X129" t="str">
        <f>IFERROR(_xlfn.XLOOKUP($A129,Master_Data!$C:$C,Master_Data!$O:$O,"CHECK",0),"No Result")</f>
        <v>Safe Seat</v>
      </c>
      <c r="Y129">
        <f>_xlfn.XLOOKUP($A129,Master_Data!$C:$C,Master_Data!$P:$P,"CHECK",0)</f>
        <v>0</v>
      </c>
      <c r="Z129">
        <f t="shared" si="3"/>
        <v>1</v>
      </c>
    </row>
    <row r="130" spans="1:26">
      <c r="A130" t="str">
        <v>Jashore-3</v>
      </c>
      <c r="B130" t="str" cm="1">
        <f t="array" ref="B1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Nawabganj","Chapainawabganj"),Final_Merged_Data!$B$2:$B$1000=$A130)))</f>
        <v>Jashore</v>
      </c>
      <c r="C130" t="str" cm="1">
        <f t="array" ref="C130">_xlfn.TEXTJOIN(", ",TRUE,_xlfn._xlws.FILTER(Final_Merged_Data!$C$2:$C$1000,Final_Merged_Data!$B$2:$B$1000=$A130))</f>
        <v>Jessore Sadar</v>
      </c>
      <c r="D130" cm="1">
        <f t="array" ref="D130">COUNTA(_xlfn._xlws.FILTER(Final_Merged_Data!$C$2:$C$1000,Final_Merged_Data!$B$2:$B$1000=$A130))</f>
        <v>1</v>
      </c>
      <c r="E130">
        <f>SUMIFS(Final_Merged_Data!$E:$E,Final_Merged_Data!$B:$B,$A130)</f>
        <v>444.72</v>
      </c>
      <c r="F130">
        <f>SUMIFS(Final_Merged_Data!$F:$F,Final_Merged_Data!$B:$B,$A130)</f>
        <v>844323</v>
      </c>
      <c r="G130">
        <f t="shared" si="2"/>
        <v>1898.549649217485</v>
      </c>
      <c r="H130" cm="1">
        <f t="array" ref="H130">SUMPRODUCT((Final_Merged_Data!$B$2:$B$1000=$A130)*Final_Merged_Data!$H$2:$H$1000*Final_Merged_Data!$F$2:$F$1000)/F130</f>
        <v>3.8299999999999996</v>
      </c>
      <c r="I130" cm="1">
        <f t="array" ref="I130">SUMPRODUCT((Final_Merged_Data!$B$2:$B$1000=$A130)*Final_Merged_Data!$I$2:$I$1000*Final_Merged_Data!$F$2:$F$1000)/F130</f>
        <v>81.739999999999995</v>
      </c>
      <c r="J130" t="str" cm="1">
        <f t="array" ref="J130">_xlfn.TEXTJOIN(", ",TRUE,_xlfn.UNIQUE(_xlfn._xlws.FILTER(Final_Merged_Data!$J$2:$J$1000,Final_Merged_Data!$B$2:$B$1000=$A130)))</f>
        <v>Khulna Range</v>
      </c>
      <c r="K130" cm="1">
        <f t="array" ref="K130">SUMPRODUCT((Final_Merged_Data!$B$2:$B$1000=$A130)*Final_Merged_Data!$K$2:$K$1000*Final_Merged_Data!$F$2:$F$1000)/F130</f>
        <v>102.32166075410299</v>
      </c>
      <c r="L130" cm="1">
        <f t="array" ref="L130">SUMPRODUCT((Final_Merged_Data!$B$2:$B$1000=$A130)*Final_Merged_Data!$L$2:$L$1000*Final_Merged_Data!$F$2:$F$1000)/F130</f>
        <v>12.212237548443921</v>
      </c>
      <c r="M130" t="str">
        <f>IF(COUNTIF(Master_Data!$C:$C,$A130)&gt;0,"Found","Missing")</f>
        <v>Found</v>
      </c>
      <c r="N130" t="str">
        <f>_xlfn.XLOOKUP($A130,Master_Data!$C:$C,Master_Data!$D:$D,"CHECK",0)</f>
        <v>Anindya Islam Amit</v>
      </c>
      <c r="O130" t="str">
        <f>_xlfn.XLOOKUP($A130,Master_Data!$C:$C,Master_Data!$E:$E,"CHECK",0)</f>
        <v>BNP</v>
      </c>
      <c r="P130">
        <f>_xlfn.XLOOKUP($A130,Master_Data!$C:$C,Master_Data!$F:$F,"CHECK",0)</f>
        <v>1</v>
      </c>
      <c r="Q130">
        <f>_xlfn.XLOOKUP($A130,Master_Data!$C:$C,Master_Data!$G:$G,"CHECK",0)</f>
        <v>201339</v>
      </c>
      <c r="R130">
        <f>IFERROR(_xlfn.XLOOKUP($A130,Master_Data!$C:$C,Master_Data!$H:$H,"CHECK",0),"")</f>
        <v>51.784455841276532</v>
      </c>
      <c r="S130" t="str">
        <f>_xlfn.XLOOKUP($A130,Master_Data!$C:$C,Master_Data!$I:$I,"CHECK",0)</f>
        <v>Md. Abdul Quader</v>
      </c>
      <c r="T130">
        <f>_xlfn.XLOOKUP($A130,Master_Data!$C:$C,Master_Data!$K:$K,"CHECK",0)</f>
        <v>187463</v>
      </c>
      <c r="U130">
        <f>IFERROR(_xlfn.XLOOKUP($A130,Master_Data!$C:$C,Master_Data!$L:$L,"CHECK",0),"")</f>
        <v>48.215544158723461</v>
      </c>
      <c r="V130">
        <f>_xlfn.XLOOKUP($A130,Master_Data!$C:$C,Master_Data!$M:$M,"CHECK",0)</f>
        <v>13876</v>
      </c>
      <c r="W130">
        <f>IFERROR(_xlfn.XLOOKUP($A130,Master_Data!$C:$C,Master_Data!$N:$N,"CHECK",0),"")</f>
        <v>3.5689116825530736</v>
      </c>
      <c r="X130" t="str">
        <f>IFERROR(_xlfn.XLOOKUP($A130,Master_Data!$C:$C,Master_Data!$O:$O,"CHECK",0),"No Result")</f>
        <v>Highly Competitive</v>
      </c>
      <c r="Y130">
        <f>_xlfn.XLOOKUP($A130,Master_Data!$C:$C,Master_Data!$P:$P,"CHECK",0)</f>
        <v>0</v>
      </c>
      <c r="Z130">
        <f t="shared" si="3"/>
        <v>1</v>
      </c>
    </row>
    <row r="131" spans="1:26">
      <c r="A131" t="str">
        <v>Jashore-4</v>
      </c>
      <c r="B131" t="str" cm="1">
        <f t="array" ref="B1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Nawabganj","Chapainawabganj"),Final_Merged_Data!$B$2:$B$1000=$A131)))</f>
        <v>Jashore</v>
      </c>
      <c r="C131" t="str" cm="1">
        <f t="array" ref="C131">_xlfn.TEXTJOIN(", ",TRUE,_xlfn._xlws.FILTER(Final_Merged_Data!$C$2:$C$1000,Final_Merged_Data!$B$2:$B$1000=$A131))</f>
        <v>Abhaynagar</v>
      </c>
      <c r="D131" cm="1">
        <f t="array" ref="D131">COUNTA(_xlfn._xlws.FILTER(Final_Merged_Data!$C$2:$C$1000,Final_Merged_Data!$B$2:$B$1000=$A131))</f>
        <v>1</v>
      </c>
      <c r="E131">
        <f>SUMIFS(Final_Merged_Data!$E:$E,Final_Merged_Data!$B:$B,$A131)</f>
        <v>216</v>
      </c>
      <c r="F131">
        <f>SUMIFS(Final_Merged_Data!$F:$F,Final_Merged_Data!$B:$B,$A131)</f>
        <v>290136</v>
      </c>
      <c r="G131">
        <f t="shared" ref="G131:G194" si="4">IF(E131=0,"",F131/E131)</f>
        <v>1343.2222222222222</v>
      </c>
      <c r="H131" cm="1">
        <f t="array" ref="H131">SUMPRODUCT((Final_Merged_Data!$B$2:$B$1000=$A131)*Final_Merged_Data!$H$2:$H$1000*Final_Merged_Data!$F$2:$F$1000)/F131</f>
        <v>3.86</v>
      </c>
      <c r="I131" cm="1">
        <f t="array" ref="I131">SUMPRODUCT((Final_Merged_Data!$B$2:$B$1000=$A131)*Final_Merged_Data!$I$2:$I$1000*Final_Merged_Data!$F$2:$F$1000)/F131</f>
        <v>77.760000000000005</v>
      </c>
      <c r="J131" t="str" cm="1">
        <f t="array" ref="J131">_xlfn.TEXTJOIN(", ",TRUE,_xlfn.UNIQUE(_xlfn._xlws.FILTER(Final_Merged_Data!$J$2:$J$1000,Final_Merged_Data!$B$2:$B$1000=$A131)))</f>
        <v>Khulna Range</v>
      </c>
      <c r="K131" cm="1">
        <f t="array" ref="K131">SUMPRODUCT((Final_Merged_Data!$B$2:$B$1000=$A131)*Final_Merged_Data!$K$2:$K$1000*Final_Merged_Data!$F$2:$F$1000)/F131</f>
        <v>102.32166075410298</v>
      </c>
      <c r="L131" cm="1">
        <f t="array" ref="L131">SUMPRODUCT((Final_Merged_Data!$B$2:$B$1000=$A131)*Final_Merged_Data!$L$2:$L$1000*Final_Merged_Data!$F$2:$F$1000)/F131</f>
        <v>12.212237548443923</v>
      </c>
      <c r="M131" t="str">
        <f>IF(COUNTIF(Master_Data!$C:$C,$A131)&gt;0,"Found","Missing")</f>
        <v>Found</v>
      </c>
      <c r="N131" t="str">
        <f>_xlfn.XLOOKUP($A131,Master_Data!$C:$C,Master_Data!$D:$D,"CHECK",0)</f>
        <v>Ghulam Rasul</v>
      </c>
      <c r="O131" t="str">
        <f>_xlfn.XLOOKUP($A131,Master_Data!$C:$C,Master_Data!$E:$E,"CHECK",0)</f>
        <v>Jamaat</v>
      </c>
      <c r="P131">
        <f>_xlfn.XLOOKUP($A131,Master_Data!$C:$C,Master_Data!$F:$F,"CHECK",0)</f>
        <v>2</v>
      </c>
      <c r="Q131">
        <f>_xlfn.XLOOKUP($A131,Master_Data!$C:$C,Master_Data!$G:$G,"CHECK",0)</f>
        <v>176912</v>
      </c>
      <c r="R131">
        <f>IFERROR(_xlfn.XLOOKUP($A131,Master_Data!$C:$C,Master_Data!$H:$H,"CHECK",0),"")</f>
        <v>57.284775717306346</v>
      </c>
      <c r="S131" t="str">
        <f>_xlfn.XLOOKUP($A131,Master_Data!$C:$C,Master_Data!$I:$I,"CHECK",0)</f>
        <v>Mujibur Rahman Khokon</v>
      </c>
      <c r="T131">
        <f>_xlfn.XLOOKUP($A131,Master_Data!$C:$C,Master_Data!$K:$K,"CHECK",0)</f>
        <v>131917</v>
      </c>
      <c r="U131">
        <f>IFERROR(_xlfn.XLOOKUP($A131,Master_Data!$C:$C,Master_Data!$L:$L,"CHECK",0),"")</f>
        <v>42.715224282693661</v>
      </c>
      <c r="V131">
        <f>_xlfn.XLOOKUP($A131,Master_Data!$C:$C,Master_Data!$M:$M,"CHECK",0)</f>
        <v>44995</v>
      </c>
      <c r="W131">
        <f>IFERROR(_xlfn.XLOOKUP($A131,Master_Data!$C:$C,Master_Data!$N:$N,"CHECK",0),"")</f>
        <v>14.569551434612682</v>
      </c>
      <c r="X131" t="str">
        <f>IFERROR(_xlfn.XLOOKUP($A131,Master_Data!$C:$C,Master_Data!$O:$O,"CHECK",0),"No Result")</f>
        <v>Safe Seat</v>
      </c>
      <c r="Y131">
        <f>_xlfn.XLOOKUP($A131,Master_Data!$C:$C,Master_Data!$P:$P,"CHECK",0)</f>
        <v>0</v>
      </c>
      <c r="Z131">
        <f t="shared" ref="Z131:Z194" si="5">IF(OR(R131="",Y131="No Result",N131="Election postponed",N131="Result withheld"),0,1)</f>
        <v>1</v>
      </c>
    </row>
    <row r="132" spans="1:26">
      <c r="A132" t="str">
        <v>Jashore-5</v>
      </c>
      <c r="B132" t="str" cm="1">
        <f t="array" ref="B1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Nawabganj","Chapainawabganj"),Final_Merged_Data!$B$2:$B$1000=$A132)))</f>
        <v>Jashore</v>
      </c>
      <c r="C132" t="str" cm="1">
        <f t="array" ref="C132">_xlfn.TEXTJOIN(", ",TRUE,_xlfn._xlws.FILTER(Final_Merged_Data!$C$2:$C$1000,Final_Merged_Data!$B$2:$B$1000=$A132))</f>
        <v>Monirampur</v>
      </c>
      <c r="D132" cm="1">
        <f t="array" ref="D132">COUNTA(_xlfn._xlws.FILTER(Final_Merged_Data!$C$2:$C$1000,Final_Merged_Data!$B$2:$B$1000=$A132))</f>
        <v>1</v>
      </c>
      <c r="E132">
        <f>SUMIFS(Final_Merged_Data!$E:$E,Final_Merged_Data!$B:$B,$A132)</f>
        <v>240.17</v>
      </c>
      <c r="F132">
        <f>SUMIFS(Final_Merged_Data!$F:$F,Final_Merged_Data!$B:$B,$A132)</f>
        <v>454516</v>
      </c>
      <c r="G132">
        <f t="shared" si="4"/>
        <v>1892.4761627180749</v>
      </c>
      <c r="H132" cm="1">
        <f t="array" ref="H132">SUMPRODUCT((Final_Merged_Data!$B$2:$B$1000=$A132)*Final_Merged_Data!$H$2:$H$1000*Final_Merged_Data!$F$2:$F$1000)/F132</f>
        <v>3.78</v>
      </c>
      <c r="I132" cm="1">
        <f t="array" ref="I132">SUMPRODUCT((Final_Merged_Data!$B$2:$B$1000=$A132)*Final_Merged_Data!$I$2:$I$1000*Final_Merged_Data!$F$2:$F$1000)/F132</f>
        <v>74.19</v>
      </c>
      <c r="J132" t="str" cm="1">
        <f t="array" ref="J132">_xlfn.TEXTJOIN(", ",TRUE,_xlfn.UNIQUE(_xlfn._xlws.FILTER(Final_Merged_Data!$J$2:$J$1000,Final_Merged_Data!$B$2:$B$1000=$A132)))</f>
        <v>Khulna Range</v>
      </c>
      <c r="K132" cm="1">
        <f t="array" ref="K132">SUMPRODUCT((Final_Merged_Data!$B$2:$B$1000=$A132)*Final_Merged_Data!$K$2:$K$1000*Final_Merged_Data!$F$2:$F$1000)/F132</f>
        <v>102.32166075410298</v>
      </c>
      <c r="L132" cm="1">
        <f t="array" ref="L132">SUMPRODUCT((Final_Merged_Data!$B$2:$B$1000=$A132)*Final_Merged_Data!$L$2:$L$1000*Final_Merged_Data!$F$2:$F$1000)/F132</f>
        <v>12.212237548443923</v>
      </c>
      <c r="M132" t="str">
        <f>IF(COUNTIF(Master_Data!$C:$C,$A132)&gt;0,"Found","Missing")</f>
        <v>Found</v>
      </c>
      <c r="N132" t="str">
        <f>_xlfn.XLOOKUP($A132,Master_Data!$C:$C,Master_Data!$D:$D,"CHECK",0)</f>
        <v>Gazi Enamul Haque</v>
      </c>
      <c r="O132" t="str">
        <f>_xlfn.XLOOKUP($A132,Master_Data!$C:$C,Master_Data!$E:$E,"CHECK",0)</f>
        <v>Jamaat</v>
      </c>
      <c r="P132">
        <f>_xlfn.XLOOKUP($A132,Master_Data!$C:$C,Master_Data!$F:$F,"CHECK",0)</f>
        <v>2</v>
      </c>
      <c r="Q132">
        <f>_xlfn.XLOOKUP($A132,Master_Data!$C:$C,Master_Data!$G:$G,"CHECK",0)</f>
        <v>132876</v>
      </c>
      <c r="R132">
        <f>IFERROR(_xlfn.XLOOKUP($A132,Master_Data!$C:$C,Master_Data!$H:$H,"CHECK",0),"")</f>
        <v>60.974389801808911</v>
      </c>
      <c r="S132" t="str">
        <f>_xlfn.XLOOKUP($A132,Master_Data!$C:$C,Master_Data!$I:$I,"CHECK",0)</f>
        <v>Shahid Md. Iqbal Hossain</v>
      </c>
      <c r="T132">
        <f>_xlfn.XLOOKUP($A132,Master_Data!$C:$C,Master_Data!$K:$K,"CHECK",0)</f>
        <v>85045</v>
      </c>
      <c r="U132">
        <f>IFERROR(_xlfn.XLOOKUP($A132,Master_Data!$C:$C,Master_Data!$L:$L,"CHECK",0),"")</f>
        <v>39.025610198191089</v>
      </c>
      <c r="V132">
        <f>_xlfn.XLOOKUP($A132,Master_Data!$C:$C,Master_Data!$M:$M,"CHECK",0)</f>
        <v>47831</v>
      </c>
      <c r="W132">
        <f>IFERROR(_xlfn.XLOOKUP($A132,Master_Data!$C:$C,Master_Data!$N:$N,"CHECK",0),"")</f>
        <v>21.948779603617822</v>
      </c>
      <c r="X132" t="str">
        <f>IFERROR(_xlfn.XLOOKUP($A132,Master_Data!$C:$C,Master_Data!$O:$O,"CHECK",0),"No Result")</f>
        <v>Safe Seat</v>
      </c>
      <c r="Y132">
        <f>_xlfn.XLOOKUP($A132,Master_Data!$C:$C,Master_Data!$P:$P,"CHECK",0)</f>
        <v>0</v>
      </c>
      <c r="Z132">
        <f t="shared" si="5"/>
        <v>1</v>
      </c>
    </row>
    <row r="133" spans="1:26">
      <c r="A133" t="str">
        <v>Jashore-6</v>
      </c>
      <c r="B133" t="str" cm="1">
        <f t="array" ref="B1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Nawabganj","Chapainawabganj"),Final_Merged_Data!$B$2:$B$1000=$A133)))</f>
        <v>Jashore</v>
      </c>
      <c r="C133" t="str" cm="1">
        <f t="array" ref="C133">_xlfn.TEXTJOIN(", ",TRUE,_xlfn._xlws.FILTER(Final_Merged_Data!$C$2:$C$1000,Final_Merged_Data!$B$2:$B$1000=$A133))</f>
        <v>Keshabpur</v>
      </c>
      <c r="D133" cm="1">
        <f t="array" ref="D133">COUNTA(_xlfn._xlws.FILTER(Final_Merged_Data!$C$2:$C$1000,Final_Merged_Data!$B$2:$B$1000=$A133))</f>
        <v>1</v>
      </c>
      <c r="E133">
        <f>SUMIFS(Final_Merged_Data!$E:$E,Final_Merged_Data!$B:$B,$A133)</f>
        <v>258.69</v>
      </c>
      <c r="F133">
        <f>SUMIFS(Final_Merged_Data!$F:$F,Final_Merged_Data!$B:$B,$A133)</f>
        <v>280924</v>
      </c>
      <c r="G133">
        <f t="shared" si="4"/>
        <v>1085.9484324867601</v>
      </c>
      <c r="H133" cm="1">
        <f t="array" ref="H133">SUMPRODUCT((Final_Merged_Data!$B$2:$B$1000=$A133)*Final_Merged_Data!$H$2:$H$1000*Final_Merged_Data!$F$2:$F$1000)/F133</f>
        <v>3.75</v>
      </c>
      <c r="I133" cm="1">
        <f t="array" ref="I133">SUMPRODUCT((Final_Merged_Data!$B$2:$B$1000=$A133)*Final_Merged_Data!$I$2:$I$1000*Final_Merged_Data!$F$2:$F$1000)/F133</f>
        <v>74.05</v>
      </c>
      <c r="J133" t="str" cm="1">
        <f t="array" ref="J133">_xlfn.TEXTJOIN(", ",TRUE,_xlfn.UNIQUE(_xlfn._xlws.FILTER(Final_Merged_Data!$J$2:$J$1000,Final_Merged_Data!$B$2:$B$1000=$A133)))</f>
        <v>Khulna Range</v>
      </c>
      <c r="K133" cm="1">
        <f t="array" ref="K133">SUMPRODUCT((Final_Merged_Data!$B$2:$B$1000=$A133)*Final_Merged_Data!$K$2:$K$1000*Final_Merged_Data!$F$2:$F$1000)/F133</f>
        <v>102.32166075410298</v>
      </c>
      <c r="L133" cm="1">
        <f t="array" ref="L133">SUMPRODUCT((Final_Merged_Data!$B$2:$B$1000=$A133)*Final_Merged_Data!$L$2:$L$1000*Final_Merged_Data!$F$2:$F$1000)/F133</f>
        <v>12.212237548443923</v>
      </c>
      <c r="M133" t="str">
        <f>IF(COUNTIF(Master_Data!$C:$C,$A133)&gt;0,"Found","Missing")</f>
        <v>Found</v>
      </c>
      <c r="N133" t="str">
        <f>_xlfn.XLOOKUP($A133,Master_Data!$C:$C,Master_Data!$D:$D,"CHECK",0)</f>
        <v>Md. Mokhtar Ali</v>
      </c>
      <c r="O133" t="str">
        <f>_xlfn.XLOOKUP($A133,Master_Data!$C:$C,Master_Data!$E:$E,"CHECK",0)</f>
        <v>Jamaat</v>
      </c>
      <c r="P133">
        <f>_xlfn.XLOOKUP($A133,Master_Data!$C:$C,Master_Data!$F:$F,"CHECK",0)</f>
        <v>2</v>
      </c>
      <c r="Q133">
        <f>_xlfn.XLOOKUP($A133,Master_Data!$C:$C,Master_Data!$G:$G,"CHECK",0)</f>
        <v>92234</v>
      </c>
      <c r="R133">
        <f>IFERROR(_xlfn.XLOOKUP($A133,Master_Data!$C:$C,Master_Data!$H:$H,"CHECK",0),"")</f>
        <v>53.507759245830314</v>
      </c>
      <c r="S133" t="str">
        <f>_xlfn.XLOOKUP($A133,Master_Data!$C:$C,Master_Data!$I:$I,"CHECK",0)</f>
        <v>Md. Abul Hossain Azad</v>
      </c>
      <c r="T133">
        <f>_xlfn.XLOOKUP($A133,Master_Data!$C:$C,Master_Data!$K:$K,"CHECK",0)</f>
        <v>80141</v>
      </c>
      <c r="U133">
        <f>IFERROR(_xlfn.XLOOKUP($A133,Master_Data!$C:$C,Master_Data!$L:$L,"CHECK",0),"")</f>
        <v>46.492240754169686</v>
      </c>
      <c r="V133">
        <f>_xlfn.XLOOKUP($A133,Master_Data!$C:$C,Master_Data!$M:$M,"CHECK",0)</f>
        <v>12093</v>
      </c>
      <c r="W133">
        <f>IFERROR(_xlfn.XLOOKUP($A133,Master_Data!$C:$C,Master_Data!$N:$N,"CHECK",0),"")</f>
        <v>7.0155184916606235</v>
      </c>
      <c r="X133" t="str">
        <f>IFERROR(_xlfn.XLOOKUP($A133,Master_Data!$C:$C,Master_Data!$O:$O,"CHECK",0),"No Result")</f>
        <v>Safe Seat</v>
      </c>
      <c r="Y133">
        <f>_xlfn.XLOOKUP($A133,Master_Data!$C:$C,Master_Data!$P:$P,"CHECK",0)</f>
        <v>0</v>
      </c>
      <c r="Z133">
        <f t="shared" si="5"/>
        <v>1</v>
      </c>
    </row>
    <row r="134" spans="1:26">
      <c r="A134" t="str">
        <v>Jhalokati-1</v>
      </c>
      <c r="B134" t="str" cm="1">
        <f t="array" ref="B1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Nawabganj","Chapainawabganj"),Final_Merged_Data!$B$2:$B$1000=$A134)))</f>
        <v>Jhalokati</v>
      </c>
      <c r="C134" t="str" cm="1">
        <f t="array" ref="C134">_xlfn.TEXTJOIN(", ",TRUE,_xlfn._xlws.FILTER(Final_Merged_Data!$C$2:$C$1000,Final_Merged_Data!$B$2:$B$1000=$A134))</f>
        <v>Jhalokati Sadar, Nalchity</v>
      </c>
      <c r="D134" cm="1">
        <f t="array" ref="D134">COUNTA(_xlfn._xlws.FILTER(Final_Merged_Data!$C$2:$C$1000,Final_Merged_Data!$B$2:$B$1000=$A134))</f>
        <v>2</v>
      </c>
      <c r="E134">
        <f>SUMIFS(Final_Merged_Data!$E:$E,Final_Merged_Data!$B:$B,$A134)</f>
        <v>747.31999999999994</v>
      </c>
      <c r="F134">
        <f>SUMIFS(Final_Merged_Data!$F:$F,Final_Merged_Data!$B:$B,$A134)</f>
        <v>404797</v>
      </c>
      <c r="G134">
        <f t="shared" si="4"/>
        <v>541.66488251351495</v>
      </c>
      <c r="H134" cm="1">
        <f t="array" ref="H134">SUMPRODUCT((Final_Merged_Data!$B$2:$B$1000=$A134)*Final_Merged_Data!$H$2:$H$1000*Final_Merged_Data!$F$2:$F$1000)/F134</f>
        <v>4.0677170038315502</v>
      </c>
      <c r="I134" cm="1">
        <f t="array" ref="I134">SUMPRODUCT((Final_Merged_Data!$B$2:$B$1000=$A134)*Final_Merged_Data!$I$2:$I$1000*Final_Merged_Data!$F$2:$F$1000)/F134</f>
        <v>83.499949307924723</v>
      </c>
      <c r="J134" t="str" cm="1">
        <f t="array" ref="J134">_xlfn.TEXTJOIN(", ",TRUE,_xlfn.UNIQUE(_xlfn._xlws.FILTER(Final_Merged_Data!$J$2:$J$1000,Final_Merged_Data!$B$2:$B$1000=$A134)))</f>
        <v>Barishal Range</v>
      </c>
      <c r="K134" cm="1">
        <f t="array" ref="K134">SUMPRODUCT((Final_Merged_Data!$B$2:$B$1000=$A134)*Final_Merged_Data!$K$2:$K$1000*Final_Merged_Data!$F$2:$F$1000)/F134</f>
        <v>112.01964836613053</v>
      </c>
      <c r="L134" cm="1">
        <f t="array" ref="L134">SUMPRODUCT((Final_Merged_Data!$B$2:$B$1000=$A134)*Final_Merged_Data!$L$2:$L$1000*Final_Merged_Data!$F$2:$F$1000)/F134</f>
        <v>22.37167391269287</v>
      </c>
      <c r="M134" t="str">
        <f>IF(COUNTIF(Master_Data!$C:$C,$A134)&gt;0,"Found","Missing")</f>
        <v>Found</v>
      </c>
      <c r="N134" t="str">
        <f>_xlfn.XLOOKUP($A134,Master_Data!$C:$C,Master_Data!$D:$D,"CHECK",0)</f>
        <v>Rafiqul Islam Jamal</v>
      </c>
      <c r="O134" t="str">
        <f>_xlfn.XLOOKUP($A134,Master_Data!$C:$C,Master_Data!$E:$E,"CHECK",0)</f>
        <v>BNP</v>
      </c>
      <c r="P134">
        <f>_xlfn.XLOOKUP($A134,Master_Data!$C:$C,Master_Data!$F:$F,"CHECK",0)</f>
        <v>1</v>
      </c>
      <c r="Q134">
        <f>_xlfn.XLOOKUP($A134,Master_Data!$C:$C,Master_Data!$G:$G,"CHECK",0)</f>
        <v>62010</v>
      </c>
      <c r="R134">
        <f>IFERROR(_xlfn.XLOOKUP($A134,Master_Data!$C:$C,Master_Data!$H:$H,"CHECK",0),"")</f>
        <v>52.941176470588239</v>
      </c>
      <c r="S134" t="str">
        <f>_xlfn.XLOOKUP($A134,Master_Data!$C:$C,Master_Data!$I:$I,"CHECK",0)</f>
        <v>Faizul Haque</v>
      </c>
      <c r="T134">
        <f>_xlfn.XLOOKUP($A134,Master_Data!$C:$C,Master_Data!$K:$K,"CHECK",0)</f>
        <v>55120</v>
      </c>
      <c r="U134">
        <f>IFERROR(_xlfn.XLOOKUP($A134,Master_Data!$C:$C,Master_Data!$L:$L,"CHECK",0),"")</f>
        <v>47.058823529411761</v>
      </c>
      <c r="V134">
        <f>_xlfn.XLOOKUP($A134,Master_Data!$C:$C,Master_Data!$M:$M,"CHECK",0)</f>
        <v>6890</v>
      </c>
      <c r="W134">
        <f>IFERROR(_xlfn.XLOOKUP($A134,Master_Data!$C:$C,Master_Data!$N:$N,"CHECK",0),"")</f>
        <v>5.8823529411764701</v>
      </c>
      <c r="X134" t="str">
        <f>IFERROR(_xlfn.XLOOKUP($A134,Master_Data!$C:$C,Master_Data!$O:$O,"CHECK",0),"No Result")</f>
        <v>Safe Seat</v>
      </c>
      <c r="Y134">
        <f>_xlfn.XLOOKUP($A134,Master_Data!$C:$C,Master_Data!$P:$P,"CHECK",0)</f>
        <v>0</v>
      </c>
      <c r="Z134">
        <f t="shared" si="5"/>
        <v>1</v>
      </c>
    </row>
    <row r="135" spans="1:26">
      <c r="A135" t="str">
        <v>Jhalokati-2</v>
      </c>
      <c r="B135" t="str" cm="1">
        <f t="array" ref="B1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Nawabganj","Chapainawabganj"),Final_Merged_Data!$B$2:$B$1000=$A135)))</f>
        <v>Jhalokati</v>
      </c>
      <c r="C135" t="str" cm="1">
        <f t="array" ref="C135">_xlfn.TEXTJOIN(", ",TRUE,_xlfn._xlws.FILTER(Final_Merged_Data!$C$2:$C$1000,Final_Merged_Data!$B$2:$B$1000=$A135))</f>
        <v>Rajapur, Kathalia</v>
      </c>
      <c r="D135" cm="1">
        <f t="array" ref="D135">COUNTA(_xlfn._xlws.FILTER(Final_Merged_Data!$C$2:$C$1000,Final_Merged_Data!$B$2:$B$1000=$A135))</f>
        <v>2</v>
      </c>
      <c r="E135">
        <f>SUMIFS(Final_Merged_Data!$E:$E,Final_Merged_Data!$B:$B,$A135)</f>
        <v>409.53999999999996</v>
      </c>
      <c r="F135">
        <f>SUMIFS(Final_Merged_Data!$F:$F,Final_Merged_Data!$B:$B,$A135)</f>
        <v>256334</v>
      </c>
      <c r="G135">
        <f t="shared" si="4"/>
        <v>625.90711530009287</v>
      </c>
      <c r="H135" cm="1">
        <f t="array" ref="H135">SUMPRODUCT((Final_Merged_Data!$B$2:$B$1000=$A135)*Final_Merged_Data!$H$2:$H$1000*Final_Merged_Data!$F$2:$F$1000)/F135</f>
        <v>3.9472390318880839</v>
      </c>
      <c r="I135" cm="1">
        <f t="array" ref="I135">SUMPRODUCT((Final_Merged_Data!$B$2:$B$1000=$A135)*Final_Merged_Data!$I$2:$I$1000*Final_Merged_Data!$F$2:$F$1000)/F135</f>
        <v>82.739813680588597</v>
      </c>
      <c r="J135" t="str" cm="1">
        <f t="array" ref="J135">_xlfn.TEXTJOIN(", ",TRUE,_xlfn.UNIQUE(_xlfn._xlws.FILTER(Final_Merged_Data!$J$2:$J$1000,Final_Merged_Data!$B$2:$B$1000=$A135)))</f>
        <v>Barishal Range</v>
      </c>
      <c r="K135" cm="1">
        <f t="array" ref="K135">SUMPRODUCT((Final_Merged_Data!$B$2:$B$1000=$A135)*Final_Merged_Data!$K$2:$K$1000*Final_Merged_Data!$F$2:$F$1000)/F135</f>
        <v>112.01964836613054</v>
      </c>
      <c r="L135" cm="1">
        <f t="array" ref="L135">SUMPRODUCT((Final_Merged_Data!$B$2:$B$1000=$A135)*Final_Merged_Data!$L$2:$L$1000*Final_Merged_Data!$F$2:$F$1000)/F135</f>
        <v>22.37167391269287</v>
      </c>
      <c r="M135" t="str">
        <f>IF(COUNTIF(Master_Data!$C:$C,$A135)&gt;0,"Found","Missing")</f>
        <v>Found</v>
      </c>
      <c r="N135" t="str">
        <f>_xlfn.XLOOKUP($A135,Master_Data!$C:$C,Master_Data!$D:$D,"CHECK",0)</f>
        <v>Israt Sultana Ilein Bhutto</v>
      </c>
      <c r="O135" t="str">
        <f>_xlfn.XLOOKUP($A135,Master_Data!$C:$C,Master_Data!$E:$E,"CHECK",0)</f>
        <v>BNP</v>
      </c>
      <c r="P135">
        <f>_xlfn.XLOOKUP($A135,Master_Data!$C:$C,Master_Data!$F:$F,"CHECK",0)</f>
        <v>1</v>
      </c>
      <c r="Q135">
        <f>_xlfn.XLOOKUP($A135,Master_Data!$C:$C,Master_Data!$G:$G,"CHECK",0)</f>
        <v>113419</v>
      </c>
      <c r="R135">
        <f>IFERROR(_xlfn.XLOOKUP($A135,Master_Data!$C:$C,Master_Data!$H:$H,"CHECK",0),"")</f>
        <v>61.649137111020522</v>
      </c>
      <c r="S135" t="str">
        <f>_xlfn.XLOOKUP($A135,Master_Data!$C:$C,Master_Data!$I:$I,"CHECK",0)</f>
        <v>SM Nayeamul Karim</v>
      </c>
      <c r="T135">
        <f>_xlfn.XLOOKUP($A135,Master_Data!$C:$C,Master_Data!$K:$K,"CHECK",0)</f>
        <v>70556</v>
      </c>
      <c r="U135">
        <f>IFERROR(_xlfn.XLOOKUP($A135,Master_Data!$C:$C,Master_Data!$L:$L,"CHECK",0),"")</f>
        <v>38.350862888979478</v>
      </c>
      <c r="V135">
        <f>_xlfn.XLOOKUP($A135,Master_Data!$C:$C,Master_Data!$M:$M,"CHECK",0)</f>
        <v>42863</v>
      </c>
      <c r="W135">
        <f>IFERROR(_xlfn.XLOOKUP($A135,Master_Data!$C:$C,Master_Data!$N:$N,"CHECK",0),"")</f>
        <v>23.298274222041037</v>
      </c>
      <c r="X135" t="str">
        <f>IFERROR(_xlfn.XLOOKUP($A135,Master_Data!$C:$C,Master_Data!$O:$O,"CHECK",0),"No Result")</f>
        <v>Safe Seat</v>
      </c>
      <c r="Y135">
        <f>_xlfn.XLOOKUP($A135,Master_Data!$C:$C,Master_Data!$P:$P,"CHECK",0)</f>
        <v>0</v>
      </c>
      <c r="Z135">
        <f t="shared" si="5"/>
        <v>1</v>
      </c>
    </row>
    <row r="136" spans="1:26">
      <c r="A136" t="str">
        <v>Jhenaidah-1</v>
      </c>
      <c r="B136" t="str" cm="1">
        <f t="array" ref="B1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Nawabganj","Chapainawabganj"),Final_Merged_Data!$B$2:$B$1000=$A136)))</f>
        <v>Jhenaidah</v>
      </c>
      <c r="C136" t="str" cm="1">
        <f t="array" ref="C136">_xlfn.TEXTJOIN(", ",TRUE,_xlfn._xlws.FILTER(Final_Merged_Data!$C$2:$C$1000,Final_Merged_Data!$B$2:$B$1000=$A136))</f>
        <v>Shailkupa</v>
      </c>
      <c r="D136" cm="1">
        <f t="array" ref="D136">COUNTA(_xlfn._xlws.FILTER(Final_Merged_Data!$C$2:$C$1000,Final_Merged_Data!$B$2:$B$1000=$A136))</f>
        <v>1</v>
      </c>
      <c r="E136">
        <f>SUMIFS(Final_Merged_Data!$E:$E,Final_Merged_Data!$B:$B,$A136)</f>
        <v>248.36</v>
      </c>
      <c r="F136">
        <f>SUMIFS(Final_Merged_Data!$F:$F,Final_Merged_Data!$B:$B,$A136)</f>
        <v>406735</v>
      </c>
      <c r="G136">
        <f t="shared" si="4"/>
        <v>1637.6832018038331</v>
      </c>
      <c r="H136" cm="1">
        <f t="array" ref="H136">SUMPRODUCT((Final_Merged_Data!$B$2:$B$1000=$A136)*Final_Merged_Data!$H$2:$H$1000*Final_Merged_Data!$F$2:$F$1000)/F136</f>
        <v>3.95</v>
      </c>
      <c r="I136" cm="1">
        <f t="array" ref="I136">SUMPRODUCT((Final_Merged_Data!$B$2:$B$1000=$A136)*Final_Merged_Data!$I$2:$I$1000*Final_Merged_Data!$F$2:$F$1000)/F136</f>
        <v>71.63</v>
      </c>
      <c r="J136" t="str" cm="1">
        <f t="array" ref="J136">_xlfn.TEXTJOIN(", ",TRUE,_xlfn.UNIQUE(_xlfn._xlws.FILTER(Final_Merged_Data!$J$2:$J$1000,Final_Merged_Data!$B$2:$B$1000=$A136)))</f>
        <v>Khulna Range</v>
      </c>
      <c r="K136" cm="1">
        <f t="array" ref="K136">SUMPRODUCT((Final_Merged_Data!$B$2:$B$1000=$A136)*Final_Merged_Data!$K$2:$K$1000*Final_Merged_Data!$F$2:$F$1000)/F136</f>
        <v>102.32166075410298</v>
      </c>
      <c r="L136" cm="1">
        <f t="array" ref="L136">SUMPRODUCT((Final_Merged_Data!$B$2:$B$1000=$A136)*Final_Merged_Data!$L$2:$L$1000*Final_Merged_Data!$F$2:$F$1000)/F136</f>
        <v>12.212237548443923</v>
      </c>
      <c r="M136" t="str">
        <f>IF(COUNTIF(Master_Data!$C:$C,$A136)&gt;0,"Found","Missing")</f>
        <v>Found</v>
      </c>
      <c r="N136" t="str">
        <f>_xlfn.XLOOKUP($A136,Master_Data!$C:$C,Master_Data!$D:$D,"CHECK",0)</f>
        <v>Md. Asaduzzaman</v>
      </c>
      <c r="O136" t="str">
        <f>_xlfn.XLOOKUP($A136,Master_Data!$C:$C,Master_Data!$E:$E,"CHECK",0)</f>
        <v>BNP</v>
      </c>
      <c r="P136">
        <f>_xlfn.XLOOKUP($A136,Master_Data!$C:$C,Master_Data!$F:$F,"CHECK",0)</f>
        <v>1</v>
      </c>
      <c r="Q136">
        <f>_xlfn.XLOOKUP($A136,Master_Data!$C:$C,Master_Data!$G:$G,"CHECK",0)</f>
        <v>173381</v>
      </c>
      <c r="R136">
        <f>IFERROR(_xlfn.XLOOKUP($A136,Master_Data!$C:$C,Master_Data!$H:$H,"CHECK",0),"")</f>
        <v>75.240413824228852</v>
      </c>
      <c r="S136" t="str">
        <f>_xlfn.XLOOKUP($A136,Master_Data!$C:$C,Master_Data!$I:$I,"CHECK",0)</f>
        <v>Abu Saleh Md. Matiur Rahman</v>
      </c>
      <c r="T136">
        <f>_xlfn.XLOOKUP($A136,Master_Data!$C:$C,Master_Data!$K:$K,"CHECK",0)</f>
        <v>57055</v>
      </c>
      <c r="U136">
        <f>IFERROR(_xlfn.XLOOKUP($A136,Master_Data!$C:$C,Master_Data!$L:$L,"CHECK",0),"")</f>
        <v>24.759586175771148</v>
      </c>
      <c r="V136">
        <f>_xlfn.XLOOKUP($A136,Master_Data!$C:$C,Master_Data!$M:$M,"CHECK",0)</f>
        <v>116326</v>
      </c>
      <c r="W136">
        <f>IFERROR(_xlfn.XLOOKUP($A136,Master_Data!$C:$C,Master_Data!$N:$N,"CHECK",0),"")</f>
        <v>50.480827648457705</v>
      </c>
      <c r="X136" t="str">
        <f>IFERROR(_xlfn.XLOOKUP($A136,Master_Data!$C:$C,Master_Data!$O:$O,"CHECK",0),"No Result")</f>
        <v>Safe Seat</v>
      </c>
      <c r="Y136">
        <f>_xlfn.XLOOKUP($A136,Master_Data!$C:$C,Master_Data!$P:$P,"CHECK",0)</f>
        <v>0</v>
      </c>
      <c r="Z136">
        <f t="shared" si="5"/>
        <v>1</v>
      </c>
    </row>
    <row r="137" spans="1:26">
      <c r="A137" t="str">
        <v>Jhenaidah-2</v>
      </c>
      <c r="B137" t="str" cm="1">
        <f t="array" ref="B1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Nawabganj","Chapainawabganj"),Final_Merged_Data!$B$2:$B$1000=$A137)))</f>
        <v>Jhenaidah</v>
      </c>
      <c r="C137" t="str" cm="1">
        <f t="array" ref="C137">_xlfn.TEXTJOIN(", ",TRUE,_xlfn._xlws.FILTER(Final_Merged_Data!$C$2:$C$1000,Final_Merged_Data!$B$2:$B$1000=$A137))</f>
        <v>Harinakunda, Jhenaidah Sadar</v>
      </c>
      <c r="D137" cm="1">
        <f t="array" ref="D137">COUNTA(_xlfn._xlws.FILTER(Final_Merged_Data!$C$2:$C$1000,Final_Merged_Data!$B$2:$B$1000=$A137))</f>
        <v>2</v>
      </c>
      <c r="E137">
        <f>SUMIFS(Final_Merged_Data!$E:$E,Final_Merged_Data!$B:$B,$A137)</f>
        <v>634.79</v>
      </c>
      <c r="F137">
        <f>SUMIFS(Final_Merged_Data!$F:$F,Final_Merged_Data!$B:$B,$A137)</f>
        <v>762716</v>
      </c>
      <c r="G137">
        <f t="shared" si="4"/>
        <v>1201.5249137510043</v>
      </c>
      <c r="H137" cm="1">
        <f t="array" ref="H137">SUMPRODUCT((Final_Merged_Data!$B$2:$B$1000=$A137)*Final_Merged_Data!$H$2:$H$1000*Final_Merged_Data!$F$2:$F$1000)/F137</f>
        <v>3.7914770897686685</v>
      </c>
      <c r="I137" cm="1">
        <f t="array" ref="I137">SUMPRODUCT((Final_Merged_Data!$B$2:$B$1000=$A137)*Final_Merged_Data!$I$2:$I$1000*Final_Merged_Data!$F$2:$F$1000)/F137</f>
        <v>73.214548377115477</v>
      </c>
      <c r="J137" t="str" cm="1">
        <f t="array" ref="J137">_xlfn.TEXTJOIN(", ",TRUE,_xlfn.UNIQUE(_xlfn._xlws.FILTER(Final_Merged_Data!$J$2:$J$1000,Final_Merged_Data!$B$2:$B$1000=$A137)))</f>
        <v>Khulna Range</v>
      </c>
      <c r="K137" cm="1">
        <f t="array" ref="K137">SUMPRODUCT((Final_Merged_Data!$B$2:$B$1000=$A137)*Final_Merged_Data!$K$2:$K$1000*Final_Merged_Data!$F$2:$F$1000)/F137</f>
        <v>102.32166075410298</v>
      </c>
      <c r="L137" cm="1">
        <f t="array" ref="L137">SUMPRODUCT((Final_Merged_Data!$B$2:$B$1000=$A137)*Final_Merged_Data!$L$2:$L$1000*Final_Merged_Data!$F$2:$F$1000)/F137</f>
        <v>12.212237548443921</v>
      </c>
      <c r="M137" t="str">
        <f>IF(COUNTIF(Master_Data!$C:$C,$A137)&gt;0,"Found","Missing")</f>
        <v>Found</v>
      </c>
      <c r="N137" t="str">
        <f>_xlfn.XLOOKUP($A137,Master_Data!$C:$C,Master_Data!$D:$D,"CHECK",0)</f>
        <v>Ali Azam Md. Abu Bakr</v>
      </c>
      <c r="O137" t="str">
        <f>_xlfn.XLOOKUP($A137,Master_Data!$C:$C,Master_Data!$E:$E,"CHECK",0)</f>
        <v>Jamaat</v>
      </c>
      <c r="P137">
        <f>_xlfn.XLOOKUP($A137,Master_Data!$C:$C,Master_Data!$F:$F,"CHECK",0)</f>
        <v>2</v>
      </c>
      <c r="Q137">
        <f>_xlfn.XLOOKUP($A137,Master_Data!$C:$C,Master_Data!$G:$G,"CHECK",0)</f>
        <v>195702</v>
      </c>
      <c r="R137">
        <f>IFERROR(_xlfn.XLOOKUP($A137,Master_Data!$C:$C,Master_Data!$H:$H,"CHECK",0),"")</f>
        <v>52.652507761928078</v>
      </c>
      <c r="S137" t="str">
        <f>_xlfn.XLOOKUP($A137,Master_Data!$C:$C,Master_Data!$I:$I,"CHECK",0)</f>
        <v>Md. Abdul Majeed</v>
      </c>
      <c r="T137">
        <f>_xlfn.XLOOKUP($A137,Master_Data!$C:$C,Master_Data!$K:$K,"CHECK",0)</f>
        <v>175984</v>
      </c>
      <c r="U137">
        <f>IFERROR(_xlfn.XLOOKUP($A137,Master_Data!$C:$C,Master_Data!$L:$L,"CHECK",0),"")</f>
        <v>47.347492238071922</v>
      </c>
      <c r="V137">
        <f>_xlfn.XLOOKUP($A137,Master_Data!$C:$C,Master_Data!$M:$M,"CHECK",0)</f>
        <v>19718</v>
      </c>
      <c r="W137">
        <f>IFERROR(_xlfn.XLOOKUP($A137,Master_Data!$C:$C,Master_Data!$N:$N,"CHECK",0),"")</f>
        <v>5.3050155238561585</v>
      </c>
      <c r="X137" t="str">
        <f>IFERROR(_xlfn.XLOOKUP($A137,Master_Data!$C:$C,Master_Data!$O:$O,"CHECK",0),"No Result")</f>
        <v>Safe Seat</v>
      </c>
      <c r="Y137">
        <f>_xlfn.XLOOKUP($A137,Master_Data!$C:$C,Master_Data!$P:$P,"CHECK",0)</f>
        <v>0</v>
      </c>
      <c r="Z137">
        <f t="shared" si="5"/>
        <v>1</v>
      </c>
    </row>
    <row r="138" spans="1:26">
      <c r="A138" t="str">
        <v>Jhenaidah-3</v>
      </c>
      <c r="B138" t="str" cm="1">
        <f t="array" ref="B1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Nawabganj","Chapainawabganj"),Final_Merged_Data!$B$2:$B$1000=$A138)))</f>
        <v>Jhenaidah</v>
      </c>
      <c r="C138" t="str" cm="1">
        <f t="array" ref="C138">_xlfn.TEXTJOIN(", ",TRUE,_xlfn._xlws.FILTER(Final_Merged_Data!$C$2:$C$1000,Final_Merged_Data!$B$2:$B$1000=$A138))</f>
        <v>Kotchandpur, Maheshpur</v>
      </c>
      <c r="D138" cm="1">
        <f t="array" ref="D138">COUNTA(_xlfn._xlws.FILTER(Final_Merged_Data!$C$2:$C$1000,Final_Merged_Data!$B$2:$B$1000=$A138))</f>
        <v>2</v>
      </c>
      <c r="E138">
        <f>SUMIFS(Final_Merged_Data!$E:$E,Final_Merged_Data!$B:$B,$A138)</f>
        <v>758.56</v>
      </c>
      <c r="F138">
        <f>SUMIFS(Final_Merged_Data!$F:$F,Final_Merged_Data!$B:$B,$A138)</f>
        <v>527809</v>
      </c>
      <c r="G138">
        <f t="shared" si="4"/>
        <v>695.8038915840541</v>
      </c>
      <c r="H138" cm="1">
        <f t="array" ref="H138">SUMPRODUCT((Final_Merged_Data!$B$2:$B$1000=$A138)*Final_Merged_Data!$H$2:$H$1000*Final_Merged_Data!$F$2:$F$1000)/F138</f>
        <v>3.7707609191961482</v>
      </c>
      <c r="I138" cm="1">
        <f t="array" ref="I138">SUMPRODUCT((Final_Merged_Data!$B$2:$B$1000=$A138)*Final_Merged_Data!$I$2:$I$1000*Final_Merged_Data!$F$2:$F$1000)/F138</f>
        <v>71.961167467777173</v>
      </c>
      <c r="J138" t="str" cm="1">
        <f t="array" ref="J138">_xlfn.TEXTJOIN(", ",TRUE,_xlfn.UNIQUE(_xlfn._xlws.FILTER(Final_Merged_Data!$J$2:$J$1000,Final_Merged_Data!$B$2:$B$1000=$A138)))</f>
        <v>Khulna Range</v>
      </c>
      <c r="K138" cm="1">
        <f t="array" ref="K138">SUMPRODUCT((Final_Merged_Data!$B$2:$B$1000=$A138)*Final_Merged_Data!$K$2:$K$1000*Final_Merged_Data!$F$2:$F$1000)/F138</f>
        <v>102.32166075410299</v>
      </c>
      <c r="L138" cm="1">
        <f t="array" ref="L138">SUMPRODUCT((Final_Merged_Data!$B$2:$B$1000=$A138)*Final_Merged_Data!$L$2:$L$1000*Final_Merged_Data!$F$2:$F$1000)/F138</f>
        <v>12.212237548443923</v>
      </c>
      <c r="M138" t="str">
        <f>IF(COUNTIF(Master_Data!$C:$C,$A138)&gt;0,"Found","Missing")</f>
        <v>Found</v>
      </c>
      <c r="N138" t="str">
        <f>_xlfn.XLOOKUP($A138,Master_Data!$C:$C,Master_Data!$D:$D,"CHECK",0)</f>
        <v>Md. Motiyar Rahman</v>
      </c>
      <c r="O138" t="str">
        <f>_xlfn.XLOOKUP($A138,Master_Data!$C:$C,Master_Data!$E:$E,"CHECK",0)</f>
        <v>Jamaat</v>
      </c>
      <c r="P138">
        <f>_xlfn.XLOOKUP($A138,Master_Data!$C:$C,Master_Data!$F:$F,"CHECK",0)</f>
        <v>2</v>
      </c>
      <c r="Q138">
        <f>_xlfn.XLOOKUP($A138,Master_Data!$C:$C,Master_Data!$G:$G,"CHECK",0)</f>
        <v>175857</v>
      </c>
      <c r="R138">
        <f>IFERROR(_xlfn.XLOOKUP($A138,Master_Data!$C:$C,Master_Data!$H:$H,"CHECK",0),"")</f>
        <v>53.997199688035423</v>
      </c>
      <c r="S138" t="str">
        <f>_xlfn.XLOOKUP($A138,Master_Data!$C:$C,Master_Data!$I:$I,"CHECK",0)</f>
        <v>Mohammad Mehdi Hasan</v>
      </c>
      <c r="T138">
        <f>_xlfn.XLOOKUP($A138,Master_Data!$C:$C,Master_Data!$K:$K,"CHECK",0)</f>
        <v>149821</v>
      </c>
      <c r="U138">
        <f>IFERROR(_xlfn.XLOOKUP($A138,Master_Data!$C:$C,Master_Data!$L:$L,"CHECK",0),"")</f>
        <v>46.002800311964585</v>
      </c>
      <c r="V138">
        <f>_xlfn.XLOOKUP($A138,Master_Data!$C:$C,Master_Data!$M:$M,"CHECK",0)</f>
        <v>26036</v>
      </c>
      <c r="W138">
        <f>IFERROR(_xlfn.XLOOKUP($A138,Master_Data!$C:$C,Master_Data!$N:$N,"CHECK",0),"")</f>
        <v>7.9943993760708434</v>
      </c>
      <c r="X138" t="str">
        <f>IFERROR(_xlfn.XLOOKUP($A138,Master_Data!$C:$C,Master_Data!$O:$O,"CHECK",0),"No Result")</f>
        <v>Safe Seat</v>
      </c>
      <c r="Y138">
        <f>_xlfn.XLOOKUP($A138,Master_Data!$C:$C,Master_Data!$P:$P,"CHECK",0)</f>
        <v>0</v>
      </c>
      <c r="Z138">
        <f t="shared" si="5"/>
        <v>1</v>
      </c>
    </row>
    <row r="139" spans="1:26">
      <c r="A139" t="str">
        <v>Jhenaidah-4</v>
      </c>
      <c r="B139" t="str" cm="1">
        <f t="array" ref="B1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Nawabganj","Chapainawabganj"),Final_Merged_Data!$B$2:$B$1000=$A139)))</f>
        <v>Jhenaidah</v>
      </c>
      <c r="C139" t="str" cm="1">
        <f t="array" ref="C139">_xlfn.TEXTJOIN(", ",TRUE,_xlfn._xlws.FILTER(Final_Merged_Data!$C$2:$C$1000,Final_Merged_Data!$B$2:$B$1000=$A139))</f>
        <v>Kaliganj</v>
      </c>
      <c r="D139" cm="1">
        <f t="array" ref="D139">COUNTA(_xlfn._xlws.FILTER(Final_Merged_Data!$C$2:$C$1000,Final_Merged_Data!$B$2:$B$1000=$A139))</f>
        <v>1</v>
      </c>
      <c r="E139">
        <f>SUMIFS(Final_Merged_Data!$E:$E,Final_Merged_Data!$B:$B,$A139)</f>
        <v>236.67</v>
      </c>
      <c r="F139">
        <f>SUMIFS(Final_Merged_Data!$F:$F,Final_Merged_Data!$B:$B,$A139)</f>
        <v>310943</v>
      </c>
      <c r="G139">
        <f t="shared" si="4"/>
        <v>1313.8251573921495</v>
      </c>
      <c r="H139" cm="1">
        <f t="array" ref="H139">SUMPRODUCT((Final_Merged_Data!$B$2:$B$1000=$A139)*Final_Merged_Data!$H$2:$H$1000*Final_Merged_Data!$F$2:$F$1000)/F139</f>
        <v>3.9699999999999998</v>
      </c>
      <c r="I139" cm="1">
        <f t="array" ref="I139">SUMPRODUCT((Final_Merged_Data!$B$2:$B$1000=$A139)*Final_Merged_Data!$I$2:$I$1000*Final_Merged_Data!$F$2:$F$1000)/F139</f>
        <v>79.58</v>
      </c>
      <c r="J139" t="str" cm="1">
        <f t="array" ref="J139">_xlfn.TEXTJOIN(", ",TRUE,_xlfn.UNIQUE(_xlfn._xlws.FILTER(Final_Merged_Data!$J$2:$J$1000,Final_Merged_Data!$B$2:$B$1000=$A139)))</f>
        <v>Khulna Range</v>
      </c>
      <c r="K139" cm="1">
        <f t="array" ref="K139">SUMPRODUCT((Final_Merged_Data!$B$2:$B$1000=$A139)*Final_Merged_Data!$K$2:$K$1000*Final_Merged_Data!$F$2:$F$1000)/F139</f>
        <v>102.32166075410298</v>
      </c>
      <c r="L139" cm="1">
        <f t="array" ref="L139">SUMPRODUCT((Final_Merged_Data!$B$2:$B$1000=$A139)*Final_Merged_Data!$L$2:$L$1000*Final_Merged_Data!$F$2:$F$1000)/F139</f>
        <v>12.212237548443923</v>
      </c>
      <c r="M139" t="str">
        <f>IF(COUNTIF(Master_Data!$C:$C,$A139)&gt;0,"Found","Missing")</f>
        <v>Found</v>
      </c>
      <c r="N139" t="str">
        <f>_xlfn.XLOOKUP($A139,Master_Data!$C:$C,Master_Data!$D:$D,"CHECK",0)</f>
        <v>Md. Abu Talib</v>
      </c>
      <c r="O139" t="str">
        <f>_xlfn.XLOOKUP($A139,Master_Data!$C:$C,Master_Data!$E:$E,"CHECK",0)</f>
        <v>Jamaat</v>
      </c>
      <c r="P139">
        <f>_xlfn.XLOOKUP($A139,Master_Data!$C:$C,Master_Data!$F:$F,"CHECK",0)</f>
        <v>2</v>
      </c>
      <c r="Q139">
        <f>_xlfn.XLOOKUP($A139,Master_Data!$C:$C,Master_Data!$G:$G,"CHECK",0)</f>
        <v>105999</v>
      </c>
      <c r="R139">
        <f>IFERROR(_xlfn.XLOOKUP($A139,Master_Data!$C:$C,Master_Data!$H:$H,"CHECK",0),"")</f>
        <v>57.890367716531131</v>
      </c>
      <c r="S139" t="str">
        <f>_xlfn.XLOOKUP($A139,Master_Data!$C:$C,Master_Data!$I:$I,"CHECK",0)</f>
        <v>Md. Saiful Islam Feroze</v>
      </c>
      <c r="T139">
        <f>_xlfn.XLOOKUP($A139,Master_Data!$C:$C,Master_Data!$K:$K,"CHECK",0)</f>
        <v>77104</v>
      </c>
      <c r="U139">
        <f>IFERROR(_xlfn.XLOOKUP($A139,Master_Data!$C:$C,Master_Data!$L:$L,"CHECK",0),"")</f>
        <v>42.109632283468869</v>
      </c>
      <c r="V139">
        <f>_xlfn.XLOOKUP($A139,Master_Data!$C:$C,Master_Data!$M:$M,"CHECK",0)</f>
        <v>28895</v>
      </c>
      <c r="W139">
        <f>IFERROR(_xlfn.XLOOKUP($A139,Master_Data!$C:$C,Master_Data!$N:$N,"CHECK",0),"")</f>
        <v>15.780735433062265</v>
      </c>
      <c r="X139" t="str">
        <f>IFERROR(_xlfn.XLOOKUP($A139,Master_Data!$C:$C,Master_Data!$O:$O,"CHECK",0),"No Result")</f>
        <v>Safe Seat</v>
      </c>
      <c r="Y139">
        <f>_xlfn.XLOOKUP($A139,Master_Data!$C:$C,Master_Data!$P:$P,"CHECK",0)</f>
        <v>0</v>
      </c>
      <c r="Z139">
        <f t="shared" si="5"/>
        <v>1</v>
      </c>
    </row>
    <row r="140" spans="1:26">
      <c r="A140" t="str">
        <v>Joypurhat-1</v>
      </c>
      <c r="B140" t="str" cm="1">
        <f t="array" ref="B1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Nawabganj","Chapainawabganj"),Final_Merged_Data!$B$2:$B$1000=$A140)))</f>
        <v>Joypurhat</v>
      </c>
      <c r="C140" t="str" cm="1">
        <f t="array" ref="C140">_xlfn.TEXTJOIN(", ",TRUE,_xlfn._xlws.FILTER(Final_Merged_Data!$C$2:$C$1000,Final_Merged_Data!$B$2:$B$1000=$A140))</f>
        <v>Joypurhat Sadar, Panchbibi</v>
      </c>
      <c r="D140" cm="1">
        <f t="array" ref="D140">COUNTA(_xlfn._xlws.FILTER(Final_Merged_Data!$C$2:$C$1000,Final_Merged_Data!$B$2:$B$1000=$A140))</f>
        <v>2</v>
      </c>
      <c r="E140">
        <f>SUMIFS(Final_Merged_Data!$E:$E,Final_Merged_Data!$B:$B,$A140)</f>
        <v>524.85</v>
      </c>
      <c r="F140">
        <f>SUMIFS(Final_Merged_Data!$F:$F,Final_Merged_Data!$B:$B,$A140)</f>
        <v>554782</v>
      </c>
      <c r="G140">
        <f t="shared" si="4"/>
        <v>1057.0296275126227</v>
      </c>
      <c r="H140" cm="1">
        <f t="array" ref="H140">SUMPRODUCT((Final_Merged_Data!$B$2:$B$1000=$A140)*Final_Merged_Data!$H$2:$H$1000*Final_Merged_Data!$F$2:$F$1000)/F140</f>
        <v>3.5556813487099435</v>
      </c>
      <c r="I140" cm="1">
        <f t="array" ref="I140">SUMPRODUCT((Final_Merged_Data!$B$2:$B$1000=$A140)*Final_Merged_Data!$I$2:$I$1000*Final_Merged_Data!$F$2:$F$1000)/F140</f>
        <v>75.27551609461014</v>
      </c>
      <c r="J140" t="str" cm="1">
        <f t="array" ref="J140">_xlfn.TEXTJOIN(", ",TRUE,_xlfn.UNIQUE(_xlfn._xlws.FILTER(Final_Merged_Data!$J$2:$J$1000,Final_Merged_Data!$B$2:$B$1000=$A140)))</f>
        <v>Rajshahi Range</v>
      </c>
      <c r="K140" cm="1">
        <f t="array" ref="K140">SUMPRODUCT((Final_Merged_Data!$B$2:$B$1000=$A140)*Final_Merged_Data!$K$2:$K$1000*Final_Merged_Data!$F$2:$F$1000)/F140</f>
        <v>112.81411131450233</v>
      </c>
      <c r="L140" cm="1">
        <f t="array" ref="L140">SUMPRODUCT((Final_Merged_Data!$B$2:$B$1000=$A140)*Final_Merged_Data!$L$2:$L$1000*Final_Merged_Data!$F$2:$F$1000)/F140</f>
        <v>14.272851259111949</v>
      </c>
      <c r="M140" t="str">
        <f>IF(COUNTIF(Master_Data!$C:$C,$A140)&gt;0,"Found","Missing")</f>
        <v>Found</v>
      </c>
      <c r="N140" t="str">
        <f>_xlfn.XLOOKUP($A140,Master_Data!$C:$C,Master_Data!$D:$D,"CHECK",0)</f>
        <v>Md. Fazlur Rahman Sayeed</v>
      </c>
      <c r="O140" t="str">
        <f>_xlfn.XLOOKUP($A140,Master_Data!$C:$C,Master_Data!$E:$E,"CHECK",0)</f>
        <v>Jamaat</v>
      </c>
      <c r="P140">
        <f>_xlfn.XLOOKUP($A140,Master_Data!$C:$C,Master_Data!$F:$F,"CHECK",0)</f>
        <v>2</v>
      </c>
      <c r="Q140">
        <f>_xlfn.XLOOKUP($A140,Master_Data!$C:$C,Master_Data!$G:$G,"CHECK",0)</f>
        <v>165192</v>
      </c>
      <c r="R140">
        <f>IFERROR(_xlfn.XLOOKUP($A140,Master_Data!$C:$C,Master_Data!$H:$H,"CHECK",0),"")</f>
        <v>51.54180486176331</v>
      </c>
      <c r="S140" t="str">
        <f>_xlfn.XLOOKUP($A140,Master_Data!$C:$C,Master_Data!$I:$I,"CHECK",0)</f>
        <v>Md. Masud Rana Pradhan</v>
      </c>
      <c r="T140">
        <f>_xlfn.XLOOKUP($A140,Master_Data!$C:$C,Master_Data!$K:$K,"CHECK",0)</f>
        <v>155309</v>
      </c>
      <c r="U140">
        <f>IFERROR(_xlfn.XLOOKUP($A140,Master_Data!$C:$C,Master_Data!$L:$L,"CHECK",0),"")</f>
        <v>48.458195138236697</v>
      </c>
      <c r="V140">
        <f>_xlfn.XLOOKUP($A140,Master_Data!$C:$C,Master_Data!$M:$M,"CHECK",0)</f>
        <v>9883</v>
      </c>
      <c r="W140">
        <f>IFERROR(_xlfn.XLOOKUP($A140,Master_Data!$C:$C,Master_Data!$N:$N,"CHECK",0),"")</f>
        <v>3.0836097235266036</v>
      </c>
      <c r="X140" t="str">
        <f>IFERROR(_xlfn.XLOOKUP($A140,Master_Data!$C:$C,Master_Data!$O:$O,"CHECK",0),"No Result")</f>
        <v>Highly Competitive</v>
      </c>
      <c r="Y140">
        <f>_xlfn.XLOOKUP($A140,Master_Data!$C:$C,Master_Data!$P:$P,"CHECK",0)</f>
        <v>0</v>
      </c>
      <c r="Z140">
        <f t="shared" si="5"/>
        <v>1</v>
      </c>
    </row>
    <row r="141" spans="1:26">
      <c r="A141" t="str">
        <v>Joypurhat-2</v>
      </c>
      <c r="B141" t="str" cm="1">
        <f t="array" ref="B1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Nawabganj","Chapainawabganj"),Final_Merged_Data!$B$2:$B$1000=$A141)))</f>
        <v>Joypurhat</v>
      </c>
      <c r="C141" t="str" cm="1">
        <f t="array" ref="C141">_xlfn.TEXTJOIN(", ",TRUE,_xlfn._xlws.FILTER(Final_Merged_Data!$C$2:$C$1000,Final_Merged_Data!$B$2:$B$1000=$A141))</f>
        <v>Akkelpur, Kalai, Khetlal</v>
      </c>
      <c r="D141" cm="1">
        <f t="array" ref="D141">COUNTA(_xlfn._xlws.FILTER(Final_Merged_Data!$C$2:$C$1000,Final_Merged_Data!$B$2:$B$1000=$A141))</f>
        <v>3</v>
      </c>
      <c r="E141">
        <f>SUMIFS(Final_Merged_Data!$E:$E,Final_Merged_Data!$B:$B,$A141)</f>
        <v>448.83000000000004</v>
      </c>
      <c r="F141">
        <f>SUMIFS(Final_Merged_Data!$F:$F,Final_Merged_Data!$B:$B,$A141)</f>
        <v>401560</v>
      </c>
      <c r="G141">
        <f t="shared" si="4"/>
        <v>894.68172804848155</v>
      </c>
      <c r="H141" cm="1">
        <f t="array" ref="H141">SUMPRODUCT((Final_Merged_Data!$B$2:$B$1000=$A141)*Final_Merged_Data!$H$2:$H$1000*Final_Merged_Data!$F$2:$F$1000)/F141</f>
        <v>3.4214183932662618</v>
      </c>
      <c r="I141" cm="1">
        <f t="array" ref="I141">SUMPRODUCT((Final_Merged_Data!$B$2:$B$1000=$A141)*Final_Merged_Data!$I$2:$I$1000*Final_Merged_Data!$F$2:$F$1000)/F141</f>
        <v>71.599053043131789</v>
      </c>
      <c r="J141" t="str" cm="1">
        <f t="array" ref="J141">_xlfn.TEXTJOIN(", ",TRUE,_xlfn.UNIQUE(_xlfn._xlws.FILTER(Final_Merged_Data!$J$2:$J$1000,Final_Merged_Data!$B$2:$B$1000=$A141)))</f>
        <v>Rajshahi Range</v>
      </c>
      <c r="K141" cm="1">
        <f t="array" ref="K141">SUMPRODUCT((Final_Merged_Data!$B$2:$B$1000=$A141)*Final_Merged_Data!$K$2:$K$1000*Final_Merged_Data!$F$2:$F$1000)/F141</f>
        <v>112.81411131450233</v>
      </c>
      <c r="L141" cm="1">
        <f t="array" ref="L141">SUMPRODUCT((Final_Merged_Data!$B$2:$B$1000=$A141)*Final_Merged_Data!$L$2:$L$1000*Final_Merged_Data!$F$2:$F$1000)/F141</f>
        <v>14.272851259111949</v>
      </c>
      <c r="M141" t="str">
        <f>IF(COUNTIF(Master_Data!$C:$C,$A141)&gt;0,"Found","Missing")</f>
        <v>Found</v>
      </c>
      <c r="N141" t="str">
        <f>_xlfn.XLOOKUP($A141,Master_Data!$C:$C,Master_Data!$D:$D,"CHECK",0)</f>
        <v>Md. Abdul Bari</v>
      </c>
      <c r="O141" t="str">
        <f>_xlfn.XLOOKUP($A141,Master_Data!$C:$C,Master_Data!$E:$E,"CHECK",0)</f>
        <v>BNP</v>
      </c>
      <c r="P141">
        <f>_xlfn.XLOOKUP($A141,Master_Data!$C:$C,Master_Data!$F:$F,"CHECK",0)</f>
        <v>1</v>
      </c>
      <c r="Q141">
        <f>_xlfn.XLOOKUP($A141,Master_Data!$C:$C,Master_Data!$G:$G,"CHECK",0)</f>
        <v>158065</v>
      </c>
      <c r="R141">
        <f>IFERROR(_xlfn.XLOOKUP($A141,Master_Data!$C:$C,Master_Data!$H:$H,"CHECK",0),"")</f>
        <v>63.079151734761474</v>
      </c>
      <c r="S141" t="str">
        <f>_xlfn.XLOOKUP($A141,Master_Data!$C:$C,Master_Data!$I:$I,"CHECK",0)</f>
        <v>SM Rashedul Alam</v>
      </c>
      <c r="T141">
        <f>_xlfn.XLOOKUP($A141,Master_Data!$C:$C,Master_Data!$K:$K,"CHECK",0)</f>
        <v>92517</v>
      </c>
      <c r="U141">
        <f>IFERROR(_xlfn.XLOOKUP($A141,Master_Data!$C:$C,Master_Data!$L:$L,"CHECK",0),"")</f>
        <v>36.920848265238526</v>
      </c>
      <c r="V141">
        <f>_xlfn.XLOOKUP($A141,Master_Data!$C:$C,Master_Data!$M:$M,"CHECK",0)</f>
        <v>65548</v>
      </c>
      <c r="W141">
        <f>IFERROR(_xlfn.XLOOKUP($A141,Master_Data!$C:$C,Master_Data!$N:$N,"CHECK",0),"")</f>
        <v>26.158303469522952</v>
      </c>
      <c r="X141" t="str">
        <f>IFERROR(_xlfn.XLOOKUP($A141,Master_Data!$C:$C,Master_Data!$O:$O,"CHECK",0),"No Result")</f>
        <v>Safe Seat</v>
      </c>
      <c r="Y141">
        <f>_xlfn.XLOOKUP($A141,Master_Data!$C:$C,Master_Data!$P:$P,"CHECK",0)</f>
        <v>0</v>
      </c>
      <c r="Z141">
        <f t="shared" si="5"/>
        <v>1</v>
      </c>
    </row>
    <row r="142" spans="1:26">
      <c r="A142" t="str">
        <v>Khagrachhari-1</v>
      </c>
      <c r="B142" t="str" cm="1">
        <f t="array" ref="B1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Nawabganj","Chapainawabganj"),Final_Merged_Data!$B$2:$B$1000=$A142)))</f>
        <v>Khagrachhari</v>
      </c>
      <c r="C142" t="str" cm="1">
        <f t="array" ref="C142">_xlfn.TEXTJOIN(", ",TRUE,_xlfn._xlws.FILTER(Final_Merged_Data!$C$2:$C$1000,Final_Merged_Data!$B$2:$B$1000=$A142))</f>
        <v>Khagrachhari Sadar, Dighinala, Panchhari, Mahalchhari, Matiranga, Ramgarh, Manikchhari, Lakshmichhari</v>
      </c>
      <c r="D142" cm="1">
        <f t="array" ref="D142">COUNTA(_xlfn._xlws.FILTER(Final_Merged_Data!$C$2:$C$1000,Final_Merged_Data!$B$2:$B$1000=$A142))</f>
        <v>8</v>
      </c>
      <c r="E142">
        <f>SUMIFS(Final_Merged_Data!$E:$E,Final_Merged_Data!$B:$B,$A142)</f>
        <v>3674.1699999999996</v>
      </c>
      <c r="F142">
        <f>SUMIFS(Final_Merged_Data!$F:$F,Final_Merged_Data!$B:$B,$A142)</f>
        <v>660829</v>
      </c>
      <c r="G142">
        <f t="shared" si="4"/>
        <v>179.85803596458521</v>
      </c>
      <c r="H142" cm="1">
        <f t="array" ref="H142">SUMPRODUCT((Final_Merged_Data!$B$2:$B$1000=$A142)*Final_Merged_Data!$H$2:$H$1000*Final_Merged_Data!$F$2:$F$1000)/F142</f>
        <v>4.1383026017320672</v>
      </c>
      <c r="I142" cm="1">
        <f t="array" ref="I142">SUMPRODUCT((Final_Merged_Data!$B$2:$B$1000=$A142)*Final_Merged_Data!$I$2:$I$1000*Final_Merged_Data!$F$2:$F$1000)/F142</f>
        <v>72.231419883207309</v>
      </c>
      <c r="J142" t="str" cm="1">
        <f t="array" ref="J142">_xlfn.TEXTJOIN(", ",TRUE,_xlfn.UNIQUE(_xlfn._xlws.FILTER(Final_Merged_Data!$J$2:$J$1000,Final_Merged_Data!$B$2:$B$1000=$A142)))</f>
        <v>Chittagong Range</v>
      </c>
      <c r="K142" cm="1">
        <f t="array" ref="K142">SUMPRODUCT((Final_Merged_Data!$B$2:$B$1000=$A142)*Final_Merged_Data!$K$2:$K$1000*Final_Merged_Data!$F$2:$F$1000)/F142</f>
        <v>84.879645400600893</v>
      </c>
      <c r="L142" cm="1">
        <f t="array" ref="L142">SUMPRODUCT((Final_Merged_Data!$B$2:$B$1000=$A142)*Final_Merged_Data!$L$2:$L$1000*Final_Merged_Data!$F$2:$F$1000)/F142</f>
        <v>10.309673910686191</v>
      </c>
      <c r="M142" t="str">
        <f>IF(COUNTIF(Master_Data!$C:$C,$A142)&gt;0,"Found","Missing")</f>
        <v>Found</v>
      </c>
      <c r="N142" t="str">
        <f>_xlfn.XLOOKUP($A142,Master_Data!$C:$C,Master_Data!$D:$D,"CHECK",0)</f>
        <v>Wadud Bhuiyan</v>
      </c>
      <c r="O142" t="str">
        <f>_xlfn.XLOOKUP($A142,Master_Data!$C:$C,Master_Data!$E:$E,"CHECK",0)</f>
        <v>BNP</v>
      </c>
      <c r="P142">
        <f>_xlfn.XLOOKUP($A142,Master_Data!$C:$C,Master_Data!$F:$F,"CHECK",0)</f>
        <v>1</v>
      </c>
      <c r="Q142">
        <f>_xlfn.XLOOKUP($A142,Master_Data!$C:$C,Master_Data!$G:$G,"CHECK",0)</f>
        <v>151040</v>
      </c>
      <c r="R142">
        <f>IFERROR(_xlfn.XLOOKUP($A142,Master_Data!$C:$C,Master_Data!$H:$H,"CHECK",0),"")</f>
        <v>68.856419958514735</v>
      </c>
      <c r="S142" t="str">
        <f>_xlfn.XLOOKUP($A142,Master_Data!$C:$C,Master_Data!$I:$I,"CHECK",0)</f>
        <v>Dharma Jyoti Chakma</v>
      </c>
      <c r="T142">
        <f>_xlfn.XLOOKUP($A142,Master_Data!$C:$C,Master_Data!$K:$K,"CHECK",0)</f>
        <v>68315</v>
      </c>
      <c r="U142">
        <f>IFERROR(_xlfn.XLOOKUP($A142,Master_Data!$C:$C,Master_Data!$L:$L,"CHECK",0),"")</f>
        <v>31.143580041485265</v>
      </c>
      <c r="V142">
        <f>_xlfn.XLOOKUP($A142,Master_Data!$C:$C,Master_Data!$M:$M,"CHECK",0)</f>
        <v>82725</v>
      </c>
      <c r="W142">
        <f>IFERROR(_xlfn.XLOOKUP($A142,Master_Data!$C:$C,Master_Data!$N:$N,"CHECK",0),"")</f>
        <v>37.71283991702947</v>
      </c>
      <c r="X142" t="str">
        <f>IFERROR(_xlfn.XLOOKUP($A142,Master_Data!$C:$C,Master_Data!$O:$O,"CHECK",0),"No Result")</f>
        <v>Safe Seat</v>
      </c>
      <c r="Y142">
        <f>_xlfn.XLOOKUP($A142,Master_Data!$C:$C,Master_Data!$P:$P,"CHECK",0)</f>
        <v>0</v>
      </c>
      <c r="Z142">
        <f t="shared" si="5"/>
        <v>1</v>
      </c>
    </row>
    <row r="143" spans="1:26">
      <c r="A143" t="str">
        <v>Khulna-1</v>
      </c>
      <c r="B143" t="str" cm="1">
        <f t="array" ref="B1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Nawabganj","Chapainawabganj"),Final_Merged_Data!$B$2:$B$1000=$A143)))</f>
        <v>Khulna</v>
      </c>
      <c r="C143" t="str" cm="1">
        <f t="array" ref="C143">_xlfn.TEXTJOIN(", ",TRUE,_xlfn._xlws.FILTER(Final_Merged_Data!$C$2:$C$1000,Final_Merged_Data!$B$2:$B$1000=$A143))</f>
        <v>Dacope</v>
      </c>
      <c r="D143" cm="1">
        <f t="array" ref="D143">COUNTA(_xlfn._xlws.FILTER(Final_Merged_Data!$C$2:$C$1000,Final_Merged_Data!$B$2:$B$1000=$A143))</f>
        <v>1</v>
      </c>
      <c r="E143">
        <f>SUMIFS(Final_Merged_Data!$E:$E,Final_Merged_Data!$B:$B,$A143)</f>
        <v>454.23</v>
      </c>
      <c r="F143">
        <f>SUMIFS(Final_Merged_Data!$F:$F,Final_Merged_Data!$B:$B,$A143)</f>
        <v>159362</v>
      </c>
      <c r="G143">
        <f t="shared" si="4"/>
        <v>350.83988287871784</v>
      </c>
      <c r="H143" cm="1">
        <f t="array" ref="H143">SUMPRODUCT((Final_Merged_Data!$B$2:$B$1000=$A143)*Final_Merged_Data!$H$2:$H$1000*Final_Merged_Data!$F$2:$F$1000)/F143</f>
        <v>3.76</v>
      </c>
      <c r="I143" cm="1">
        <f t="array" ref="I143">SUMPRODUCT((Final_Merged_Data!$B$2:$B$1000=$A143)*Final_Merged_Data!$I$2:$I$1000*Final_Merged_Data!$F$2:$F$1000)/F143</f>
        <v>78.040000000000006</v>
      </c>
      <c r="J143" t="str" cm="1">
        <f t="array" ref="J143">_xlfn.TEXTJOIN(", ",TRUE,_xlfn.UNIQUE(_xlfn._xlws.FILTER(Final_Merged_Data!$J$2:$J$1000,Final_Merged_Data!$B$2:$B$1000=$A143)))</f>
        <v>Khulna Range</v>
      </c>
      <c r="K143" cm="1">
        <f t="array" ref="K143">SUMPRODUCT((Final_Merged_Data!$B$2:$B$1000=$A143)*Final_Merged_Data!$K$2:$K$1000*Final_Merged_Data!$F$2:$F$1000)/F143</f>
        <v>102.32166075410298</v>
      </c>
      <c r="L143" cm="1">
        <f t="array" ref="L143">SUMPRODUCT((Final_Merged_Data!$B$2:$B$1000=$A143)*Final_Merged_Data!$L$2:$L$1000*Final_Merged_Data!$F$2:$F$1000)/F143</f>
        <v>12.212237548443923</v>
      </c>
      <c r="M143" t="str">
        <f>IF(COUNTIF(Master_Data!$C:$C,$A143)&gt;0,"Found","Missing")</f>
        <v>Found</v>
      </c>
      <c r="N143" t="str">
        <f>_xlfn.XLOOKUP($A143,Master_Data!$C:$C,Master_Data!$D:$D,"CHECK",0)</f>
        <v>Amir Ejaz Khan</v>
      </c>
      <c r="O143" t="str">
        <f>_xlfn.XLOOKUP($A143,Master_Data!$C:$C,Master_Data!$E:$E,"CHECK",0)</f>
        <v>BNP</v>
      </c>
      <c r="P143">
        <f>_xlfn.XLOOKUP($A143,Master_Data!$C:$C,Master_Data!$F:$F,"CHECK",0)</f>
        <v>1</v>
      </c>
      <c r="Q143">
        <f>_xlfn.XLOOKUP($A143,Master_Data!$C:$C,Master_Data!$G:$G,"CHECK",0)</f>
        <v>121352</v>
      </c>
      <c r="R143">
        <f>IFERROR(_xlfn.XLOOKUP($A143,Master_Data!$C:$C,Master_Data!$H:$H,"CHECK",0),"")</f>
        <v>63.303738171498921</v>
      </c>
      <c r="S143" t="str">
        <f>_xlfn.XLOOKUP($A143,Master_Data!$C:$C,Master_Data!$I:$I,"CHECK",0)</f>
        <v>Krishna Nandi</v>
      </c>
      <c r="T143">
        <f>_xlfn.XLOOKUP($A143,Master_Data!$C:$C,Master_Data!$K:$K,"CHECK",0)</f>
        <v>70346</v>
      </c>
      <c r="U143">
        <f>IFERROR(_xlfn.XLOOKUP($A143,Master_Data!$C:$C,Master_Data!$L:$L,"CHECK",0),"")</f>
        <v>36.696261828501079</v>
      </c>
      <c r="V143">
        <f>_xlfn.XLOOKUP($A143,Master_Data!$C:$C,Master_Data!$M:$M,"CHECK",0)</f>
        <v>51006</v>
      </c>
      <c r="W143">
        <f>IFERROR(_xlfn.XLOOKUP($A143,Master_Data!$C:$C,Master_Data!$N:$N,"CHECK",0),"")</f>
        <v>26.607476342997838</v>
      </c>
      <c r="X143" t="str">
        <f>IFERROR(_xlfn.XLOOKUP($A143,Master_Data!$C:$C,Master_Data!$O:$O,"CHECK",0),"No Result")</f>
        <v>Safe Seat</v>
      </c>
      <c r="Y143">
        <f>_xlfn.XLOOKUP($A143,Master_Data!$C:$C,Master_Data!$P:$P,"CHECK",0)</f>
        <v>0</v>
      </c>
      <c r="Z143">
        <f t="shared" si="5"/>
        <v>1</v>
      </c>
    </row>
    <row r="144" spans="1:26">
      <c r="A144" t="str">
        <v>Khulna-2</v>
      </c>
      <c r="B144" t="str" cm="1">
        <f t="array" ref="B1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Nawabganj","Chapainawabganj"),Final_Merged_Data!$B$2:$B$1000=$A144)))</f>
        <v>Khulna</v>
      </c>
      <c r="C144" t="str" cm="1">
        <f t="array" ref="C144">_xlfn.TEXTJOIN(", ",TRUE,_xlfn._xlws.FILTER(Final_Merged_Data!$C$2:$C$1000,Final_Merged_Data!$B$2:$B$1000=$A144))</f>
        <v>Khulna City Corporation</v>
      </c>
      <c r="D144" cm="1">
        <f t="array" ref="D144">COUNTA(_xlfn._xlws.FILTER(Final_Merged_Data!$C$2:$C$1000,Final_Merged_Data!$B$2:$B$1000=$A144))</f>
        <v>1</v>
      </c>
      <c r="E144">
        <f>SUMIFS(Final_Merged_Data!$E:$E,Final_Merged_Data!$B:$B,$A144)</f>
        <v>22.83</v>
      </c>
      <c r="F144">
        <f>SUMIFS(Final_Merged_Data!$F:$F,Final_Merged_Data!$B:$B,$A144)</f>
        <v>359779</v>
      </c>
      <c r="G144">
        <f t="shared" si="4"/>
        <v>15759.04511607534</v>
      </c>
      <c r="H144" cm="1">
        <f t="array" ref="H144">SUMPRODUCT((Final_Merged_Data!$B$2:$B$1000=$A144)*Final_Merged_Data!$H$2:$H$1000*Final_Merged_Data!$F$2:$F$1000)/F144</f>
        <v>3.75</v>
      </c>
      <c r="I144" cm="1">
        <f t="array" ref="I144">SUMPRODUCT((Final_Merged_Data!$B$2:$B$1000=$A144)*Final_Merged_Data!$I$2:$I$1000*Final_Merged_Data!$F$2:$F$1000)/F144</f>
        <v>88.07</v>
      </c>
      <c r="J144" t="str" cm="1">
        <f t="array" ref="J144">_xlfn.TEXTJOIN(", ",TRUE,_xlfn.UNIQUE(_xlfn._xlws.FILTER(Final_Merged_Data!$J$2:$J$1000,Final_Merged_Data!$B$2:$B$1000=$A144)))</f>
        <v>Khulna Range</v>
      </c>
      <c r="K144" cm="1">
        <f t="array" ref="K144">SUMPRODUCT((Final_Merged_Data!$B$2:$B$1000=$A144)*Final_Merged_Data!$K$2:$K$1000*Final_Merged_Data!$F$2:$F$1000)/F144</f>
        <v>102.32166075410299</v>
      </c>
      <c r="L144" cm="1">
        <f t="array" ref="L144">SUMPRODUCT((Final_Merged_Data!$B$2:$B$1000=$A144)*Final_Merged_Data!$L$2:$L$1000*Final_Merged_Data!$F$2:$F$1000)/F144</f>
        <v>12.212237548443923</v>
      </c>
      <c r="M144" t="str">
        <f>IF(COUNTIF(Master_Data!$C:$C,$A144)&gt;0,"Found","Missing")</f>
        <v>Found</v>
      </c>
      <c r="N144" t="str">
        <f>_xlfn.XLOOKUP($A144,Master_Data!$C:$C,Master_Data!$D:$D,"CHECK",0)</f>
        <v>Sheikh Jahangir Hussain Helal</v>
      </c>
      <c r="O144" t="str">
        <f>_xlfn.XLOOKUP($A144,Master_Data!$C:$C,Master_Data!$E:$E,"CHECK",0)</f>
        <v>Jamaat</v>
      </c>
      <c r="P144">
        <f>_xlfn.XLOOKUP($A144,Master_Data!$C:$C,Master_Data!$F:$F,"CHECK",0)</f>
        <v>2</v>
      </c>
      <c r="Q144">
        <f>_xlfn.XLOOKUP($A144,Master_Data!$C:$C,Master_Data!$G:$G,"CHECK",0)</f>
        <v>93789</v>
      </c>
      <c r="R144">
        <f>IFERROR(_xlfn.XLOOKUP($A144,Master_Data!$C:$C,Master_Data!$H:$H,"CHECK",0),"")</f>
        <v>51.536381919488313</v>
      </c>
      <c r="S144" t="str">
        <f>_xlfn.XLOOKUP($A144,Master_Data!$C:$C,Master_Data!$I:$I,"CHECK",0)</f>
        <v>Nazrul Islam Manju</v>
      </c>
      <c r="T144">
        <f>_xlfn.XLOOKUP($A144,Master_Data!$C:$C,Master_Data!$K:$K,"CHECK",0)</f>
        <v>88197</v>
      </c>
      <c r="U144">
        <f>IFERROR(_xlfn.XLOOKUP($A144,Master_Data!$C:$C,Master_Data!$L:$L,"CHECK",0),"")</f>
        <v>48.463618080511687</v>
      </c>
      <c r="V144">
        <f>_xlfn.XLOOKUP($A144,Master_Data!$C:$C,Master_Data!$M:$M,"CHECK",0)</f>
        <v>5592</v>
      </c>
      <c r="W144">
        <f>IFERROR(_xlfn.XLOOKUP($A144,Master_Data!$C:$C,Master_Data!$N:$N,"CHECK",0),"")</f>
        <v>3.0727638389766243</v>
      </c>
      <c r="X144" t="str">
        <f>IFERROR(_xlfn.XLOOKUP($A144,Master_Data!$C:$C,Master_Data!$O:$O,"CHECK",0),"No Result")</f>
        <v>Highly Competitive</v>
      </c>
      <c r="Y144">
        <f>_xlfn.XLOOKUP($A144,Master_Data!$C:$C,Master_Data!$P:$P,"CHECK",0)</f>
        <v>1</v>
      </c>
      <c r="Z144">
        <f t="shared" si="5"/>
        <v>1</v>
      </c>
    </row>
    <row r="145" spans="1:26">
      <c r="A145" t="str">
        <v>Khulna-3</v>
      </c>
      <c r="B145" t="str" cm="1">
        <f t="array" ref="B1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Nawabganj","Chapainawabganj"),Final_Merged_Data!$B$2:$B$1000=$A145)))</f>
        <v>Khulna</v>
      </c>
      <c r="C145" t="str" cm="1">
        <f t="array" ref="C145">_xlfn.TEXTJOIN(", ",TRUE,_xlfn._xlws.FILTER(Final_Merged_Data!$C$2:$C$1000,Final_Merged_Data!$B$2:$B$1000=$A145))</f>
        <v>Khulna City Corporation</v>
      </c>
      <c r="D145" cm="1">
        <f t="array" ref="D145">COUNTA(_xlfn._xlws.FILTER(Final_Merged_Data!$C$2:$C$1000,Final_Merged_Data!$B$2:$B$1000=$A145))</f>
        <v>1</v>
      </c>
      <c r="E145">
        <f>SUMIFS(Final_Merged_Data!$E:$E,Final_Merged_Data!$B:$B,$A145)</f>
        <v>22.83</v>
      </c>
      <c r="F145">
        <f>SUMIFS(Final_Merged_Data!$F:$F,Final_Merged_Data!$B:$B,$A145)</f>
        <v>359779</v>
      </c>
      <c r="G145">
        <f t="shared" si="4"/>
        <v>15759.04511607534</v>
      </c>
      <c r="H145" cm="1">
        <f t="array" ref="H145">SUMPRODUCT((Final_Merged_Data!$B$2:$B$1000=$A145)*Final_Merged_Data!$H$2:$H$1000*Final_Merged_Data!$F$2:$F$1000)/F145</f>
        <v>3.75</v>
      </c>
      <c r="I145" cm="1">
        <f t="array" ref="I145">SUMPRODUCT((Final_Merged_Data!$B$2:$B$1000=$A145)*Final_Merged_Data!$I$2:$I$1000*Final_Merged_Data!$F$2:$F$1000)/F145</f>
        <v>88.07</v>
      </c>
      <c r="J145" t="str" cm="1">
        <f t="array" ref="J145">_xlfn.TEXTJOIN(", ",TRUE,_xlfn.UNIQUE(_xlfn._xlws.FILTER(Final_Merged_Data!$J$2:$J$1000,Final_Merged_Data!$B$2:$B$1000=$A145)))</f>
        <v>Khulna Range</v>
      </c>
      <c r="K145" cm="1">
        <f t="array" ref="K145">SUMPRODUCT((Final_Merged_Data!$B$2:$B$1000=$A145)*Final_Merged_Data!$K$2:$K$1000*Final_Merged_Data!$F$2:$F$1000)/F145</f>
        <v>102.32166075410299</v>
      </c>
      <c r="L145" cm="1">
        <f t="array" ref="L145">SUMPRODUCT((Final_Merged_Data!$B$2:$B$1000=$A145)*Final_Merged_Data!$L$2:$L$1000*Final_Merged_Data!$F$2:$F$1000)/F145</f>
        <v>12.212237548443923</v>
      </c>
      <c r="M145" t="str">
        <f>IF(COUNTIF(Master_Data!$C:$C,$A145)&gt;0,"Found","Missing")</f>
        <v>Found</v>
      </c>
      <c r="N145" t="str">
        <f>_xlfn.XLOOKUP($A145,Master_Data!$C:$C,Master_Data!$D:$D,"CHECK",0)</f>
        <v>Rakibul Islam</v>
      </c>
      <c r="O145" t="str">
        <f>_xlfn.XLOOKUP($A145,Master_Data!$C:$C,Master_Data!$E:$E,"CHECK",0)</f>
        <v>BNP</v>
      </c>
      <c r="P145">
        <f>_xlfn.XLOOKUP($A145,Master_Data!$C:$C,Master_Data!$F:$F,"CHECK",0)</f>
        <v>1</v>
      </c>
      <c r="Q145">
        <f>_xlfn.XLOOKUP($A145,Master_Data!$C:$C,Master_Data!$G:$G,"CHECK",0)</f>
        <v>74845</v>
      </c>
      <c r="R145">
        <f>IFERROR(_xlfn.XLOOKUP($A145,Master_Data!$C:$C,Master_Data!$H:$H,"CHECK",0),"")</f>
        <v>53.136203897625222</v>
      </c>
      <c r="S145" t="str">
        <f>_xlfn.XLOOKUP($A145,Master_Data!$C:$C,Master_Data!$I:$I,"CHECK",0)</f>
        <v>Mohammad Mahfuzur Rahman</v>
      </c>
      <c r="T145">
        <f>_xlfn.XLOOKUP($A145,Master_Data!$C:$C,Master_Data!$K:$K,"CHECK",0)</f>
        <v>66010</v>
      </c>
      <c r="U145">
        <f>IFERROR(_xlfn.XLOOKUP($A145,Master_Data!$C:$C,Master_Data!$L:$L,"CHECK",0),"")</f>
        <v>46.863796102374785</v>
      </c>
      <c r="V145">
        <f>_xlfn.XLOOKUP($A145,Master_Data!$C:$C,Master_Data!$M:$M,"CHECK",0)</f>
        <v>8835</v>
      </c>
      <c r="W145">
        <f>IFERROR(_xlfn.XLOOKUP($A145,Master_Data!$C:$C,Master_Data!$N:$N,"CHECK",0),"")</f>
        <v>6.2724077952504338</v>
      </c>
      <c r="X145" t="str">
        <f>IFERROR(_xlfn.XLOOKUP($A145,Master_Data!$C:$C,Master_Data!$O:$O,"CHECK",0),"No Result")</f>
        <v>Safe Seat</v>
      </c>
      <c r="Y145">
        <f>_xlfn.XLOOKUP($A145,Master_Data!$C:$C,Master_Data!$P:$P,"CHECK",0)</f>
        <v>1</v>
      </c>
      <c r="Z145">
        <f t="shared" si="5"/>
        <v>1</v>
      </c>
    </row>
    <row r="146" spans="1:26">
      <c r="A146" t="str">
        <v>Khulna-4</v>
      </c>
      <c r="B146" t="str" cm="1">
        <f t="array" ref="B1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Nawabganj","Chapainawabganj"),Final_Merged_Data!$B$2:$B$1000=$A146)))</f>
        <v>Khulna</v>
      </c>
      <c r="C146" t="str" cm="1">
        <f t="array" ref="C146">_xlfn.TEXTJOIN(", ",TRUE,_xlfn._xlws.FILTER(Final_Merged_Data!$C$2:$C$1000,Final_Merged_Data!$B$2:$B$1000=$A146))</f>
        <v>Terokhada, Rupsa, Dighalia</v>
      </c>
      <c r="D146" cm="1">
        <f t="array" ref="D146">COUNTA(_xlfn._xlws.FILTER(Final_Merged_Data!$C$2:$C$1000,Final_Merged_Data!$B$2:$B$1000=$A146))</f>
        <v>3</v>
      </c>
      <c r="E146">
        <f>SUMIFS(Final_Merged_Data!$E:$E,Final_Merged_Data!$B:$B,$A146)</f>
        <v>487.39</v>
      </c>
      <c r="F146">
        <f>SUMIFS(Final_Merged_Data!$F:$F,Final_Merged_Data!$B:$B,$A146)</f>
        <v>502679</v>
      </c>
      <c r="G146">
        <f t="shared" si="4"/>
        <v>1031.3691294445925</v>
      </c>
      <c r="H146" cm="1">
        <f t="array" ref="H146">SUMPRODUCT((Final_Merged_Data!$B$2:$B$1000=$A146)*Final_Merged_Data!$H$2:$H$1000*Final_Merged_Data!$F$2:$F$1000)/F146</f>
        <v>3.9552903144949365</v>
      </c>
      <c r="I146" cm="1">
        <f t="array" ref="I146">SUMPRODUCT((Final_Merged_Data!$B$2:$B$1000=$A146)*Final_Merged_Data!$I$2:$I$1000*Final_Merged_Data!$F$2:$F$1000)/F146</f>
        <v>78.828064788861283</v>
      </c>
      <c r="J146" t="str" cm="1">
        <f t="array" ref="J146">_xlfn.TEXTJOIN(", ",TRUE,_xlfn.UNIQUE(_xlfn._xlws.FILTER(Final_Merged_Data!$J$2:$J$1000,Final_Merged_Data!$B$2:$B$1000=$A146)))</f>
        <v>Khulna Range</v>
      </c>
      <c r="K146" cm="1">
        <f t="array" ref="K146">SUMPRODUCT((Final_Merged_Data!$B$2:$B$1000=$A146)*Final_Merged_Data!$K$2:$K$1000*Final_Merged_Data!$F$2:$F$1000)/F146</f>
        <v>102.32166075410298</v>
      </c>
      <c r="L146" cm="1">
        <f t="array" ref="L146">SUMPRODUCT((Final_Merged_Data!$B$2:$B$1000=$A146)*Final_Merged_Data!$L$2:$L$1000*Final_Merged_Data!$F$2:$F$1000)/F146</f>
        <v>12.212237548443925</v>
      </c>
      <c r="M146" t="str">
        <f>IF(COUNTIF(Master_Data!$C:$C,$A146)&gt;0,"Found","Missing")</f>
        <v>Found</v>
      </c>
      <c r="N146" t="str">
        <f>_xlfn.XLOOKUP($A146,Master_Data!$C:$C,Master_Data!$D:$D,"CHECK",0)</f>
        <v>SK Azizul Bari Helal</v>
      </c>
      <c r="O146" t="str">
        <f>_xlfn.XLOOKUP($A146,Master_Data!$C:$C,Master_Data!$E:$E,"CHECK",0)</f>
        <v>BNP</v>
      </c>
      <c r="P146">
        <f>_xlfn.XLOOKUP($A146,Master_Data!$C:$C,Master_Data!$F:$F,"CHECK",0)</f>
        <v>1</v>
      </c>
      <c r="Q146">
        <f>_xlfn.XLOOKUP($A146,Master_Data!$C:$C,Master_Data!$G:$G,"CHECK",0)</f>
        <v>123162</v>
      </c>
      <c r="R146">
        <f>IFERROR(_xlfn.XLOOKUP($A146,Master_Data!$C:$C,Master_Data!$H:$H,"CHECK",0),"")</f>
        <v>52.929193955958951</v>
      </c>
      <c r="S146" t="str">
        <f>_xlfn.XLOOKUP($A146,Master_Data!$C:$C,Master_Data!$I:$I,"CHECK",0)</f>
        <v>SM Sakhawat Hossain</v>
      </c>
      <c r="T146">
        <f>_xlfn.XLOOKUP($A146,Master_Data!$C:$C,Master_Data!$K:$K,"CHECK",0)</f>
        <v>109530</v>
      </c>
      <c r="U146">
        <f>IFERROR(_xlfn.XLOOKUP($A146,Master_Data!$C:$C,Master_Data!$L:$L,"CHECK",0),"")</f>
        <v>47.070806044041049</v>
      </c>
      <c r="V146">
        <f>_xlfn.XLOOKUP($A146,Master_Data!$C:$C,Master_Data!$M:$M,"CHECK",0)</f>
        <v>13632</v>
      </c>
      <c r="W146">
        <f>IFERROR(_xlfn.XLOOKUP($A146,Master_Data!$C:$C,Master_Data!$N:$N,"CHECK",0),"")</f>
        <v>5.8583879119178999</v>
      </c>
      <c r="X146" t="str">
        <f>IFERROR(_xlfn.XLOOKUP($A146,Master_Data!$C:$C,Master_Data!$O:$O,"CHECK",0),"No Result")</f>
        <v>Safe Seat</v>
      </c>
      <c r="Y146">
        <f>_xlfn.XLOOKUP($A146,Master_Data!$C:$C,Master_Data!$P:$P,"CHECK",0)</f>
        <v>0</v>
      </c>
      <c r="Z146">
        <f t="shared" si="5"/>
        <v>1</v>
      </c>
    </row>
    <row r="147" spans="1:26">
      <c r="A147" t="str">
        <v>Khulna-5</v>
      </c>
      <c r="B147" t="str" cm="1">
        <f t="array" ref="B1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Nawabganj","Chapainawabganj"),Final_Merged_Data!$B$2:$B$1000=$A147)))</f>
        <v>Khulna</v>
      </c>
      <c r="C147" t="str" cm="1">
        <f t="array" ref="C147">_xlfn.TEXTJOIN(", ",TRUE,_xlfn._xlws.FILTER(Final_Merged_Data!$C$2:$C$1000,Final_Merged_Data!$B$2:$B$1000=$A147))</f>
        <v>Phultala, Dumuria</v>
      </c>
      <c r="D147" cm="1">
        <f t="array" ref="D147">COUNTA(_xlfn._xlws.FILTER(Final_Merged_Data!$C$2:$C$1000,Final_Merged_Data!$B$2:$B$1000=$A147))</f>
        <v>2</v>
      </c>
      <c r="E147">
        <f>SUMIFS(Final_Merged_Data!$E:$E,Final_Merged_Data!$B:$B,$A147)</f>
        <v>239.39999999999998</v>
      </c>
      <c r="F147">
        <f>SUMIFS(Final_Merged_Data!$F:$F,Final_Merged_Data!$B:$B,$A147)</f>
        <v>492387</v>
      </c>
      <c r="G147">
        <f t="shared" si="4"/>
        <v>2056.7543859649127</v>
      </c>
      <c r="H147" cm="1">
        <f t="array" ref="H147">SUMPRODUCT((Final_Merged_Data!$B$2:$B$1000=$A147)*Final_Merged_Data!$H$2:$H$1000*Final_Merged_Data!$F$2:$F$1000)/F147</f>
        <v>3.866984038977471</v>
      </c>
      <c r="I147" cm="1">
        <f t="array" ref="I147">SUMPRODUCT((Final_Merged_Data!$B$2:$B$1000=$A147)*Final_Merged_Data!$I$2:$I$1000*Final_Merged_Data!$F$2:$F$1000)/F147</f>
        <v>77.758464886359718</v>
      </c>
      <c r="J147" t="str" cm="1">
        <f t="array" ref="J147">_xlfn.TEXTJOIN(", ",TRUE,_xlfn.UNIQUE(_xlfn._xlws.FILTER(Final_Merged_Data!$J$2:$J$1000,Final_Merged_Data!$B$2:$B$1000=$A147)))</f>
        <v>Khulna Range</v>
      </c>
      <c r="K147" cm="1">
        <f t="array" ref="K147">SUMPRODUCT((Final_Merged_Data!$B$2:$B$1000=$A147)*Final_Merged_Data!$K$2:$K$1000*Final_Merged_Data!$F$2:$F$1000)/F147</f>
        <v>102.32166075410298</v>
      </c>
      <c r="L147" cm="1">
        <f t="array" ref="L147">SUMPRODUCT((Final_Merged_Data!$B$2:$B$1000=$A147)*Final_Merged_Data!$L$2:$L$1000*Final_Merged_Data!$F$2:$F$1000)/F147</f>
        <v>12.212237548443925</v>
      </c>
      <c r="M147" t="str">
        <f>IF(COUNTIF(Master_Data!$C:$C,$A147)&gt;0,"Found","Missing")</f>
        <v>Found</v>
      </c>
      <c r="N147" t="str">
        <f>_xlfn.XLOOKUP($A147,Master_Data!$C:$C,Master_Data!$D:$D,"CHECK",0)</f>
        <v>Mohammad Ali Asghar Lobby</v>
      </c>
      <c r="O147" t="str">
        <f>_xlfn.XLOOKUP($A147,Master_Data!$C:$C,Master_Data!$E:$E,"CHECK",0)</f>
        <v>BNP</v>
      </c>
      <c r="P147">
        <f>_xlfn.XLOOKUP($A147,Master_Data!$C:$C,Master_Data!$F:$F,"CHECK",0)</f>
        <v>1</v>
      </c>
      <c r="Q147">
        <f>_xlfn.XLOOKUP($A147,Master_Data!$C:$C,Master_Data!$G:$G,"CHECK",0)</f>
        <v>148854</v>
      </c>
      <c r="R147">
        <f>IFERROR(_xlfn.XLOOKUP($A147,Master_Data!$C:$C,Master_Data!$H:$H,"CHECK",0),"")</f>
        <v>50.441884107082345</v>
      </c>
      <c r="S147" t="str">
        <f>_xlfn.XLOOKUP($A147,Master_Data!$C:$C,Master_Data!$I:$I,"CHECK",0)</f>
        <v>Mia Golam Parwar</v>
      </c>
      <c r="T147">
        <f>_xlfn.XLOOKUP($A147,Master_Data!$C:$C,Master_Data!$K:$K,"CHECK",0)</f>
        <v>146246</v>
      </c>
      <c r="U147">
        <f>IFERROR(_xlfn.XLOOKUP($A147,Master_Data!$C:$C,Master_Data!$L:$L,"CHECK",0),"")</f>
        <v>49.558115892917655</v>
      </c>
      <c r="V147">
        <f>_xlfn.XLOOKUP($A147,Master_Data!$C:$C,Master_Data!$M:$M,"CHECK",0)</f>
        <v>2608</v>
      </c>
      <c r="W147">
        <f>IFERROR(_xlfn.XLOOKUP($A147,Master_Data!$C:$C,Master_Data!$N:$N,"CHECK",0),"")</f>
        <v>0.88376821416468987</v>
      </c>
      <c r="X147" t="str">
        <f>IFERROR(_xlfn.XLOOKUP($A147,Master_Data!$C:$C,Master_Data!$O:$O,"CHECK",0),"No Result")</f>
        <v>Highly Competitive</v>
      </c>
      <c r="Y147">
        <f>_xlfn.XLOOKUP($A147,Master_Data!$C:$C,Master_Data!$P:$P,"CHECK",0)</f>
        <v>0</v>
      </c>
      <c r="Z147">
        <f t="shared" si="5"/>
        <v>1</v>
      </c>
    </row>
    <row r="148" spans="1:26">
      <c r="A148" t="str">
        <v>Khulna-6</v>
      </c>
      <c r="B148" t="str" cm="1">
        <f t="array" ref="B1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Nawabganj","Chapainawabganj"),Final_Merged_Data!$B$2:$B$1000=$A148)))</f>
        <v>Khulna</v>
      </c>
      <c r="C148" t="str" cm="1">
        <f t="array" ref="C148">_xlfn.TEXTJOIN(", ",TRUE,_xlfn._xlws.FILTER(Final_Merged_Data!$C$2:$C$1000,Final_Merged_Data!$B$2:$B$1000=$A148))</f>
        <v>Paikgachha, Koyra</v>
      </c>
      <c r="D148" cm="1">
        <f t="array" ref="D148">COUNTA(_xlfn._xlws.FILTER(Final_Merged_Data!$C$2:$C$1000,Final_Merged_Data!$B$2:$B$1000=$A148))</f>
        <v>2</v>
      </c>
      <c r="E148">
        <f>SUMIFS(Final_Merged_Data!$E:$E,Final_Merged_Data!$B:$B,$A148)</f>
        <v>2187.2000000000003</v>
      </c>
      <c r="F148">
        <f>SUMIFS(Final_Merged_Data!$F:$F,Final_Merged_Data!$B:$B,$A148)</f>
        <v>506284</v>
      </c>
      <c r="G148">
        <f t="shared" si="4"/>
        <v>231.47585954645206</v>
      </c>
      <c r="H148" cm="1">
        <f t="array" ref="H148">SUMPRODUCT((Final_Merged_Data!$B$2:$B$1000=$A148)*Final_Merged_Data!$H$2:$H$1000*Final_Merged_Data!$F$2:$F$1000)/F148</f>
        <v>3.8978192476949696</v>
      </c>
      <c r="I148" cm="1">
        <f t="array" ref="I148">SUMPRODUCT((Final_Merged_Data!$B$2:$B$1000=$A148)*Final_Merged_Data!$I$2:$I$1000*Final_Merged_Data!$F$2:$F$1000)/F148</f>
        <v>75.569942798903384</v>
      </c>
      <c r="J148" t="str" cm="1">
        <f t="array" ref="J148">_xlfn.TEXTJOIN(", ",TRUE,_xlfn.UNIQUE(_xlfn._xlws.FILTER(Final_Merged_Data!$J$2:$J$1000,Final_Merged_Data!$B$2:$B$1000=$A148)))</f>
        <v>Khulna Range</v>
      </c>
      <c r="K148" cm="1">
        <f t="array" ref="K148">SUMPRODUCT((Final_Merged_Data!$B$2:$B$1000=$A148)*Final_Merged_Data!$K$2:$K$1000*Final_Merged_Data!$F$2:$F$1000)/F148</f>
        <v>102.32166075410298</v>
      </c>
      <c r="L148" cm="1">
        <f t="array" ref="L148">SUMPRODUCT((Final_Merged_Data!$B$2:$B$1000=$A148)*Final_Merged_Data!$L$2:$L$1000*Final_Merged_Data!$F$2:$F$1000)/F148</f>
        <v>12.212237548443923</v>
      </c>
      <c r="M148" t="str">
        <f>IF(COUNTIF(Master_Data!$C:$C,$A148)&gt;0,"Found","Missing")</f>
        <v>Found</v>
      </c>
      <c r="N148" t="str">
        <f>_xlfn.XLOOKUP($A148,Master_Data!$C:$C,Master_Data!$D:$D,"CHECK",0)</f>
        <v>Abul Kalam Azad</v>
      </c>
      <c r="O148" t="str">
        <f>_xlfn.XLOOKUP($A148,Master_Data!$C:$C,Master_Data!$E:$E,"CHECK",0)</f>
        <v>Jamaat</v>
      </c>
      <c r="P148">
        <f>_xlfn.XLOOKUP($A148,Master_Data!$C:$C,Master_Data!$F:$F,"CHECK",0)</f>
        <v>2</v>
      </c>
      <c r="Q148">
        <f>_xlfn.XLOOKUP($A148,Master_Data!$C:$C,Master_Data!$G:$G,"CHECK",0)</f>
        <v>150724</v>
      </c>
      <c r="R148">
        <f>IFERROR(_xlfn.XLOOKUP($A148,Master_Data!$C:$C,Master_Data!$H:$H,"CHECK",0),"")</f>
        <v>54.722365430556863</v>
      </c>
      <c r="S148" t="str">
        <f>_xlfn.XLOOKUP($A148,Master_Data!$C:$C,Master_Data!$I:$I,"CHECK",0)</f>
        <v>SM Monirul Hasan</v>
      </c>
      <c r="T148">
        <f>_xlfn.XLOOKUP($A148,Master_Data!$C:$C,Master_Data!$K:$K,"CHECK",0)</f>
        <v>124710</v>
      </c>
      <c r="U148">
        <f>IFERROR(_xlfn.XLOOKUP($A148,Master_Data!$C:$C,Master_Data!$L:$L,"CHECK",0),"")</f>
        <v>45.27763456944313</v>
      </c>
      <c r="V148">
        <f>_xlfn.XLOOKUP($A148,Master_Data!$C:$C,Master_Data!$M:$M,"CHECK",0)</f>
        <v>26014</v>
      </c>
      <c r="W148">
        <f>IFERROR(_xlfn.XLOOKUP($A148,Master_Data!$C:$C,Master_Data!$N:$N,"CHECK",0),"")</f>
        <v>9.4447308611137331</v>
      </c>
      <c r="X148" t="str">
        <f>IFERROR(_xlfn.XLOOKUP($A148,Master_Data!$C:$C,Master_Data!$O:$O,"CHECK",0),"No Result")</f>
        <v>Safe Seat</v>
      </c>
      <c r="Y148">
        <f>_xlfn.XLOOKUP($A148,Master_Data!$C:$C,Master_Data!$P:$P,"CHECK",0)</f>
        <v>0</v>
      </c>
      <c r="Z148">
        <f t="shared" si="5"/>
        <v>1</v>
      </c>
    </row>
    <row r="149" spans="1:26">
      <c r="A149" t="str">
        <v>Kishoreganj-1</v>
      </c>
      <c r="B149" t="str" cm="1">
        <f t="array" ref="B1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Nawabganj","Chapainawabganj"),Final_Merged_Data!$B$2:$B$1000=$A149)))</f>
        <v>Kishoreganj</v>
      </c>
      <c r="C149" t="str" cm="1">
        <f t="array" ref="C149">_xlfn.TEXTJOIN(", ",TRUE,_xlfn._xlws.FILTER(Final_Merged_Data!$C$2:$C$1000,Final_Merged_Data!$B$2:$B$1000=$A149))</f>
        <v>Itna, Mithamain, Austagram</v>
      </c>
      <c r="D149" cm="1">
        <f t="array" ref="D149">COUNTA(_xlfn._xlws.FILTER(Final_Merged_Data!$C$2:$C$1000,Final_Merged_Data!$B$2:$B$1000=$A149))</f>
        <v>3</v>
      </c>
      <c r="E149">
        <f>SUMIFS(Final_Merged_Data!$E:$E,Final_Merged_Data!$B:$B,$A149)</f>
        <v>920.52</v>
      </c>
      <c r="F149">
        <f>SUMIFS(Final_Merged_Data!$F:$F,Final_Merged_Data!$B:$B,$A149)</f>
        <v>445222</v>
      </c>
      <c r="G149">
        <f t="shared" si="4"/>
        <v>483.66358145396083</v>
      </c>
      <c r="H149" cm="1">
        <f t="array" ref="H149">SUMPRODUCT((Final_Merged_Data!$B$2:$B$1000=$A149)*Final_Merged_Data!$H$2:$H$1000*Final_Merged_Data!$F$2:$F$1000)/F149</f>
        <v>4.5209943578709044</v>
      </c>
      <c r="I149" cm="1">
        <f t="array" ref="I149">SUMPRODUCT((Final_Merged_Data!$B$2:$B$1000=$A149)*Final_Merged_Data!$I$2:$I$1000*Final_Merged_Data!$F$2:$F$1000)/F149</f>
        <v>59.092143537381354</v>
      </c>
      <c r="J149" t="str" cm="1">
        <f t="array" ref="J149">_xlfn.TEXTJOIN(", ",TRUE,_xlfn.UNIQUE(_xlfn._xlws.FILTER(Final_Merged_Data!$J$2:$J$1000,Final_Merged_Data!$B$2:$B$1000=$A149)))</f>
        <v>Dhaka Range</v>
      </c>
      <c r="K149" cm="1">
        <f t="array" ref="K149">SUMPRODUCT((Final_Merged_Data!$B$2:$B$1000=$A149)*Final_Merged_Data!$K$2:$K$1000*Final_Merged_Data!$F$2:$F$1000)/F149</f>
        <v>87.055167395391194</v>
      </c>
      <c r="L149" cm="1">
        <f t="array" ref="L149">SUMPRODUCT((Final_Merged_Data!$B$2:$B$1000=$A149)*Final_Merged_Data!$L$2:$L$1000*Final_Merged_Data!$F$2:$F$1000)/F149</f>
        <v>14.083489099923572</v>
      </c>
      <c r="M149" t="str">
        <f>IF(COUNTIF(Master_Data!$C:$C,$A149)&gt;0,"Found","Missing")</f>
        <v>Found</v>
      </c>
      <c r="N149" t="str">
        <f>_xlfn.XLOOKUP($A149,Master_Data!$C:$C,Master_Data!$D:$D,"CHECK",0)</f>
        <v>Mazharul Islam</v>
      </c>
      <c r="O149" t="str">
        <f>_xlfn.XLOOKUP($A149,Master_Data!$C:$C,Master_Data!$E:$E,"CHECK",0)</f>
        <v>BNP</v>
      </c>
      <c r="P149">
        <f>_xlfn.XLOOKUP($A149,Master_Data!$C:$C,Master_Data!$F:$F,"CHECK",0)</f>
        <v>1</v>
      </c>
      <c r="Q149">
        <f>_xlfn.XLOOKUP($A149,Master_Data!$C:$C,Master_Data!$G:$G,"CHECK",0)</f>
        <v>124035</v>
      </c>
      <c r="R149">
        <f>IFERROR(_xlfn.XLOOKUP($A149,Master_Data!$C:$C,Master_Data!$H:$H,"CHECK",0),"")</f>
        <v>55.085780776046221</v>
      </c>
      <c r="S149" t="str">
        <f>_xlfn.XLOOKUP($A149,Master_Data!$C:$C,Master_Data!$I:$I,"CHECK",0)</f>
        <v>Hedayatullah Hadi</v>
      </c>
      <c r="T149">
        <f>_xlfn.XLOOKUP($A149,Master_Data!$C:$C,Master_Data!$K:$K,"CHECK",0)</f>
        <v>101132</v>
      </c>
      <c r="U149">
        <f>IFERROR(_xlfn.XLOOKUP($A149,Master_Data!$C:$C,Master_Data!$L:$L,"CHECK",0),"")</f>
        <v>44.914219223953779</v>
      </c>
      <c r="V149">
        <f>_xlfn.XLOOKUP($A149,Master_Data!$C:$C,Master_Data!$M:$M,"CHECK",0)</f>
        <v>22903</v>
      </c>
      <c r="W149">
        <f>IFERROR(_xlfn.XLOOKUP($A149,Master_Data!$C:$C,Master_Data!$N:$N,"CHECK",0),"")</f>
        <v>10.171561552092447</v>
      </c>
      <c r="X149" t="str">
        <f>IFERROR(_xlfn.XLOOKUP($A149,Master_Data!$C:$C,Master_Data!$O:$O,"CHECK",0),"No Result")</f>
        <v>Safe Seat</v>
      </c>
      <c r="Y149">
        <f>_xlfn.XLOOKUP($A149,Master_Data!$C:$C,Master_Data!$P:$P,"CHECK",0)</f>
        <v>0</v>
      </c>
      <c r="Z149">
        <f t="shared" si="5"/>
        <v>1</v>
      </c>
    </row>
    <row r="150" spans="1:26">
      <c r="A150" t="str">
        <v>Kishoreganj-2</v>
      </c>
      <c r="B150" t="str" cm="1">
        <f t="array" ref="B1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Nawabganj","Chapainawabganj"),Final_Merged_Data!$B$2:$B$1000=$A150)))</f>
        <v>Kishoreganj</v>
      </c>
      <c r="C150" t="str" cm="1">
        <f t="array" ref="C150">_xlfn.TEXTJOIN(", ",TRUE,_xlfn._xlws.FILTER(Final_Merged_Data!$C$2:$C$1000,Final_Merged_Data!$B$2:$B$1000=$A150))</f>
        <v>Katiadi</v>
      </c>
      <c r="D150" cm="1">
        <f t="array" ref="D150">COUNTA(_xlfn._xlws.FILTER(Final_Merged_Data!$C$2:$C$1000,Final_Merged_Data!$B$2:$B$1000=$A150))</f>
        <v>1</v>
      </c>
      <c r="E150">
        <f>SUMIFS(Final_Merged_Data!$E:$E,Final_Merged_Data!$B:$B,$A150)</f>
        <v>224.97</v>
      </c>
      <c r="F150">
        <f>SUMIFS(Final_Merged_Data!$F:$F,Final_Merged_Data!$B:$B,$A150)</f>
        <v>351441</v>
      </c>
      <c r="G150">
        <f t="shared" si="4"/>
        <v>1562.1682891052139</v>
      </c>
      <c r="H150" cm="1">
        <f t="array" ref="H150">SUMPRODUCT((Final_Merged_Data!$B$2:$B$1000=$A150)*Final_Merged_Data!$H$2:$H$1000*Final_Merged_Data!$F$2:$F$1000)/F150</f>
        <v>4.12</v>
      </c>
      <c r="I150" cm="1">
        <f t="array" ref="I150">SUMPRODUCT((Final_Merged_Data!$B$2:$B$1000=$A150)*Final_Merged_Data!$I$2:$I$1000*Final_Merged_Data!$F$2:$F$1000)/F150</f>
        <v>67.09</v>
      </c>
      <c r="J150" t="str" cm="1">
        <f t="array" ref="J150">_xlfn.TEXTJOIN(", ",TRUE,_xlfn.UNIQUE(_xlfn._xlws.FILTER(Final_Merged_Data!$J$2:$J$1000,Final_Merged_Data!$B$2:$B$1000=$A150)))</f>
        <v>Dhaka Range</v>
      </c>
      <c r="K150" cm="1">
        <f t="array" ref="K150">SUMPRODUCT((Final_Merged_Data!$B$2:$B$1000=$A150)*Final_Merged_Data!$K$2:$K$1000*Final_Merged_Data!$F$2:$F$1000)/F150</f>
        <v>87.055167395391194</v>
      </c>
      <c r="L150" cm="1">
        <f t="array" ref="L150">SUMPRODUCT((Final_Merged_Data!$B$2:$B$1000=$A150)*Final_Merged_Data!$L$2:$L$1000*Final_Merged_Data!$F$2:$F$1000)/F150</f>
        <v>14.083489099923572</v>
      </c>
      <c r="M150" t="str">
        <f>IF(COUNTIF(Master_Data!$C:$C,$A150)&gt;0,"Found","Missing")</f>
        <v>Found</v>
      </c>
      <c r="N150" t="str">
        <f>_xlfn.XLOOKUP($A150,Master_Data!$C:$C,Master_Data!$D:$D,"CHECK",0)</f>
        <v>Advocate Md. Jalal Uddin</v>
      </c>
      <c r="O150" t="str">
        <f>_xlfn.XLOOKUP($A150,Master_Data!$C:$C,Master_Data!$E:$E,"CHECK",0)</f>
        <v>BNP</v>
      </c>
      <c r="P150">
        <f>_xlfn.XLOOKUP($A150,Master_Data!$C:$C,Master_Data!$F:$F,"CHECK",0)</f>
        <v>1</v>
      </c>
      <c r="Q150">
        <f>_xlfn.XLOOKUP($A150,Master_Data!$C:$C,Master_Data!$G:$G,"CHECK",0)</f>
        <v>143669</v>
      </c>
      <c r="R150">
        <f>IFERROR(_xlfn.XLOOKUP($A150,Master_Data!$C:$C,Master_Data!$H:$H,"CHECK",0),"")</f>
        <v>54.287646800985478</v>
      </c>
      <c r="S150" t="str">
        <f>_xlfn.XLOOKUP($A150,Master_Data!$C:$C,Master_Data!$I:$I,"CHECK",0)</f>
        <v>Md. Shafiul Islam</v>
      </c>
      <c r="T150">
        <f>_xlfn.XLOOKUP($A150,Master_Data!$C:$C,Master_Data!$K:$K,"CHECK",0)</f>
        <v>120975</v>
      </c>
      <c r="U150">
        <f>IFERROR(_xlfn.XLOOKUP($A150,Master_Data!$C:$C,Master_Data!$L:$L,"CHECK",0),"")</f>
        <v>45.71235319901453</v>
      </c>
      <c r="V150">
        <f>_xlfn.XLOOKUP($A150,Master_Data!$C:$C,Master_Data!$M:$M,"CHECK",0)</f>
        <v>22694</v>
      </c>
      <c r="W150">
        <f>IFERROR(_xlfn.XLOOKUP($A150,Master_Data!$C:$C,Master_Data!$N:$N,"CHECK",0),"")</f>
        <v>8.5752936019709498</v>
      </c>
      <c r="X150" t="str">
        <f>IFERROR(_xlfn.XLOOKUP($A150,Master_Data!$C:$C,Master_Data!$O:$O,"CHECK",0),"No Result")</f>
        <v>Safe Seat</v>
      </c>
      <c r="Y150">
        <f>_xlfn.XLOOKUP($A150,Master_Data!$C:$C,Master_Data!$P:$P,"CHECK",0)</f>
        <v>0</v>
      </c>
      <c r="Z150">
        <f t="shared" si="5"/>
        <v>1</v>
      </c>
    </row>
    <row r="151" spans="1:26">
      <c r="A151" t="str">
        <v>Kishoreganj-3</v>
      </c>
      <c r="B151" t="str" cm="1">
        <f t="array" ref="B1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Nawabganj","Chapainawabganj"),Final_Merged_Data!$B$2:$B$1000=$A151)))</f>
        <v>Kishoreganj</v>
      </c>
      <c r="C151" t="str" cm="1">
        <f t="array" ref="C151">_xlfn.TEXTJOIN(", ",TRUE,_xlfn._xlws.FILTER(Final_Merged_Data!$C$2:$C$1000,Final_Merged_Data!$B$2:$B$1000=$A151))</f>
        <v>Karimganj, Tarail</v>
      </c>
      <c r="D151" cm="1">
        <f t="array" ref="D151">COUNTA(_xlfn._xlws.FILTER(Final_Merged_Data!$C$2:$C$1000,Final_Merged_Data!$B$2:$B$1000=$A151))</f>
        <v>2</v>
      </c>
      <c r="E151">
        <f>SUMIFS(Final_Merged_Data!$E:$E,Final_Merged_Data!$B:$B,$A151)</f>
        <v>465.17999999999995</v>
      </c>
      <c r="F151">
        <f>SUMIFS(Final_Merged_Data!$F:$F,Final_Merged_Data!$B:$B,$A151)</f>
        <v>498372</v>
      </c>
      <c r="G151">
        <f t="shared" si="4"/>
        <v>1071.3530246356249</v>
      </c>
      <c r="H151" cm="1">
        <f t="array" ref="H151">SUMPRODUCT((Final_Merged_Data!$B$2:$B$1000=$A151)*Final_Merged_Data!$H$2:$H$1000*Final_Merged_Data!$F$2:$F$1000)/F151</f>
        <v>4.2429360397454108</v>
      </c>
      <c r="I151" cm="1">
        <f t="array" ref="I151">SUMPRODUCT((Final_Merged_Data!$B$2:$B$1000=$A151)*Final_Merged_Data!$I$2:$I$1000*Final_Merged_Data!$F$2:$F$1000)/F151</f>
        <v>62.527866413040854</v>
      </c>
      <c r="J151" t="str" cm="1">
        <f t="array" ref="J151">_xlfn.TEXTJOIN(", ",TRUE,_xlfn.UNIQUE(_xlfn._xlws.FILTER(Final_Merged_Data!$J$2:$J$1000,Final_Merged_Data!$B$2:$B$1000=$A151)))</f>
        <v>Dhaka Range</v>
      </c>
      <c r="K151" cm="1">
        <f t="array" ref="K151">SUMPRODUCT((Final_Merged_Data!$B$2:$B$1000=$A151)*Final_Merged_Data!$K$2:$K$1000*Final_Merged_Data!$F$2:$F$1000)/F151</f>
        <v>87.055167395391194</v>
      </c>
      <c r="L151" cm="1">
        <f t="array" ref="L151">SUMPRODUCT((Final_Merged_Data!$B$2:$B$1000=$A151)*Final_Merged_Data!$L$2:$L$1000*Final_Merged_Data!$F$2:$F$1000)/F151</f>
        <v>14.083489099923572</v>
      </c>
      <c r="M151" t="str">
        <f>IF(COUNTIF(Master_Data!$C:$C,$A151)&gt;0,"Found","Missing")</f>
        <v>Found</v>
      </c>
      <c r="N151" t="str">
        <f>_xlfn.XLOOKUP($A151,Master_Data!$C:$C,Master_Data!$D:$D,"CHECK",0)</f>
        <v>Osman Faruk</v>
      </c>
      <c r="O151" t="str">
        <f>_xlfn.XLOOKUP($A151,Master_Data!$C:$C,Master_Data!$E:$E,"CHECK",0)</f>
        <v>BNP</v>
      </c>
      <c r="P151">
        <f>_xlfn.XLOOKUP($A151,Master_Data!$C:$C,Master_Data!$F:$F,"CHECK",0)</f>
        <v>1</v>
      </c>
      <c r="Q151">
        <f>_xlfn.XLOOKUP($A151,Master_Data!$C:$C,Master_Data!$G:$G,"CHECK",0)</f>
        <v>112466</v>
      </c>
      <c r="R151">
        <f>IFERROR(_xlfn.XLOOKUP($A151,Master_Data!$C:$C,Master_Data!$H:$H,"CHECK",0),"")</f>
        <v>52.323882721850545</v>
      </c>
      <c r="S151" t="str">
        <f>_xlfn.XLOOKUP($A151,Master_Data!$C:$C,Master_Data!$I:$I,"CHECK",0)</f>
        <v>Jehad Khan</v>
      </c>
      <c r="T151">
        <f>_xlfn.XLOOKUP($A151,Master_Data!$C:$C,Master_Data!$K:$K,"CHECK",0)</f>
        <v>102476</v>
      </c>
      <c r="U151">
        <f>IFERROR(_xlfn.XLOOKUP($A151,Master_Data!$C:$C,Master_Data!$L:$L,"CHECK",0),"")</f>
        <v>47.676117278149455</v>
      </c>
      <c r="V151">
        <f>_xlfn.XLOOKUP($A151,Master_Data!$C:$C,Master_Data!$M:$M,"CHECK",0)</f>
        <v>9990</v>
      </c>
      <c r="W151">
        <f>IFERROR(_xlfn.XLOOKUP($A151,Master_Data!$C:$C,Master_Data!$N:$N,"CHECK",0),"")</f>
        <v>4.6477654437010916</v>
      </c>
      <c r="X151" t="str">
        <f>IFERROR(_xlfn.XLOOKUP($A151,Master_Data!$C:$C,Master_Data!$O:$O,"CHECK",0),"No Result")</f>
        <v>Highly Competitive</v>
      </c>
      <c r="Y151">
        <f>_xlfn.XLOOKUP($A151,Master_Data!$C:$C,Master_Data!$P:$P,"CHECK",0)</f>
        <v>0</v>
      </c>
      <c r="Z151">
        <f t="shared" si="5"/>
        <v>1</v>
      </c>
    </row>
    <row r="152" spans="1:26">
      <c r="A152" t="str">
        <v>Kishoreganj-4</v>
      </c>
      <c r="B152" t="str" cm="1">
        <f t="array" ref="B1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Nawabganj","Chapainawabganj"),Final_Merged_Data!$B$2:$B$1000=$A152)))</f>
        <v>Kishoreganj</v>
      </c>
      <c r="C152" t="str" cm="1">
        <f t="array" ref="C152">_xlfn.TEXTJOIN(", ",TRUE,_xlfn._xlws.FILTER(Final_Merged_Data!$C$2:$C$1000,Final_Merged_Data!$B$2:$B$1000=$A152))</f>
        <v>Kishoreganj Sadar, Hossainpur</v>
      </c>
      <c r="D152" cm="1">
        <f t="array" ref="D152">COUNTA(_xlfn._xlws.FILTER(Final_Merged_Data!$C$2:$C$1000,Final_Merged_Data!$B$2:$B$1000=$A152))</f>
        <v>2</v>
      </c>
      <c r="E152">
        <f>SUMIFS(Final_Merged_Data!$E:$E,Final_Merged_Data!$B:$B,$A152)</f>
        <v>620.01</v>
      </c>
      <c r="F152">
        <f>SUMIFS(Final_Merged_Data!$F:$F,Final_Merged_Data!$B:$B,$A152)</f>
        <v>708719</v>
      </c>
      <c r="G152">
        <f t="shared" si="4"/>
        <v>1143.0767245689585</v>
      </c>
      <c r="H152" cm="1">
        <f t="array" ref="H152">SUMPRODUCT((Final_Merged_Data!$B$2:$B$1000=$A152)*Final_Merged_Data!$H$2:$H$1000*Final_Merged_Data!$F$2:$F$1000)/F152</f>
        <v>4.1586655077682417</v>
      </c>
      <c r="I152" cm="1">
        <f t="array" ref="I152">SUMPRODUCT((Final_Merged_Data!$B$2:$B$1000=$A152)*Final_Merged_Data!$I$2:$I$1000*Final_Merged_Data!$F$2:$F$1000)/F152</f>
        <v>71.967697945165853</v>
      </c>
      <c r="J152" t="str" cm="1">
        <f t="array" ref="J152">_xlfn.TEXTJOIN(", ",TRUE,_xlfn.UNIQUE(_xlfn._xlws.FILTER(Final_Merged_Data!$J$2:$J$1000,Final_Merged_Data!$B$2:$B$1000=$A152)))</f>
        <v>Dhaka Range</v>
      </c>
      <c r="K152" cm="1">
        <f t="array" ref="K152">SUMPRODUCT((Final_Merged_Data!$B$2:$B$1000=$A152)*Final_Merged_Data!$K$2:$K$1000*Final_Merged_Data!$F$2:$F$1000)/F152</f>
        <v>87.055167395391194</v>
      </c>
      <c r="L152" cm="1">
        <f t="array" ref="L152">SUMPRODUCT((Final_Merged_Data!$B$2:$B$1000=$A152)*Final_Merged_Data!$L$2:$L$1000*Final_Merged_Data!$F$2:$F$1000)/F152</f>
        <v>14.083489099923572</v>
      </c>
      <c r="M152" t="str">
        <f>IF(COUNTIF(Master_Data!$C:$C,$A152)&gt;0,"Found","Missing")</f>
        <v>Found</v>
      </c>
      <c r="N152" t="str">
        <f>_xlfn.XLOOKUP($A152,Master_Data!$C:$C,Master_Data!$D:$D,"CHECK",0)</f>
        <v>Md. Fazlur Rahman</v>
      </c>
      <c r="O152" t="str">
        <f>_xlfn.XLOOKUP($A152,Master_Data!$C:$C,Master_Data!$E:$E,"CHECK",0)</f>
        <v>BNP</v>
      </c>
      <c r="P152">
        <f>_xlfn.XLOOKUP($A152,Master_Data!$C:$C,Master_Data!$F:$F,"CHECK",0)</f>
        <v>1</v>
      </c>
      <c r="Q152">
        <f>_xlfn.XLOOKUP($A152,Master_Data!$C:$C,Master_Data!$G:$G,"CHECK",0)</f>
        <v>132472</v>
      </c>
      <c r="R152">
        <f>IFERROR(_xlfn.XLOOKUP($A152,Master_Data!$C:$C,Master_Data!$H:$H,"CHECK",0),"")</f>
        <v>69.611825476481997</v>
      </c>
      <c r="S152" t="str">
        <f>_xlfn.XLOOKUP($A152,Master_Data!$C:$C,Master_Data!$I:$I,"CHECK",0)</f>
        <v>Md. Rokan Reza Sheikh</v>
      </c>
      <c r="T152">
        <f>_xlfn.XLOOKUP($A152,Master_Data!$C:$C,Master_Data!$K:$K,"CHECK",0)</f>
        <v>57829</v>
      </c>
      <c r="U152">
        <f>IFERROR(_xlfn.XLOOKUP($A152,Master_Data!$C:$C,Master_Data!$L:$L,"CHECK",0),"")</f>
        <v>30.388174523518007</v>
      </c>
      <c r="V152">
        <f>_xlfn.XLOOKUP($A152,Master_Data!$C:$C,Master_Data!$M:$M,"CHECK",0)</f>
        <v>74643</v>
      </c>
      <c r="W152">
        <f>IFERROR(_xlfn.XLOOKUP($A152,Master_Data!$C:$C,Master_Data!$N:$N,"CHECK",0),"")</f>
        <v>39.223650952963993</v>
      </c>
      <c r="X152" t="str">
        <f>IFERROR(_xlfn.XLOOKUP($A152,Master_Data!$C:$C,Master_Data!$O:$O,"CHECK",0),"No Result")</f>
        <v>Safe Seat</v>
      </c>
      <c r="Y152">
        <f>_xlfn.XLOOKUP($A152,Master_Data!$C:$C,Master_Data!$P:$P,"CHECK",0)</f>
        <v>0</v>
      </c>
      <c r="Z152">
        <f t="shared" si="5"/>
        <v>1</v>
      </c>
    </row>
    <row r="153" spans="1:26">
      <c r="A153" t="str">
        <v>Kishoreganj-5</v>
      </c>
      <c r="B153" t="str" cm="1">
        <f t="array" ref="B1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Nawabganj","Chapainawabganj"),Final_Merged_Data!$B$2:$B$1000=$A153)))</f>
        <v>Kishoreganj</v>
      </c>
      <c r="C153" t="str" cm="1">
        <f t="array" ref="C153">_xlfn.TEXTJOIN(", ",TRUE,_xlfn._xlws.FILTER(Final_Merged_Data!$C$2:$C$1000,Final_Merged_Data!$B$2:$B$1000=$A153))</f>
        <v>Bajitpur, Nikli</v>
      </c>
      <c r="D153" cm="1">
        <f t="array" ref="D153">COUNTA(_xlfn._xlws.FILTER(Final_Merged_Data!$C$2:$C$1000,Final_Merged_Data!$B$2:$B$1000=$A153))</f>
        <v>2</v>
      </c>
      <c r="E153">
        <f>SUMIFS(Final_Merged_Data!$E:$E,Final_Merged_Data!$B:$B,$A153)</f>
        <v>387.41</v>
      </c>
      <c r="F153">
        <f>SUMIFS(Final_Merged_Data!$F:$F,Final_Merged_Data!$B:$B,$A153)</f>
        <v>415620</v>
      </c>
      <c r="G153">
        <f t="shared" si="4"/>
        <v>1072.8169123151183</v>
      </c>
      <c r="H153" cm="1">
        <f t="array" ref="H153">SUMPRODUCT((Final_Merged_Data!$B$2:$B$1000=$A153)*Final_Merged_Data!$H$2:$H$1000*Final_Merged_Data!$F$2:$F$1000)/F153</f>
        <v>4.2835100091429679</v>
      </c>
      <c r="I153" cm="1">
        <f t="array" ref="I153">SUMPRODUCT((Final_Merged_Data!$B$2:$B$1000=$A153)*Final_Merged_Data!$I$2:$I$1000*Final_Merged_Data!$F$2:$F$1000)/F153</f>
        <v>65.237811606756168</v>
      </c>
      <c r="J153" t="str" cm="1">
        <f t="array" ref="J153">_xlfn.TEXTJOIN(", ",TRUE,_xlfn.UNIQUE(_xlfn._xlws.FILTER(Final_Merged_Data!$J$2:$J$1000,Final_Merged_Data!$B$2:$B$1000=$A153)))</f>
        <v>Dhaka Range</v>
      </c>
      <c r="K153" cm="1">
        <f t="array" ref="K153">SUMPRODUCT((Final_Merged_Data!$B$2:$B$1000=$A153)*Final_Merged_Data!$K$2:$K$1000*Final_Merged_Data!$F$2:$F$1000)/F153</f>
        <v>87.055167395391209</v>
      </c>
      <c r="L153" cm="1">
        <f t="array" ref="L153">SUMPRODUCT((Final_Merged_Data!$B$2:$B$1000=$A153)*Final_Merged_Data!$L$2:$L$1000*Final_Merged_Data!$F$2:$F$1000)/F153</f>
        <v>14.083489099923572</v>
      </c>
      <c r="M153" t="str">
        <f>IF(COUNTIF(Master_Data!$C:$C,$A153)&gt;0,"Found","Missing")</f>
        <v>Found</v>
      </c>
      <c r="N153" t="str">
        <f>_xlfn.XLOOKUP($A153,Master_Data!$C:$C,Master_Data!$D:$D,"CHECK",0)</f>
        <v>Syed Ehsanul Huda</v>
      </c>
      <c r="O153" t="str">
        <f>_xlfn.XLOOKUP($A153,Master_Data!$C:$C,Master_Data!$E:$E,"CHECK",0)</f>
        <v>BNP</v>
      </c>
      <c r="P153">
        <f>_xlfn.XLOOKUP($A153,Master_Data!$C:$C,Master_Data!$F:$F,"CHECK",0)</f>
        <v>1</v>
      </c>
      <c r="Q153">
        <f>_xlfn.XLOOKUP($A153,Master_Data!$C:$C,Master_Data!$G:$G,"CHECK",0)</f>
        <v>66450</v>
      </c>
      <c r="R153">
        <f>IFERROR(_xlfn.XLOOKUP($A153,Master_Data!$C:$C,Master_Data!$H:$H,"CHECK",0),"")</f>
        <v>54.985519238725686</v>
      </c>
      <c r="S153" t="str">
        <f>_xlfn.XLOOKUP($A153,Master_Data!$C:$C,Master_Data!$I:$I,"CHECK",0)</f>
        <v>Md Ramzan Ali</v>
      </c>
      <c r="T153">
        <f>_xlfn.XLOOKUP($A153,Master_Data!$C:$C,Master_Data!$K:$K,"CHECK",0)</f>
        <v>54400</v>
      </c>
      <c r="U153">
        <f>IFERROR(_xlfn.XLOOKUP($A153,Master_Data!$C:$C,Master_Data!$L:$L,"CHECK",0),"")</f>
        <v>45.014480761274307</v>
      </c>
      <c r="V153">
        <f>_xlfn.XLOOKUP($A153,Master_Data!$C:$C,Master_Data!$M:$M,"CHECK",0)</f>
        <v>12050</v>
      </c>
      <c r="W153">
        <f>IFERROR(_xlfn.XLOOKUP($A153,Master_Data!$C:$C,Master_Data!$N:$N,"CHECK",0),"")</f>
        <v>9.9710384774513852</v>
      </c>
      <c r="X153" t="str">
        <f>IFERROR(_xlfn.XLOOKUP($A153,Master_Data!$C:$C,Master_Data!$O:$O,"CHECK",0),"No Result")</f>
        <v>Safe Seat</v>
      </c>
      <c r="Y153">
        <f>_xlfn.XLOOKUP($A153,Master_Data!$C:$C,Master_Data!$P:$P,"CHECK",0)</f>
        <v>0</v>
      </c>
      <c r="Z153">
        <f t="shared" si="5"/>
        <v>1</v>
      </c>
    </row>
    <row r="154" spans="1:26">
      <c r="A154" t="str">
        <v>Kishoreganj-6</v>
      </c>
      <c r="B154" t="str" cm="1">
        <f t="array" ref="B1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Nawabganj","Chapainawabganj"),Final_Merged_Data!$B$2:$B$1000=$A154)))</f>
        <v>Kishoreganj</v>
      </c>
      <c r="C154" t="str" cm="1">
        <f t="array" ref="C154">_xlfn.TEXTJOIN(", ",TRUE,_xlfn._xlws.FILTER(Final_Merged_Data!$C$2:$C$1000,Final_Merged_Data!$B$2:$B$1000=$A154))</f>
        <v>Bhairab</v>
      </c>
      <c r="D154" cm="1">
        <f t="array" ref="D154">COUNTA(_xlfn._xlws.FILTER(Final_Merged_Data!$C$2:$C$1000,Final_Merged_Data!$B$2:$B$1000=$A154))</f>
        <v>1</v>
      </c>
      <c r="E154">
        <f>SUMIFS(Final_Merged_Data!$E:$E,Final_Merged_Data!$B:$B,$A154)</f>
        <v>229.47</v>
      </c>
      <c r="F154">
        <f>SUMIFS(Final_Merged_Data!$F:$F,Final_Merged_Data!$B:$B,$A154)</f>
        <v>362665</v>
      </c>
      <c r="G154">
        <f t="shared" si="4"/>
        <v>1580.4462456966053</v>
      </c>
      <c r="H154" cm="1">
        <f t="array" ref="H154">SUMPRODUCT((Final_Merged_Data!$B$2:$B$1000=$A154)*Final_Merged_Data!$H$2:$H$1000*Final_Merged_Data!$F$2:$F$1000)/F154</f>
        <v>4.5</v>
      </c>
      <c r="I154" cm="1">
        <f t="array" ref="I154">SUMPRODUCT((Final_Merged_Data!$B$2:$B$1000=$A154)*Final_Merged_Data!$I$2:$I$1000*Final_Merged_Data!$F$2:$F$1000)/F154</f>
        <v>71.819999999999993</v>
      </c>
      <c r="J154" t="str" cm="1">
        <f t="array" ref="J154">_xlfn.TEXTJOIN(", ",TRUE,_xlfn.UNIQUE(_xlfn._xlws.FILTER(Final_Merged_Data!$J$2:$J$1000,Final_Merged_Data!$B$2:$B$1000=$A154)))</f>
        <v>Dhaka Range</v>
      </c>
      <c r="K154" cm="1">
        <f t="array" ref="K154">SUMPRODUCT((Final_Merged_Data!$B$2:$B$1000=$A154)*Final_Merged_Data!$K$2:$K$1000*Final_Merged_Data!$F$2:$F$1000)/F154</f>
        <v>87.055167395391194</v>
      </c>
      <c r="L154" cm="1">
        <f t="array" ref="L154">SUMPRODUCT((Final_Merged_Data!$B$2:$B$1000=$A154)*Final_Merged_Data!$L$2:$L$1000*Final_Merged_Data!$F$2:$F$1000)/F154</f>
        <v>14.083489099923574</v>
      </c>
      <c r="M154" t="str">
        <f>IF(COUNTIF(Master_Data!$C:$C,$A154)&gt;0,"Found","Missing")</f>
        <v>Found</v>
      </c>
      <c r="N154" t="str">
        <f>_xlfn.XLOOKUP($A154,Master_Data!$C:$C,Master_Data!$D:$D,"CHECK",0)</f>
        <v>Md. Shariful Alam</v>
      </c>
      <c r="O154" t="str">
        <f>_xlfn.XLOOKUP($A154,Master_Data!$C:$C,Master_Data!$E:$E,"CHECK",0)</f>
        <v>BNP</v>
      </c>
      <c r="P154">
        <f>_xlfn.XLOOKUP($A154,Master_Data!$C:$C,Master_Data!$F:$F,"CHECK",0)</f>
        <v>1</v>
      </c>
      <c r="Q154">
        <f>_xlfn.XLOOKUP($A154,Master_Data!$C:$C,Master_Data!$G:$G,"CHECK",0)</f>
        <v>185813</v>
      </c>
      <c r="R154">
        <f>IFERROR(_xlfn.XLOOKUP($A154,Master_Data!$C:$C,Master_Data!$H:$H,"CHECK",0),"")</f>
        <v>81.36560288656905</v>
      </c>
      <c r="S154" t="str">
        <f>_xlfn.XLOOKUP($A154,Master_Data!$C:$C,Master_Data!$I:$I,"CHECK",0)</f>
        <v>Ataullah Amin</v>
      </c>
      <c r="T154">
        <f>_xlfn.XLOOKUP($A154,Master_Data!$C:$C,Master_Data!$K:$K,"CHECK",0)</f>
        <v>42555</v>
      </c>
      <c r="U154">
        <f>IFERROR(_xlfn.XLOOKUP($A154,Master_Data!$C:$C,Master_Data!$L:$L,"CHECK",0),"")</f>
        <v>18.634397113430953</v>
      </c>
      <c r="V154">
        <f>_xlfn.XLOOKUP($A154,Master_Data!$C:$C,Master_Data!$M:$M,"CHECK",0)</f>
        <v>143258</v>
      </c>
      <c r="W154">
        <f>IFERROR(_xlfn.XLOOKUP($A154,Master_Data!$C:$C,Master_Data!$N:$N,"CHECK",0),"")</f>
        <v>62.731205773138086</v>
      </c>
      <c r="X154" t="str">
        <f>IFERROR(_xlfn.XLOOKUP($A154,Master_Data!$C:$C,Master_Data!$O:$O,"CHECK",0),"No Result")</f>
        <v>Safe Seat</v>
      </c>
      <c r="Y154">
        <f>_xlfn.XLOOKUP($A154,Master_Data!$C:$C,Master_Data!$P:$P,"CHECK",0)</f>
        <v>0</v>
      </c>
      <c r="Z154">
        <f t="shared" si="5"/>
        <v>1</v>
      </c>
    </row>
    <row r="155" spans="1:26">
      <c r="A155" t="str">
        <v>Kurigram-1</v>
      </c>
      <c r="B155" t="str" cm="1">
        <f t="array" ref="B1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Nawabganj","Chapainawabganj"),Final_Merged_Data!$B$2:$B$1000=$A155)))</f>
        <v>Kurigram</v>
      </c>
      <c r="C155" t="str" cm="1">
        <f t="array" ref="C155">_xlfn.TEXTJOIN(", ",TRUE,_xlfn._xlws.FILTER(Final_Merged_Data!$C$2:$C$1000,Final_Merged_Data!$B$2:$B$1000=$A155))</f>
        <v>Bhurungamari, Nageshwari</v>
      </c>
      <c r="D155" cm="1">
        <f t="array" ref="D155">COUNTA(_xlfn._xlws.FILTER(Final_Merged_Data!$C$2:$C$1000,Final_Merged_Data!$B$2:$B$1000=$A155))</f>
        <v>2</v>
      </c>
      <c r="E155">
        <f>SUMIFS(Final_Merged_Data!$E:$E,Final_Merged_Data!$B:$B,$A155)</f>
        <v>707.33999999999992</v>
      </c>
      <c r="F155">
        <f>SUMIFS(Final_Merged_Data!$F:$F,Final_Merged_Data!$B:$B,$A155)</f>
        <v>700235</v>
      </c>
      <c r="G155">
        <f t="shared" si="4"/>
        <v>989.95532558599837</v>
      </c>
      <c r="H155" cm="1">
        <f t="array" ref="H155">SUMPRODUCT((Final_Merged_Data!$B$2:$B$1000=$A155)*Final_Merged_Data!$H$2:$H$1000*Final_Merged_Data!$F$2:$F$1000)/F155</f>
        <v>3.8487656286817997</v>
      </c>
      <c r="I155" cm="1">
        <f t="array" ref="I155">SUMPRODUCT((Final_Merged_Data!$B$2:$B$1000=$A155)*Final_Merged_Data!$I$2:$I$1000*Final_Merged_Data!$F$2:$F$1000)/F155</f>
        <v>62.863130620434575</v>
      </c>
      <c r="J155" t="str" cm="1">
        <f t="array" ref="J155">_xlfn.TEXTJOIN(", ",TRUE,_xlfn.UNIQUE(_xlfn._xlws.FILTER(Final_Merged_Data!$J$2:$J$1000,Final_Merged_Data!$B$2:$B$1000=$A155)))</f>
        <v>Rangpur Range</v>
      </c>
      <c r="K155" cm="1">
        <f t="array" ref="K155">SUMPRODUCT((Final_Merged_Data!$B$2:$B$1000=$A155)*Final_Merged_Data!$K$2:$K$1000*Final_Merged_Data!$F$2:$F$1000)/F155</f>
        <v>101.90869513385242</v>
      </c>
      <c r="L155" cm="1">
        <f t="array" ref="L155">SUMPRODUCT((Final_Merged_Data!$B$2:$B$1000=$A155)*Final_Merged_Data!$L$2:$L$1000*Final_Merged_Data!$F$2:$F$1000)/F155</f>
        <v>15.175373179583826</v>
      </c>
      <c r="M155" t="str">
        <f>IF(COUNTIF(Master_Data!$C:$C,$A155)&gt;0,"Found","Missing")</f>
        <v>Found</v>
      </c>
      <c r="N155" t="str">
        <f>_xlfn.XLOOKUP($A155,Master_Data!$C:$C,Master_Data!$D:$D,"CHECK",0)</f>
        <v>Md. Anwarul Islam</v>
      </c>
      <c r="O155" t="str">
        <f>_xlfn.XLOOKUP($A155,Master_Data!$C:$C,Master_Data!$E:$E,"CHECK",0)</f>
        <v>Jamaat</v>
      </c>
      <c r="P155">
        <f>_xlfn.XLOOKUP($A155,Master_Data!$C:$C,Master_Data!$F:$F,"CHECK",0)</f>
        <v>2</v>
      </c>
      <c r="Q155">
        <f>_xlfn.XLOOKUP($A155,Master_Data!$C:$C,Master_Data!$G:$G,"CHECK",0)</f>
        <v>141090</v>
      </c>
      <c r="R155">
        <f>IFERROR(_xlfn.XLOOKUP($A155,Master_Data!$C:$C,Master_Data!$H:$H,"CHECK",0),"")</f>
        <v>53.419911780853035</v>
      </c>
      <c r="S155" t="str">
        <f>_xlfn.XLOOKUP($A155,Master_Data!$C:$C,Master_Data!$I:$I,"CHECK",0)</f>
        <v>Saifur Rahman Rana</v>
      </c>
      <c r="T155">
        <f>_xlfn.XLOOKUP($A155,Master_Data!$C:$C,Master_Data!$K:$K,"CHECK",0)</f>
        <v>123025</v>
      </c>
      <c r="U155">
        <f>IFERROR(_xlfn.XLOOKUP($A155,Master_Data!$C:$C,Master_Data!$L:$L,"CHECK",0),"")</f>
        <v>46.580088219146965</v>
      </c>
      <c r="V155">
        <f>_xlfn.XLOOKUP($A155,Master_Data!$C:$C,Master_Data!$M:$M,"CHECK",0)</f>
        <v>18065</v>
      </c>
      <c r="W155">
        <f>IFERROR(_xlfn.XLOOKUP($A155,Master_Data!$C:$C,Master_Data!$N:$N,"CHECK",0),"")</f>
        <v>6.8398235617060754</v>
      </c>
      <c r="X155" t="str">
        <f>IFERROR(_xlfn.XLOOKUP($A155,Master_Data!$C:$C,Master_Data!$O:$O,"CHECK",0),"No Result")</f>
        <v>Safe Seat</v>
      </c>
      <c r="Y155">
        <f>_xlfn.XLOOKUP($A155,Master_Data!$C:$C,Master_Data!$P:$P,"CHECK",0)</f>
        <v>0</v>
      </c>
      <c r="Z155">
        <f t="shared" si="5"/>
        <v>1</v>
      </c>
    </row>
    <row r="156" spans="1:26">
      <c r="A156" t="str">
        <v>Kurigram-2</v>
      </c>
      <c r="B156" t="str" cm="1">
        <f t="array" ref="B1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Nawabganj","Chapainawabganj"),Final_Merged_Data!$B$2:$B$1000=$A156)))</f>
        <v>Kurigram</v>
      </c>
      <c r="C156" t="str" cm="1">
        <f t="array" ref="C156">_xlfn.TEXTJOIN(", ",TRUE,_xlfn._xlws.FILTER(Final_Merged_Data!$C$2:$C$1000,Final_Merged_Data!$B$2:$B$1000=$A156))</f>
        <v>Fulbari, Rajarhat, Kurigram Sadar</v>
      </c>
      <c r="D156" cm="1">
        <f t="array" ref="D156">COUNTA(_xlfn._xlws.FILTER(Final_Merged_Data!$C$2:$C$1000,Final_Merged_Data!$B$2:$B$1000=$A156))</f>
        <v>3</v>
      </c>
      <c r="E156">
        <f>SUMIFS(Final_Merged_Data!$E:$E,Final_Merged_Data!$B:$B,$A156)</f>
        <v>1214.1499999999999</v>
      </c>
      <c r="F156">
        <f>SUMIFS(Final_Merged_Data!$F:$F,Final_Merged_Data!$B:$B,$A156)</f>
        <v>759005</v>
      </c>
      <c r="G156">
        <f t="shared" si="4"/>
        <v>625.13280896100161</v>
      </c>
      <c r="H156" cm="1">
        <f t="array" ref="H156">SUMPRODUCT((Final_Merged_Data!$B$2:$B$1000=$A156)*Final_Merged_Data!$H$2:$H$1000*Final_Merged_Data!$F$2:$F$1000)/F156</f>
        <v>3.8491117713322049</v>
      </c>
      <c r="I156" cm="1">
        <f t="array" ref="I156">SUMPRODUCT((Final_Merged_Data!$B$2:$B$1000=$A156)*Final_Merged_Data!$I$2:$I$1000*Final_Merged_Data!$F$2:$F$1000)/F156</f>
        <v>71.961055184089687</v>
      </c>
      <c r="J156" t="str" cm="1">
        <f t="array" ref="J156">_xlfn.TEXTJOIN(", ",TRUE,_xlfn.UNIQUE(_xlfn._xlws.FILTER(Final_Merged_Data!$J$2:$J$1000,Final_Merged_Data!$B$2:$B$1000=$A156)))</f>
        <v>Rangpur Range</v>
      </c>
      <c r="K156" cm="1">
        <f t="array" ref="K156">SUMPRODUCT((Final_Merged_Data!$B$2:$B$1000=$A156)*Final_Merged_Data!$K$2:$K$1000*Final_Merged_Data!$F$2:$F$1000)/F156</f>
        <v>101.90869513385242</v>
      </c>
      <c r="L156" cm="1">
        <f t="array" ref="L156">SUMPRODUCT((Final_Merged_Data!$B$2:$B$1000=$A156)*Final_Merged_Data!$L$2:$L$1000*Final_Merged_Data!$F$2:$F$1000)/F156</f>
        <v>15.175373179583827</v>
      </c>
      <c r="M156" t="str">
        <f>IF(COUNTIF(Master_Data!$C:$C,$A156)&gt;0,"Found","Missing")</f>
        <v>Found</v>
      </c>
      <c r="N156" t="str">
        <f>_xlfn.XLOOKUP($A156,Master_Data!$C:$C,Master_Data!$D:$D,"CHECK",0)</f>
        <v>Atiqur Rahman Mojahid</v>
      </c>
      <c r="O156" t="str">
        <f>_xlfn.XLOOKUP($A156,Master_Data!$C:$C,Master_Data!$E:$E,"CHECK",0)</f>
        <v>NCP</v>
      </c>
      <c r="P156">
        <f>_xlfn.XLOOKUP($A156,Master_Data!$C:$C,Master_Data!$F:$F,"CHECK",0)</f>
        <v>0</v>
      </c>
      <c r="Q156">
        <f>_xlfn.XLOOKUP($A156,Master_Data!$C:$C,Master_Data!$G:$G,"CHECK",0)</f>
        <v>178869</v>
      </c>
      <c r="R156">
        <f>IFERROR(_xlfn.XLOOKUP($A156,Master_Data!$C:$C,Master_Data!$H:$H,"CHECK",0),"")</f>
        <v>51.221921856565224</v>
      </c>
      <c r="S156" t="str">
        <f>_xlfn.XLOOKUP($A156,Master_Data!$C:$C,Master_Data!$I:$I,"CHECK",0)</f>
        <v>Md. Sohail Hosnain Kaikobad</v>
      </c>
      <c r="T156">
        <f>_xlfn.XLOOKUP($A156,Master_Data!$C:$C,Master_Data!$K:$K,"CHECK",0)</f>
        <v>170335</v>
      </c>
      <c r="U156">
        <f>IFERROR(_xlfn.XLOOKUP($A156,Master_Data!$C:$C,Master_Data!$L:$L,"CHECK",0),"")</f>
        <v>48.778078143434783</v>
      </c>
      <c r="V156">
        <f>_xlfn.XLOOKUP($A156,Master_Data!$C:$C,Master_Data!$M:$M,"CHECK",0)</f>
        <v>8534</v>
      </c>
      <c r="W156">
        <f>IFERROR(_xlfn.XLOOKUP($A156,Master_Data!$C:$C,Master_Data!$N:$N,"CHECK",0),"")</f>
        <v>2.443843713130434</v>
      </c>
      <c r="X156" t="str">
        <f>IFERROR(_xlfn.XLOOKUP($A156,Master_Data!$C:$C,Master_Data!$O:$O,"CHECK",0),"No Result")</f>
        <v>Highly Competitive</v>
      </c>
      <c r="Y156">
        <f>_xlfn.XLOOKUP($A156,Master_Data!$C:$C,Master_Data!$P:$P,"CHECK",0)</f>
        <v>0</v>
      </c>
      <c r="Z156">
        <f t="shared" si="5"/>
        <v>1</v>
      </c>
    </row>
    <row r="157" spans="1:26">
      <c r="A157" t="str">
        <v>Kurigram-3</v>
      </c>
      <c r="B157" t="str" cm="1">
        <f t="array" ref="B1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Nawabganj","Chapainawabganj"),Final_Merged_Data!$B$2:$B$1000=$A157)))</f>
        <v>Kurigram</v>
      </c>
      <c r="C157" t="str" cm="1">
        <f t="array" ref="C157">_xlfn.TEXTJOIN(", ",TRUE,_xlfn._xlws.FILTER(Final_Merged_Data!$C$2:$C$1000,Final_Merged_Data!$B$2:$B$1000=$A157))</f>
        <v>Ulipur, Chilmari, Roumari, Rajibpur</v>
      </c>
      <c r="D157" cm="1">
        <f t="array" ref="D157">COUNTA(_xlfn._xlws.FILTER(Final_Merged_Data!$C$2:$C$1000,Final_Merged_Data!$B$2:$B$1000=$A157))</f>
        <v>4</v>
      </c>
      <c r="E157">
        <f>SUMIFS(Final_Merged_Data!$E:$E,Final_Merged_Data!$B:$B,$A157)</f>
        <v>1451.8899999999999</v>
      </c>
      <c r="F157">
        <f>SUMIFS(Final_Merged_Data!$F:$F,Final_Merged_Data!$B:$B,$A157)</f>
        <v>877745</v>
      </c>
      <c r="G157">
        <f t="shared" si="4"/>
        <v>604.55337525570121</v>
      </c>
      <c r="H157" cm="1">
        <f t="array" ref="H157">SUMPRODUCT((Final_Merged_Data!$B$2:$B$1000=$A157)*Final_Merged_Data!$H$2:$H$1000*Final_Merged_Data!$F$2:$F$1000)/F157</f>
        <v>3.7724733607141023</v>
      </c>
      <c r="I157" cm="1">
        <f t="array" ref="I157">SUMPRODUCT((Final_Merged_Data!$B$2:$B$1000=$A157)*Final_Merged_Data!$I$2:$I$1000*Final_Merged_Data!$F$2:$F$1000)/F157</f>
        <v>63.573069558926562</v>
      </c>
      <c r="J157" t="str" cm="1">
        <f t="array" ref="J157">_xlfn.TEXTJOIN(", ",TRUE,_xlfn.UNIQUE(_xlfn._xlws.FILTER(Final_Merged_Data!$J$2:$J$1000,Final_Merged_Data!$B$2:$B$1000=$A157)))</f>
        <v>Rangpur Range</v>
      </c>
      <c r="K157" cm="1">
        <f t="array" ref="K157">SUMPRODUCT((Final_Merged_Data!$B$2:$B$1000=$A157)*Final_Merged_Data!$K$2:$K$1000*Final_Merged_Data!$F$2:$F$1000)/F157</f>
        <v>101.90869513385242</v>
      </c>
      <c r="L157" cm="1">
        <f t="array" ref="L157">SUMPRODUCT((Final_Merged_Data!$B$2:$B$1000=$A157)*Final_Merged_Data!$L$2:$L$1000*Final_Merged_Data!$F$2:$F$1000)/F157</f>
        <v>15.175373179583827</v>
      </c>
      <c r="M157" t="str">
        <f>IF(COUNTIF(Master_Data!$C:$C,$A157)&gt;0,"Found","Missing")</f>
        <v>Found</v>
      </c>
      <c r="N157" t="str">
        <f>_xlfn.XLOOKUP($A157,Master_Data!$C:$C,Master_Data!$D:$D,"CHECK",0)</f>
        <v>Md. Mahbubul Alam</v>
      </c>
      <c r="O157" t="str">
        <f>_xlfn.XLOOKUP($A157,Master_Data!$C:$C,Master_Data!$E:$E,"CHECK",0)</f>
        <v>Jamaat</v>
      </c>
      <c r="P157">
        <f>_xlfn.XLOOKUP($A157,Master_Data!$C:$C,Master_Data!$F:$F,"CHECK",0)</f>
        <v>2</v>
      </c>
      <c r="Q157">
        <f>_xlfn.XLOOKUP($A157,Master_Data!$C:$C,Master_Data!$G:$G,"CHECK",0)</f>
        <v>107930</v>
      </c>
      <c r="R157">
        <f>IFERROR(_xlfn.XLOOKUP($A157,Master_Data!$C:$C,Master_Data!$H:$H,"CHECK",0),"")</f>
        <v>57.629670763874799</v>
      </c>
      <c r="S157" t="str">
        <f>_xlfn.XLOOKUP($A157,Master_Data!$C:$C,Master_Data!$I:$I,"CHECK",0)</f>
        <v>Tasvir Ul Islam</v>
      </c>
      <c r="T157">
        <f>_xlfn.XLOOKUP($A157,Master_Data!$C:$C,Master_Data!$K:$K,"CHECK",0)</f>
        <v>79352</v>
      </c>
      <c r="U157">
        <f>IFERROR(_xlfn.XLOOKUP($A157,Master_Data!$C:$C,Master_Data!$L:$L,"CHECK",0),"")</f>
        <v>42.370329236125201</v>
      </c>
      <c r="V157">
        <f>_xlfn.XLOOKUP($A157,Master_Data!$C:$C,Master_Data!$M:$M,"CHECK",0)</f>
        <v>28578</v>
      </c>
      <c r="W157">
        <f>IFERROR(_xlfn.XLOOKUP($A157,Master_Data!$C:$C,Master_Data!$N:$N,"CHECK",0),"")</f>
        <v>15.259341527749598</v>
      </c>
      <c r="X157" t="str">
        <f>IFERROR(_xlfn.XLOOKUP($A157,Master_Data!$C:$C,Master_Data!$O:$O,"CHECK",0),"No Result")</f>
        <v>Safe Seat</v>
      </c>
      <c r="Y157">
        <f>_xlfn.XLOOKUP($A157,Master_Data!$C:$C,Master_Data!$P:$P,"CHECK",0)</f>
        <v>0</v>
      </c>
      <c r="Z157">
        <f t="shared" si="5"/>
        <v>1</v>
      </c>
    </row>
    <row r="158" spans="1:26">
      <c r="A158" t="str">
        <v>Kurigram-4</v>
      </c>
      <c r="B158" t="str" cm="1">
        <f t="array" ref="B1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Nawabganj","Chapainawabganj"),Final_Merged_Data!$B$2:$B$1000=$A158)))</f>
        <v>Kurigram</v>
      </c>
      <c r="C158" t="str" cm="1">
        <f t="array" ref="C158">_xlfn.TEXTJOIN(", ",TRUE,_xlfn._xlws.FILTER(Final_Merged_Data!$C$2:$C$1000,Final_Merged_Data!$B$2:$B$1000=$A158))</f>
        <v>Phulbari, Rajarhat</v>
      </c>
      <c r="D158" cm="1">
        <f t="array" ref="D158">COUNTA(_xlfn._xlws.FILTER(Final_Merged_Data!$C$2:$C$1000,Final_Merged_Data!$B$2:$B$1000=$A158))</f>
        <v>2</v>
      </c>
      <c r="E158">
        <f>SUMIFS(Final_Merged_Data!$E:$E,Final_Merged_Data!$B:$B,$A158)</f>
        <v>848</v>
      </c>
      <c r="F158">
        <f>SUMIFS(Final_Merged_Data!$F:$F,Final_Merged_Data!$B:$B,$A158)</f>
        <v>389724</v>
      </c>
      <c r="G158">
        <f t="shared" si="4"/>
        <v>459.58018867924528</v>
      </c>
      <c r="H158" cm="1">
        <f t="array" ref="H158">SUMPRODUCT((Final_Merged_Data!$B$2:$B$1000=$A158)*Final_Merged_Data!$H$2:$H$1000*Final_Merged_Data!$F$2:$F$1000)/F158</f>
        <v>3.8083196313288381</v>
      </c>
      <c r="I158" cm="1">
        <f t="array" ref="I158">SUMPRODUCT((Final_Merged_Data!$B$2:$B$1000=$A158)*Final_Merged_Data!$I$2:$I$1000*Final_Merged_Data!$F$2:$F$1000)/F158</f>
        <v>68.22947963173938</v>
      </c>
      <c r="J158" t="str" cm="1">
        <f t="array" ref="J158">_xlfn.TEXTJOIN(", ",TRUE,_xlfn.UNIQUE(_xlfn._xlws.FILTER(Final_Merged_Data!$J$2:$J$1000,Final_Merged_Data!$B$2:$B$1000=$A158)))</f>
        <v>Rangpur Range</v>
      </c>
      <c r="K158" cm="1">
        <f t="array" ref="K158">SUMPRODUCT((Final_Merged_Data!$B$2:$B$1000=$A158)*Final_Merged_Data!$K$2:$K$1000*Final_Merged_Data!$F$2:$F$1000)/F158</f>
        <v>101.90869513385242</v>
      </c>
      <c r="L158" cm="1">
        <f t="array" ref="L158">SUMPRODUCT((Final_Merged_Data!$B$2:$B$1000=$A158)*Final_Merged_Data!$L$2:$L$1000*Final_Merged_Data!$F$2:$F$1000)/F158</f>
        <v>15.175373179583826</v>
      </c>
      <c r="M158" t="str">
        <f>IF(COUNTIF(Master_Data!$C:$C,$A158)&gt;0,"Found","Missing")</f>
        <v>Found</v>
      </c>
      <c r="N158" t="str">
        <f>_xlfn.XLOOKUP($A158,Master_Data!$C:$C,Master_Data!$D:$D,"CHECK",0)</f>
        <v>Md. Mostafizur Rahman</v>
      </c>
      <c r="O158" t="str">
        <f>_xlfn.XLOOKUP($A158,Master_Data!$C:$C,Master_Data!$E:$E,"CHECK",0)</f>
        <v>Jamaat</v>
      </c>
      <c r="P158">
        <f>_xlfn.XLOOKUP($A158,Master_Data!$C:$C,Master_Data!$F:$F,"CHECK",0)</f>
        <v>2</v>
      </c>
      <c r="Q158">
        <f>_xlfn.XLOOKUP($A158,Master_Data!$C:$C,Master_Data!$G:$G,"CHECK",0)</f>
        <v>108210</v>
      </c>
      <c r="R158">
        <f>IFERROR(_xlfn.XLOOKUP($A158,Master_Data!$C:$C,Master_Data!$H:$H,"CHECK",0),"")</f>
        <v>56.174175764277145</v>
      </c>
      <c r="S158" t="str">
        <f>_xlfn.XLOOKUP($A158,Master_Data!$C:$C,Master_Data!$I:$I,"CHECK",0)</f>
        <v>Md. Azizur Rahman</v>
      </c>
      <c r="T158">
        <f>_xlfn.XLOOKUP($A158,Master_Data!$C:$C,Master_Data!$K:$K,"CHECK",0)</f>
        <v>84423</v>
      </c>
      <c r="U158">
        <f>IFERROR(_xlfn.XLOOKUP($A158,Master_Data!$C:$C,Master_Data!$L:$L,"CHECK",0),"")</f>
        <v>43.825824235722848</v>
      </c>
      <c r="V158">
        <f>_xlfn.XLOOKUP($A158,Master_Data!$C:$C,Master_Data!$M:$M,"CHECK",0)</f>
        <v>23787</v>
      </c>
      <c r="W158">
        <f>IFERROR(_xlfn.XLOOKUP($A158,Master_Data!$C:$C,Master_Data!$N:$N,"CHECK",0),"")</f>
        <v>12.348351528554298</v>
      </c>
      <c r="X158" t="str">
        <f>IFERROR(_xlfn.XLOOKUP($A158,Master_Data!$C:$C,Master_Data!$O:$O,"CHECK",0),"No Result")</f>
        <v>Safe Seat</v>
      </c>
      <c r="Y158">
        <f>_xlfn.XLOOKUP($A158,Master_Data!$C:$C,Master_Data!$P:$P,"CHECK",0)</f>
        <v>0</v>
      </c>
      <c r="Z158">
        <f t="shared" si="5"/>
        <v>1</v>
      </c>
    </row>
    <row r="159" spans="1:26">
      <c r="A159" t="str">
        <v>Kushtia-1</v>
      </c>
      <c r="B159" t="str" cm="1">
        <f t="array" ref="B1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Nawabganj","Chapainawabganj"),Final_Merged_Data!$B$2:$B$1000=$A159)))</f>
        <v>Kushtia</v>
      </c>
      <c r="C159" t="str" cm="1">
        <f t="array" ref="C159">_xlfn.TEXTJOIN(", ",TRUE,_xlfn._xlws.FILTER(Final_Merged_Data!$C$2:$C$1000,Final_Merged_Data!$B$2:$B$1000=$A159))</f>
        <v>Daulatpur, Mirpur</v>
      </c>
      <c r="D159" cm="1">
        <f t="array" ref="D159">COUNTA(_xlfn._xlws.FILTER(Final_Merged_Data!$C$2:$C$1000,Final_Merged_Data!$B$2:$B$1000=$A159))</f>
        <v>2</v>
      </c>
      <c r="E159">
        <f>SUMIFS(Final_Merged_Data!$E:$E,Final_Merged_Data!$B:$B,$A159)</f>
        <v>501.3</v>
      </c>
      <c r="F159">
        <f>SUMIFS(Final_Merged_Data!$F:$F,Final_Merged_Data!$B:$B,$A159)</f>
        <v>530500</v>
      </c>
      <c r="G159">
        <f t="shared" si="4"/>
        <v>1058.2485537602233</v>
      </c>
      <c r="H159" cm="1">
        <f t="array" ref="H159">SUMPRODUCT((Final_Merged_Data!$B$2:$B$1000=$A159)*Final_Merged_Data!$H$2:$H$1000*Final_Merged_Data!$F$2:$F$1000)/F159</f>
        <v>3.7757413760603207</v>
      </c>
      <c r="I159" cm="1">
        <f t="array" ref="I159">SUMPRODUCT((Final_Merged_Data!$B$2:$B$1000=$A159)*Final_Merged_Data!$I$2:$I$1000*Final_Merged_Data!$F$2:$F$1000)/F159</f>
        <v>64.305666729500459</v>
      </c>
      <c r="J159" t="str" cm="1">
        <f t="array" ref="J159">_xlfn.TEXTJOIN(", ",TRUE,_xlfn.UNIQUE(_xlfn._xlws.FILTER(Final_Merged_Data!$J$2:$J$1000,Final_Merged_Data!$B$2:$B$1000=$A159)))</f>
        <v>Khulna Range</v>
      </c>
      <c r="K159" cm="1">
        <f t="array" ref="K159">SUMPRODUCT((Final_Merged_Data!$B$2:$B$1000=$A159)*Final_Merged_Data!$K$2:$K$1000*Final_Merged_Data!$F$2:$F$1000)/F159</f>
        <v>102.32166075410298</v>
      </c>
      <c r="L159" cm="1">
        <f t="array" ref="L159">SUMPRODUCT((Final_Merged_Data!$B$2:$B$1000=$A159)*Final_Merged_Data!$L$2:$L$1000*Final_Merged_Data!$F$2:$F$1000)/F159</f>
        <v>12.212237548443923</v>
      </c>
      <c r="M159" t="str">
        <f>IF(COUNTIF(Master_Data!$C:$C,$A159)&gt;0,"Found","Missing")</f>
        <v>Found</v>
      </c>
      <c r="N159" t="str">
        <f>_xlfn.XLOOKUP($A159,Master_Data!$C:$C,Master_Data!$D:$D,"CHECK",0)</f>
        <v>Reza Ahmed</v>
      </c>
      <c r="O159" t="str">
        <f>_xlfn.XLOOKUP($A159,Master_Data!$C:$C,Master_Data!$E:$E,"CHECK",0)</f>
        <v>BNP</v>
      </c>
      <c r="P159">
        <f>_xlfn.XLOOKUP($A159,Master_Data!$C:$C,Master_Data!$F:$F,"CHECK",0)</f>
        <v>1</v>
      </c>
      <c r="Q159">
        <f>_xlfn.XLOOKUP($A159,Master_Data!$C:$C,Master_Data!$G:$G,"CHECK",0)</f>
        <v>165909</v>
      </c>
      <c r="R159">
        <f>IFERROR(_xlfn.XLOOKUP($A159,Master_Data!$C:$C,Master_Data!$H:$H,"CHECK",0),"")</f>
        <v>65.682862809838824</v>
      </c>
      <c r="S159" t="str">
        <f>_xlfn.XLOOKUP($A159,Master_Data!$C:$C,Master_Data!$I:$I,"CHECK",0)</f>
        <v>Md. Belal Uddin</v>
      </c>
      <c r="T159">
        <f>_xlfn.XLOOKUP($A159,Master_Data!$C:$C,Master_Data!$K:$K,"CHECK",0)</f>
        <v>86682</v>
      </c>
      <c r="U159">
        <f>IFERROR(_xlfn.XLOOKUP($A159,Master_Data!$C:$C,Master_Data!$L:$L,"CHECK",0),"")</f>
        <v>34.317137190161169</v>
      </c>
      <c r="V159">
        <f>_xlfn.XLOOKUP($A159,Master_Data!$C:$C,Master_Data!$M:$M,"CHECK",0)</f>
        <v>79227</v>
      </c>
      <c r="W159">
        <f>IFERROR(_xlfn.XLOOKUP($A159,Master_Data!$C:$C,Master_Data!$N:$N,"CHECK",0),"")</f>
        <v>31.365725619677658</v>
      </c>
      <c r="X159" t="str">
        <f>IFERROR(_xlfn.XLOOKUP($A159,Master_Data!$C:$C,Master_Data!$O:$O,"CHECK",0),"No Result")</f>
        <v>Safe Seat</v>
      </c>
      <c r="Y159">
        <f>_xlfn.XLOOKUP($A159,Master_Data!$C:$C,Master_Data!$P:$P,"CHECK",0)</f>
        <v>0</v>
      </c>
      <c r="Z159">
        <f t="shared" si="5"/>
        <v>1</v>
      </c>
    </row>
    <row r="160" spans="1:26">
      <c r="A160" t="str">
        <v>Kushtia-2</v>
      </c>
      <c r="B160" t="str" cm="1">
        <f t="array" ref="B1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Nawabganj","Chapainawabganj"),Final_Merged_Data!$B$2:$B$1000=$A160)))</f>
        <v>Kushtia</v>
      </c>
      <c r="C160" t="str" cm="1">
        <f t="array" ref="C160">_xlfn.TEXTJOIN(", ",TRUE,_xlfn._xlws.FILTER(Final_Merged_Data!$C$2:$C$1000,Final_Merged_Data!$B$2:$B$1000=$A160))</f>
        <v>Bheramara, Kumarkhali</v>
      </c>
      <c r="D160" cm="1">
        <f t="array" ref="D160">COUNTA(_xlfn._xlws.FILTER(Final_Merged_Data!$C$2:$C$1000,Final_Merged_Data!$B$2:$B$1000=$A160))</f>
        <v>2</v>
      </c>
      <c r="E160">
        <f>SUMIFS(Final_Merged_Data!$E:$E,Final_Merged_Data!$B:$B,$A160)</f>
        <v>392.51</v>
      </c>
      <c r="F160">
        <f>SUMIFS(Final_Merged_Data!$F:$F,Final_Merged_Data!$B:$B,$A160)</f>
        <v>598775</v>
      </c>
      <c r="G160">
        <f t="shared" si="4"/>
        <v>1525.5025349672619</v>
      </c>
      <c r="H160" cm="1">
        <f t="array" ref="H160">SUMPRODUCT((Final_Merged_Data!$B$2:$B$1000=$A160)*Final_Merged_Data!$H$2:$H$1000*Final_Merged_Data!$F$2:$F$1000)/F160</f>
        <v>3.9049665734207339</v>
      </c>
      <c r="I160" cm="1">
        <f t="array" ref="I160">SUMPRODUCT((Final_Merged_Data!$B$2:$B$1000=$A160)*Final_Merged_Data!$I$2:$I$1000*Final_Merged_Data!$F$2:$F$1000)/F160</f>
        <v>69.330057133313844</v>
      </c>
      <c r="J160" t="str" cm="1">
        <f t="array" ref="J160">_xlfn.TEXTJOIN(", ",TRUE,_xlfn.UNIQUE(_xlfn._xlws.FILTER(Final_Merged_Data!$J$2:$J$1000,Final_Merged_Data!$B$2:$B$1000=$A160)))</f>
        <v>Khulna Range</v>
      </c>
      <c r="K160" cm="1">
        <f t="array" ref="K160">SUMPRODUCT((Final_Merged_Data!$B$2:$B$1000=$A160)*Final_Merged_Data!$K$2:$K$1000*Final_Merged_Data!$F$2:$F$1000)/F160</f>
        <v>102.32166075410298</v>
      </c>
      <c r="L160" cm="1">
        <f t="array" ref="L160">SUMPRODUCT((Final_Merged_Data!$B$2:$B$1000=$A160)*Final_Merged_Data!$L$2:$L$1000*Final_Merged_Data!$F$2:$F$1000)/F160</f>
        <v>12.212237548443923</v>
      </c>
      <c r="M160" t="str">
        <f>IF(COUNTIF(Master_Data!$C:$C,$A160)&gt;0,"Found","Missing")</f>
        <v>Found</v>
      </c>
      <c r="N160" t="str">
        <f>_xlfn.XLOOKUP($A160,Master_Data!$C:$C,Master_Data!$D:$D,"CHECK",0)</f>
        <v>Abdul Ghafoor</v>
      </c>
      <c r="O160" t="str">
        <f>_xlfn.XLOOKUP($A160,Master_Data!$C:$C,Master_Data!$E:$E,"CHECK",0)</f>
        <v>Jamaat</v>
      </c>
      <c r="P160">
        <f>_xlfn.XLOOKUP($A160,Master_Data!$C:$C,Master_Data!$F:$F,"CHECK",0)</f>
        <v>2</v>
      </c>
      <c r="Q160">
        <f>_xlfn.XLOOKUP($A160,Master_Data!$C:$C,Master_Data!$G:$G,"CHECK",0)</f>
        <v>192083</v>
      </c>
      <c r="R160">
        <f>IFERROR(_xlfn.XLOOKUP($A160,Master_Data!$C:$C,Master_Data!$H:$H,"CHECK",0),"")</f>
        <v>57.183897780318183</v>
      </c>
      <c r="S160" t="str">
        <f>_xlfn.XLOOKUP($A160,Master_Data!$C:$C,Master_Data!$I:$I,"CHECK",0)</f>
        <v>Ragib Rauf Chowdhury</v>
      </c>
      <c r="T160">
        <f>_xlfn.XLOOKUP($A160,Master_Data!$C:$C,Master_Data!$K:$K,"CHECK",0)</f>
        <v>143821</v>
      </c>
      <c r="U160">
        <f>IFERROR(_xlfn.XLOOKUP($A160,Master_Data!$C:$C,Master_Data!$L:$L,"CHECK",0),"")</f>
        <v>42.81610221968181</v>
      </c>
      <c r="V160">
        <f>_xlfn.XLOOKUP($A160,Master_Data!$C:$C,Master_Data!$M:$M,"CHECK",0)</f>
        <v>48262</v>
      </c>
      <c r="W160">
        <f>IFERROR(_xlfn.XLOOKUP($A160,Master_Data!$C:$C,Master_Data!$N:$N,"CHECK",0),"")</f>
        <v>14.367795560636374</v>
      </c>
      <c r="X160" t="str">
        <f>IFERROR(_xlfn.XLOOKUP($A160,Master_Data!$C:$C,Master_Data!$O:$O,"CHECK",0),"No Result")</f>
        <v>Safe Seat</v>
      </c>
      <c r="Y160">
        <f>_xlfn.XLOOKUP($A160,Master_Data!$C:$C,Master_Data!$P:$P,"CHECK",0)</f>
        <v>0</v>
      </c>
      <c r="Z160">
        <f t="shared" si="5"/>
        <v>1</v>
      </c>
    </row>
    <row r="161" spans="1:26">
      <c r="A161" t="str">
        <v>Kushtia-3</v>
      </c>
      <c r="B161" t="str" cm="1">
        <f t="array" ref="B1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Nawabganj","Chapainawabganj"),Final_Merged_Data!$B$2:$B$1000=$A161)))</f>
        <v>Kushtia</v>
      </c>
      <c r="C161" t="str" cm="1">
        <f t="array" ref="C161">_xlfn.TEXTJOIN(", ",TRUE,_xlfn._xlws.FILTER(Final_Merged_Data!$C$2:$C$1000,Final_Merged_Data!$B$2:$B$1000=$A161))</f>
        <v>Kushtia Sadar</v>
      </c>
      <c r="D161" cm="1">
        <f t="array" ref="D161">COUNTA(_xlfn._xlws.FILTER(Final_Merged_Data!$C$2:$C$1000,Final_Merged_Data!$B$2:$B$1000=$A161))</f>
        <v>1</v>
      </c>
      <c r="E161">
        <f>SUMIFS(Final_Merged_Data!$E:$E,Final_Merged_Data!$B:$B,$A161)</f>
        <v>336.11</v>
      </c>
      <c r="F161">
        <f>SUMIFS(Final_Merged_Data!$F:$F,Final_Merged_Data!$B:$B,$A161)</f>
        <v>560952</v>
      </c>
      <c r="G161">
        <f t="shared" si="4"/>
        <v>1668.9536163755913</v>
      </c>
      <c r="H161" cm="1">
        <f t="array" ref="H161">SUMPRODUCT((Final_Merged_Data!$B$2:$B$1000=$A161)*Final_Merged_Data!$H$2:$H$1000*Final_Merged_Data!$F$2:$F$1000)/F161</f>
        <v>3.7800000000000002</v>
      </c>
      <c r="I161" cm="1">
        <f t="array" ref="I161">SUMPRODUCT((Final_Merged_Data!$B$2:$B$1000=$A161)*Final_Merged_Data!$I$2:$I$1000*Final_Merged_Data!$F$2:$F$1000)/F161</f>
        <v>74.48</v>
      </c>
      <c r="J161" t="str" cm="1">
        <f t="array" ref="J161">_xlfn.TEXTJOIN(", ",TRUE,_xlfn.UNIQUE(_xlfn._xlws.FILTER(Final_Merged_Data!$J$2:$J$1000,Final_Merged_Data!$B$2:$B$1000=$A161)))</f>
        <v>Khulna Range</v>
      </c>
      <c r="K161" cm="1">
        <f t="array" ref="K161">SUMPRODUCT((Final_Merged_Data!$B$2:$B$1000=$A161)*Final_Merged_Data!$K$2:$K$1000*Final_Merged_Data!$F$2:$F$1000)/F161</f>
        <v>102.32166075410298</v>
      </c>
      <c r="L161" cm="1">
        <f t="array" ref="L161">SUMPRODUCT((Final_Merged_Data!$B$2:$B$1000=$A161)*Final_Merged_Data!$L$2:$L$1000*Final_Merged_Data!$F$2:$F$1000)/F161</f>
        <v>12.212237548443923</v>
      </c>
      <c r="M161" t="str">
        <f>IF(COUNTIF(Master_Data!$C:$C,$A161)&gt;0,"Found","Missing")</f>
        <v>Found</v>
      </c>
      <c r="N161" t="str">
        <f>_xlfn.XLOOKUP($A161,Master_Data!$C:$C,Master_Data!$D:$D,"CHECK",0)</f>
        <v>Amir Hamza</v>
      </c>
      <c r="O161" t="str">
        <f>_xlfn.XLOOKUP($A161,Master_Data!$C:$C,Master_Data!$E:$E,"CHECK",0)</f>
        <v>Jamaat</v>
      </c>
      <c r="P161">
        <f>_xlfn.XLOOKUP($A161,Master_Data!$C:$C,Master_Data!$F:$F,"CHECK",0)</f>
        <v>2</v>
      </c>
      <c r="Q161">
        <f>_xlfn.XLOOKUP($A161,Master_Data!$C:$C,Master_Data!$G:$G,"CHECK",0)</f>
        <v>180690</v>
      </c>
      <c r="R161">
        <f>IFERROR(_xlfn.XLOOKUP($A161,Master_Data!$C:$C,Master_Data!$H:$H,"CHECK",0),"")</f>
        <v>58.742063530765712</v>
      </c>
      <c r="S161" t="str">
        <f>_xlfn.XLOOKUP($A161,Master_Data!$C:$C,Master_Data!$I:$I,"CHECK",0)</f>
        <v>Md. Zakir Hossain Sarkar</v>
      </c>
      <c r="T161">
        <f>_xlfn.XLOOKUP($A161,Master_Data!$C:$C,Master_Data!$K:$K,"CHECK",0)</f>
        <v>126909</v>
      </c>
      <c r="U161">
        <f>IFERROR(_xlfn.XLOOKUP($A161,Master_Data!$C:$C,Master_Data!$L:$L,"CHECK",0),"")</f>
        <v>41.257936469234295</v>
      </c>
      <c r="V161">
        <f>_xlfn.XLOOKUP($A161,Master_Data!$C:$C,Master_Data!$M:$M,"CHECK",0)</f>
        <v>53781</v>
      </c>
      <c r="W161">
        <f>IFERROR(_xlfn.XLOOKUP($A161,Master_Data!$C:$C,Master_Data!$N:$N,"CHECK",0),"")</f>
        <v>17.48412706153141</v>
      </c>
      <c r="X161" t="str">
        <f>IFERROR(_xlfn.XLOOKUP($A161,Master_Data!$C:$C,Master_Data!$O:$O,"CHECK",0),"No Result")</f>
        <v>Safe Seat</v>
      </c>
      <c r="Y161">
        <f>_xlfn.XLOOKUP($A161,Master_Data!$C:$C,Master_Data!$P:$P,"CHECK",0)</f>
        <v>0</v>
      </c>
      <c r="Z161">
        <f t="shared" si="5"/>
        <v>1</v>
      </c>
    </row>
    <row r="162" spans="1:26">
      <c r="A162" t="str">
        <v>Kushtia-4</v>
      </c>
      <c r="B162" t="str" cm="1">
        <f t="array" ref="B1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Nawabganj","Chapainawabganj"),Final_Merged_Data!$B$2:$B$1000=$A162)))</f>
        <v>Kushtia</v>
      </c>
      <c r="C162" t="str" cm="1">
        <f t="array" ref="C162">_xlfn.TEXTJOIN(", ",TRUE,_xlfn._xlws.FILTER(Final_Merged_Data!$C$2:$C$1000,Final_Merged_Data!$B$2:$B$1000=$A162))</f>
        <v>Khoksa</v>
      </c>
      <c r="D162" cm="1">
        <f t="array" ref="D162">COUNTA(_xlfn._xlws.FILTER(Final_Merged_Data!$C$2:$C$1000,Final_Merged_Data!$B$2:$B$1000=$A162))</f>
        <v>1</v>
      </c>
      <c r="E162">
        <f>SUMIFS(Final_Merged_Data!$E:$E,Final_Merged_Data!$B:$B,$A162)</f>
        <v>100.66</v>
      </c>
      <c r="F162">
        <f>SUMIFS(Final_Merged_Data!$F:$F,Final_Merged_Data!$B:$B,$A162)</f>
        <v>143827</v>
      </c>
      <c r="G162">
        <f t="shared" si="4"/>
        <v>1428.8396582555138</v>
      </c>
      <c r="H162" cm="1">
        <f t="array" ref="H162">SUMPRODUCT((Final_Merged_Data!$B$2:$B$1000=$A162)*Final_Merged_Data!$H$2:$H$1000*Final_Merged_Data!$F$2:$F$1000)/F162</f>
        <v>3.83</v>
      </c>
      <c r="I162" cm="1">
        <f t="array" ref="I162">SUMPRODUCT((Final_Merged_Data!$B$2:$B$1000=$A162)*Final_Merged_Data!$I$2:$I$1000*Final_Merged_Data!$F$2:$F$1000)/F162</f>
        <v>68.180000000000007</v>
      </c>
      <c r="J162" t="str" cm="1">
        <f t="array" ref="J162">_xlfn.TEXTJOIN(", ",TRUE,_xlfn.UNIQUE(_xlfn._xlws.FILTER(Final_Merged_Data!$J$2:$J$1000,Final_Merged_Data!$B$2:$B$1000=$A162)))</f>
        <v>Khulna Range</v>
      </c>
      <c r="K162" cm="1">
        <f t="array" ref="K162">SUMPRODUCT((Final_Merged_Data!$B$2:$B$1000=$A162)*Final_Merged_Data!$K$2:$K$1000*Final_Merged_Data!$F$2:$F$1000)/F162</f>
        <v>102.32166075410298</v>
      </c>
      <c r="L162" cm="1">
        <f t="array" ref="L162">SUMPRODUCT((Final_Merged_Data!$B$2:$B$1000=$A162)*Final_Merged_Data!$L$2:$L$1000*Final_Merged_Data!$F$2:$F$1000)/F162</f>
        <v>12.212237548443923</v>
      </c>
      <c r="M162" t="str">
        <f>IF(COUNTIF(Master_Data!$C:$C,$A162)&gt;0,"Found","Missing")</f>
        <v>Found</v>
      </c>
      <c r="N162" t="str">
        <f>_xlfn.XLOOKUP($A162,Master_Data!$C:$C,Master_Data!$D:$D,"CHECK",0)</f>
        <v>Md. Afjal Hossain</v>
      </c>
      <c r="O162" t="str">
        <f>_xlfn.XLOOKUP($A162,Master_Data!$C:$C,Master_Data!$E:$E,"CHECK",0)</f>
        <v>Jamaat</v>
      </c>
      <c r="P162">
        <f>_xlfn.XLOOKUP($A162,Master_Data!$C:$C,Master_Data!$F:$F,"CHECK",0)</f>
        <v>2</v>
      </c>
      <c r="Q162">
        <f>_xlfn.XLOOKUP($A162,Master_Data!$C:$C,Master_Data!$G:$G,"CHECK",0)</f>
        <v>148201</v>
      </c>
      <c r="R162">
        <f>IFERROR(_xlfn.XLOOKUP($A162,Master_Data!$C:$C,Master_Data!$H:$H,"CHECK",0),"")</f>
        <v>51.493724896109846</v>
      </c>
      <c r="S162" t="str">
        <f>_xlfn.XLOOKUP($A162,Master_Data!$C:$C,Master_Data!$I:$I,"CHECK",0)</f>
        <v>Syed Mehdi Ahmed Rumi</v>
      </c>
      <c r="T162">
        <f>_xlfn.XLOOKUP($A162,Master_Data!$C:$C,Master_Data!$K:$K,"CHECK",0)</f>
        <v>139603</v>
      </c>
      <c r="U162">
        <f>IFERROR(_xlfn.XLOOKUP($A162,Master_Data!$C:$C,Master_Data!$L:$L,"CHECK",0),"")</f>
        <v>48.506275103890147</v>
      </c>
      <c r="V162">
        <f>_xlfn.XLOOKUP($A162,Master_Data!$C:$C,Master_Data!$M:$M,"CHECK",0)</f>
        <v>8598</v>
      </c>
      <c r="W162">
        <f>IFERROR(_xlfn.XLOOKUP($A162,Master_Data!$C:$C,Master_Data!$N:$N,"CHECK",0),"")</f>
        <v>2.9874497922197052</v>
      </c>
      <c r="X162" t="str">
        <f>IFERROR(_xlfn.XLOOKUP($A162,Master_Data!$C:$C,Master_Data!$O:$O,"CHECK",0),"No Result")</f>
        <v>Highly Competitive</v>
      </c>
      <c r="Y162">
        <f>_xlfn.XLOOKUP($A162,Master_Data!$C:$C,Master_Data!$P:$P,"CHECK",0)</f>
        <v>0</v>
      </c>
      <c r="Z162">
        <f t="shared" si="5"/>
        <v>1</v>
      </c>
    </row>
    <row r="163" spans="1:26">
      <c r="A163" t="str">
        <v>Lakshmipur-1</v>
      </c>
      <c r="B163" t="str" cm="1">
        <f t="array" ref="B1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Nawabganj","Chapainawabganj"),Final_Merged_Data!$B$2:$B$1000=$A163)))</f>
        <v>Lakshmipur</v>
      </c>
      <c r="C163" t="str" cm="1">
        <f t="array" ref="C163">_xlfn.TEXTJOIN(", ",TRUE,_xlfn._xlws.FILTER(Final_Merged_Data!$C$2:$C$1000,Final_Merged_Data!$B$2:$B$1000=$A163))</f>
        <v>Ramganj</v>
      </c>
      <c r="D163" cm="1">
        <f t="array" ref="D163">COUNTA(_xlfn._xlws.FILTER(Final_Merged_Data!$C$2:$C$1000,Final_Merged_Data!$B$2:$B$1000=$A163))</f>
        <v>1</v>
      </c>
      <c r="E163">
        <f>SUMIFS(Final_Merged_Data!$E:$E,Final_Merged_Data!$B:$B,$A163)</f>
        <v>570.54999999999995</v>
      </c>
      <c r="F163">
        <f>SUMIFS(Final_Merged_Data!$F:$F,Final_Merged_Data!$B:$B,$A163)</f>
        <v>313209</v>
      </c>
      <c r="G163">
        <f t="shared" si="4"/>
        <v>548.95977565506973</v>
      </c>
      <c r="H163" cm="1">
        <f t="array" ref="H163">SUMPRODUCT((Final_Merged_Data!$B$2:$B$1000=$A163)*Final_Merged_Data!$H$2:$H$1000*Final_Merged_Data!$F$2:$F$1000)/F163</f>
        <v>4.1500000000000004</v>
      </c>
      <c r="I163" cm="1">
        <f t="array" ref="I163">SUMPRODUCT((Final_Merged_Data!$B$2:$B$1000=$A163)*Final_Merged_Data!$I$2:$I$1000*Final_Merged_Data!$F$2:$F$1000)/F163</f>
        <v>82.9</v>
      </c>
      <c r="J163" t="str" cm="1">
        <f t="array" ref="J163">_xlfn.TEXTJOIN(", ",TRUE,_xlfn.UNIQUE(_xlfn._xlws.FILTER(Final_Merged_Data!$J$2:$J$1000,Final_Merged_Data!$B$2:$B$1000=$A163)))</f>
        <v>Chittagong Range</v>
      </c>
      <c r="K163" cm="1">
        <f t="array" ref="K163">SUMPRODUCT((Final_Merged_Data!$B$2:$B$1000=$A163)*Final_Merged_Data!$K$2:$K$1000*Final_Merged_Data!$F$2:$F$1000)/F163</f>
        <v>84.879645400600893</v>
      </c>
      <c r="L163" cm="1">
        <f t="array" ref="L163">SUMPRODUCT((Final_Merged_Data!$B$2:$B$1000=$A163)*Final_Merged_Data!$L$2:$L$1000*Final_Merged_Data!$F$2:$F$1000)/F163</f>
        <v>10.309673910686193</v>
      </c>
      <c r="M163" t="str">
        <f>IF(COUNTIF(Master_Data!$C:$C,$A163)&gt;0,"Found","Missing")</f>
        <v>Found</v>
      </c>
      <c r="N163" t="str">
        <f>_xlfn.XLOOKUP($A163,Master_Data!$C:$C,Master_Data!$D:$D,"CHECK",0)</f>
        <v>Md. Shahadat Hossain</v>
      </c>
      <c r="O163" t="str">
        <f>_xlfn.XLOOKUP($A163,Master_Data!$C:$C,Master_Data!$E:$E,"CHECK",0)</f>
        <v>BNP</v>
      </c>
      <c r="P163">
        <f>_xlfn.XLOOKUP($A163,Master_Data!$C:$C,Master_Data!$F:$F,"CHECK",0)</f>
        <v>1</v>
      </c>
      <c r="Q163">
        <f>_xlfn.XLOOKUP($A163,Master_Data!$C:$C,Master_Data!$G:$G,"CHECK",0)</f>
        <v>86811</v>
      </c>
      <c r="R163">
        <f>IFERROR(_xlfn.XLOOKUP($A163,Master_Data!$C:$C,Master_Data!$H:$H,"CHECK",0),"")</f>
        <v>59.428653577589749</v>
      </c>
      <c r="S163" t="str">
        <f>_xlfn.XLOOKUP($A163,Master_Data!$C:$C,Master_Data!$I:$I,"CHECK",0)</f>
        <v>Md. Mahbub Alam</v>
      </c>
      <c r="T163">
        <f>_xlfn.XLOOKUP($A163,Master_Data!$C:$C,Master_Data!$K:$K,"CHECK",0)</f>
        <v>59265</v>
      </c>
      <c r="U163">
        <f>IFERROR(_xlfn.XLOOKUP($A163,Master_Data!$C:$C,Master_Data!$L:$L,"CHECK",0),"")</f>
        <v>40.571346422410251</v>
      </c>
      <c r="V163">
        <f>_xlfn.XLOOKUP($A163,Master_Data!$C:$C,Master_Data!$M:$M,"CHECK",0)</f>
        <v>27546</v>
      </c>
      <c r="W163">
        <f>IFERROR(_xlfn.XLOOKUP($A163,Master_Data!$C:$C,Master_Data!$N:$N,"CHECK",0),"")</f>
        <v>18.857307155179495</v>
      </c>
      <c r="X163" t="str">
        <f>IFERROR(_xlfn.XLOOKUP($A163,Master_Data!$C:$C,Master_Data!$O:$O,"CHECK",0),"No Result")</f>
        <v>Safe Seat</v>
      </c>
      <c r="Y163">
        <f>_xlfn.XLOOKUP($A163,Master_Data!$C:$C,Master_Data!$P:$P,"CHECK",0)</f>
        <v>0</v>
      </c>
      <c r="Z163">
        <f t="shared" si="5"/>
        <v>1</v>
      </c>
    </row>
    <row r="164" spans="1:26">
      <c r="A164" t="str">
        <v>Lakshmipur-2</v>
      </c>
      <c r="B164" t="str" cm="1">
        <f t="array" ref="B1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Nawabganj","Chapainawabganj"),Final_Merged_Data!$B$2:$B$1000=$A164)))</f>
        <v>Lakshmipur</v>
      </c>
      <c r="C164" t="str" cm="1">
        <f t="array" ref="C164">_xlfn.TEXTJOIN(", ",TRUE,_xlfn._xlws.FILTER(Final_Merged_Data!$C$2:$C$1000,Final_Merged_Data!$B$2:$B$1000=$A164))</f>
        <v>Raipur</v>
      </c>
      <c r="D164" cm="1">
        <f t="array" ref="D164">COUNTA(_xlfn._xlws.FILTER(Final_Merged_Data!$C$2:$C$1000,Final_Merged_Data!$B$2:$B$1000=$A164))</f>
        <v>1</v>
      </c>
      <c r="E164">
        <f>SUMIFS(Final_Merged_Data!$E:$E,Final_Merged_Data!$B:$B,$A164)</f>
        <v>169.31</v>
      </c>
      <c r="F164">
        <f>SUMIFS(Final_Merged_Data!$F:$F,Final_Merged_Data!$B:$B,$A164)</f>
        <v>313648</v>
      </c>
      <c r="G164">
        <f t="shared" si="4"/>
        <v>1852.5072352489517</v>
      </c>
      <c r="H164" cm="1">
        <f t="array" ref="H164">SUMPRODUCT((Final_Merged_Data!$B$2:$B$1000=$A164)*Final_Merged_Data!$H$2:$H$1000*Final_Merged_Data!$F$2:$F$1000)/F164</f>
        <v>3.9300000000000006</v>
      </c>
      <c r="I164" cm="1">
        <f t="array" ref="I164">SUMPRODUCT((Final_Merged_Data!$B$2:$B$1000=$A164)*Final_Merged_Data!$I$2:$I$1000*Final_Merged_Data!$F$2:$F$1000)/F164</f>
        <v>76.319999999999993</v>
      </c>
      <c r="J164" t="str" cm="1">
        <f t="array" ref="J164">_xlfn.TEXTJOIN(", ",TRUE,_xlfn.UNIQUE(_xlfn._xlws.FILTER(Final_Merged_Data!$J$2:$J$1000,Final_Merged_Data!$B$2:$B$1000=$A164)))</f>
        <v>Chittagong Range</v>
      </c>
      <c r="K164" cm="1">
        <f t="array" ref="K164">SUMPRODUCT((Final_Merged_Data!$B$2:$B$1000=$A164)*Final_Merged_Data!$K$2:$K$1000*Final_Merged_Data!$F$2:$F$1000)/F164</f>
        <v>84.879645400600893</v>
      </c>
      <c r="L164" cm="1">
        <f t="array" ref="L164">SUMPRODUCT((Final_Merged_Data!$B$2:$B$1000=$A164)*Final_Merged_Data!$L$2:$L$1000*Final_Merged_Data!$F$2:$F$1000)/F164</f>
        <v>10.309673910686193</v>
      </c>
      <c r="M164" t="str">
        <f>IF(COUNTIF(Master_Data!$C:$C,$A164)&gt;0,"Found","Missing")</f>
        <v>Found</v>
      </c>
      <c r="N164" t="str">
        <f>_xlfn.XLOOKUP($A164,Master_Data!$C:$C,Master_Data!$D:$D,"CHECK",0)</f>
        <v>Md. Abul Khair Bhuiyan</v>
      </c>
      <c r="O164" t="str">
        <f>_xlfn.XLOOKUP($A164,Master_Data!$C:$C,Master_Data!$E:$E,"CHECK",0)</f>
        <v>BNP</v>
      </c>
      <c r="P164">
        <f>_xlfn.XLOOKUP($A164,Master_Data!$C:$C,Master_Data!$F:$F,"CHECK",0)</f>
        <v>1</v>
      </c>
      <c r="Q164">
        <f>_xlfn.XLOOKUP($A164,Master_Data!$C:$C,Master_Data!$G:$G,"CHECK",0)</f>
        <v>146321</v>
      </c>
      <c r="R164">
        <f>IFERROR(_xlfn.XLOOKUP($A164,Master_Data!$C:$C,Master_Data!$H:$H,"CHECK",0),"")</f>
        <v>52.253954195965271</v>
      </c>
      <c r="S164" t="str">
        <f>_xlfn.XLOOKUP($A164,Master_Data!$C:$C,Master_Data!$I:$I,"CHECK",0)</f>
        <v>S. U. M. Ruhul Amin Bhuiyan</v>
      </c>
      <c r="T164">
        <f>_xlfn.XLOOKUP($A164,Master_Data!$C:$C,Master_Data!$K:$K,"CHECK",0)</f>
        <v>133698</v>
      </c>
      <c r="U164">
        <f>IFERROR(_xlfn.XLOOKUP($A164,Master_Data!$C:$C,Master_Data!$L:$L,"CHECK",0),"")</f>
        <v>47.746045804034729</v>
      </c>
      <c r="V164">
        <f>_xlfn.XLOOKUP($A164,Master_Data!$C:$C,Master_Data!$M:$M,"CHECK",0)</f>
        <v>12623</v>
      </c>
      <c r="W164">
        <f>IFERROR(_xlfn.XLOOKUP($A164,Master_Data!$C:$C,Master_Data!$N:$N,"CHECK",0),"")</f>
        <v>4.507908391930548</v>
      </c>
      <c r="X164" t="str">
        <f>IFERROR(_xlfn.XLOOKUP($A164,Master_Data!$C:$C,Master_Data!$O:$O,"CHECK",0),"No Result")</f>
        <v>Highly Competitive</v>
      </c>
      <c r="Y164">
        <f>_xlfn.XLOOKUP($A164,Master_Data!$C:$C,Master_Data!$P:$P,"CHECK",0)</f>
        <v>0</v>
      </c>
      <c r="Z164">
        <f t="shared" si="5"/>
        <v>1</v>
      </c>
    </row>
    <row r="165" spans="1:26">
      <c r="A165" t="str">
        <v>Lakshmipur-3</v>
      </c>
      <c r="B165" t="str" cm="1">
        <f t="array" ref="B1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Nawabganj","Chapainawabganj"),Final_Merged_Data!$B$2:$B$1000=$A165)))</f>
        <v>Lakshmipur</v>
      </c>
      <c r="C165" t="str" cm="1">
        <f t="array" ref="C165">_xlfn.TEXTJOIN(", ",TRUE,_xlfn._xlws.FILTER(Final_Merged_Data!$C$2:$C$1000,Final_Merged_Data!$B$2:$B$1000=$A165))</f>
        <v>Lakshmipur Sadar</v>
      </c>
      <c r="D165" cm="1">
        <f t="array" ref="D165">COUNTA(_xlfn._xlws.FILTER(Final_Merged_Data!$C$2:$C$1000,Final_Merged_Data!$B$2:$B$1000=$A165))</f>
        <v>1</v>
      </c>
      <c r="E165">
        <f>SUMIFS(Final_Merged_Data!$E:$E,Final_Merged_Data!$B:$B,$A165)</f>
        <v>514.80999999999995</v>
      </c>
      <c r="F165">
        <f>SUMIFS(Final_Merged_Data!$F:$F,Final_Merged_Data!$B:$B,$A165)</f>
        <v>814813</v>
      </c>
      <c r="G165">
        <f t="shared" si="4"/>
        <v>1582.7450904217092</v>
      </c>
      <c r="H165" cm="1">
        <f t="array" ref="H165">SUMPRODUCT((Final_Merged_Data!$B$2:$B$1000=$A165)*Final_Merged_Data!$H$2:$H$1000*Final_Merged_Data!$F$2:$F$1000)/F165</f>
        <v>4.16</v>
      </c>
      <c r="I165" cm="1">
        <f t="array" ref="I165">SUMPRODUCT((Final_Merged_Data!$B$2:$B$1000=$A165)*Final_Merged_Data!$I$2:$I$1000*Final_Merged_Data!$F$2:$F$1000)/F165</f>
        <v>75.459999999999994</v>
      </c>
      <c r="J165" t="str" cm="1">
        <f t="array" ref="J165">_xlfn.TEXTJOIN(", ",TRUE,_xlfn.UNIQUE(_xlfn._xlws.FILTER(Final_Merged_Data!$J$2:$J$1000,Final_Merged_Data!$B$2:$B$1000=$A165)))</f>
        <v>Chittagong Range</v>
      </c>
      <c r="K165" cm="1">
        <f t="array" ref="K165">SUMPRODUCT((Final_Merged_Data!$B$2:$B$1000=$A165)*Final_Merged_Data!$K$2:$K$1000*Final_Merged_Data!$F$2:$F$1000)/F165</f>
        <v>84.879645400600893</v>
      </c>
      <c r="L165" cm="1">
        <f t="array" ref="L165">SUMPRODUCT((Final_Merged_Data!$B$2:$B$1000=$A165)*Final_Merged_Data!$L$2:$L$1000*Final_Merged_Data!$F$2:$F$1000)/F165</f>
        <v>10.309673910686195</v>
      </c>
      <c r="M165" t="str">
        <f>IF(COUNTIF(Master_Data!$C:$C,$A165)&gt;0,"Found","Missing")</f>
        <v>Found</v>
      </c>
      <c r="N165" t="str">
        <f>_xlfn.XLOOKUP($A165,Master_Data!$C:$C,Master_Data!$D:$D,"CHECK",0)</f>
        <v>Shahid Uddin Chowdhury Anee</v>
      </c>
      <c r="O165" t="str">
        <f>_xlfn.XLOOKUP($A165,Master_Data!$C:$C,Master_Data!$E:$E,"CHECK",0)</f>
        <v>BNP</v>
      </c>
      <c r="P165">
        <f>_xlfn.XLOOKUP($A165,Master_Data!$C:$C,Master_Data!$F:$F,"CHECK",0)</f>
        <v>1</v>
      </c>
      <c r="Q165">
        <f>_xlfn.XLOOKUP($A165,Master_Data!$C:$C,Master_Data!$G:$G,"CHECK",0)</f>
        <v>135612</v>
      </c>
      <c r="R165">
        <f>IFERROR(_xlfn.XLOOKUP($A165,Master_Data!$C:$C,Master_Data!$H:$H,"CHECK",0),"")</f>
        <v>52.478580881840763</v>
      </c>
      <c r="S165" t="str">
        <f>_xlfn.XLOOKUP($A165,Master_Data!$C:$C,Master_Data!$I:$I,"CHECK",0)</f>
        <v>Md. Rezaul Karim</v>
      </c>
      <c r="T165">
        <f>_xlfn.XLOOKUP($A165,Master_Data!$C:$C,Master_Data!$K:$K,"CHECK",0)</f>
        <v>122802</v>
      </c>
      <c r="U165">
        <f>IFERROR(_xlfn.XLOOKUP($A165,Master_Data!$C:$C,Master_Data!$L:$L,"CHECK",0),"")</f>
        <v>47.52141911815923</v>
      </c>
      <c r="V165">
        <f>_xlfn.XLOOKUP($A165,Master_Data!$C:$C,Master_Data!$M:$M,"CHECK",0)</f>
        <v>12810</v>
      </c>
      <c r="W165">
        <f>IFERROR(_xlfn.XLOOKUP($A165,Master_Data!$C:$C,Master_Data!$N:$N,"CHECK",0),"")</f>
        <v>4.9571617636815342</v>
      </c>
      <c r="X165" t="str">
        <f>IFERROR(_xlfn.XLOOKUP($A165,Master_Data!$C:$C,Master_Data!$O:$O,"CHECK",0),"No Result")</f>
        <v>Highly Competitive</v>
      </c>
      <c r="Y165">
        <f>_xlfn.XLOOKUP($A165,Master_Data!$C:$C,Master_Data!$P:$P,"CHECK",0)</f>
        <v>0</v>
      </c>
      <c r="Z165">
        <f t="shared" si="5"/>
        <v>1</v>
      </c>
    </row>
    <row r="166" spans="1:26">
      <c r="A166" t="str">
        <v>Lakshmipur-4</v>
      </c>
      <c r="B166" t="str" cm="1">
        <f t="array" ref="B1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Nawabganj","Chapainawabganj"),Final_Merged_Data!$B$2:$B$1000=$A166)))</f>
        <v>Lakshmipur</v>
      </c>
      <c r="C166" t="str" cm="1">
        <f t="array" ref="C166">_xlfn.TEXTJOIN(", ",TRUE,_xlfn._xlws.FILTER(Final_Merged_Data!$C$2:$C$1000,Final_Merged_Data!$B$2:$B$1000=$A166))</f>
        <v>Ramgati, Kamalnagar</v>
      </c>
      <c r="D166" cm="1">
        <f t="array" ref="D166">COUNTA(_xlfn._xlws.FILTER(Final_Merged_Data!$C$2:$C$1000,Final_Merged_Data!$B$2:$B$1000=$A166))</f>
        <v>2</v>
      </c>
      <c r="E166">
        <f>SUMIFS(Final_Merged_Data!$E:$E,Final_Merged_Data!$B:$B,$A166)</f>
        <v>1059.28</v>
      </c>
      <c r="F166">
        <f>SUMIFS(Final_Merged_Data!$F:$F,Final_Merged_Data!$B:$B,$A166)</f>
        <v>496192</v>
      </c>
      <c r="G166">
        <f t="shared" si="4"/>
        <v>468.42383505777508</v>
      </c>
      <c r="H166" cm="1">
        <f t="array" ref="H166">SUMPRODUCT((Final_Merged_Data!$B$2:$B$1000=$A166)*Final_Merged_Data!$H$2:$H$1000*Final_Merged_Data!$F$2:$F$1000)/F166</f>
        <v>4.3573922191409782</v>
      </c>
      <c r="I166" cm="1">
        <f t="array" ref="I166">SUMPRODUCT((Final_Merged_Data!$B$2:$B$1000=$A166)*Final_Merged_Data!$I$2:$I$1000*Final_Merged_Data!$F$2:$F$1000)/F166</f>
        <v>64.229543342093379</v>
      </c>
      <c r="J166" t="str" cm="1">
        <f t="array" ref="J166">_xlfn.TEXTJOIN(", ",TRUE,_xlfn.UNIQUE(_xlfn._xlws.FILTER(Final_Merged_Data!$J$2:$J$1000,Final_Merged_Data!$B$2:$B$1000=$A166)))</f>
        <v>Chittagong Range</v>
      </c>
      <c r="K166" cm="1">
        <f t="array" ref="K166">SUMPRODUCT((Final_Merged_Data!$B$2:$B$1000=$A166)*Final_Merged_Data!$K$2:$K$1000*Final_Merged_Data!$F$2:$F$1000)/F166</f>
        <v>84.879645400600893</v>
      </c>
      <c r="L166" cm="1">
        <f t="array" ref="L166">SUMPRODUCT((Final_Merged_Data!$B$2:$B$1000=$A166)*Final_Merged_Data!$L$2:$L$1000*Final_Merged_Data!$F$2:$F$1000)/F166</f>
        <v>10.309673910686193</v>
      </c>
      <c r="M166" t="str">
        <f>IF(COUNTIF(Master_Data!$C:$C,$A166)&gt;0,"Found","Missing")</f>
        <v>Found</v>
      </c>
      <c r="N166" t="str">
        <f>_xlfn.XLOOKUP($A166,Master_Data!$C:$C,Master_Data!$D:$D,"CHECK",0)</f>
        <v>A. B. M. Ashraf Uddin Nijan</v>
      </c>
      <c r="O166" t="str">
        <f>_xlfn.XLOOKUP($A166,Master_Data!$C:$C,Master_Data!$E:$E,"CHECK",0)</f>
        <v>BNP</v>
      </c>
      <c r="P166">
        <f>_xlfn.XLOOKUP($A166,Master_Data!$C:$C,Master_Data!$F:$F,"CHECK",0)</f>
        <v>1</v>
      </c>
      <c r="Q166">
        <f>_xlfn.XLOOKUP($A166,Master_Data!$C:$C,Master_Data!$G:$G,"CHECK",0)</f>
        <v>115199</v>
      </c>
      <c r="R166">
        <f>IFERROR(_xlfn.XLOOKUP($A166,Master_Data!$C:$C,Master_Data!$H:$H,"CHECK",0),"")</f>
        <v>60.966367653674155</v>
      </c>
      <c r="S166" t="str">
        <f>_xlfn.XLOOKUP($A166,Master_Data!$C:$C,Master_Data!$I:$I,"CHECK",0)</f>
        <v>Md. Ashraful Rahman Hafizulya</v>
      </c>
      <c r="T166">
        <f>_xlfn.XLOOKUP($A166,Master_Data!$C:$C,Master_Data!$K:$K,"CHECK",0)</f>
        <v>73756</v>
      </c>
      <c r="U166">
        <f>IFERROR(_xlfn.XLOOKUP($A166,Master_Data!$C:$C,Master_Data!$L:$L,"CHECK",0),"")</f>
        <v>39.033632346325845</v>
      </c>
      <c r="V166">
        <f>_xlfn.XLOOKUP($A166,Master_Data!$C:$C,Master_Data!$M:$M,"CHECK",0)</f>
        <v>41443</v>
      </c>
      <c r="W166">
        <f>IFERROR(_xlfn.XLOOKUP($A166,Master_Data!$C:$C,Master_Data!$N:$N,"CHECK",0),"")</f>
        <v>21.93273530734831</v>
      </c>
      <c r="X166" t="str">
        <f>IFERROR(_xlfn.XLOOKUP($A166,Master_Data!$C:$C,Master_Data!$O:$O,"CHECK",0),"No Result")</f>
        <v>Safe Seat</v>
      </c>
      <c r="Y166">
        <f>_xlfn.XLOOKUP($A166,Master_Data!$C:$C,Master_Data!$P:$P,"CHECK",0)</f>
        <v>0</v>
      </c>
      <c r="Z166">
        <f t="shared" si="5"/>
        <v>1</v>
      </c>
    </row>
    <row r="167" spans="1:26">
      <c r="A167" t="str">
        <v>Lalmonirhat-1</v>
      </c>
      <c r="B167" t="str" cm="1">
        <f t="array" ref="B1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Nawabganj","Chapainawabganj"),Final_Merged_Data!$B$2:$B$1000=$A167)))</f>
        <v>Lalmonirhat</v>
      </c>
      <c r="C167" t="str" cm="1">
        <f t="array" ref="C167">_xlfn.TEXTJOIN(", ",TRUE,_xlfn._xlws.FILTER(Final_Merged_Data!$C$2:$C$1000,Final_Merged_Data!$B$2:$B$1000=$A167))</f>
        <v>Patgram, Hatibandha</v>
      </c>
      <c r="D167" cm="1">
        <f t="array" ref="D167">COUNTA(_xlfn._xlws.FILTER(Final_Merged_Data!$C$2:$C$1000,Final_Merged_Data!$B$2:$B$1000=$A167))</f>
        <v>2</v>
      </c>
      <c r="E167">
        <f>SUMIFS(Final_Merged_Data!$E:$E,Final_Merged_Data!$B:$B,$A167)</f>
        <v>436.05</v>
      </c>
      <c r="F167">
        <f>SUMIFS(Final_Merged_Data!$F:$F,Final_Merged_Data!$B:$B,$A167)</f>
        <v>526671</v>
      </c>
      <c r="G167">
        <f t="shared" si="4"/>
        <v>1207.8224974200207</v>
      </c>
      <c r="H167" cm="1">
        <f t="array" ref="H167">SUMPRODUCT((Final_Merged_Data!$B$2:$B$1000=$A167)*Final_Merged_Data!$H$2:$H$1000*Final_Merged_Data!$F$2:$F$1000)/F167</f>
        <v>4.3344643240277136</v>
      </c>
      <c r="I167" cm="1">
        <f t="array" ref="I167">SUMPRODUCT((Final_Merged_Data!$B$2:$B$1000=$A167)*Final_Merged_Data!$I$2:$I$1000*Final_Merged_Data!$F$2:$F$1000)/F167</f>
        <v>72.682784907465958</v>
      </c>
      <c r="J167" t="str" cm="1">
        <f t="array" ref="J167">_xlfn.TEXTJOIN(", ",TRUE,_xlfn.UNIQUE(_xlfn._xlws.FILTER(Final_Merged_Data!$J$2:$J$1000,Final_Merged_Data!$B$2:$B$1000=$A167)))</f>
        <v>Rangpur Range</v>
      </c>
      <c r="K167" cm="1">
        <f t="array" ref="K167">SUMPRODUCT((Final_Merged_Data!$B$2:$B$1000=$A167)*Final_Merged_Data!$K$2:$K$1000*Final_Merged_Data!$F$2:$F$1000)/F167</f>
        <v>101.9086951338524</v>
      </c>
      <c r="L167" cm="1">
        <f t="array" ref="L167">SUMPRODUCT((Final_Merged_Data!$B$2:$B$1000=$A167)*Final_Merged_Data!$L$2:$L$1000*Final_Merged_Data!$F$2:$F$1000)/F167</f>
        <v>15.175373179583827</v>
      </c>
      <c r="M167" t="str">
        <f>IF(COUNTIF(Master_Data!$C:$C,$A167)&gt;0,"Found","Missing")</f>
        <v>Found</v>
      </c>
      <c r="N167" t="str">
        <f>_xlfn.XLOOKUP($A167,Master_Data!$C:$C,Master_Data!$D:$D,"CHECK",0)</f>
        <v>Hasan Rajib Pradhan</v>
      </c>
      <c r="O167" t="str">
        <f>_xlfn.XLOOKUP($A167,Master_Data!$C:$C,Master_Data!$E:$E,"CHECK",0)</f>
        <v>BNP</v>
      </c>
      <c r="P167">
        <f>_xlfn.XLOOKUP($A167,Master_Data!$C:$C,Master_Data!$F:$F,"CHECK",0)</f>
        <v>1</v>
      </c>
      <c r="Q167">
        <f>_xlfn.XLOOKUP($A167,Master_Data!$C:$C,Master_Data!$G:$G,"CHECK",0)</f>
        <v>138686</v>
      </c>
      <c r="R167">
        <f>IFERROR(_xlfn.XLOOKUP($A167,Master_Data!$C:$C,Master_Data!$H:$H,"CHECK",0),"")</f>
        <v>51.698737782284219</v>
      </c>
      <c r="S167" t="str">
        <f>_xlfn.XLOOKUP($A167,Master_Data!$C:$C,Master_Data!$I:$I,"CHECK",0)</f>
        <v>Md. Anwarul Islam Raju</v>
      </c>
      <c r="T167">
        <f>_xlfn.XLOOKUP($A167,Master_Data!$C:$C,Master_Data!$K:$K,"CHECK",0)</f>
        <v>129572</v>
      </c>
      <c r="U167">
        <f>IFERROR(_xlfn.XLOOKUP($A167,Master_Data!$C:$C,Master_Data!$L:$L,"CHECK",0),"")</f>
        <v>48.301262217715781</v>
      </c>
      <c r="V167">
        <f>_xlfn.XLOOKUP($A167,Master_Data!$C:$C,Master_Data!$M:$M,"CHECK",0)</f>
        <v>9114</v>
      </c>
      <c r="W167">
        <f>IFERROR(_xlfn.XLOOKUP($A167,Master_Data!$C:$C,Master_Data!$N:$N,"CHECK",0),"")</f>
        <v>3.3974755645684378</v>
      </c>
      <c r="X167" t="str">
        <f>IFERROR(_xlfn.XLOOKUP($A167,Master_Data!$C:$C,Master_Data!$O:$O,"CHECK",0),"No Result")</f>
        <v>Highly Competitive</v>
      </c>
      <c r="Y167">
        <f>_xlfn.XLOOKUP($A167,Master_Data!$C:$C,Master_Data!$P:$P,"CHECK",0)</f>
        <v>0</v>
      </c>
      <c r="Z167">
        <f t="shared" si="5"/>
        <v>1</v>
      </c>
    </row>
    <row r="168" spans="1:26">
      <c r="A168" t="str">
        <v>Lalmonirhat-2</v>
      </c>
      <c r="B168" t="str" cm="1">
        <f t="array" ref="B1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Nawabganj","Chapainawabganj"),Final_Merged_Data!$B$2:$B$1000=$A168)))</f>
        <v>Lalmonirhat</v>
      </c>
      <c r="C168" t="str" cm="1">
        <f t="array" ref="C168">_xlfn.TEXTJOIN(", ",TRUE,_xlfn._xlws.FILTER(Final_Merged_Data!$C$2:$C$1000,Final_Merged_Data!$B$2:$B$1000=$A168))</f>
        <v>Lalmonirhat Sadar, Kaliganj</v>
      </c>
      <c r="D168" cm="1">
        <f t="array" ref="D168">COUNTA(_xlfn._xlws.FILTER(Final_Merged_Data!$C$2:$C$1000,Final_Merged_Data!$B$2:$B$1000=$A168))</f>
        <v>2</v>
      </c>
      <c r="E168">
        <f>SUMIFS(Final_Merged_Data!$E:$E,Final_Merged_Data!$B:$B,$A168)</f>
        <v>462.04999999999995</v>
      </c>
      <c r="F168">
        <f>SUMIFS(Final_Merged_Data!$F:$F,Final_Merged_Data!$B:$B,$A168)</f>
        <v>684406</v>
      </c>
      <c r="G168">
        <f t="shared" si="4"/>
        <v>1481.2379612596042</v>
      </c>
      <c r="H168" cm="1">
        <f t="array" ref="H168">SUMPRODUCT((Final_Merged_Data!$B$2:$B$1000=$A168)*Final_Merged_Data!$H$2:$H$1000*Final_Merged_Data!$F$2:$F$1000)/F168</f>
        <v>3.9972837321706702</v>
      </c>
      <c r="I168" cm="1">
        <f t="array" ref="I168">SUMPRODUCT((Final_Merged_Data!$B$2:$B$1000=$A168)*Final_Merged_Data!$I$2:$I$1000*Final_Merged_Data!$F$2:$F$1000)/F168</f>
        <v>73.866786483461567</v>
      </c>
      <c r="J168" t="str" cm="1">
        <f t="array" ref="J168">_xlfn.TEXTJOIN(", ",TRUE,_xlfn.UNIQUE(_xlfn._xlws.FILTER(Final_Merged_Data!$J$2:$J$1000,Final_Merged_Data!$B$2:$B$1000=$A168)))</f>
        <v>Rangpur Range</v>
      </c>
      <c r="K168" cm="1">
        <f t="array" ref="K168">SUMPRODUCT((Final_Merged_Data!$B$2:$B$1000=$A168)*Final_Merged_Data!$K$2:$K$1000*Final_Merged_Data!$F$2:$F$1000)/F168</f>
        <v>101.90869513385242</v>
      </c>
      <c r="L168" cm="1">
        <f t="array" ref="L168">SUMPRODUCT((Final_Merged_Data!$B$2:$B$1000=$A168)*Final_Merged_Data!$L$2:$L$1000*Final_Merged_Data!$F$2:$F$1000)/F168</f>
        <v>15.175373179583826</v>
      </c>
      <c r="M168" t="str">
        <f>IF(COUNTIF(Master_Data!$C:$C,$A168)&gt;0,"Found","Missing")</f>
        <v>Found</v>
      </c>
      <c r="N168" t="str">
        <f>_xlfn.XLOOKUP($A168,Master_Data!$C:$C,Master_Data!$D:$D,"CHECK",0)</f>
        <v>Md. Rokun Uddin Babul</v>
      </c>
      <c r="O168" t="str">
        <f>_xlfn.XLOOKUP($A168,Master_Data!$C:$C,Master_Data!$E:$E,"CHECK",0)</f>
        <v>BNP</v>
      </c>
      <c r="P168">
        <f>_xlfn.XLOOKUP($A168,Master_Data!$C:$C,Master_Data!$F:$F,"CHECK",0)</f>
        <v>1</v>
      </c>
      <c r="Q168">
        <f>_xlfn.XLOOKUP($A168,Master_Data!$C:$C,Master_Data!$G:$G,"CHECK",0)</f>
        <v>123946</v>
      </c>
      <c r="R168">
        <f>IFERROR(_xlfn.XLOOKUP($A168,Master_Data!$C:$C,Master_Data!$H:$H,"CHECK",0),"")</f>
        <v>64.944197013361276</v>
      </c>
      <c r="S168" t="str">
        <f>_xlfn.XLOOKUP($A168,Master_Data!$C:$C,Master_Data!$I:$I,"CHECK",0)</f>
        <v>Md. Feroz Haider</v>
      </c>
      <c r="T168">
        <f>_xlfn.XLOOKUP($A168,Master_Data!$C:$C,Master_Data!$K:$K,"CHECK",0)</f>
        <v>66904</v>
      </c>
      <c r="U168">
        <f>IFERROR(_xlfn.XLOOKUP($A168,Master_Data!$C:$C,Master_Data!$L:$L,"CHECK",0),"")</f>
        <v>35.055802986638724</v>
      </c>
      <c r="V168">
        <f>_xlfn.XLOOKUP($A168,Master_Data!$C:$C,Master_Data!$M:$M,"CHECK",0)</f>
        <v>57042</v>
      </c>
      <c r="W168">
        <f>IFERROR(_xlfn.XLOOKUP($A168,Master_Data!$C:$C,Master_Data!$N:$N,"CHECK",0),"")</f>
        <v>29.888394026722558</v>
      </c>
      <c r="X168" t="str">
        <f>IFERROR(_xlfn.XLOOKUP($A168,Master_Data!$C:$C,Master_Data!$O:$O,"CHECK",0),"No Result")</f>
        <v>Safe Seat</v>
      </c>
      <c r="Y168">
        <f>_xlfn.XLOOKUP($A168,Master_Data!$C:$C,Master_Data!$P:$P,"CHECK",0)</f>
        <v>0</v>
      </c>
      <c r="Z168">
        <f t="shared" si="5"/>
        <v>1</v>
      </c>
    </row>
    <row r="169" spans="1:26">
      <c r="A169" t="str">
        <v>Lalmonirhat-3</v>
      </c>
      <c r="B169" t="str" cm="1">
        <f t="array" ref="B1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Nawabganj","Chapainawabganj"),Final_Merged_Data!$B$2:$B$1000=$A169)))</f>
        <v>Lalmonirhat</v>
      </c>
      <c r="C169" t="str" cm="1">
        <f t="array" ref="C169">_xlfn.TEXTJOIN(", ",TRUE,_xlfn._xlws.FILTER(Final_Merged_Data!$C$2:$C$1000,Final_Merged_Data!$B$2:$B$1000=$A169))</f>
        <v>Aditmari</v>
      </c>
      <c r="D169" cm="1">
        <f t="array" ref="D169">COUNTA(_xlfn._xlws.FILTER(Final_Merged_Data!$C$2:$C$1000,Final_Merged_Data!$B$2:$B$1000=$A169))</f>
        <v>1</v>
      </c>
      <c r="E169">
        <f>SUMIFS(Final_Merged_Data!$E:$E,Final_Merged_Data!$B:$B,$A169)</f>
        <v>189.42</v>
      </c>
      <c r="F169">
        <f>SUMIFS(Final_Merged_Data!$F:$F,Final_Merged_Data!$B:$B,$A169)</f>
        <v>251223</v>
      </c>
      <c r="G169">
        <f t="shared" si="4"/>
        <v>1326.2749445676275</v>
      </c>
      <c r="H169" cm="1">
        <f t="array" ref="H169">SUMPRODUCT((Final_Merged_Data!$B$2:$B$1000=$A169)*Final_Merged_Data!$H$2:$H$1000*Final_Merged_Data!$F$2:$F$1000)/F169</f>
        <v>4.0999999999999996</v>
      </c>
      <c r="I169" cm="1">
        <f t="array" ref="I169">SUMPRODUCT((Final_Merged_Data!$B$2:$B$1000=$A169)*Final_Merged_Data!$I$2:$I$1000*Final_Merged_Data!$F$2:$F$1000)/F169</f>
        <v>70.34</v>
      </c>
      <c r="J169" t="str" cm="1">
        <f t="array" ref="J169">_xlfn.TEXTJOIN(", ",TRUE,_xlfn.UNIQUE(_xlfn._xlws.FILTER(Final_Merged_Data!$J$2:$J$1000,Final_Merged_Data!$B$2:$B$1000=$A169)))</f>
        <v>Rangpur Range</v>
      </c>
      <c r="K169" cm="1">
        <f t="array" ref="K169">SUMPRODUCT((Final_Merged_Data!$B$2:$B$1000=$A169)*Final_Merged_Data!$K$2:$K$1000*Final_Merged_Data!$F$2:$F$1000)/F169</f>
        <v>101.90869513385242</v>
      </c>
      <c r="L169" cm="1">
        <f t="array" ref="L169">SUMPRODUCT((Final_Merged_Data!$B$2:$B$1000=$A169)*Final_Merged_Data!$L$2:$L$1000*Final_Merged_Data!$F$2:$F$1000)/F169</f>
        <v>15.175373179583827</v>
      </c>
      <c r="M169" t="str">
        <f>IF(COUNTIF(Master_Data!$C:$C,$A169)&gt;0,"Found","Missing")</f>
        <v>Found</v>
      </c>
      <c r="N169" t="str">
        <f>_xlfn.XLOOKUP($A169,Master_Data!$C:$C,Master_Data!$D:$D,"CHECK",0)</f>
        <v>Asadul Habib Dulu</v>
      </c>
      <c r="O169" t="str">
        <f>_xlfn.XLOOKUP($A169,Master_Data!$C:$C,Master_Data!$E:$E,"CHECK",0)</f>
        <v>BNP</v>
      </c>
      <c r="P169">
        <f>_xlfn.XLOOKUP($A169,Master_Data!$C:$C,Master_Data!$F:$F,"CHECK",0)</f>
        <v>1</v>
      </c>
      <c r="Q169">
        <f>_xlfn.XLOOKUP($A169,Master_Data!$C:$C,Master_Data!$G:$G,"CHECK",0)</f>
        <v>139657</v>
      </c>
      <c r="R169">
        <f>IFERROR(_xlfn.XLOOKUP($A169,Master_Data!$C:$C,Master_Data!$H:$H,"CHECK",0),"")</f>
        <v>71.289579940888515</v>
      </c>
      <c r="S169" t="str">
        <f>_xlfn.XLOOKUP($A169,Master_Data!$C:$C,Master_Data!$I:$I,"CHECK",0)</f>
        <v>Md. Abu Taher</v>
      </c>
      <c r="T169">
        <f>_xlfn.XLOOKUP($A169,Master_Data!$C:$C,Master_Data!$K:$K,"CHECK",0)</f>
        <v>56244</v>
      </c>
      <c r="U169">
        <f>IFERROR(_xlfn.XLOOKUP($A169,Master_Data!$C:$C,Master_Data!$L:$L,"CHECK",0),"")</f>
        <v>28.710420059111492</v>
      </c>
      <c r="V169">
        <f>_xlfn.XLOOKUP($A169,Master_Data!$C:$C,Master_Data!$M:$M,"CHECK",0)</f>
        <v>83413</v>
      </c>
      <c r="W169">
        <f>IFERROR(_xlfn.XLOOKUP($A169,Master_Data!$C:$C,Master_Data!$N:$N,"CHECK",0),"")</f>
        <v>42.579159881777016</v>
      </c>
      <c r="X169" t="str">
        <f>IFERROR(_xlfn.XLOOKUP($A169,Master_Data!$C:$C,Master_Data!$O:$O,"CHECK",0),"No Result")</f>
        <v>Safe Seat</v>
      </c>
      <c r="Y169">
        <f>_xlfn.XLOOKUP($A169,Master_Data!$C:$C,Master_Data!$P:$P,"CHECK",0)</f>
        <v>0</v>
      </c>
      <c r="Z169">
        <f t="shared" si="5"/>
        <v>1</v>
      </c>
    </row>
    <row r="170" spans="1:26">
      <c r="A170" t="str">
        <v>Madaripur-1</v>
      </c>
      <c r="B170" t="str" cm="1">
        <f t="array" ref="B1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Nawabganj","Chapainawabganj"),Final_Merged_Data!$B$2:$B$1000=$A170)))</f>
        <v>Madaripur</v>
      </c>
      <c r="C170" t="str" cm="1">
        <f t="array" ref="C170">_xlfn.TEXTJOIN(", ",TRUE,_xlfn._xlws.FILTER(Final_Merged_Data!$C$2:$C$1000,Final_Merged_Data!$B$2:$B$1000=$A170))</f>
        <v>Shibchar</v>
      </c>
      <c r="D170" cm="1">
        <f t="array" ref="D170">COUNTA(_xlfn._xlws.FILTER(Final_Merged_Data!$C$2:$C$1000,Final_Merged_Data!$B$2:$B$1000=$A170))</f>
        <v>1</v>
      </c>
      <c r="E170">
        <f>SUMIFS(Final_Merged_Data!$E:$E,Final_Merged_Data!$B:$B,$A170)</f>
        <v>320.24</v>
      </c>
      <c r="F170">
        <f>SUMIFS(Final_Merged_Data!$F:$F,Final_Merged_Data!$B:$B,$A170)</f>
        <v>357416</v>
      </c>
      <c r="G170">
        <f t="shared" si="4"/>
        <v>1116.0879340494628</v>
      </c>
      <c r="H170" cm="1">
        <f t="array" ref="H170">SUMPRODUCT((Final_Merged_Data!$B$2:$B$1000=$A170)*Final_Merged_Data!$H$2:$H$1000*Final_Merged_Data!$F$2:$F$1000)/F170</f>
        <v>4.0199999999999996</v>
      </c>
      <c r="I170" cm="1">
        <f t="array" ref="I170">SUMPRODUCT((Final_Merged_Data!$B$2:$B$1000=$A170)*Final_Merged_Data!$I$2:$I$1000*Final_Merged_Data!$F$2:$F$1000)/F170</f>
        <v>73.31</v>
      </c>
      <c r="J170" t="str" cm="1">
        <f t="array" ref="J170">_xlfn.TEXTJOIN(", ",TRUE,_xlfn.UNIQUE(_xlfn._xlws.FILTER(Final_Merged_Data!$J$2:$J$1000,Final_Merged_Data!$B$2:$B$1000=$A170)))</f>
        <v>Dhaka Range</v>
      </c>
      <c r="K170" cm="1">
        <f t="array" ref="K170">SUMPRODUCT((Final_Merged_Data!$B$2:$B$1000=$A170)*Final_Merged_Data!$K$2:$K$1000*Final_Merged_Data!$F$2:$F$1000)/F170</f>
        <v>87.055167395391194</v>
      </c>
      <c r="L170" cm="1">
        <f t="array" ref="L170">SUMPRODUCT((Final_Merged_Data!$B$2:$B$1000=$A170)*Final_Merged_Data!$L$2:$L$1000*Final_Merged_Data!$F$2:$F$1000)/F170</f>
        <v>14.083489099923572</v>
      </c>
      <c r="M170" t="str">
        <f>IF(COUNTIF(Master_Data!$C:$C,$A170)&gt;0,"Found","Missing")</f>
        <v>Found</v>
      </c>
      <c r="N170" t="str">
        <f>_xlfn.XLOOKUP($A170,Master_Data!$C:$C,Master_Data!$D:$D,"CHECK",0)</f>
        <v>Syed Uddin Ahmad Hanzala</v>
      </c>
      <c r="O170" t="str">
        <f>_xlfn.XLOOKUP($A170,Master_Data!$C:$C,Master_Data!$E:$E,"CHECK",0)</f>
        <v>BKM</v>
      </c>
      <c r="P170">
        <f>_xlfn.XLOOKUP($A170,Master_Data!$C:$C,Master_Data!$F:$F,"CHECK",0)</f>
        <v>0</v>
      </c>
      <c r="Q170">
        <f>_xlfn.XLOOKUP($A170,Master_Data!$C:$C,Master_Data!$G:$G,"CHECK",0)</f>
        <v>64909</v>
      </c>
      <c r="R170">
        <f>IFERROR(_xlfn.XLOOKUP($A170,Master_Data!$C:$C,Master_Data!$H:$H,"CHECK",0),"")</f>
        <v>50.148725595481835</v>
      </c>
      <c r="S170" t="str">
        <f>_xlfn.XLOOKUP($A170,Master_Data!$C:$C,Master_Data!$I:$I,"CHECK",0)</f>
        <v>Nadira Akhter</v>
      </c>
      <c r="T170">
        <f>_xlfn.XLOOKUP($A170,Master_Data!$C:$C,Master_Data!$K:$K,"CHECK",0)</f>
        <v>64524</v>
      </c>
      <c r="U170">
        <f>IFERROR(_xlfn.XLOOKUP($A170,Master_Data!$C:$C,Master_Data!$L:$L,"CHECK",0),"")</f>
        <v>49.851274404518172</v>
      </c>
      <c r="V170">
        <f>_xlfn.XLOOKUP($A170,Master_Data!$C:$C,Master_Data!$M:$M,"CHECK",0)</f>
        <v>385</v>
      </c>
      <c r="W170">
        <f>IFERROR(_xlfn.XLOOKUP($A170,Master_Data!$C:$C,Master_Data!$N:$N,"CHECK",0),"")</f>
        <v>0.29745119096366457</v>
      </c>
      <c r="X170" t="str">
        <f>IFERROR(_xlfn.XLOOKUP($A170,Master_Data!$C:$C,Master_Data!$O:$O,"CHECK",0),"No Result")</f>
        <v>Highly Competitive</v>
      </c>
      <c r="Y170">
        <f>_xlfn.XLOOKUP($A170,Master_Data!$C:$C,Master_Data!$P:$P,"CHECK",0)</f>
        <v>0</v>
      </c>
      <c r="Z170">
        <f t="shared" si="5"/>
        <v>1</v>
      </c>
    </row>
    <row r="171" spans="1:26">
      <c r="A171" t="str">
        <v>Madaripur-2</v>
      </c>
      <c r="B171" t="str" cm="1">
        <f t="array" ref="B1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Nawabganj","Chapainawabganj"),Final_Merged_Data!$B$2:$B$1000=$A171)))</f>
        <v>Madaripur</v>
      </c>
      <c r="C171" t="str" cm="1">
        <f t="array" ref="C171">_xlfn.TEXTJOIN(", ",TRUE,_xlfn._xlws.FILTER(Final_Merged_Data!$C$2:$C$1000,Final_Merged_Data!$B$2:$B$1000=$A171))</f>
        <v>Madaripur Sadar, Rajoir</v>
      </c>
      <c r="D171" cm="1">
        <f t="array" ref="D171">COUNTA(_xlfn._xlws.FILTER(Final_Merged_Data!$C$2:$C$1000,Final_Merged_Data!$B$2:$B$1000=$A171))</f>
        <v>2</v>
      </c>
      <c r="E171">
        <f>SUMIFS(Final_Merged_Data!$E:$E,Final_Merged_Data!$B:$B,$A171)</f>
        <v>475.91999999999996</v>
      </c>
      <c r="F171">
        <f>SUMIFS(Final_Merged_Data!$F:$F,Final_Merged_Data!$B:$B,$A171)</f>
        <v>642050</v>
      </c>
      <c r="G171">
        <f t="shared" si="4"/>
        <v>1349.0712724827704</v>
      </c>
      <c r="H171" cm="1">
        <f t="array" ref="H171">SUMPRODUCT((Final_Merged_Data!$B$2:$B$1000=$A171)*Final_Merged_Data!$H$2:$H$1000*Final_Merged_Data!$F$2:$F$1000)/F171</f>
        <v>4.0858470835604708</v>
      </c>
      <c r="I171" cm="1">
        <f t="array" ref="I171">SUMPRODUCT((Final_Merged_Data!$B$2:$B$1000=$A171)*Final_Merged_Data!$I$2:$I$1000*Final_Merged_Data!$F$2:$F$1000)/F171</f>
        <v>75.764385312670356</v>
      </c>
      <c r="J171" t="str" cm="1">
        <f t="array" ref="J171">_xlfn.TEXTJOIN(", ",TRUE,_xlfn.UNIQUE(_xlfn._xlws.FILTER(Final_Merged_Data!$J$2:$J$1000,Final_Merged_Data!$B$2:$B$1000=$A171)))</f>
        <v>Dhaka Range</v>
      </c>
      <c r="K171" cm="1">
        <f t="array" ref="K171">SUMPRODUCT((Final_Merged_Data!$B$2:$B$1000=$A171)*Final_Merged_Data!$K$2:$K$1000*Final_Merged_Data!$F$2:$F$1000)/F171</f>
        <v>87.055167395391209</v>
      </c>
      <c r="L171" cm="1">
        <f t="array" ref="L171">SUMPRODUCT((Final_Merged_Data!$B$2:$B$1000=$A171)*Final_Merged_Data!$L$2:$L$1000*Final_Merged_Data!$F$2:$F$1000)/F171</f>
        <v>14.08348909992357</v>
      </c>
      <c r="M171" t="str">
        <f>IF(COUNTIF(Master_Data!$C:$C,$A171)&gt;0,"Found","Missing")</f>
        <v>Found</v>
      </c>
      <c r="N171" t="str">
        <f>_xlfn.XLOOKUP($A171,Master_Data!$C:$C,Master_Data!$D:$D,"CHECK",0)</f>
        <v>Md. Jahandar Ali Mia</v>
      </c>
      <c r="O171" t="str">
        <f>_xlfn.XLOOKUP($A171,Master_Data!$C:$C,Master_Data!$E:$E,"CHECK",0)</f>
        <v>BNP</v>
      </c>
      <c r="P171">
        <f>_xlfn.XLOOKUP($A171,Master_Data!$C:$C,Master_Data!$F:$F,"CHECK",0)</f>
        <v>1</v>
      </c>
      <c r="Q171">
        <f>_xlfn.XLOOKUP($A171,Master_Data!$C:$C,Master_Data!$G:$G,"CHECK",0)</f>
        <v>61744</v>
      </c>
      <c r="R171">
        <f>IFERROR(_xlfn.XLOOKUP($A171,Master_Data!$C:$C,Master_Data!$H:$H,"CHECK",0),"")</f>
        <v>57.054148955830719</v>
      </c>
      <c r="S171" t="str">
        <f>_xlfn.XLOOKUP($A171,Master_Data!$C:$C,Master_Data!$I:$I,"CHECK",0)</f>
        <v>Milton Baiddo</v>
      </c>
      <c r="T171">
        <f>_xlfn.XLOOKUP($A171,Master_Data!$C:$C,Master_Data!$K:$K,"CHECK",0)</f>
        <v>46476</v>
      </c>
      <c r="U171">
        <f>IFERROR(_xlfn.XLOOKUP($A171,Master_Data!$C:$C,Master_Data!$L:$L,"CHECK",0),"")</f>
        <v>42.945851044169288</v>
      </c>
      <c r="V171">
        <f>_xlfn.XLOOKUP($A171,Master_Data!$C:$C,Master_Data!$M:$M,"CHECK",0)</f>
        <v>15268</v>
      </c>
      <c r="W171">
        <f>IFERROR(_xlfn.XLOOKUP($A171,Master_Data!$C:$C,Master_Data!$N:$N,"CHECK",0),"")</f>
        <v>14.108297911661429</v>
      </c>
      <c r="X171" t="str">
        <f>IFERROR(_xlfn.XLOOKUP($A171,Master_Data!$C:$C,Master_Data!$O:$O,"CHECK",0),"No Result")</f>
        <v>Safe Seat</v>
      </c>
      <c r="Y171">
        <f>_xlfn.XLOOKUP($A171,Master_Data!$C:$C,Master_Data!$P:$P,"CHECK",0)</f>
        <v>0</v>
      </c>
      <c r="Z171">
        <f t="shared" si="5"/>
        <v>1</v>
      </c>
    </row>
    <row r="172" spans="1:26">
      <c r="A172" t="str">
        <v>Madaripur-3</v>
      </c>
      <c r="B172" t="str" cm="1">
        <f t="array" ref="B1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Nawabganj","Chapainawabganj"),Final_Merged_Data!$B$2:$B$1000=$A172)))</f>
        <v>Madaripur</v>
      </c>
      <c r="C172" t="str" cm="1">
        <f t="array" ref="C172">_xlfn.TEXTJOIN(", ",TRUE,_xlfn._xlws.FILTER(Final_Merged_Data!$C$2:$C$1000,Final_Merged_Data!$B$2:$B$1000=$A172))</f>
        <v>Kalkini, Dasar</v>
      </c>
      <c r="D172" cm="1">
        <f t="array" ref="D172">COUNTA(_xlfn._xlws.FILTER(Final_Merged_Data!$C$2:$C$1000,Final_Merged_Data!$B$2:$B$1000=$A172))</f>
        <v>2</v>
      </c>
      <c r="E172">
        <f>SUMIFS(Final_Merged_Data!$E:$E,Final_Merged_Data!$B:$B,$A172)</f>
        <v>336.43</v>
      </c>
      <c r="F172">
        <f>SUMIFS(Final_Merged_Data!$F:$F,Final_Merged_Data!$B:$B,$A172)</f>
        <v>293497</v>
      </c>
      <c r="G172">
        <f t="shared" si="4"/>
        <v>872.38652914424995</v>
      </c>
      <c r="H172" cm="1">
        <f t="array" ref="H172">SUMPRODUCT((Final_Merged_Data!$B$2:$B$1000=$A172)*Final_Merged_Data!$H$2:$H$1000*Final_Merged_Data!$F$2:$F$1000)/F172</f>
        <v>4.0425612186836668</v>
      </c>
      <c r="I172" cm="1">
        <f t="array" ref="I172">SUMPRODUCT((Final_Merged_Data!$B$2:$B$1000=$A172)*Final_Merged_Data!$I$2:$I$1000*Final_Merged_Data!$F$2:$F$1000)/F172</f>
        <v>75.061171698518223</v>
      </c>
      <c r="J172" t="str" cm="1">
        <f t="array" ref="J172">_xlfn.TEXTJOIN(", ",TRUE,_xlfn.UNIQUE(_xlfn._xlws.FILTER(Final_Merged_Data!$J$2:$J$1000,Final_Merged_Data!$B$2:$B$1000=$A172)))</f>
        <v>Dhaka Range</v>
      </c>
      <c r="K172" cm="1">
        <f t="array" ref="K172">SUMPRODUCT((Final_Merged_Data!$B$2:$B$1000=$A172)*Final_Merged_Data!$K$2:$K$1000*Final_Merged_Data!$F$2:$F$1000)/F172</f>
        <v>87.055167395391194</v>
      </c>
      <c r="L172" cm="1">
        <f t="array" ref="L172">SUMPRODUCT((Final_Merged_Data!$B$2:$B$1000=$A172)*Final_Merged_Data!$L$2:$L$1000*Final_Merged_Data!$F$2:$F$1000)/F172</f>
        <v>14.083489099923574</v>
      </c>
      <c r="M172" t="str">
        <f>IF(COUNTIF(Master_Data!$C:$C,$A172)&gt;0,"Found","Missing")</f>
        <v>Found</v>
      </c>
      <c r="N172" t="str">
        <f>_xlfn.XLOOKUP($A172,Master_Data!$C:$C,Master_Data!$D:$D,"CHECK",0)</f>
        <v>Anishur Rahman</v>
      </c>
      <c r="O172" t="str">
        <f>_xlfn.XLOOKUP($A172,Master_Data!$C:$C,Master_Data!$E:$E,"CHECK",0)</f>
        <v>BNP</v>
      </c>
      <c r="P172">
        <f>_xlfn.XLOOKUP($A172,Master_Data!$C:$C,Master_Data!$F:$F,"CHECK",0)</f>
        <v>1</v>
      </c>
      <c r="Q172">
        <f>_xlfn.XLOOKUP($A172,Master_Data!$C:$C,Master_Data!$G:$G,"CHECK",0)</f>
        <v>96188</v>
      </c>
      <c r="R172">
        <f>IFERROR(_xlfn.XLOOKUP($A172,Master_Data!$C:$C,Master_Data!$H:$H,"CHECK",0),"")</f>
        <v>53.191324640277827</v>
      </c>
      <c r="S172" t="str">
        <f>_xlfn.XLOOKUP($A172,Master_Data!$C:$C,Master_Data!$I:$I,"CHECK",0)</f>
        <v>Md. Rafiqul Islam</v>
      </c>
      <c r="T172">
        <f>_xlfn.XLOOKUP($A172,Master_Data!$C:$C,Master_Data!$K:$K,"CHECK",0)</f>
        <v>84646</v>
      </c>
      <c r="U172">
        <f>IFERROR(_xlfn.XLOOKUP($A172,Master_Data!$C:$C,Master_Data!$L:$L,"CHECK",0),"")</f>
        <v>46.808675359722173</v>
      </c>
      <c r="V172">
        <f>_xlfn.XLOOKUP($A172,Master_Data!$C:$C,Master_Data!$M:$M,"CHECK",0)</f>
        <v>11542</v>
      </c>
      <c r="W172">
        <f>IFERROR(_xlfn.XLOOKUP($A172,Master_Data!$C:$C,Master_Data!$N:$N,"CHECK",0),"")</f>
        <v>6.3826492805556478</v>
      </c>
      <c r="X172" t="str">
        <f>IFERROR(_xlfn.XLOOKUP($A172,Master_Data!$C:$C,Master_Data!$O:$O,"CHECK",0),"No Result")</f>
        <v>Safe Seat</v>
      </c>
      <c r="Y172">
        <f>_xlfn.XLOOKUP($A172,Master_Data!$C:$C,Master_Data!$P:$P,"CHECK",0)</f>
        <v>0</v>
      </c>
      <c r="Z172">
        <f t="shared" si="5"/>
        <v>1</v>
      </c>
    </row>
    <row r="173" spans="1:26">
      <c r="A173" t="str">
        <v>Magura-1</v>
      </c>
      <c r="B173" t="str" cm="1">
        <f t="array" ref="B1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Nawabganj","Chapainawabganj"),Final_Merged_Data!$B$2:$B$1000=$A173)))</f>
        <v>Magura</v>
      </c>
      <c r="C173" t="str" cm="1">
        <f t="array" ref="C173">_xlfn.TEXTJOIN(", ",TRUE,_xlfn._xlws.FILTER(Final_Merged_Data!$C$2:$C$1000,Final_Merged_Data!$B$2:$B$1000=$A173))</f>
        <v>Magura Sadar, Sreepur</v>
      </c>
      <c r="D173" cm="1">
        <f t="array" ref="D173">COUNTA(_xlfn._xlws.FILTER(Final_Merged_Data!$C$2:$C$1000,Final_Merged_Data!$B$2:$B$1000=$A173))</f>
        <v>2</v>
      </c>
      <c r="E173">
        <f>SUMIFS(Final_Merged_Data!$E:$E,Final_Merged_Data!$B:$B,$A173)</f>
        <v>760.04</v>
      </c>
      <c r="F173">
        <f>SUMIFS(Final_Merged_Data!$F:$F,Final_Merged_Data!$B:$B,$A173)</f>
        <v>1281581</v>
      </c>
      <c r="G173">
        <f t="shared" si="4"/>
        <v>1686.2020419977896</v>
      </c>
      <c r="H173" cm="1">
        <f t="array" ref="H173">SUMPRODUCT((Final_Merged_Data!$B$2:$B$1000=$A173)*Final_Merged_Data!$H$2:$H$1000*Final_Merged_Data!$F$2:$F$1000)/F173</f>
        <v>3.5529255037332796</v>
      </c>
      <c r="I173" cm="1">
        <f t="array" ref="I173">SUMPRODUCT((Final_Merged_Data!$B$2:$B$1000=$A173)*Final_Merged_Data!$I$2:$I$1000*Final_Merged_Data!$F$2:$F$1000)/F173</f>
        <v>76.66284843486288</v>
      </c>
      <c r="J173" t="str" cm="1">
        <f t="array" ref="J173">_xlfn.TEXTJOIN(", ",TRUE,_xlfn.UNIQUE(_xlfn._xlws.FILTER(Final_Merged_Data!$J$2:$J$1000,Final_Merged_Data!$B$2:$B$1000=$A173)))</f>
        <v>Khulna Range</v>
      </c>
      <c r="K173" cm="1">
        <f t="array" ref="K173">SUMPRODUCT((Final_Merged_Data!$B$2:$B$1000=$A173)*Final_Merged_Data!$K$2:$K$1000*Final_Merged_Data!$F$2:$F$1000)/F173</f>
        <v>102.32166075410298</v>
      </c>
      <c r="L173" cm="1">
        <f t="array" ref="L173">SUMPRODUCT((Final_Merged_Data!$B$2:$B$1000=$A173)*Final_Merged_Data!$L$2:$L$1000*Final_Merged_Data!$F$2:$F$1000)/F173</f>
        <v>12.212237548443921</v>
      </c>
      <c r="M173" t="str">
        <f>IF(COUNTIF(Master_Data!$C:$C,$A173)&gt;0,"Found","Missing")</f>
        <v>Found</v>
      </c>
      <c r="N173" t="str">
        <f>_xlfn.XLOOKUP($A173,Master_Data!$C:$C,Master_Data!$D:$D,"CHECK",0)</f>
        <v>Md. Monowar Hossain</v>
      </c>
      <c r="O173" t="str">
        <f>_xlfn.XLOOKUP($A173,Master_Data!$C:$C,Master_Data!$E:$E,"CHECK",0)</f>
        <v>BNP</v>
      </c>
      <c r="P173">
        <f>_xlfn.XLOOKUP($A173,Master_Data!$C:$C,Master_Data!$F:$F,"CHECK",0)</f>
        <v>1</v>
      </c>
      <c r="Q173">
        <f>_xlfn.XLOOKUP($A173,Master_Data!$C:$C,Master_Data!$G:$G,"CHECK",0)</f>
        <v>185338</v>
      </c>
      <c r="R173">
        <f>IFERROR(_xlfn.XLOOKUP($A173,Master_Data!$C:$C,Master_Data!$H:$H,"CHECK",0),"")</f>
        <v>67.388529936843028</v>
      </c>
      <c r="S173" t="str">
        <f>_xlfn.XLOOKUP($A173,Master_Data!$C:$C,Master_Data!$I:$I,"CHECK",0)</f>
        <v>Abdul Mateen</v>
      </c>
      <c r="T173">
        <f>_xlfn.XLOOKUP($A173,Master_Data!$C:$C,Master_Data!$K:$K,"CHECK",0)</f>
        <v>89691</v>
      </c>
      <c r="U173">
        <f>IFERROR(_xlfn.XLOOKUP($A173,Master_Data!$C:$C,Master_Data!$L:$L,"CHECK",0),"")</f>
        <v>32.611470063156979</v>
      </c>
      <c r="V173">
        <f>_xlfn.XLOOKUP($A173,Master_Data!$C:$C,Master_Data!$M:$M,"CHECK",0)</f>
        <v>95647</v>
      </c>
      <c r="W173">
        <f>IFERROR(_xlfn.XLOOKUP($A173,Master_Data!$C:$C,Master_Data!$N:$N,"CHECK",0),"")</f>
        <v>34.777059873686049</v>
      </c>
      <c r="X173" t="str">
        <f>IFERROR(_xlfn.XLOOKUP($A173,Master_Data!$C:$C,Master_Data!$O:$O,"CHECK",0),"No Result")</f>
        <v>Safe Seat</v>
      </c>
      <c r="Y173">
        <f>_xlfn.XLOOKUP($A173,Master_Data!$C:$C,Master_Data!$P:$P,"CHECK",0)</f>
        <v>0</v>
      </c>
      <c r="Z173">
        <f t="shared" si="5"/>
        <v>1</v>
      </c>
    </row>
    <row r="174" spans="1:26">
      <c r="A174" t="str">
        <v>Magura-2</v>
      </c>
      <c r="B174" t="str" cm="1">
        <f t="array" ref="B1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Nawabganj","Chapainawabganj"),Final_Merged_Data!$B$2:$B$1000=$A174)))</f>
        <v>Magura</v>
      </c>
      <c r="C174" t="str" cm="1">
        <f t="array" ref="C174">_xlfn.TEXTJOIN(", ",TRUE,_xlfn._xlws.FILTER(Final_Merged_Data!$C$2:$C$1000,Final_Merged_Data!$B$2:$B$1000=$A174))</f>
        <v>Mohammadpur, Shalikha</v>
      </c>
      <c r="D174" cm="1">
        <f t="array" ref="D174">COUNTA(_xlfn._xlws.FILTER(Final_Merged_Data!$C$2:$C$1000,Final_Merged_Data!$B$2:$B$1000=$A174))</f>
        <v>2</v>
      </c>
      <c r="E174">
        <f>SUMIFS(Final_Merged_Data!$E:$E,Final_Merged_Data!$B:$B,$A174)</f>
        <v>414.47</v>
      </c>
      <c r="F174">
        <f>SUMIFS(Final_Merged_Data!$F:$F,Final_Merged_Data!$B:$B,$A174)</f>
        <v>422456</v>
      </c>
      <c r="G174">
        <f t="shared" si="4"/>
        <v>1019.2679807947499</v>
      </c>
      <c r="H174" cm="1">
        <f t="array" ref="H174">SUMPRODUCT((Final_Merged_Data!$B$2:$B$1000=$A174)*Final_Merged_Data!$H$2:$H$1000*Final_Merged_Data!$F$2:$F$1000)/F174</f>
        <v>4.0609269604408507</v>
      </c>
      <c r="I174" cm="1">
        <f t="array" ref="I174">SUMPRODUCT((Final_Merged_Data!$B$2:$B$1000=$A174)*Final_Merged_Data!$I$2:$I$1000*Final_Merged_Data!$F$2:$F$1000)/F174</f>
        <v>72.399073039559141</v>
      </c>
      <c r="J174" t="str" cm="1">
        <f t="array" ref="J174">_xlfn.TEXTJOIN(", ",TRUE,_xlfn.UNIQUE(_xlfn._xlws.FILTER(Final_Merged_Data!$J$2:$J$1000,Final_Merged_Data!$B$2:$B$1000=$A174)))</f>
        <v>Khulna Range</v>
      </c>
      <c r="K174" cm="1">
        <f t="array" ref="K174">SUMPRODUCT((Final_Merged_Data!$B$2:$B$1000=$A174)*Final_Merged_Data!$K$2:$K$1000*Final_Merged_Data!$F$2:$F$1000)/F174</f>
        <v>102.32166075410296</v>
      </c>
      <c r="L174" cm="1">
        <f t="array" ref="L174">SUMPRODUCT((Final_Merged_Data!$B$2:$B$1000=$A174)*Final_Merged_Data!$L$2:$L$1000*Final_Merged_Data!$F$2:$F$1000)/F174</f>
        <v>12.212237548443925</v>
      </c>
      <c r="M174" t="str">
        <f>IF(COUNTIF(Master_Data!$C:$C,$A174)&gt;0,"Found","Missing")</f>
        <v>Found</v>
      </c>
      <c r="N174" t="str">
        <f>_xlfn.XLOOKUP($A174,Master_Data!$C:$C,Master_Data!$D:$D,"CHECK",0)</f>
        <v>Nitai Roy Chowdhury</v>
      </c>
      <c r="O174" t="str">
        <f>_xlfn.XLOOKUP($A174,Master_Data!$C:$C,Master_Data!$E:$E,"CHECK",0)</f>
        <v>BNP</v>
      </c>
      <c r="P174">
        <f>_xlfn.XLOOKUP($A174,Master_Data!$C:$C,Master_Data!$F:$F,"CHECK",0)</f>
        <v>1</v>
      </c>
      <c r="Q174">
        <f>_xlfn.XLOOKUP($A174,Master_Data!$C:$C,Master_Data!$G:$G,"CHECK",0)</f>
        <v>147896</v>
      </c>
      <c r="R174">
        <f>IFERROR(_xlfn.XLOOKUP($A174,Master_Data!$C:$C,Master_Data!$H:$H,"CHECK",0),"")</f>
        <v>55.827929063771641</v>
      </c>
      <c r="S174" t="str">
        <f>_xlfn.XLOOKUP($A174,Master_Data!$C:$C,Master_Data!$I:$I,"CHECK",0)</f>
        <v>Md. Musharhsed Billah</v>
      </c>
      <c r="T174">
        <f>_xlfn.XLOOKUP($A174,Master_Data!$C:$C,Master_Data!$K:$K,"CHECK",0)</f>
        <v>117018</v>
      </c>
      <c r="U174">
        <f>IFERROR(_xlfn.XLOOKUP($A174,Master_Data!$C:$C,Master_Data!$L:$L,"CHECK",0),"")</f>
        <v>44.172070936228366</v>
      </c>
      <c r="V174">
        <f>_xlfn.XLOOKUP($A174,Master_Data!$C:$C,Master_Data!$M:$M,"CHECK",0)</f>
        <v>30878</v>
      </c>
      <c r="W174">
        <f>IFERROR(_xlfn.XLOOKUP($A174,Master_Data!$C:$C,Master_Data!$N:$N,"CHECK",0),"")</f>
        <v>11.655858127543278</v>
      </c>
      <c r="X174" t="str">
        <f>IFERROR(_xlfn.XLOOKUP($A174,Master_Data!$C:$C,Master_Data!$O:$O,"CHECK",0),"No Result")</f>
        <v>Safe Seat</v>
      </c>
      <c r="Y174">
        <f>_xlfn.XLOOKUP($A174,Master_Data!$C:$C,Master_Data!$P:$P,"CHECK",0)</f>
        <v>0</v>
      </c>
      <c r="Z174">
        <f t="shared" si="5"/>
        <v>1</v>
      </c>
    </row>
    <row r="175" spans="1:26">
      <c r="A175" t="str">
        <v>Manikganj-1</v>
      </c>
      <c r="B175" t="str" cm="1">
        <f t="array" ref="B1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Nawabganj","Chapainawabganj"),Final_Merged_Data!$B$2:$B$1000=$A175)))</f>
        <v>Manikganj</v>
      </c>
      <c r="C175" t="str" cm="1">
        <f t="array" ref="C175">_xlfn.TEXTJOIN(", ",TRUE,_xlfn._xlws.FILTER(Final_Merged_Data!$C$2:$C$1000,Final_Merged_Data!$B$2:$B$1000=$A175))</f>
        <v>Ghior, Daulatpur, Shibalay</v>
      </c>
      <c r="D175" cm="1">
        <f t="array" ref="D175">COUNTA(_xlfn._xlws.FILTER(Final_Merged_Data!$C$2:$C$1000,Final_Merged_Data!$B$2:$B$1000=$A175))</f>
        <v>3</v>
      </c>
      <c r="E175">
        <f>SUMIFS(Final_Merged_Data!$E:$E,Final_Merged_Data!$B:$B,$A175)</f>
        <v>504.90999999999997</v>
      </c>
      <c r="F175">
        <f>SUMIFS(Final_Merged_Data!$F:$F,Final_Merged_Data!$B:$B,$A175)</f>
        <v>517345</v>
      </c>
      <c r="G175">
        <f t="shared" si="4"/>
        <v>1024.6281515517617</v>
      </c>
      <c r="H175" cm="1">
        <f t="array" ref="H175">SUMPRODUCT((Final_Merged_Data!$B$2:$B$1000=$A175)*Final_Merged_Data!$H$2:$H$1000*Final_Merged_Data!$F$2:$F$1000)/F175</f>
        <v>3.9815481351902502</v>
      </c>
      <c r="I175" cm="1">
        <f t="array" ref="I175">SUMPRODUCT((Final_Merged_Data!$B$2:$B$1000=$A175)*Final_Merged_Data!$I$2:$I$1000*Final_Merged_Data!$F$2:$F$1000)/F175</f>
        <v>67.921536131594976</v>
      </c>
      <c r="J175" t="str" cm="1">
        <f t="array" ref="J175">_xlfn.TEXTJOIN(", ",TRUE,_xlfn.UNIQUE(_xlfn._xlws.FILTER(Final_Merged_Data!$J$2:$J$1000,Final_Merged_Data!$B$2:$B$1000=$A175)))</f>
        <v>Dhaka Range</v>
      </c>
      <c r="K175" cm="1">
        <f t="array" ref="K175">SUMPRODUCT((Final_Merged_Data!$B$2:$B$1000=$A175)*Final_Merged_Data!$K$2:$K$1000*Final_Merged_Data!$F$2:$F$1000)/F175</f>
        <v>87.055167395391194</v>
      </c>
      <c r="L175" cm="1">
        <f t="array" ref="L175">SUMPRODUCT((Final_Merged_Data!$B$2:$B$1000=$A175)*Final_Merged_Data!$L$2:$L$1000*Final_Merged_Data!$F$2:$F$1000)/F175</f>
        <v>14.083489099923572</v>
      </c>
      <c r="M175" t="str">
        <f>IF(COUNTIF(Master_Data!$C:$C,$A175)&gt;0,"Found","Missing")</f>
        <v>Found</v>
      </c>
      <c r="N175" t="str">
        <f>_xlfn.XLOOKUP($A175,Master_Data!$C:$C,Master_Data!$D:$D,"CHECK",0)</f>
        <v>SA Jinnah Kabir</v>
      </c>
      <c r="O175" t="str">
        <f>_xlfn.XLOOKUP($A175,Master_Data!$C:$C,Master_Data!$E:$E,"CHECK",0)</f>
        <v>BNP</v>
      </c>
      <c r="P175">
        <f>_xlfn.XLOOKUP($A175,Master_Data!$C:$C,Master_Data!$F:$F,"CHECK",0)</f>
        <v>1</v>
      </c>
      <c r="Q175">
        <f>_xlfn.XLOOKUP($A175,Master_Data!$C:$C,Master_Data!$G:$G,"CHECK",0)</f>
        <v>137773</v>
      </c>
      <c r="R175">
        <f>IFERROR(_xlfn.XLOOKUP($A175,Master_Data!$C:$C,Master_Data!$H:$H,"CHECK",0),"")</f>
        <v>63.904801220830187</v>
      </c>
      <c r="S175" t="str">
        <f>_xlfn.XLOOKUP($A175,Master_Data!$C:$C,Master_Data!$I:$I,"CHECK",0)</f>
        <v>Md. Tozammel Haque</v>
      </c>
      <c r="T175">
        <f>_xlfn.XLOOKUP($A175,Master_Data!$C:$C,Master_Data!$K:$K,"CHECK",0)</f>
        <v>77818</v>
      </c>
      <c r="U175">
        <f>IFERROR(_xlfn.XLOOKUP($A175,Master_Data!$C:$C,Master_Data!$L:$L,"CHECK",0),"")</f>
        <v>36.09519877916982</v>
      </c>
      <c r="V175">
        <f>_xlfn.XLOOKUP($A175,Master_Data!$C:$C,Master_Data!$M:$M,"CHECK",0)</f>
        <v>59955</v>
      </c>
      <c r="W175">
        <f>IFERROR(_xlfn.XLOOKUP($A175,Master_Data!$C:$C,Master_Data!$N:$N,"CHECK",0),"")</f>
        <v>27.809602441660363</v>
      </c>
      <c r="X175" t="str">
        <f>IFERROR(_xlfn.XLOOKUP($A175,Master_Data!$C:$C,Master_Data!$O:$O,"CHECK",0),"No Result")</f>
        <v>Safe Seat</v>
      </c>
      <c r="Y175">
        <f>_xlfn.XLOOKUP($A175,Master_Data!$C:$C,Master_Data!$P:$P,"CHECK",0)</f>
        <v>0</v>
      </c>
      <c r="Z175">
        <f t="shared" si="5"/>
        <v>1</v>
      </c>
    </row>
    <row r="176" spans="1:26">
      <c r="A176" t="str">
        <v>Manikganj-2</v>
      </c>
      <c r="B176" t="str" cm="1">
        <f t="array" ref="B1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Nawabganj","Chapainawabganj"),Final_Merged_Data!$B$2:$B$1000=$A176)))</f>
        <v>Manikganj</v>
      </c>
      <c r="C176" t="str" cm="1">
        <f t="array" ref="C176">_xlfn.TEXTJOIN(", ",TRUE,_xlfn._xlws.FILTER(Final_Merged_Data!$C$2:$C$1000,Final_Merged_Data!$B$2:$B$1000=$A176))</f>
        <v>Singair, Harirampur</v>
      </c>
      <c r="D176" cm="1">
        <f t="array" ref="D176">COUNTA(_xlfn._xlws.FILTER(Final_Merged_Data!$C$2:$C$1000,Final_Merged_Data!$B$2:$B$1000=$A176))</f>
        <v>2</v>
      </c>
      <c r="E176">
        <f>SUMIFS(Final_Merged_Data!$E:$E,Final_Merged_Data!$B:$B,$A176)</f>
        <v>592.62</v>
      </c>
      <c r="F176">
        <f>SUMIFS(Final_Merged_Data!$F:$F,Final_Merged_Data!$B:$B,$A176)</f>
        <v>483571</v>
      </c>
      <c r="G176">
        <f t="shared" si="4"/>
        <v>815.98832304005941</v>
      </c>
      <c r="H176" cm="1">
        <f t="array" ref="H176">SUMPRODUCT((Final_Merged_Data!$B$2:$B$1000=$A176)*Final_Merged_Data!$H$2:$H$1000*Final_Merged_Data!$F$2:$F$1000)/F176</f>
        <v>3.8728599109541304</v>
      </c>
      <c r="I176" cm="1">
        <f t="array" ref="I176">SUMPRODUCT((Final_Merged_Data!$B$2:$B$1000=$A176)*Final_Merged_Data!$I$2:$I$1000*Final_Merged_Data!$F$2:$F$1000)/F176</f>
        <v>70.981633410605681</v>
      </c>
      <c r="J176" t="str" cm="1">
        <f t="array" ref="J176">_xlfn.TEXTJOIN(", ",TRUE,_xlfn.UNIQUE(_xlfn._xlws.FILTER(Final_Merged_Data!$J$2:$J$1000,Final_Merged_Data!$B$2:$B$1000=$A176)))</f>
        <v>Dhaka Range</v>
      </c>
      <c r="K176" cm="1">
        <f t="array" ref="K176">SUMPRODUCT((Final_Merged_Data!$B$2:$B$1000=$A176)*Final_Merged_Data!$K$2:$K$1000*Final_Merged_Data!$F$2:$F$1000)/F176</f>
        <v>87.055167395391209</v>
      </c>
      <c r="L176" cm="1">
        <f t="array" ref="L176">SUMPRODUCT((Final_Merged_Data!$B$2:$B$1000=$A176)*Final_Merged_Data!$L$2:$L$1000*Final_Merged_Data!$F$2:$F$1000)/F176</f>
        <v>14.083489099923572</v>
      </c>
      <c r="M176" t="str">
        <f>IF(COUNTIF(Master_Data!$C:$C,$A176)&gt;0,"Found","Missing")</f>
        <v>Found</v>
      </c>
      <c r="N176" t="str">
        <f>_xlfn.XLOOKUP($A176,Master_Data!$C:$C,Master_Data!$D:$D,"CHECK",0)</f>
        <v>Moinul Islam Khan</v>
      </c>
      <c r="O176" t="str">
        <f>_xlfn.XLOOKUP($A176,Master_Data!$C:$C,Master_Data!$E:$E,"CHECK",0)</f>
        <v>BNP</v>
      </c>
      <c r="P176">
        <f>_xlfn.XLOOKUP($A176,Master_Data!$C:$C,Master_Data!$F:$F,"CHECK",0)</f>
        <v>1</v>
      </c>
      <c r="Q176">
        <f>_xlfn.XLOOKUP($A176,Master_Data!$C:$C,Master_Data!$G:$G,"CHECK",0)</f>
        <v>175776</v>
      </c>
      <c r="R176">
        <f>IFERROR(_xlfn.XLOOKUP($A176,Master_Data!$C:$C,Master_Data!$H:$H,"CHECK",0),"")</f>
        <v>68.313726404645038</v>
      </c>
      <c r="S176" t="str">
        <f>_xlfn.XLOOKUP($A176,Master_Data!$C:$C,Master_Data!$I:$I,"CHECK",0)</f>
        <v>Md. Salah Uddin</v>
      </c>
      <c r="T176">
        <f>_xlfn.XLOOKUP($A176,Master_Data!$C:$C,Master_Data!$K:$K,"CHECK",0)</f>
        <v>81531</v>
      </c>
      <c r="U176">
        <f>IFERROR(_xlfn.XLOOKUP($A176,Master_Data!$C:$C,Master_Data!$L:$L,"CHECK",0),"")</f>
        <v>31.686273595354962</v>
      </c>
      <c r="V176">
        <f>_xlfn.XLOOKUP($A176,Master_Data!$C:$C,Master_Data!$M:$M,"CHECK",0)</f>
        <v>94245</v>
      </c>
      <c r="W176">
        <f>IFERROR(_xlfn.XLOOKUP($A176,Master_Data!$C:$C,Master_Data!$N:$N,"CHECK",0),"")</f>
        <v>36.62745280929007</v>
      </c>
      <c r="X176" t="str">
        <f>IFERROR(_xlfn.XLOOKUP($A176,Master_Data!$C:$C,Master_Data!$O:$O,"CHECK",0),"No Result")</f>
        <v>Safe Seat</v>
      </c>
      <c r="Y176">
        <f>_xlfn.XLOOKUP($A176,Master_Data!$C:$C,Master_Data!$P:$P,"CHECK",0)</f>
        <v>0</v>
      </c>
      <c r="Z176">
        <f t="shared" si="5"/>
        <v>1</v>
      </c>
    </row>
    <row r="177" spans="1:26">
      <c r="A177" t="str">
        <v>Manikganj-3</v>
      </c>
      <c r="B177" t="str" cm="1">
        <f t="array" ref="B1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Nawabganj","Chapainawabganj"),Final_Merged_Data!$B$2:$B$1000=$A177)))</f>
        <v>Manikganj</v>
      </c>
      <c r="C177" t="str" cm="1">
        <f t="array" ref="C177">_xlfn.TEXTJOIN(", ",TRUE,_xlfn._xlws.FILTER(Final_Merged_Data!$C$2:$C$1000,Final_Merged_Data!$B$2:$B$1000=$A177))</f>
        <v>Manikganj Sadar, Saturia</v>
      </c>
      <c r="D177" cm="1">
        <f t="array" ref="D177">COUNTA(_xlfn._xlws.FILTER(Final_Merged_Data!$C$2:$C$1000,Final_Merged_Data!$B$2:$B$1000=$A177))</f>
        <v>2</v>
      </c>
      <c r="E177">
        <f>SUMIFS(Final_Merged_Data!$E:$E,Final_Merged_Data!$B:$B,$A177)</f>
        <v>604.26</v>
      </c>
      <c r="F177">
        <f>SUMIFS(Final_Merged_Data!$F:$F,Final_Merged_Data!$B:$B,$A177)</f>
        <v>557011</v>
      </c>
      <c r="G177">
        <f t="shared" si="4"/>
        <v>921.80683811604274</v>
      </c>
      <c r="H177" cm="1">
        <f t="array" ref="H177">SUMPRODUCT((Final_Merged_Data!$B$2:$B$1000=$A177)*Final_Merged_Data!$H$2:$H$1000*Final_Merged_Data!$F$2:$F$1000)/F177</f>
        <v>3.8861255881840751</v>
      </c>
      <c r="I177" cm="1">
        <f t="array" ref="I177">SUMPRODUCT((Final_Merged_Data!$B$2:$B$1000=$A177)*Final_Merged_Data!$I$2:$I$1000*Final_Merged_Data!$F$2:$F$1000)/F177</f>
        <v>74.269214180689431</v>
      </c>
      <c r="J177" t="str" cm="1">
        <f t="array" ref="J177">_xlfn.TEXTJOIN(", ",TRUE,_xlfn.UNIQUE(_xlfn._xlws.FILTER(Final_Merged_Data!$J$2:$J$1000,Final_Merged_Data!$B$2:$B$1000=$A177)))</f>
        <v>Dhaka Range</v>
      </c>
      <c r="K177" cm="1">
        <f t="array" ref="K177">SUMPRODUCT((Final_Merged_Data!$B$2:$B$1000=$A177)*Final_Merged_Data!$K$2:$K$1000*Final_Merged_Data!$F$2:$F$1000)/F177</f>
        <v>87.055167395391194</v>
      </c>
      <c r="L177" cm="1">
        <f t="array" ref="L177">SUMPRODUCT((Final_Merged_Data!$B$2:$B$1000=$A177)*Final_Merged_Data!$L$2:$L$1000*Final_Merged_Data!$F$2:$F$1000)/F177</f>
        <v>14.083489099923572</v>
      </c>
      <c r="M177" t="str">
        <f>IF(COUNTIF(Master_Data!$C:$C,$A177)&gt;0,"Found","Missing")</f>
        <v>Found</v>
      </c>
      <c r="N177" t="str">
        <f>_xlfn.XLOOKUP($A177,Master_Data!$C:$C,Master_Data!$D:$D,"CHECK",0)</f>
        <v>Afroza Khanam Rita</v>
      </c>
      <c r="O177" t="str">
        <f>_xlfn.XLOOKUP($A177,Master_Data!$C:$C,Master_Data!$E:$E,"CHECK",0)</f>
        <v>BNP</v>
      </c>
      <c r="P177">
        <f>_xlfn.XLOOKUP($A177,Master_Data!$C:$C,Master_Data!$F:$F,"CHECK",0)</f>
        <v>1</v>
      </c>
      <c r="Q177">
        <f>_xlfn.XLOOKUP($A177,Master_Data!$C:$C,Master_Data!$G:$G,"CHECK",0)</f>
        <v>167345</v>
      </c>
      <c r="R177">
        <f>IFERROR(_xlfn.XLOOKUP($A177,Master_Data!$C:$C,Master_Data!$H:$H,"CHECK",0),"")</f>
        <v>72.260100955580413</v>
      </c>
      <c r="S177" t="str">
        <f>_xlfn.XLOOKUP($A177,Master_Data!$C:$C,Master_Data!$I:$I,"CHECK",0)</f>
        <v>Muhammad Said Noor</v>
      </c>
      <c r="T177">
        <f>_xlfn.XLOOKUP($A177,Master_Data!$C:$C,Master_Data!$K:$K,"CHECK",0)</f>
        <v>64242</v>
      </c>
      <c r="U177">
        <f>IFERROR(_xlfn.XLOOKUP($A177,Master_Data!$C:$C,Master_Data!$L:$L,"CHECK",0),"")</f>
        <v>27.739899044419591</v>
      </c>
      <c r="V177">
        <f>_xlfn.XLOOKUP($A177,Master_Data!$C:$C,Master_Data!$M:$M,"CHECK",0)</f>
        <v>103103</v>
      </c>
      <c r="W177">
        <f>IFERROR(_xlfn.XLOOKUP($A177,Master_Data!$C:$C,Master_Data!$N:$N,"CHECK",0),"")</f>
        <v>44.520201911160818</v>
      </c>
      <c r="X177" t="str">
        <f>IFERROR(_xlfn.XLOOKUP($A177,Master_Data!$C:$C,Master_Data!$O:$O,"CHECK",0),"No Result")</f>
        <v>Safe Seat</v>
      </c>
      <c r="Y177">
        <f>_xlfn.XLOOKUP($A177,Master_Data!$C:$C,Master_Data!$P:$P,"CHECK",0)</f>
        <v>0</v>
      </c>
      <c r="Z177">
        <f t="shared" si="5"/>
        <v>1</v>
      </c>
    </row>
    <row r="178" spans="1:26">
      <c r="A178" t="str">
        <v>Meherpur-1</v>
      </c>
      <c r="B178" t="str" cm="1">
        <f t="array" ref="B1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Nawabganj","Chapainawabganj"),Final_Merged_Data!$B$2:$B$1000=$A178)))</f>
        <v>Meherpur</v>
      </c>
      <c r="C178" t="str" cm="1">
        <f t="array" ref="C178">_xlfn.TEXTJOIN(", ",TRUE,_xlfn._xlws.FILTER(Final_Merged_Data!$C$2:$C$1000,Final_Merged_Data!$B$2:$B$1000=$A178))</f>
        <v>Meherpur Sadar, Gangni</v>
      </c>
      <c r="D178" cm="1">
        <f t="array" ref="D178">COUNTA(_xlfn._xlws.FILTER(Final_Merged_Data!$C$2:$C$1000,Final_Merged_Data!$B$2:$B$1000=$A178))</f>
        <v>2</v>
      </c>
      <c r="E178">
        <f>SUMIFS(Final_Merged_Data!$E:$E,Final_Merged_Data!$B:$B,$A178)</f>
        <v>498.18999999999994</v>
      </c>
      <c r="F178">
        <f>SUMIFS(Final_Merged_Data!$F:$F,Final_Merged_Data!$B:$B,$A178)</f>
        <v>599584</v>
      </c>
      <c r="G178">
        <f t="shared" si="4"/>
        <v>1203.5247596298602</v>
      </c>
      <c r="H178" cm="1">
        <f t="array" ref="H178">SUMPRODUCT((Final_Merged_Data!$B$2:$B$1000=$A178)*Final_Merged_Data!$H$2:$H$1000*Final_Merged_Data!$F$2:$F$1000)/F178</f>
        <v>3.5615982414474034</v>
      </c>
      <c r="I178" cm="1">
        <f t="array" ref="I178">SUMPRODUCT((Final_Merged_Data!$B$2:$B$1000=$A178)*Final_Merged_Data!$I$2:$I$1000*Final_Merged_Data!$F$2:$F$1000)/F178</f>
        <v>67.847558674013982</v>
      </c>
      <c r="J178" t="str" cm="1">
        <f t="array" ref="J178">_xlfn.TEXTJOIN(", ",TRUE,_xlfn.UNIQUE(_xlfn._xlws.FILTER(Final_Merged_Data!$J$2:$J$1000,Final_Merged_Data!$B$2:$B$1000=$A178)))</f>
        <v>Khulna Range</v>
      </c>
      <c r="K178" cm="1">
        <f t="array" ref="K178">SUMPRODUCT((Final_Merged_Data!$B$2:$B$1000=$A178)*Final_Merged_Data!$K$2:$K$1000*Final_Merged_Data!$F$2:$F$1000)/F178</f>
        <v>102.32166075410298</v>
      </c>
      <c r="L178" cm="1">
        <f t="array" ref="L178">SUMPRODUCT((Final_Merged_Data!$B$2:$B$1000=$A178)*Final_Merged_Data!$L$2:$L$1000*Final_Merged_Data!$F$2:$F$1000)/F178</f>
        <v>12.212237548443921</v>
      </c>
      <c r="M178" t="str">
        <f>IF(COUNTIF(Master_Data!$C:$C,$A178)&gt;0,"Found","Missing")</f>
        <v>Found</v>
      </c>
      <c r="N178" t="str">
        <f>_xlfn.XLOOKUP($A178,Master_Data!$C:$C,Master_Data!$D:$D,"CHECK",0)</f>
        <v>Md. Tajuddin Khan</v>
      </c>
      <c r="O178" t="str">
        <f>_xlfn.XLOOKUP($A178,Master_Data!$C:$C,Master_Data!$E:$E,"CHECK",0)</f>
        <v>Jamaat</v>
      </c>
      <c r="P178">
        <f>_xlfn.XLOOKUP($A178,Master_Data!$C:$C,Master_Data!$F:$F,"CHECK",0)</f>
        <v>2</v>
      </c>
      <c r="Q178">
        <f>_xlfn.XLOOKUP($A178,Master_Data!$C:$C,Master_Data!$G:$G,"CHECK",0)</f>
        <v>123271</v>
      </c>
      <c r="R178">
        <f>IFERROR(_xlfn.XLOOKUP($A178,Master_Data!$C:$C,Master_Data!$H:$H,"CHECK",0),"")</f>
        <v>53.897915282101508</v>
      </c>
      <c r="S178" t="str">
        <f>_xlfn.XLOOKUP($A178,Master_Data!$C:$C,Master_Data!$I:$I,"CHECK",0)</f>
        <v>Masood Arun</v>
      </c>
      <c r="T178">
        <f>_xlfn.XLOOKUP($A178,Master_Data!$C:$C,Master_Data!$K:$K,"CHECK",0)</f>
        <v>105441</v>
      </c>
      <c r="U178">
        <f>IFERROR(_xlfn.XLOOKUP($A178,Master_Data!$C:$C,Master_Data!$L:$L,"CHECK",0),"")</f>
        <v>46.102084717898492</v>
      </c>
      <c r="V178">
        <f>_xlfn.XLOOKUP($A178,Master_Data!$C:$C,Master_Data!$M:$M,"CHECK",0)</f>
        <v>17830</v>
      </c>
      <c r="W178">
        <f>IFERROR(_xlfn.XLOOKUP($A178,Master_Data!$C:$C,Master_Data!$N:$N,"CHECK",0),"")</f>
        <v>7.7958305642030155</v>
      </c>
      <c r="X178" t="str">
        <f>IFERROR(_xlfn.XLOOKUP($A178,Master_Data!$C:$C,Master_Data!$O:$O,"CHECK",0),"No Result")</f>
        <v>Safe Seat</v>
      </c>
      <c r="Y178">
        <f>_xlfn.XLOOKUP($A178,Master_Data!$C:$C,Master_Data!$P:$P,"CHECK",0)</f>
        <v>0</v>
      </c>
      <c r="Z178">
        <f t="shared" si="5"/>
        <v>1</v>
      </c>
    </row>
    <row r="179" spans="1:26">
      <c r="A179" t="str">
        <v>Meherpur-2</v>
      </c>
      <c r="B179" t="str" cm="1">
        <f t="array" ref="B1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Nawabganj","Chapainawabganj"),Final_Merged_Data!$B$2:$B$1000=$A179)))</f>
        <v>Meherpur</v>
      </c>
      <c r="C179" t="str" cm="1">
        <f t="array" ref="C179">_xlfn.TEXTJOIN(", ",TRUE,_xlfn._xlws.FILTER(Final_Merged_Data!$C$2:$C$1000,Final_Merged_Data!$B$2:$B$1000=$A179))</f>
        <v>Mujibnagar</v>
      </c>
      <c r="D179" cm="1">
        <f t="array" ref="D179">COUNTA(_xlfn._xlws.FILTER(Final_Merged_Data!$C$2:$C$1000,Final_Merged_Data!$B$2:$B$1000=$A179))</f>
        <v>1</v>
      </c>
      <c r="E179">
        <f>SUMIFS(Final_Merged_Data!$E:$E,Final_Merged_Data!$B:$B,$A179)</f>
        <v>347.67</v>
      </c>
      <c r="F179">
        <f>SUMIFS(Final_Merged_Data!$F:$F,Final_Merged_Data!$B:$B,$A179)</f>
        <v>105746</v>
      </c>
      <c r="G179">
        <f t="shared" si="4"/>
        <v>304.1562401127506</v>
      </c>
      <c r="H179" cm="1">
        <f t="array" ref="H179">SUMPRODUCT((Final_Merged_Data!$B$2:$B$1000=$A179)*Final_Merged_Data!$H$2:$H$1000*Final_Merged_Data!$F$2:$F$1000)/F179</f>
        <v>3.7800000000000002</v>
      </c>
      <c r="I179" cm="1">
        <f t="array" ref="I179">SUMPRODUCT((Final_Merged_Data!$B$2:$B$1000=$A179)*Final_Merged_Data!$I$2:$I$1000*Final_Merged_Data!$F$2:$F$1000)/F179</f>
        <v>69.75</v>
      </c>
      <c r="J179" t="str" cm="1">
        <f t="array" ref="J179">_xlfn.TEXTJOIN(", ",TRUE,_xlfn.UNIQUE(_xlfn._xlws.FILTER(Final_Merged_Data!$J$2:$J$1000,Final_Merged_Data!$B$2:$B$1000=$A179)))</f>
        <v>Khulna Range</v>
      </c>
      <c r="K179" cm="1">
        <f t="array" ref="K179">SUMPRODUCT((Final_Merged_Data!$B$2:$B$1000=$A179)*Final_Merged_Data!$K$2:$K$1000*Final_Merged_Data!$F$2:$F$1000)/F179</f>
        <v>102.32166075410299</v>
      </c>
      <c r="L179" cm="1">
        <f t="array" ref="L179">SUMPRODUCT((Final_Merged_Data!$B$2:$B$1000=$A179)*Final_Merged_Data!$L$2:$L$1000*Final_Merged_Data!$F$2:$F$1000)/F179</f>
        <v>12.212237548443923</v>
      </c>
      <c r="M179" t="str">
        <f>IF(COUNTIF(Master_Data!$C:$C,$A179)&gt;0,"Found","Missing")</f>
        <v>Found</v>
      </c>
      <c r="N179" t="str">
        <f>_xlfn.XLOOKUP($A179,Master_Data!$C:$C,Master_Data!$D:$D,"CHECK",0)</f>
        <v>Md. Nazmul Huda</v>
      </c>
      <c r="O179" t="str">
        <f>_xlfn.XLOOKUP($A179,Master_Data!$C:$C,Master_Data!$E:$E,"CHECK",0)</f>
        <v>Jamaat</v>
      </c>
      <c r="P179">
        <f>_xlfn.XLOOKUP($A179,Master_Data!$C:$C,Master_Data!$F:$F,"CHECK",0)</f>
        <v>2</v>
      </c>
      <c r="Q179">
        <f>_xlfn.XLOOKUP($A179,Master_Data!$C:$C,Master_Data!$G:$G,"CHECK",0)</f>
        <v>96306</v>
      </c>
      <c r="R179">
        <f>IFERROR(_xlfn.XLOOKUP($A179,Master_Data!$C:$C,Master_Data!$H:$H,"CHECK",0),"")</f>
        <v>52.83004377543967</v>
      </c>
      <c r="S179" t="str">
        <f>_xlfn.XLOOKUP($A179,Master_Data!$C:$C,Master_Data!$I:$I,"CHECK",0)</f>
        <v>Md. Amjad Hossain</v>
      </c>
      <c r="T179">
        <f>_xlfn.XLOOKUP($A179,Master_Data!$C:$C,Master_Data!$K:$K,"CHECK",0)</f>
        <v>85988</v>
      </c>
      <c r="U179">
        <f>IFERROR(_xlfn.XLOOKUP($A179,Master_Data!$C:$C,Master_Data!$L:$L,"CHECK",0),"")</f>
        <v>47.16995622456033</v>
      </c>
      <c r="V179">
        <f>_xlfn.XLOOKUP($A179,Master_Data!$C:$C,Master_Data!$M:$M,"CHECK",0)</f>
        <v>10318</v>
      </c>
      <c r="W179">
        <f>IFERROR(_xlfn.XLOOKUP($A179,Master_Data!$C:$C,Master_Data!$N:$N,"CHECK",0),"")</f>
        <v>5.6600875508793491</v>
      </c>
      <c r="X179" t="str">
        <f>IFERROR(_xlfn.XLOOKUP($A179,Master_Data!$C:$C,Master_Data!$O:$O,"CHECK",0),"No Result")</f>
        <v>Safe Seat</v>
      </c>
      <c r="Y179">
        <f>_xlfn.XLOOKUP($A179,Master_Data!$C:$C,Master_Data!$P:$P,"CHECK",0)</f>
        <v>0</v>
      </c>
      <c r="Z179">
        <f t="shared" si="5"/>
        <v>1</v>
      </c>
    </row>
    <row r="180" spans="1:26">
      <c r="A180" t="str">
        <v>Moulvibazar-1</v>
      </c>
      <c r="B180" t="str" cm="1">
        <f t="array" ref="B1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Nawabganj","Chapainawabganj"),Final_Merged_Data!$B$2:$B$1000=$A180)))</f>
        <v>Moulvibazar</v>
      </c>
      <c r="C180" t="str" cm="1">
        <f t="array" ref="C180">_xlfn.TEXTJOIN(", ",TRUE,_xlfn._xlws.FILTER(Final_Merged_Data!$C$2:$C$1000,Final_Merged_Data!$B$2:$B$1000=$A180))</f>
        <v>Baralekha, Juri</v>
      </c>
      <c r="D180" cm="1">
        <f t="array" ref="D180">COUNTA(_xlfn._xlws.FILTER(Final_Merged_Data!$C$2:$C$1000,Final_Merged_Data!$B$2:$B$1000=$A180))</f>
        <v>2</v>
      </c>
      <c r="E180">
        <f>SUMIFS(Final_Merged_Data!$E:$E,Final_Merged_Data!$B:$B,$A180)</f>
        <v>466.79999999999995</v>
      </c>
      <c r="F180">
        <f>SUMIFS(Final_Merged_Data!$F:$F,Final_Merged_Data!$B:$B,$A180)</f>
        <v>445009</v>
      </c>
      <c r="G180">
        <f t="shared" si="4"/>
        <v>953.31833761782354</v>
      </c>
      <c r="H180" cm="1">
        <f t="array" ref="H180">SUMPRODUCT((Final_Merged_Data!$B$2:$B$1000=$A180)*Final_Merged_Data!$H$2:$H$1000*Final_Merged_Data!$F$2:$F$1000)/F180</f>
        <v>5.0232878436166457</v>
      </c>
      <c r="I180" cm="1">
        <f t="array" ref="I180">SUMPRODUCT((Final_Merged_Data!$B$2:$B$1000=$A180)*Final_Merged_Data!$I$2:$I$1000*Final_Merged_Data!$F$2:$F$1000)/F180</f>
        <v>77.660870297005232</v>
      </c>
      <c r="J180" t="str" cm="1">
        <f t="array" ref="J180">_xlfn.TEXTJOIN(", ",TRUE,_xlfn.UNIQUE(_xlfn._xlws.FILTER(Final_Merged_Data!$J$2:$J$1000,Final_Merged_Data!$B$2:$B$1000=$A180)))</f>
        <v>Sylhet Range</v>
      </c>
      <c r="K180" cm="1">
        <f t="array" ref="K180">SUMPRODUCT((Final_Merged_Data!$B$2:$B$1000=$A180)*Final_Merged_Data!$K$2:$K$1000*Final_Merged_Data!$F$2:$F$1000)/F180</f>
        <v>74.251724391082064</v>
      </c>
      <c r="L180" cm="1">
        <f t="array" ref="L180">SUMPRODUCT((Final_Merged_Data!$B$2:$B$1000=$A180)*Final_Merged_Data!$L$2:$L$1000*Final_Merged_Data!$F$2:$F$1000)/F180</f>
        <v>9.6171122896887518</v>
      </c>
      <c r="M180" t="str">
        <f>IF(COUNTIF(Master_Data!$C:$C,$A180)&gt;0,"Found","Missing")</f>
        <v>Found</v>
      </c>
      <c r="N180" t="str">
        <f>_xlfn.XLOOKUP($A180,Master_Data!$C:$C,Master_Data!$D:$D,"CHECK",0)</f>
        <v>Nasir Uddin Ahmed</v>
      </c>
      <c r="O180" t="str">
        <f>_xlfn.XLOOKUP($A180,Master_Data!$C:$C,Master_Data!$E:$E,"CHECK",0)</f>
        <v>BNP</v>
      </c>
      <c r="P180">
        <f>_xlfn.XLOOKUP($A180,Master_Data!$C:$C,Master_Data!$F:$F,"CHECK",0)</f>
        <v>1</v>
      </c>
      <c r="Q180">
        <f>_xlfn.XLOOKUP($A180,Master_Data!$C:$C,Master_Data!$G:$G,"CHECK",0)</f>
        <v>98282</v>
      </c>
      <c r="R180">
        <f>IFERROR(_xlfn.XLOOKUP($A180,Master_Data!$C:$C,Master_Data!$H:$H,"CHECK",0),"")</f>
        <v>54.211092418434049</v>
      </c>
      <c r="S180" t="str">
        <f>_xlfn.XLOOKUP($A180,Master_Data!$C:$C,Master_Data!$I:$I,"CHECK",0)</f>
        <v>Mohammad Aminul Islam</v>
      </c>
      <c r="T180">
        <f>_xlfn.XLOOKUP($A180,Master_Data!$C:$C,Master_Data!$K:$K,"CHECK",0)</f>
        <v>83013</v>
      </c>
      <c r="U180">
        <f>IFERROR(_xlfn.XLOOKUP($A180,Master_Data!$C:$C,Master_Data!$L:$L,"CHECK",0),"")</f>
        <v>45.788907581565958</v>
      </c>
      <c r="V180">
        <f>_xlfn.XLOOKUP($A180,Master_Data!$C:$C,Master_Data!$M:$M,"CHECK",0)</f>
        <v>15269</v>
      </c>
      <c r="W180">
        <f>IFERROR(_xlfn.XLOOKUP($A180,Master_Data!$C:$C,Master_Data!$N:$N,"CHECK",0),"")</f>
        <v>8.4221848368680874</v>
      </c>
      <c r="X180" t="str">
        <f>IFERROR(_xlfn.XLOOKUP($A180,Master_Data!$C:$C,Master_Data!$O:$O,"CHECK",0),"No Result")</f>
        <v>Safe Seat</v>
      </c>
      <c r="Y180">
        <f>_xlfn.XLOOKUP($A180,Master_Data!$C:$C,Master_Data!$P:$P,"CHECK",0)</f>
        <v>0</v>
      </c>
      <c r="Z180">
        <f t="shared" si="5"/>
        <v>1</v>
      </c>
    </row>
    <row r="181" spans="1:26">
      <c r="A181" t="str">
        <v>Moulvibazar-2</v>
      </c>
      <c r="B181" t="str" cm="1">
        <f t="array" ref="B1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Nawabganj","Chapainawabganj"),Final_Merged_Data!$B$2:$B$1000=$A181)))</f>
        <v>Moulvibazar</v>
      </c>
      <c r="C181" t="str" cm="1">
        <f t="array" ref="C181">_xlfn.TEXTJOIN(", ",TRUE,_xlfn._xlws.FILTER(Final_Merged_Data!$C$2:$C$1000,Final_Merged_Data!$B$2:$B$1000=$A181))</f>
        <v>Kulaura</v>
      </c>
      <c r="D181" cm="1">
        <f t="array" ref="D181">COUNTA(_xlfn._xlws.FILTER(Final_Merged_Data!$C$2:$C$1000,Final_Merged_Data!$B$2:$B$1000=$A181))</f>
        <v>1</v>
      </c>
      <c r="E181">
        <f>SUMIFS(Final_Merged_Data!$E:$E,Final_Merged_Data!$B:$B,$A181)</f>
        <v>679.54</v>
      </c>
      <c r="F181">
        <f>SUMIFS(Final_Merged_Data!$F:$F,Final_Merged_Data!$B:$B,$A181)</f>
        <v>397736</v>
      </c>
      <c r="G181">
        <f t="shared" si="4"/>
        <v>585.30182182064345</v>
      </c>
      <c r="H181" cm="1">
        <f t="array" ref="H181">SUMPRODUCT((Final_Merged_Data!$B$2:$B$1000=$A181)*Final_Merged_Data!$H$2:$H$1000*Final_Merged_Data!$F$2:$F$1000)/F181</f>
        <v>4.7699999999999996</v>
      </c>
      <c r="I181" cm="1">
        <f t="array" ref="I181">SUMPRODUCT((Final_Merged_Data!$B$2:$B$1000=$A181)*Final_Merged_Data!$I$2:$I$1000*Final_Merged_Data!$F$2:$F$1000)/F181</f>
        <v>75.53</v>
      </c>
      <c r="J181" t="str" cm="1">
        <f t="array" ref="J181">_xlfn.TEXTJOIN(", ",TRUE,_xlfn.UNIQUE(_xlfn._xlws.FILTER(Final_Merged_Data!$J$2:$J$1000,Final_Merged_Data!$B$2:$B$1000=$A181)))</f>
        <v>Sylhet Range</v>
      </c>
      <c r="K181" cm="1">
        <f t="array" ref="K181">SUMPRODUCT((Final_Merged_Data!$B$2:$B$1000=$A181)*Final_Merged_Data!$K$2:$K$1000*Final_Merged_Data!$F$2:$F$1000)/F181</f>
        <v>74.251724391082064</v>
      </c>
      <c r="L181" cm="1">
        <f t="array" ref="L181">SUMPRODUCT((Final_Merged_Data!$B$2:$B$1000=$A181)*Final_Merged_Data!$L$2:$L$1000*Final_Merged_Data!$F$2:$F$1000)/F181</f>
        <v>9.6171122896887518</v>
      </c>
      <c r="M181" t="str">
        <f>IF(COUNTIF(Master_Data!$C:$C,$A181)&gt;0,"Found","Missing")</f>
        <v>Found</v>
      </c>
      <c r="N181" t="str">
        <f>_xlfn.XLOOKUP($A181,Master_Data!$C:$C,Master_Data!$D:$D,"CHECK",0)</f>
        <v>Shawkat Hossain Saku</v>
      </c>
      <c r="O181" t="str">
        <f>_xlfn.XLOOKUP($A181,Master_Data!$C:$C,Master_Data!$E:$E,"CHECK",0)</f>
        <v>BNP</v>
      </c>
      <c r="P181">
        <f>_xlfn.XLOOKUP($A181,Master_Data!$C:$C,Master_Data!$F:$F,"CHECK",0)</f>
        <v>1</v>
      </c>
      <c r="Q181">
        <f>_xlfn.XLOOKUP($A181,Master_Data!$C:$C,Master_Data!$G:$G,"CHECK",0)</f>
        <v>88381</v>
      </c>
      <c r="R181">
        <f>IFERROR(_xlfn.XLOOKUP($A181,Master_Data!$C:$C,Master_Data!$H:$H,"CHECK",0),"")</f>
        <v>62.310788993154212</v>
      </c>
      <c r="S181" t="str">
        <f>_xlfn.XLOOKUP($A181,Master_Data!$C:$C,Master_Data!$I:$I,"CHECK",0)</f>
        <v>Md. Syed Ali</v>
      </c>
      <c r="T181">
        <f>_xlfn.XLOOKUP($A181,Master_Data!$C:$C,Master_Data!$K:$K,"CHECK",0)</f>
        <v>53458</v>
      </c>
      <c r="U181">
        <f>IFERROR(_xlfn.XLOOKUP($A181,Master_Data!$C:$C,Master_Data!$L:$L,"CHECK",0),"")</f>
        <v>37.689211006845788</v>
      </c>
      <c r="V181">
        <f>_xlfn.XLOOKUP($A181,Master_Data!$C:$C,Master_Data!$M:$M,"CHECK",0)</f>
        <v>34923</v>
      </c>
      <c r="W181">
        <f>IFERROR(_xlfn.XLOOKUP($A181,Master_Data!$C:$C,Master_Data!$N:$N,"CHECK",0),"")</f>
        <v>24.62157798630842</v>
      </c>
      <c r="X181" t="str">
        <f>IFERROR(_xlfn.XLOOKUP($A181,Master_Data!$C:$C,Master_Data!$O:$O,"CHECK",0),"No Result")</f>
        <v>Safe Seat</v>
      </c>
      <c r="Y181">
        <f>_xlfn.XLOOKUP($A181,Master_Data!$C:$C,Master_Data!$P:$P,"CHECK",0)</f>
        <v>0</v>
      </c>
      <c r="Z181">
        <f t="shared" si="5"/>
        <v>1</v>
      </c>
    </row>
    <row r="182" spans="1:26">
      <c r="A182" t="str">
        <v>Moulvibazar-3</v>
      </c>
      <c r="B182" t="str" cm="1">
        <f t="array" ref="B1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Nawabganj","Chapainawabganj"),Final_Merged_Data!$B$2:$B$1000=$A182)))</f>
        <v>Moulvibazar</v>
      </c>
      <c r="C182" t="str" cm="1">
        <f t="array" ref="C182">_xlfn.TEXTJOIN(", ",TRUE,_xlfn._xlws.FILTER(Final_Merged_Data!$C$2:$C$1000,Final_Merged_Data!$B$2:$B$1000=$A182))</f>
        <v>Moulvibazar Sadar, Rajnagar</v>
      </c>
      <c r="D182" cm="1">
        <f t="array" ref="D182">COUNTA(_xlfn._xlws.FILTER(Final_Merged_Data!$C$2:$C$1000,Final_Merged_Data!$B$2:$B$1000=$A182))</f>
        <v>2</v>
      </c>
      <c r="E182">
        <f>SUMIFS(Final_Merged_Data!$E:$E,Final_Merged_Data!$B:$B,$A182)</f>
        <v>603.72</v>
      </c>
      <c r="F182">
        <f>SUMIFS(Final_Merged_Data!$F:$F,Final_Merged_Data!$B:$B,$A182)</f>
        <v>628727</v>
      </c>
      <c r="G182">
        <f t="shared" si="4"/>
        <v>1041.4215199098919</v>
      </c>
      <c r="H182" cm="1">
        <f t="array" ref="H182">SUMPRODUCT((Final_Merged_Data!$B$2:$B$1000=$A182)*Final_Merged_Data!$H$2:$H$1000*Final_Merged_Data!$F$2:$F$1000)/F182</f>
        <v>4.7800000000000011</v>
      </c>
      <c r="I182" cm="1">
        <f t="array" ref="I182">SUMPRODUCT((Final_Merged_Data!$B$2:$B$1000=$A182)*Final_Merged_Data!$I$2:$I$1000*Final_Merged_Data!$F$2:$F$1000)/F182</f>
        <v>76.646478964638078</v>
      </c>
      <c r="J182" t="str" cm="1">
        <f t="array" ref="J182">_xlfn.TEXTJOIN(", ",TRUE,_xlfn.UNIQUE(_xlfn._xlws.FILTER(Final_Merged_Data!$J$2:$J$1000,Final_Merged_Data!$B$2:$B$1000=$A182)))</f>
        <v>Sylhet Range</v>
      </c>
      <c r="K182" cm="1">
        <f t="array" ref="K182">SUMPRODUCT((Final_Merged_Data!$B$2:$B$1000=$A182)*Final_Merged_Data!$K$2:$K$1000*Final_Merged_Data!$F$2:$F$1000)/F182</f>
        <v>74.251724391082064</v>
      </c>
      <c r="L182" cm="1">
        <f t="array" ref="L182">SUMPRODUCT((Final_Merged_Data!$B$2:$B$1000=$A182)*Final_Merged_Data!$L$2:$L$1000*Final_Merged_Data!$F$2:$F$1000)/F182</f>
        <v>9.6171122896887518</v>
      </c>
      <c r="M182" t="str">
        <f>IF(COUNTIF(Master_Data!$C:$C,$A182)&gt;0,"Found","Missing")</f>
        <v>Found</v>
      </c>
      <c r="N182" t="str">
        <f>_xlfn.XLOOKUP($A182,Master_Data!$C:$C,Master_Data!$D:$D,"CHECK",0)</f>
        <v>Nasser Rahman</v>
      </c>
      <c r="O182" t="str">
        <f>_xlfn.XLOOKUP($A182,Master_Data!$C:$C,Master_Data!$E:$E,"CHECK",0)</f>
        <v>BNP</v>
      </c>
      <c r="P182">
        <f>_xlfn.XLOOKUP($A182,Master_Data!$C:$C,Master_Data!$F:$F,"CHECK",0)</f>
        <v>1</v>
      </c>
      <c r="Q182">
        <f>_xlfn.XLOOKUP($A182,Master_Data!$C:$C,Master_Data!$G:$G,"CHECK",0)</f>
        <v>156757</v>
      </c>
      <c r="R182">
        <f>IFERROR(_xlfn.XLOOKUP($A182,Master_Data!$C:$C,Master_Data!$H:$H,"CHECK",0),"")</f>
        <v>66.87785044775228</v>
      </c>
      <c r="S182" t="str">
        <f>_xlfn.XLOOKUP($A182,Master_Data!$C:$C,Master_Data!$I:$I,"CHECK",0)</f>
        <v>Md. Abdul Mannan</v>
      </c>
      <c r="T182">
        <f>_xlfn.XLOOKUP($A182,Master_Data!$C:$C,Master_Data!$K:$K,"CHECK",0)</f>
        <v>77636</v>
      </c>
      <c r="U182">
        <f>IFERROR(_xlfn.XLOOKUP($A182,Master_Data!$C:$C,Master_Data!$L:$L,"CHECK",0),"")</f>
        <v>33.12214955224772</v>
      </c>
      <c r="V182">
        <f>_xlfn.XLOOKUP($A182,Master_Data!$C:$C,Master_Data!$M:$M,"CHECK",0)</f>
        <v>79121</v>
      </c>
      <c r="W182">
        <f>IFERROR(_xlfn.XLOOKUP($A182,Master_Data!$C:$C,Master_Data!$N:$N,"CHECK",0),"")</f>
        <v>33.75570089550456</v>
      </c>
      <c r="X182" t="str">
        <f>IFERROR(_xlfn.XLOOKUP($A182,Master_Data!$C:$C,Master_Data!$O:$O,"CHECK",0),"No Result")</f>
        <v>Safe Seat</v>
      </c>
      <c r="Y182">
        <f>_xlfn.XLOOKUP($A182,Master_Data!$C:$C,Master_Data!$P:$P,"CHECK",0)</f>
        <v>0</v>
      </c>
      <c r="Z182">
        <f t="shared" si="5"/>
        <v>1</v>
      </c>
    </row>
    <row r="183" spans="1:26">
      <c r="A183" t="str">
        <v>Moulvibazar-4</v>
      </c>
      <c r="B183" t="str" cm="1">
        <f t="array" ref="B1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Nawabganj","Chapainawabganj"),Final_Merged_Data!$B$2:$B$1000=$A183)))</f>
        <v>Moulvibazar</v>
      </c>
      <c r="C183" t="str" cm="1">
        <f t="array" ref="C183">_xlfn.TEXTJOIN(", ",TRUE,_xlfn._xlws.FILTER(Final_Merged_Data!$C$2:$C$1000,Final_Merged_Data!$B$2:$B$1000=$A183))</f>
        <v>Sreemangal, Kamalganj</v>
      </c>
      <c r="D183" cm="1">
        <f t="array" ref="D183">COUNTA(_xlfn._xlws.FILTER(Final_Merged_Data!$C$2:$C$1000,Final_Merged_Data!$B$2:$B$1000=$A183))</f>
        <v>2</v>
      </c>
      <c r="E183">
        <f>SUMIFS(Final_Merged_Data!$E:$E,Final_Merged_Data!$B:$B,$A183)</f>
        <v>910.42</v>
      </c>
      <c r="F183">
        <f>SUMIFS(Final_Merged_Data!$F:$F,Final_Merged_Data!$B:$B,$A183)</f>
        <v>651877</v>
      </c>
      <c r="G183">
        <f t="shared" si="4"/>
        <v>716.01788185672547</v>
      </c>
      <c r="H183" cm="1">
        <f t="array" ref="H183">SUMPRODUCT((Final_Merged_Data!$B$2:$B$1000=$A183)*Final_Merged_Data!$H$2:$H$1000*Final_Merged_Data!$F$2:$F$1000)/F183</f>
        <v>4.4711508306014789</v>
      </c>
      <c r="I183" cm="1">
        <f t="array" ref="I183">SUMPRODUCT((Final_Merged_Data!$B$2:$B$1000=$A183)*Final_Merged_Data!$I$2:$I$1000*Final_Merged_Data!$F$2:$F$1000)/F183</f>
        <v>74.041967917260465</v>
      </c>
      <c r="J183" t="str" cm="1">
        <f t="array" ref="J183">_xlfn.TEXTJOIN(", ",TRUE,_xlfn.UNIQUE(_xlfn._xlws.FILTER(Final_Merged_Data!$J$2:$J$1000,Final_Merged_Data!$B$2:$B$1000=$A183)))</f>
        <v>Sylhet Range</v>
      </c>
      <c r="K183" cm="1">
        <f t="array" ref="K183">SUMPRODUCT((Final_Merged_Data!$B$2:$B$1000=$A183)*Final_Merged_Data!$K$2:$K$1000*Final_Merged_Data!$F$2:$F$1000)/F183</f>
        <v>74.251724391082064</v>
      </c>
      <c r="L183" cm="1">
        <f t="array" ref="L183">SUMPRODUCT((Final_Merged_Data!$B$2:$B$1000=$A183)*Final_Merged_Data!$L$2:$L$1000*Final_Merged_Data!$F$2:$F$1000)/F183</f>
        <v>9.6171122896887518</v>
      </c>
      <c r="M183" t="str">
        <f>IF(COUNTIF(Master_Data!$C:$C,$A183)&gt;0,"Found","Missing")</f>
        <v>Found</v>
      </c>
      <c r="N183" t="str">
        <f>_xlfn.XLOOKUP($A183,Master_Data!$C:$C,Master_Data!$D:$D,"CHECK",0)</f>
        <v>Md. Mujibur Rahman Chowdhury</v>
      </c>
      <c r="O183" t="str">
        <f>_xlfn.XLOOKUP($A183,Master_Data!$C:$C,Master_Data!$E:$E,"CHECK",0)</f>
        <v>BNP</v>
      </c>
      <c r="P183">
        <f>_xlfn.XLOOKUP($A183,Master_Data!$C:$C,Master_Data!$F:$F,"CHECK",0)</f>
        <v>1</v>
      </c>
      <c r="Q183">
        <f>_xlfn.XLOOKUP($A183,Master_Data!$C:$C,Master_Data!$G:$G,"CHECK",0)</f>
        <v>170877</v>
      </c>
      <c r="R183">
        <f>IFERROR(_xlfn.XLOOKUP($A183,Master_Data!$C:$C,Master_Data!$H:$H,"CHECK",0),"")</f>
        <v>77.291580913782738</v>
      </c>
      <c r="S183" t="str">
        <f>_xlfn.XLOOKUP($A183,Master_Data!$C:$C,Master_Data!$I:$I,"CHECK",0)</f>
        <v>Sheikh Noor-e-Alam Hamidi</v>
      </c>
      <c r="T183">
        <f>_xlfn.XLOOKUP($A183,Master_Data!$C:$C,Master_Data!$K:$K,"CHECK",0)</f>
        <v>50204</v>
      </c>
      <c r="U183">
        <f>IFERROR(_xlfn.XLOOKUP($A183,Master_Data!$C:$C,Master_Data!$L:$L,"CHECK",0),"")</f>
        <v>22.708419086217269</v>
      </c>
      <c r="V183">
        <f>_xlfn.XLOOKUP($A183,Master_Data!$C:$C,Master_Data!$M:$M,"CHECK",0)</f>
        <v>120673</v>
      </c>
      <c r="W183">
        <f>IFERROR(_xlfn.XLOOKUP($A183,Master_Data!$C:$C,Master_Data!$N:$N,"CHECK",0),"")</f>
        <v>54.583161827565462</v>
      </c>
      <c r="X183" t="str">
        <f>IFERROR(_xlfn.XLOOKUP($A183,Master_Data!$C:$C,Master_Data!$O:$O,"CHECK",0),"No Result")</f>
        <v>Safe Seat</v>
      </c>
      <c r="Y183">
        <f>_xlfn.XLOOKUP($A183,Master_Data!$C:$C,Master_Data!$P:$P,"CHECK",0)</f>
        <v>0</v>
      </c>
      <c r="Z183">
        <f t="shared" si="5"/>
        <v>1</v>
      </c>
    </row>
    <row r="184" spans="1:26">
      <c r="A184" t="str">
        <v>Munshiganj-1</v>
      </c>
      <c r="B184" t="str" cm="1">
        <f t="array" ref="B1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Nawabganj","Chapainawabganj"),Final_Merged_Data!$B$2:$B$1000=$A184)))</f>
        <v>Munshiganj</v>
      </c>
      <c r="C184" t="str" cm="1">
        <f t="array" ref="C184">_xlfn.TEXTJOIN(", ",TRUE,_xlfn._xlws.FILTER(Final_Merged_Data!$C$2:$C$1000,Final_Merged_Data!$B$2:$B$1000=$A184))</f>
        <v>Sreenagar, Sirajdikhan</v>
      </c>
      <c r="D184" cm="1">
        <f t="array" ref="D184">COUNTA(_xlfn._xlws.FILTER(Final_Merged_Data!$C$2:$C$1000,Final_Merged_Data!$B$2:$B$1000=$A184))</f>
        <v>2</v>
      </c>
      <c r="E184">
        <f>SUMIFS(Final_Merged_Data!$E:$E,Final_Merged_Data!$B:$B,$A184)</f>
        <v>517.69000000000005</v>
      </c>
      <c r="F184">
        <f>SUMIFS(Final_Merged_Data!$F:$F,Final_Merged_Data!$B:$B,$A184)</f>
        <v>610336</v>
      </c>
      <c r="G184">
        <f t="shared" si="4"/>
        <v>1178.9603816956092</v>
      </c>
      <c r="H184" cm="1">
        <f t="array" ref="H184">SUMPRODUCT((Final_Merged_Data!$B$2:$B$1000=$A184)*Final_Merged_Data!$H$2:$H$1000*Final_Merged_Data!$F$2:$F$1000)/F184</f>
        <v>3.9651846032349396</v>
      </c>
      <c r="I184" cm="1">
        <f t="array" ref="I184">SUMPRODUCT((Final_Merged_Data!$B$2:$B$1000=$A184)*Final_Merged_Data!$I$2:$I$1000*Final_Merged_Data!$F$2:$F$1000)/F184</f>
        <v>78.627187762150683</v>
      </c>
      <c r="J184" t="str" cm="1">
        <f t="array" ref="J184">_xlfn.TEXTJOIN(", ",TRUE,_xlfn.UNIQUE(_xlfn._xlws.FILTER(Final_Merged_Data!$J$2:$J$1000,Final_Merged_Data!$B$2:$B$1000=$A184)))</f>
        <v>Dhaka Range</v>
      </c>
      <c r="K184" cm="1">
        <f t="array" ref="K184">SUMPRODUCT((Final_Merged_Data!$B$2:$B$1000=$A184)*Final_Merged_Data!$K$2:$K$1000*Final_Merged_Data!$F$2:$F$1000)/F184</f>
        <v>87.05516739539118</v>
      </c>
      <c r="L184" cm="1">
        <f t="array" ref="L184">SUMPRODUCT((Final_Merged_Data!$B$2:$B$1000=$A184)*Final_Merged_Data!$L$2:$L$1000*Final_Merged_Data!$F$2:$F$1000)/F184</f>
        <v>14.083489099923572</v>
      </c>
      <c r="M184" t="str">
        <f>IF(COUNTIF(Master_Data!$C:$C,$A184)&gt;0,"Found","Missing")</f>
        <v>Found</v>
      </c>
      <c r="N184" t="str">
        <f>_xlfn.XLOOKUP($A184,Master_Data!$C:$C,Master_Data!$D:$D,"CHECK",0)</f>
        <v>Md. Abdullah</v>
      </c>
      <c r="O184" t="str">
        <f>_xlfn.XLOOKUP($A184,Master_Data!$C:$C,Master_Data!$E:$E,"CHECK",0)</f>
        <v>BNP</v>
      </c>
      <c r="P184">
        <f>_xlfn.XLOOKUP($A184,Master_Data!$C:$C,Master_Data!$F:$F,"CHECK",0)</f>
        <v>1</v>
      </c>
      <c r="Q184">
        <f>_xlfn.XLOOKUP($A184,Master_Data!$C:$C,Master_Data!$G:$G,"CHECK",0)</f>
        <v>167562</v>
      </c>
      <c r="R184">
        <f>IFERROR(_xlfn.XLOOKUP($A184,Master_Data!$C:$C,Master_Data!$H:$H,"CHECK",0),"")</f>
        <v>62.260617545424147</v>
      </c>
      <c r="S184" t="str">
        <f>_xlfn.XLOOKUP($A184,Master_Data!$C:$C,Master_Data!$I:$I,"CHECK",0)</f>
        <v>AKM Fakhruddin</v>
      </c>
      <c r="T184">
        <f>_xlfn.XLOOKUP($A184,Master_Data!$C:$C,Master_Data!$K:$K,"CHECK",0)</f>
        <v>101568</v>
      </c>
      <c r="U184">
        <f>IFERROR(_xlfn.XLOOKUP($A184,Master_Data!$C:$C,Master_Data!$L:$L,"CHECK",0),"")</f>
        <v>37.739382454575853</v>
      </c>
      <c r="V184">
        <f>_xlfn.XLOOKUP($A184,Master_Data!$C:$C,Master_Data!$M:$M,"CHECK",0)</f>
        <v>65994</v>
      </c>
      <c r="W184">
        <f>IFERROR(_xlfn.XLOOKUP($A184,Master_Data!$C:$C,Master_Data!$N:$N,"CHECK",0),"")</f>
        <v>24.52123509084829</v>
      </c>
      <c r="X184" t="str">
        <f>IFERROR(_xlfn.XLOOKUP($A184,Master_Data!$C:$C,Master_Data!$O:$O,"CHECK",0),"No Result")</f>
        <v>Safe Seat</v>
      </c>
      <c r="Y184">
        <f>_xlfn.XLOOKUP($A184,Master_Data!$C:$C,Master_Data!$P:$P,"CHECK",0)</f>
        <v>0</v>
      </c>
      <c r="Z184">
        <f t="shared" si="5"/>
        <v>1</v>
      </c>
    </row>
    <row r="185" spans="1:26">
      <c r="A185" t="str">
        <v>Munshiganj-2</v>
      </c>
      <c r="B185" t="str" cm="1">
        <f t="array" ref="B1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Nawabganj","Chapainawabganj"),Final_Merged_Data!$B$2:$B$1000=$A185)))</f>
        <v>Munshiganj</v>
      </c>
      <c r="C185" t="str" cm="1">
        <f t="array" ref="C185">_xlfn.TEXTJOIN(", ",TRUE,_xlfn._xlws.FILTER(Final_Merged_Data!$C$2:$C$1000,Final_Merged_Data!$B$2:$B$1000=$A185))</f>
        <v>Louhajang, Tongibari</v>
      </c>
      <c r="D185" cm="1">
        <f t="array" ref="D185">COUNTA(_xlfn._xlws.FILTER(Final_Merged_Data!$C$2:$C$1000,Final_Merged_Data!$B$2:$B$1000=$A185))</f>
        <v>2</v>
      </c>
      <c r="E185">
        <f>SUMIFS(Final_Merged_Data!$E:$E,Final_Merged_Data!$B:$B,$A185)</f>
        <v>430.56</v>
      </c>
      <c r="F185">
        <f>SUMIFS(Final_Merged_Data!$F:$F,Final_Merged_Data!$B:$B,$A185)</f>
        <v>393754</v>
      </c>
      <c r="G185">
        <f t="shared" si="4"/>
        <v>914.51597918989228</v>
      </c>
      <c r="H185" cm="1">
        <f t="array" ref="H185">SUMPRODUCT((Final_Merged_Data!$B$2:$B$1000=$A185)*Final_Merged_Data!$H$2:$H$1000*Final_Merged_Data!$F$2:$F$1000)/F185</f>
        <v>3.9680620387348449</v>
      </c>
      <c r="I185" cm="1">
        <f t="array" ref="I185">SUMPRODUCT((Final_Merged_Data!$B$2:$B$1000=$A185)*Final_Merged_Data!$I$2:$I$1000*Final_Merged_Data!$F$2:$F$1000)/F185</f>
        <v>78.034844903162892</v>
      </c>
      <c r="J185" t="str" cm="1">
        <f t="array" ref="J185">_xlfn.TEXTJOIN(", ",TRUE,_xlfn.UNIQUE(_xlfn._xlws.FILTER(Final_Merged_Data!$J$2:$J$1000,Final_Merged_Data!$B$2:$B$1000=$A185)))</f>
        <v>Dhaka Range</v>
      </c>
      <c r="K185" cm="1">
        <f t="array" ref="K185">SUMPRODUCT((Final_Merged_Data!$B$2:$B$1000=$A185)*Final_Merged_Data!$K$2:$K$1000*Final_Merged_Data!$F$2:$F$1000)/F185</f>
        <v>87.055167395391209</v>
      </c>
      <c r="L185" cm="1">
        <f t="array" ref="L185">SUMPRODUCT((Final_Merged_Data!$B$2:$B$1000=$A185)*Final_Merged_Data!$L$2:$L$1000*Final_Merged_Data!$F$2:$F$1000)/F185</f>
        <v>14.083489099923572</v>
      </c>
      <c r="M185" t="str">
        <f>IF(COUNTIF(Master_Data!$C:$C,$A185)&gt;0,"Found","Missing")</f>
        <v>Found</v>
      </c>
      <c r="N185" t="str">
        <f>_xlfn.XLOOKUP($A185,Master_Data!$C:$C,Master_Data!$D:$D,"CHECK",0)</f>
        <v>Abdus Salam Azad</v>
      </c>
      <c r="O185" t="str">
        <f>_xlfn.XLOOKUP($A185,Master_Data!$C:$C,Master_Data!$E:$E,"CHECK",0)</f>
        <v>BNP</v>
      </c>
      <c r="P185">
        <f>_xlfn.XLOOKUP($A185,Master_Data!$C:$C,Master_Data!$F:$F,"CHECK",0)</f>
        <v>1</v>
      </c>
      <c r="Q185">
        <f>_xlfn.XLOOKUP($A185,Master_Data!$C:$C,Master_Data!$G:$G,"CHECK",0)</f>
        <v>121154</v>
      </c>
      <c r="R185">
        <f>IFERROR(_xlfn.XLOOKUP($A185,Master_Data!$C:$C,Master_Data!$H:$H,"CHECK",0),"")</f>
        <v>67.410016302503237</v>
      </c>
      <c r="S185" t="str">
        <f>_xlfn.XLOOKUP($A185,Master_Data!$C:$C,Master_Data!$I:$I,"CHECK",0)</f>
        <v>Majedul Islam</v>
      </c>
      <c r="T185">
        <f>_xlfn.XLOOKUP($A185,Master_Data!$C:$C,Master_Data!$K:$K,"CHECK",0)</f>
        <v>58573</v>
      </c>
      <c r="U185">
        <f>IFERROR(_xlfn.XLOOKUP($A185,Master_Data!$C:$C,Master_Data!$L:$L,"CHECK",0),"")</f>
        <v>32.589983697496763</v>
      </c>
      <c r="V185">
        <f>_xlfn.XLOOKUP($A185,Master_Data!$C:$C,Master_Data!$M:$M,"CHECK",0)</f>
        <v>62581</v>
      </c>
      <c r="W185">
        <f>IFERROR(_xlfn.XLOOKUP($A185,Master_Data!$C:$C,Master_Data!$N:$N,"CHECK",0),"")</f>
        <v>34.820032605006482</v>
      </c>
      <c r="X185" t="str">
        <f>IFERROR(_xlfn.XLOOKUP($A185,Master_Data!$C:$C,Master_Data!$O:$O,"CHECK",0),"No Result")</f>
        <v>Safe Seat</v>
      </c>
      <c r="Y185">
        <f>_xlfn.XLOOKUP($A185,Master_Data!$C:$C,Master_Data!$P:$P,"CHECK",0)</f>
        <v>0</v>
      </c>
      <c r="Z185">
        <f t="shared" si="5"/>
        <v>1</v>
      </c>
    </row>
    <row r="186" spans="1:26">
      <c r="A186" t="str">
        <v>Munshiganj-3</v>
      </c>
      <c r="B186" t="str" cm="1">
        <f t="array" ref="B1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Nawabganj","Chapainawabganj"),Final_Merged_Data!$B$2:$B$1000=$A186)))</f>
        <v>Munshiganj</v>
      </c>
      <c r="C186" t="str" cm="1">
        <f t="array" ref="C186">_xlfn.TEXTJOIN(", ",TRUE,_xlfn._xlws.FILTER(Final_Merged_Data!$C$2:$C$1000,Final_Merged_Data!$B$2:$B$1000=$A186))</f>
        <v>Munshiganj Sadar, Gazaria</v>
      </c>
      <c r="D186" cm="1">
        <f t="array" ref="D186">COUNTA(_xlfn._xlws.FILTER(Final_Merged_Data!$C$2:$C$1000,Final_Merged_Data!$B$2:$B$1000=$A186))</f>
        <v>2</v>
      </c>
      <c r="E186">
        <f>SUMIFS(Final_Merged_Data!$E:$E,Final_Merged_Data!$B:$B,$A186)</f>
        <v>420.37</v>
      </c>
      <c r="F186">
        <f>SUMIFS(Final_Merged_Data!$F:$F,Final_Merged_Data!$B:$B,$A186)</f>
        <v>621264</v>
      </c>
      <c r="G186">
        <f t="shared" si="4"/>
        <v>1477.8980422009183</v>
      </c>
      <c r="H186" cm="1">
        <f t="array" ref="H186">SUMPRODUCT((Final_Merged_Data!$B$2:$B$1000=$A186)*Final_Merged_Data!$H$2:$H$1000*Final_Merged_Data!$F$2:$F$1000)/F186</f>
        <v>3.9978916209534114</v>
      </c>
      <c r="I186" cm="1">
        <f t="array" ref="I186">SUMPRODUCT((Final_Merged_Data!$B$2:$B$1000=$A186)*Final_Merged_Data!$I$2:$I$1000*Final_Merged_Data!$F$2:$F$1000)/F186</f>
        <v>77.093885095547137</v>
      </c>
      <c r="J186" t="str" cm="1">
        <f t="array" ref="J186">_xlfn.TEXTJOIN(", ",TRUE,_xlfn.UNIQUE(_xlfn._xlws.FILTER(Final_Merged_Data!$J$2:$J$1000,Final_Merged_Data!$B$2:$B$1000=$A186)))</f>
        <v>Dhaka Range</v>
      </c>
      <c r="K186" cm="1">
        <f t="array" ref="K186">SUMPRODUCT((Final_Merged_Data!$B$2:$B$1000=$A186)*Final_Merged_Data!$K$2:$K$1000*Final_Merged_Data!$F$2:$F$1000)/F186</f>
        <v>87.055167395391194</v>
      </c>
      <c r="L186" cm="1">
        <f t="array" ref="L186">SUMPRODUCT((Final_Merged_Data!$B$2:$B$1000=$A186)*Final_Merged_Data!$L$2:$L$1000*Final_Merged_Data!$F$2:$F$1000)/F186</f>
        <v>14.08348909992357</v>
      </c>
      <c r="M186" t="str">
        <f>IF(COUNTIF(Master_Data!$C:$C,$A186)&gt;0,"Found","Missing")</f>
        <v>Found</v>
      </c>
      <c r="N186" t="str">
        <f>_xlfn.XLOOKUP($A186,Master_Data!$C:$C,Master_Data!$D:$D,"CHECK",0)</f>
        <v>Md. Kamruzzaman</v>
      </c>
      <c r="O186" t="str">
        <f>_xlfn.XLOOKUP($A186,Master_Data!$C:$C,Master_Data!$E:$E,"CHECK",0)</f>
        <v>BNP</v>
      </c>
      <c r="P186">
        <f>_xlfn.XLOOKUP($A186,Master_Data!$C:$C,Master_Data!$F:$F,"CHECK",0)</f>
        <v>1</v>
      </c>
      <c r="Q186">
        <f>_xlfn.XLOOKUP($A186,Master_Data!$C:$C,Master_Data!$G:$G,"CHECK",0)</f>
        <v>124691</v>
      </c>
      <c r="R186">
        <f>IFERROR(_xlfn.XLOOKUP($A186,Master_Data!$C:$C,Master_Data!$H:$H,"CHECK",0),"")</f>
        <v>58.368558281490635</v>
      </c>
      <c r="S186" t="str">
        <f>_xlfn.XLOOKUP($A186,Master_Data!$C:$C,Master_Data!$I:$I,"CHECK",0)</f>
        <v>Mohiuddin</v>
      </c>
      <c r="T186">
        <f>_xlfn.XLOOKUP($A186,Master_Data!$C:$C,Master_Data!$K:$K,"CHECK",0)</f>
        <v>88936</v>
      </c>
      <c r="U186">
        <f>IFERROR(_xlfn.XLOOKUP($A186,Master_Data!$C:$C,Master_Data!$L:$L,"CHECK",0),"")</f>
        <v>41.631441718509365</v>
      </c>
      <c r="V186">
        <f>_xlfn.XLOOKUP($A186,Master_Data!$C:$C,Master_Data!$M:$M,"CHECK",0)</f>
        <v>35755</v>
      </c>
      <c r="W186">
        <f>IFERROR(_xlfn.XLOOKUP($A186,Master_Data!$C:$C,Master_Data!$N:$N,"CHECK",0),"")</f>
        <v>16.737116562981271</v>
      </c>
      <c r="X186" t="str">
        <f>IFERROR(_xlfn.XLOOKUP($A186,Master_Data!$C:$C,Master_Data!$O:$O,"CHECK",0),"No Result")</f>
        <v>Safe Seat</v>
      </c>
      <c r="Y186">
        <f>_xlfn.XLOOKUP($A186,Master_Data!$C:$C,Master_Data!$P:$P,"CHECK",0)</f>
        <v>0</v>
      </c>
      <c r="Z186">
        <f t="shared" si="5"/>
        <v>1</v>
      </c>
    </row>
    <row r="187" spans="1:26">
      <c r="A187" t="str">
        <v>Mymensingh-1</v>
      </c>
      <c r="B187" t="str" cm="1">
        <f t="array" ref="B1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Nawabganj","Chapainawabganj"),Final_Merged_Data!$B$2:$B$1000=$A187)))</f>
        <v>Mymensingh</v>
      </c>
      <c r="C187" t="str" cm="1">
        <f t="array" ref="C187">_xlfn.TEXTJOIN(", ",TRUE,_xlfn._xlws.FILTER(Final_Merged_Data!$C$2:$C$1000,Final_Merged_Data!$B$2:$B$1000=$A187))</f>
        <v>Haluaghat, Dhobaura</v>
      </c>
      <c r="D187" cm="1">
        <f t="array" ref="D187">COUNTA(_xlfn._xlws.FILTER(Final_Merged_Data!$C$2:$C$1000,Final_Merged_Data!$B$2:$B$1000=$A187))</f>
        <v>2</v>
      </c>
      <c r="E187">
        <f>SUMIFS(Final_Merged_Data!$E:$E,Final_Merged_Data!$B:$B,$A187)</f>
        <v>478.61</v>
      </c>
      <c r="F187">
        <f>SUMIFS(Final_Merged_Data!$F:$F,Final_Merged_Data!$B:$B,$A187)</f>
        <v>533994</v>
      </c>
      <c r="G187">
        <f t="shared" si="4"/>
        <v>1115.7184346336264</v>
      </c>
      <c r="H187" cm="1">
        <f t="array" ref="H187">SUMPRODUCT((Final_Merged_Data!$B$2:$B$1000=$A187)*Final_Merged_Data!$H$2:$H$1000*Final_Merged_Data!$F$2:$F$1000)/F187</f>
        <v>3.9655212979921126</v>
      </c>
      <c r="I187" cm="1">
        <f t="array" ref="I187">SUMPRODUCT((Final_Merged_Data!$B$2:$B$1000=$A187)*Final_Merged_Data!$I$2:$I$1000*Final_Merged_Data!$F$2:$F$1000)/F187</f>
        <v>66.971492900669304</v>
      </c>
      <c r="J187" t="str" cm="1">
        <f t="array" ref="J187">_xlfn.TEXTJOIN(", ",TRUE,_xlfn.UNIQUE(_xlfn._xlws.FILTER(Final_Merged_Data!$J$2:$J$1000,Final_Merged_Data!$B$2:$B$1000=$A187)))</f>
        <v>Mymensingh Range</v>
      </c>
      <c r="K187" cm="1">
        <f t="array" ref="K187">SUMPRODUCT((Final_Merged_Data!$B$2:$B$1000=$A187)*Final_Merged_Data!$K$2:$K$1000*Final_Merged_Data!$F$2:$F$1000)/F187</f>
        <v>84.741263899591743</v>
      </c>
      <c r="L187" cm="1">
        <f t="array" ref="L187">SUMPRODUCT((Final_Merged_Data!$B$2:$B$1000=$A187)*Final_Merged_Data!$L$2:$L$1000*Final_Merged_Data!$F$2:$F$1000)/F187</f>
        <v>13.635491015503808</v>
      </c>
      <c r="M187" t="str">
        <f>IF(COUNTIF(Master_Data!$C:$C,$A187)&gt;0,"Found","Missing")</f>
        <v>Found</v>
      </c>
      <c r="N187" t="str">
        <f>_xlfn.XLOOKUP($A187,Master_Data!$C:$C,Master_Data!$D:$D,"CHECK",0)</f>
        <v>Mohammed Salman Omar</v>
      </c>
      <c r="O187" t="str">
        <f>_xlfn.XLOOKUP($A187,Master_Data!$C:$C,Master_Data!$E:$E,"CHECK",0)</f>
        <v>IND</v>
      </c>
      <c r="P187">
        <f>_xlfn.XLOOKUP($A187,Master_Data!$C:$C,Master_Data!$F:$F,"CHECK",0)</f>
        <v>5</v>
      </c>
      <c r="Q187">
        <f>_xlfn.XLOOKUP($A187,Master_Data!$C:$C,Master_Data!$G:$G,"CHECK",0)</f>
        <v>108265</v>
      </c>
      <c r="R187">
        <f>IFERROR(_xlfn.XLOOKUP($A187,Master_Data!$C:$C,Master_Data!$H:$H,"CHECK",0),"")</f>
        <v>51.507914230390448</v>
      </c>
      <c r="S187" t="str">
        <f>_xlfn.XLOOKUP($A187,Master_Data!$C:$C,Master_Data!$I:$I,"CHECK",0)</f>
        <v>Syed Imran Saleh</v>
      </c>
      <c r="T187">
        <f>_xlfn.XLOOKUP($A187,Master_Data!$C:$C,Master_Data!$K:$K,"CHECK",0)</f>
        <v>101926</v>
      </c>
      <c r="U187">
        <f>IFERROR(_xlfn.XLOOKUP($A187,Master_Data!$C:$C,Master_Data!$L:$L,"CHECK",0),"")</f>
        <v>48.492085769609545</v>
      </c>
      <c r="V187">
        <f>_xlfn.XLOOKUP($A187,Master_Data!$C:$C,Master_Data!$M:$M,"CHECK",0)</f>
        <v>6339</v>
      </c>
      <c r="W187">
        <f>IFERROR(_xlfn.XLOOKUP($A187,Master_Data!$C:$C,Master_Data!$N:$N,"CHECK",0),"")</f>
        <v>3.0158284607809089</v>
      </c>
      <c r="X187" t="str">
        <f>IFERROR(_xlfn.XLOOKUP($A187,Master_Data!$C:$C,Master_Data!$O:$O,"CHECK",0),"No Result")</f>
        <v>Highly Competitive</v>
      </c>
      <c r="Y187">
        <f>_xlfn.XLOOKUP($A187,Master_Data!$C:$C,Master_Data!$P:$P,"CHECK",0)</f>
        <v>0</v>
      </c>
      <c r="Z187">
        <f t="shared" si="5"/>
        <v>1</v>
      </c>
    </row>
    <row r="188" spans="1:26">
      <c r="A188" t="str">
        <v>Mymensingh-10</v>
      </c>
      <c r="B188" t="str" cm="1">
        <f t="array" ref="B1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Nawabganj","Chapainawabganj"),Final_Merged_Data!$B$2:$B$1000=$A188)))</f>
        <v>Mymensingh</v>
      </c>
      <c r="C188" t="str" cm="1">
        <f t="array" ref="C188">_xlfn.TEXTJOIN(", ",TRUE,_xlfn._xlws.FILTER(Final_Merged_Data!$C$2:$C$1000,Final_Merged_Data!$B$2:$B$1000=$A188))</f>
        <v>Gafargaon</v>
      </c>
      <c r="D188" cm="1">
        <f t="array" ref="D188">COUNTA(_xlfn._xlws.FILTER(Final_Merged_Data!$C$2:$C$1000,Final_Merged_Data!$B$2:$B$1000=$A188))</f>
        <v>1</v>
      </c>
      <c r="E188">
        <f>SUMIFS(Final_Merged_Data!$E:$E,Final_Merged_Data!$B:$B,$A188)</f>
        <v>374.07</v>
      </c>
      <c r="F188">
        <f>SUMIFS(Final_Merged_Data!$F:$F,Final_Merged_Data!$B:$B,$A188)</f>
        <v>463248</v>
      </c>
      <c r="G188">
        <f t="shared" si="4"/>
        <v>1238.3992300906248</v>
      </c>
      <c r="H188" cm="1">
        <f t="array" ref="H188">SUMPRODUCT((Final_Merged_Data!$B$2:$B$1000=$A188)*Final_Merged_Data!$H$2:$H$1000*Final_Merged_Data!$F$2:$F$1000)/F188</f>
        <v>3.87</v>
      </c>
      <c r="I188" cm="1">
        <f t="array" ref="I188">SUMPRODUCT((Final_Merged_Data!$B$2:$B$1000=$A188)*Final_Merged_Data!$I$2:$I$1000*Final_Merged_Data!$F$2:$F$1000)/F188</f>
        <v>72.98</v>
      </c>
      <c r="J188" t="str" cm="1">
        <f t="array" ref="J188">_xlfn.TEXTJOIN(", ",TRUE,_xlfn.UNIQUE(_xlfn._xlws.FILTER(Final_Merged_Data!$J$2:$J$1000,Final_Merged_Data!$B$2:$B$1000=$A188)))</f>
        <v>Mymensingh Range</v>
      </c>
      <c r="K188" cm="1">
        <f t="array" ref="K188">SUMPRODUCT((Final_Merged_Data!$B$2:$B$1000=$A188)*Final_Merged_Data!$K$2:$K$1000*Final_Merged_Data!$F$2:$F$1000)/F188</f>
        <v>84.741263899591743</v>
      </c>
      <c r="L188" cm="1">
        <f t="array" ref="L188">SUMPRODUCT((Final_Merged_Data!$B$2:$B$1000=$A188)*Final_Merged_Data!$L$2:$L$1000*Final_Merged_Data!$F$2:$F$1000)/F188</f>
        <v>13.635491015503808</v>
      </c>
      <c r="M188" t="str">
        <f>IF(COUNTIF(Master_Data!$C:$C,$A188)&gt;0,"Found","Missing")</f>
        <v>Found</v>
      </c>
      <c r="N188" t="str">
        <f>_xlfn.XLOOKUP($A188,Master_Data!$C:$C,Master_Data!$D:$D,"CHECK",0)</f>
        <v>Mohammad Aktaruzzaman</v>
      </c>
      <c r="O188" t="str">
        <f>_xlfn.XLOOKUP($A188,Master_Data!$C:$C,Master_Data!$E:$E,"CHECK",0)</f>
        <v>BNP</v>
      </c>
      <c r="P188">
        <f>_xlfn.XLOOKUP($A188,Master_Data!$C:$C,Master_Data!$F:$F,"CHECK",0)</f>
        <v>1</v>
      </c>
      <c r="Q188">
        <f>_xlfn.XLOOKUP($A188,Master_Data!$C:$C,Master_Data!$G:$G,"CHECK",0)</f>
        <v>75585</v>
      </c>
      <c r="R188">
        <f>IFERROR(_xlfn.XLOOKUP($A188,Master_Data!$C:$C,Master_Data!$H:$H,"CHECK",0),"")</f>
        <v>53.005652253187286</v>
      </c>
      <c r="S188" t="str">
        <f>_xlfn.XLOOKUP($A188,Master_Data!$C:$C,Master_Data!$I:$I,"CHECK",0)</f>
        <v>Abu Bakr Siddiqur Rahman</v>
      </c>
      <c r="T188">
        <f>_xlfn.XLOOKUP($A188,Master_Data!$C:$C,Master_Data!$K:$K,"CHECK",0)</f>
        <v>67013</v>
      </c>
      <c r="U188">
        <f>IFERROR(_xlfn.XLOOKUP($A188,Master_Data!$C:$C,Master_Data!$L:$L,"CHECK",0),"")</f>
        <v>46.994347746812721</v>
      </c>
      <c r="V188">
        <f>_xlfn.XLOOKUP($A188,Master_Data!$C:$C,Master_Data!$M:$M,"CHECK",0)</f>
        <v>8572</v>
      </c>
      <c r="W188">
        <f>IFERROR(_xlfn.XLOOKUP($A188,Master_Data!$C:$C,Master_Data!$N:$N,"CHECK",0),"")</f>
        <v>6.0113045063745636</v>
      </c>
      <c r="X188" t="str">
        <f>IFERROR(_xlfn.XLOOKUP($A188,Master_Data!$C:$C,Master_Data!$O:$O,"CHECK",0),"No Result")</f>
        <v>Safe Seat</v>
      </c>
      <c r="Y188">
        <f>_xlfn.XLOOKUP($A188,Master_Data!$C:$C,Master_Data!$P:$P,"CHECK",0)</f>
        <v>0</v>
      </c>
      <c r="Z188">
        <f t="shared" si="5"/>
        <v>1</v>
      </c>
    </row>
    <row r="189" spans="1:26">
      <c r="A189" t="str">
        <v>Mymensingh-11</v>
      </c>
      <c r="B189" t="str" cm="1">
        <f t="array" ref="B1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Nawabganj","Chapainawabganj"),Final_Merged_Data!$B$2:$B$1000=$A189)))</f>
        <v>Mymensingh</v>
      </c>
      <c r="C189" t="str" cm="1">
        <f t="array" ref="C189">_xlfn.TEXTJOIN(", ",TRUE,_xlfn._xlws.FILTER(Final_Merged_Data!$C$2:$C$1000,Final_Merged_Data!$B$2:$B$1000=$A189))</f>
        <v>Bhaluka</v>
      </c>
      <c r="D189" cm="1">
        <f t="array" ref="D189">COUNTA(_xlfn._xlws.FILTER(Final_Merged_Data!$C$2:$C$1000,Final_Merged_Data!$B$2:$B$1000=$A189))</f>
        <v>1</v>
      </c>
      <c r="E189">
        <f>SUMIFS(Final_Merged_Data!$E:$E,Final_Merged_Data!$B:$B,$A189)</f>
        <v>444.05</v>
      </c>
      <c r="F189">
        <f>SUMIFS(Final_Merged_Data!$F:$F,Final_Merged_Data!$B:$B,$A189)</f>
        <v>583953</v>
      </c>
      <c r="G189">
        <f t="shared" si="4"/>
        <v>1315.0613669631798</v>
      </c>
      <c r="H189" cm="1">
        <f t="array" ref="H189">SUMPRODUCT((Final_Merged_Data!$B$2:$B$1000=$A189)*Final_Merged_Data!$H$2:$H$1000*Final_Merged_Data!$F$2:$F$1000)/F189</f>
        <v>3.42</v>
      </c>
      <c r="I189" cm="1">
        <f t="array" ref="I189">SUMPRODUCT((Final_Merged_Data!$B$2:$B$1000=$A189)*Final_Merged_Data!$I$2:$I$1000*Final_Merged_Data!$F$2:$F$1000)/F189</f>
        <v>74.98</v>
      </c>
      <c r="J189" t="str" cm="1">
        <f t="array" ref="J189">_xlfn.TEXTJOIN(", ",TRUE,_xlfn.UNIQUE(_xlfn._xlws.FILTER(Final_Merged_Data!$J$2:$J$1000,Final_Merged_Data!$B$2:$B$1000=$A189)))</f>
        <v>Mymensingh Range</v>
      </c>
      <c r="K189" cm="1">
        <f t="array" ref="K189">SUMPRODUCT((Final_Merged_Data!$B$2:$B$1000=$A189)*Final_Merged_Data!$K$2:$K$1000*Final_Merged_Data!$F$2:$F$1000)/F189</f>
        <v>84.741263899591743</v>
      </c>
      <c r="L189" cm="1">
        <f t="array" ref="L189">SUMPRODUCT((Final_Merged_Data!$B$2:$B$1000=$A189)*Final_Merged_Data!$L$2:$L$1000*Final_Merged_Data!$F$2:$F$1000)/F189</f>
        <v>13.635491015503808</v>
      </c>
      <c r="M189" t="str">
        <f>IF(COUNTIF(Master_Data!$C:$C,$A189)&gt;0,"Found","Missing")</f>
        <v>Found</v>
      </c>
      <c r="N189" t="str">
        <f>_xlfn.XLOOKUP($A189,Master_Data!$C:$C,Master_Data!$D:$D,"CHECK",0)</f>
        <v>Fakhruddin Ahmed</v>
      </c>
      <c r="O189" t="str">
        <f>_xlfn.XLOOKUP($A189,Master_Data!$C:$C,Master_Data!$E:$E,"CHECK",0)</f>
        <v>BNP</v>
      </c>
      <c r="P189">
        <f>_xlfn.XLOOKUP($A189,Master_Data!$C:$C,Master_Data!$F:$F,"CHECK",0)</f>
        <v>1</v>
      </c>
      <c r="Q189">
        <f>_xlfn.XLOOKUP($A189,Master_Data!$C:$C,Master_Data!$G:$G,"CHECK",0)</f>
        <v>111230</v>
      </c>
      <c r="R189">
        <f>IFERROR(_xlfn.XLOOKUP($A189,Master_Data!$C:$C,Master_Data!$H:$H,"CHECK",0),"")</f>
        <v>62.754589666339434</v>
      </c>
      <c r="S189" t="str">
        <f>_xlfn.XLOOKUP($A189,Master_Data!$C:$C,Master_Data!$I:$I,"CHECK",0)</f>
        <v>Muhammad Morshed Alam</v>
      </c>
      <c r="T189">
        <f>_xlfn.XLOOKUP($A189,Master_Data!$C:$C,Master_Data!$K:$K,"CHECK",0)</f>
        <v>66016</v>
      </c>
      <c r="U189">
        <f>IFERROR(_xlfn.XLOOKUP($A189,Master_Data!$C:$C,Master_Data!$L:$L,"CHECK",0),"")</f>
        <v>37.245410333660558</v>
      </c>
      <c r="V189">
        <f>_xlfn.XLOOKUP($A189,Master_Data!$C:$C,Master_Data!$M:$M,"CHECK",0)</f>
        <v>45214</v>
      </c>
      <c r="W189">
        <f>IFERROR(_xlfn.XLOOKUP($A189,Master_Data!$C:$C,Master_Data!$N:$N,"CHECK",0),"")</f>
        <v>25.509179332678876</v>
      </c>
      <c r="X189" t="str">
        <f>IFERROR(_xlfn.XLOOKUP($A189,Master_Data!$C:$C,Master_Data!$O:$O,"CHECK",0),"No Result")</f>
        <v>Safe Seat</v>
      </c>
      <c r="Y189">
        <f>_xlfn.XLOOKUP($A189,Master_Data!$C:$C,Master_Data!$P:$P,"CHECK",0)</f>
        <v>0</v>
      </c>
      <c r="Z189">
        <f t="shared" si="5"/>
        <v>1</v>
      </c>
    </row>
    <row r="190" spans="1:26">
      <c r="A190" t="str">
        <v>Mymensingh-2</v>
      </c>
      <c r="B190" t="str" cm="1">
        <f t="array" ref="B1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Nawabganj","Chapainawabganj"),Final_Merged_Data!$B$2:$B$1000=$A190)))</f>
        <v>Mymensingh</v>
      </c>
      <c r="C190" t="str" cm="1">
        <f t="array" ref="C190">_xlfn.TEXTJOIN(", ",TRUE,_xlfn._xlws.FILTER(Final_Merged_Data!$C$2:$C$1000,Final_Merged_Data!$B$2:$B$1000=$A190))</f>
        <v>Fulpur</v>
      </c>
      <c r="D190" cm="1">
        <f t="array" ref="D190">COUNTA(_xlfn._xlws.FILTER(Final_Merged_Data!$C$2:$C$1000,Final_Merged_Data!$B$2:$B$1000=$A190))</f>
        <v>1</v>
      </c>
      <c r="E190">
        <f>SUMIFS(Final_Merged_Data!$E:$E,Final_Merged_Data!$B:$B,$A190)</f>
        <v>277.63</v>
      </c>
      <c r="F190">
        <f>SUMIFS(Final_Merged_Data!$F:$F,Final_Merged_Data!$B:$B,$A190)</f>
        <v>350967</v>
      </c>
      <c r="G190">
        <f t="shared" si="4"/>
        <v>1264.1537297842453</v>
      </c>
      <c r="H190" cm="1">
        <f t="array" ref="H190">SUMPRODUCT((Final_Merged_Data!$B$2:$B$1000=$A190)*Final_Merged_Data!$H$2:$H$1000*Final_Merged_Data!$F$2:$F$1000)/F190</f>
        <v>4</v>
      </c>
      <c r="I190" cm="1">
        <f t="array" ref="I190">SUMPRODUCT((Final_Merged_Data!$B$2:$B$1000=$A190)*Final_Merged_Data!$I$2:$I$1000*Final_Merged_Data!$F$2:$F$1000)/F190</f>
        <v>66.66</v>
      </c>
      <c r="J190" t="str" cm="1">
        <f t="array" ref="J190">_xlfn.TEXTJOIN(", ",TRUE,_xlfn.UNIQUE(_xlfn._xlws.FILTER(Final_Merged_Data!$J$2:$J$1000,Final_Merged_Data!$B$2:$B$1000=$A190)))</f>
        <v>Mymensingh Range</v>
      </c>
      <c r="K190" cm="1">
        <f t="array" ref="K190">SUMPRODUCT((Final_Merged_Data!$B$2:$B$1000=$A190)*Final_Merged_Data!$K$2:$K$1000*Final_Merged_Data!$F$2:$F$1000)/F190</f>
        <v>84.741263899591743</v>
      </c>
      <c r="L190" cm="1">
        <f t="array" ref="L190">SUMPRODUCT((Final_Merged_Data!$B$2:$B$1000=$A190)*Final_Merged_Data!$L$2:$L$1000*Final_Merged_Data!$F$2:$F$1000)/F190</f>
        <v>13.63549101550381</v>
      </c>
      <c r="M190" t="str">
        <f>IF(COUNTIF(Master_Data!$C:$C,$A190)&gt;0,"Found","Missing")</f>
        <v>Found</v>
      </c>
      <c r="N190" t="str">
        <f>_xlfn.XLOOKUP($A190,Master_Data!$C:$C,Master_Data!$D:$D,"CHECK",0)</f>
        <v>Muhammadullah</v>
      </c>
      <c r="O190" t="str">
        <f>_xlfn.XLOOKUP($A190,Master_Data!$C:$C,Master_Data!$E:$E,"CHECK",0)</f>
        <v>BKM</v>
      </c>
      <c r="P190">
        <f>_xlfn.XLOOKUP($A190,Master_Data!$C:$C,Master_Data!$F:$F,"CHECK",0)</f>
        <v>0</v>
      </c>
      <c r="Q190">
        <f>_xlfn.XLOOKUP($A190,Master_Data!$C:$C,Master_Data!$G:$G,"CHECK",0)</f>
        <v>144565</v>
      </c>
      <c r="R190">
        <f>IFERROR(_xlfn.XLOOKUP($A190,Master_Data!$C:$C,Master_Data!$H:$H,"CHECK",0),"")</f>
        <v>55.196652272354143</v>
      </c>
      <c r="S190" t="str">
        <f>_xlfn.XLOOKUP($A190,Master_Data!$C:$C,Master_Data!$I:$I,"CHECK",0)</f>
        <v>Motahar Hossain Talukder</v>
      </c>
      <c r="T190">
        <f>_xlfn.XLOOKUP($A190,Master_Data!$C:$C,Master_Data!$K:$K,"CHECK",0)</f>
        <v>117344</v>
      </c>
      <c r="U190">
        <f>IFERROR(_xlfn.XLOOKUP($A190,Master_Data!$C:$C,Master_Data!$L:$L,"CHECK",0),"")</f>
        <v>44.803347727645857</v>
      </c>
      <c r="V190">
        <f>_xlfn.XLOOKUP($A190,Master_Data!$C:$C,Master_Data!$M:$M,"CHECK",0)</f>
        <v>27221</v>
      </c>
      <c r="W190">
        <f>IFERROR(_xlfn.XLOOKUP($A190,Master_Data!$C:$C,Master_Data!$N:$N,"CHECK",0),"")</f>
        <v>10.393304544708275</v>
      </c>
      <c r="X190" t="str">
        <f>IFERROR(_xlfn.XLOOKUP($A190,Master_Data!$C:$C,Master_Data!$O:$O,"CHECK",0),"No Result")</f>
        <v>Safe Seat</v>
      </c>
      <c r="Y190">
        <f>_xlfn.XLOOKUP($A190,Master_Data!$C:$C,Master_Data!$P:$P,"CHECK",0)</f>
        <v>0</v>
      </c>
      <c r="Z190">
        <f t="shared" si="5"/>
        <v>1</v>
      </c>
    </row>
    <row r="191" spans="1:26">
      <c r="A191" t="str">
        <v>Mymensingh-3</v>
      </c>
      <c r="B191" t="str" cm="1">
        <f t="array" ref="B1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Nawabganj","Chapainawabganj"),Final_Merged_Data!$B$2:$B$1000=$A191)))</f>
        <v>Mymensingh</v>
      </c>
      <c r="C191" t="str" cm="1">
        <f t="array" ref="C191">_xlfn.TEXTJOIN(", ",TRUE,_xlfn._xlws.FILTER(Final_Merged_Data!$C$2:$C$1000,Final_Merged_Data!$B$2:$B$1000=$A191))</f>
        <v>Gouripur</v>
      </c>
      <c r="D191" cm="1">
        <f t="array" ref="D191">COUNTA(_xlfn._xlws.FILTER(Final_Merged_Data!$C$2:$C$1000,Final_Merged_Data!$B$2:$B$1000=$A191))</f>
        <v>1</v>
      </c>
      <c r="E191">
        <f>SUMIFS(Final_Merged_Data!$E:$E,Final_Merged_Data!$B:$B,$A191)</f>
        <v>331.84</v>
      </c>
      <c r="F191">
        <f>SUMIFS(Final_Merged_Data!$F:$F,Final_Merged_Data!$B:$B,$A191)</f>
        <v>357331</v>
      </c>
      <c r="G191">
        <f t="shared" si="4"/>
        <v>1076.8171407907425</v>
      </c>
      <c r="H191" cm="1">
        <f t="array" ref="H191">SUMPRODUCT((Final_Merged_Data!$B$2:$B$1000=$A191)*Final_Merged_Data!$H$2:$H$1000*Final_Merged_Data!$F$2:$F$1000)/F191</f>
        <v>4.1399999999999997</v>
      </c>
      <c r="I191" cm="1">
        <f t="array" ref="I191">SUMPRODUCT((Final_Merged_Data!$B$2:$B$1000=$A191)*Final_Merged_Data!$I$2:$I$1000*Final_Merged_Data!$F$2:$F$1000)/F191</f>
        <v>68.209999999999994</v>
      </c>
      <c r="J191" t="str" cm="1">
        <f t="array" ref="J191">_xlfn.TEXTJOIN(", ",TRUE,_xlfn.UNIQUE(_xlfn._xlws.FILTER(Final_Merged_Data!$J$2:$J$1000,Final_Merged_Data!$B$2:$B$1000=$A191)))</f>
        <v>Mymensingh Range</v>
      </c>
      <c r="K191" cm="1">
        <f t="array" ref="K191">SUMPRODUCT((Final_Merged_Data!$B$2:$B$1000=$A191)*Final_Merged_Data!$K$2:$K$1000*Final_Merged_Data!$F$2:$F$1000)/F191</f>
        <v>84.741263899591743</v>
      </c>
      <c r="L191" cm="1">
        <f t="array" ref="L191">SUMPRODUCT((Final_Merged_Data!$B$2:$B$1000=$A191)*Final_Merged_Data!$L$2:$L$1000*Final_Merged_Data!$F$2:$F$1000)/F191</f>
        <v>13.635491015503808</v>
      </c>
      <c r="M191" t="str">
        <f>IF(COUNTIF(Master_Data!$C:$C,$A191)&gt;0,"Found","Missing")</f>
        <v>Found</v>
      </c>
      <c r="N191" t="str">
        <f>_xlfn.XLOOKUP($A191,Master_Data!$C:$C,Master_Data!$D:$D,"CHECK",0)</f>
        <v>M Iqbal Hossain</v>
      </c>
      <c r="O191" t="str">
        <f>_xlfn.XLOOKUP($A191,Master_Data!$C:$C,Master_Data!$E:$E,"CHECK",0)</f>
        <v>BNP</v>
      </c>
      <c r="P191">
        <f>_xlfn.XLOOKUP($A191,Master_Data!$C:$C,Master_Data!$F:$F,"CHECK",0)</f>
        <v>1</v>
      </c>
      <c r="Q191">
        <f>_xlfn.XLOOKUP($A191,Master_Data!$C:$C,Master_Data!$G:$G,"CHECK",0)</f>
        <v>75320</v>
      </c>
      <c r="R191">
        <f>IFERROR(_xlfn.XLOOKUP($A191,Master_Data!$C:$C,Master_Data!$H:$H,"CHECK",0),"")</f>
        <v>53.299366663128467</v>
      </c>
      <c r="S191" t="str">
        <f>_xlfn.XLOOKUP($A191,Master_Data!$C:$C,Master_Data!$I:$I,"CHECK",0)</f>
        <v>Ahmad Taibur Rahman</v>
      </c>
      <c r="T191">
        <f>_xlfn.XLOOKUP($A191,Master_Data!$C:$C,Master_Data!$K:$K,"CHECK",0)</f>
        <v>65995</v>
      </c>
      <c r="U191">
        <f>IFERROR(_xlfn.XLOOKUP($A191,Master_Data!$C:$C,Master_Data!$L:$L,"CHECK",0),"")</f>
        <v>46.700633336871526</v>
      </c>
      <c r="V191">
        <f>_xlfn.XLOOKUP($A191,Master_Data!$C:$C,Master_Data!$M:$M,"CHECK",0)</f>
        <v>9325</v>
      </c>
      <c r="W191">
        <f>IFERROR(_xlfn.XLOOKUP($A191,Master_Data!$C:$C,Master_Data!$N:$N,"CHECK",0),"")</f>
        <v>6.5987333262569434</v>
      </c>
      <c r="X191" t="str">
        <f>IFERROR(_xlfn.XLOOKUP($A191,Master_Data!$C:$C,Master_Data!$O:$O,"CHECK",0),"No Result")</f>
        <v>Safe Seat</v>
      </c>
      <c r="Y191">
        <f>_xlfn.XLOOKUP($A191,Master_Data!$C:$C,Master_Data!$P:$P,"CHECK",0)</f>
        <v>0</v>
      </c>
      <c r="Z191">
        <f t="shared" si="5"/>
        <v>1</v>
      </c>
    </row>
    <row r="192" spans="1:26">
      <c r="A192" t="str">
        <v>Mymensingh-4</v>
      </c>
      <c r="B192" t="str" cm="1">
        <f t="array" ref="B1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Nawabganj","Chapainawabganj"),Final_Merged_Data!$B$2:$B$1000=$A192)))</f>
        <v>Mymensingh</v>
      </c>
      <c r="C192" t="str" cm="1">
        <f t="array" ref="C192">_xlfn.TEXTJOIN(", ",TRUE,_xlfn._xlws.FILTER(Final_Merged_Data!$C$2:$C$1000,Final_Merged_Data!$B$2:$B$1000=$A192))</f>
        <v>Mymensingh Sadar</v>
      </c>
      <c r="D192" cm="1">
        <f t="array" ref="D192">COUNTA(_xlfn._xlws.FILTER(Final_Merged_Data!$C$2:$C$1000,Final_Merged_Data!$B$2:$B$1000=$A192))</f>
        <v>1</v>
      </c>
      <c r="E192">
        <f>SUMIFS(Final_Merged_Data!$E:$E,Final_Merged_Data!$B:$B,$A192)</f>
        <v>388.45</v>
      </c>
      <c r="F192">
        <f>SUMIFS(Final_Merged_Data!$F:$F,Final_Merged_Data!$B:$B,$A192)</f>
        <v>421413</v>
      </c>
      <c r="G192">
        <f t="shared" si="4"/>
        <v>1084.8577680525163</v>
      </c>
      <c r="H192" cm="1">
        <f t="array" ref="H192">SUMPRODUCT((Final_Merged_Data!$B$2:$B$1000=$A192)*Final_Merged_Data!$H$2:$H$1000*Final_Merged_Data!$F$2:$F$1000)/F192</f>
        <v>4.1900000000000004</v>
      </c>
      <c r="I192" cm="1">
        <f t="array" ref="I192">SUMPRODUCT((Final_Merged_Data!$B$2:$B$1000=$A192)*Final_Merged_Data!$I$2:$I$1000*Final_Merged_Data!$F$2:$F$1000)/F192</f>
        <v>67.540000000000006</v>
      </c>
      <c r="J192" t="str" cm="1">
        <f t="array" ref="J192">_xlfn.TEXTJOIN(", ",TRUE,_xlfn.UNIQUE(_xlfn._xlws.FILTER(Final_Merged_Data!$J$2:$J$1000,Final_Merged_Data!$B$2:$B$1000=$A192)))</f>
        <v>Mymensingh Range</v>
      </c>
      <c r="K192" cm="1">
        <f t="array" ref="K192">SUMPRODUCT((Final_Merged_Data!$B$2:$B$1000=$A192)*Final_Merged_Data!$K$2:$K$1000*Final_Merged_Data!$F$2:$F$1000)/F192</f>
        <v>84.741263899591743</v>
      </c>
      <c r="L192" cm="1">
        <f t="array" ref="L192">SUMPRODUCT((Final_Merged_Data!$B$2:$B$1000=$A192)*Final_Merged_Data!$L$2:$L$1000*Final_Merged_Data!$F$2:$F$1000)/F192</f>
        <v>13.635491015503808</v>
      </c>
      <c r="M192" t="str">
        <f>IF(COUNTIF(Master_Data!$C:$C,$A192)&gt;0,"Found","Missing")</f>
        <v>Found</v>
      </c>
      <c r="N192" t="str">
        <f>_xlfn.XLOOKUP($A192,Master_Data!$C:$C,Master_Data!$D:$D,"CHECK",0)</f>
        <v>Md. Abu Wahab Akand Wahid</v>
      </c>
      <c r="O192" t="str">
        <f>_xlfn.XLOOKUP($A192,Master_Data!$C:$C,Master_Data!$E:$E,"CHECK",0)</f>
        <v>BNP</v>
      </c>
      <c r="P192">
        <f>_xlfn.XLOOKUP($A192,Master_Data!$C:$C,Master_Data!$F:$F,"CHECK",0)</f>
        <v>1</v>
      </c>
      <c r="Q192">
        <f>_xlfn.XLOOKUP($A192,Master_Data!$C:$C,Master_Data!$G:$G,"CHECK",0)</f>
        <v>177891</v>
      </c>
      <c r="R192">
        <f>IFERROR(_xlfn.XLOOKUP($A192,Master_Data!$C:$C,Master_Data!$H:$H,"CHECK",0),"")</f>
        <v>51.195927142121214</v>
      </c>
      <c r="S192" t="str">
        <f>_xlfn.XLOOKUP($A192,Master_Data!$C:$C,Master_Data!$I:$I,"CHECK",0)</f>
        <v>Mohammad Kamrul Ahsan</v>
      </c>
      <c r="T192">
        <f>_xlfn.XLOOKUP($A192,Master_Data!$C:$C,Master_Data!$K:$K,"CHECK",0)</f>
        <v>169580</v>
      </c>
      <c r="U192">
        <f>IFERROR(_xlfn.XLOOKUP($A192,Master_Data!$C:$C,Master_Data!$L:$L,"CHECK",0),"")</f>
        <v>48.804072857878786</v>
      </c>
      <c r="V192">
        <f>_xlfn.XLOOKUP($A192,Master_Data!$C:$C,Master_Data!$M:$M,"CHECK",0)</f>
        <v>8311</v>
      </c>
      <c r="W192">
        <f>IFERROR(_xlfn.XLOOKUP($A192,Master_Data!$C:$C,Master_Data!$N:$N,"CHECK",0),"")</f>
        <v>2.391854284242426</v>
      </c>
      <c r="X192" t="str">
        <f>IFERROR(_xlfn.XLOOKUP($A192,Master_Data!$C:$C,Master_Data!$O:$O,"CHECK",0),"No Result")</f>
        <v>Highly Competitive</v>
      </c>
      <c r="Y192">
        <f>_xlfn.XLOOKUP($A192,Master_Data!$C:$C,Master_Data!$P:$P,"CHECK",0)</f>
        <v>1</v>
      </c>
      <c r="Z192">
        <f t="shared" si="5"/>
        <v>1</v>
      </c>
    </row>
    <row r="193" spans="1:26">
      <c r="A193" t="str">
        <v>Mymensingh-5</v>
      </c>
      <c r="B193" t="str" cm="1">
        <f t="array" ref="B1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Nawabganj","Chapainawabganj"),Final_Merged_Data!$B$2:$B$1000=$A193)))</f>
        <v>Mymensingh</v>
      </c>
      <c r="C193" t="str" cm="1">
        <f t="array" ref="C193">_xlfn.TEXTJOIN(", ",TRUE,_xlfn._xlws.FILTER(Final_Merged_Data!$C$2:$C$1000,Final_Merged_Data!$B$2:$B$1000=$A193))</f>
        <v>Muktagachha</v>
      </c>
      <c r="D193" cm="1">
        <f t="array" ref="D193">COUNTA(_xlfn._xlws.FILTER(Final_Merged_Data!$C$2:$C$1000,Final_Merged_Data!$B$2:$B$1000=$A193))</f>
        <v>1</v>
      </c>
      <c r="E193">
        <f>SUMIFS(Final_Merged_Data!$E:$E,Final_Merged_Data!$B:$B,$A193)</f>
        <v>229.55</v>
      </c>
      <c r="F193">
        <f>SUMIFS(Final_Merged_Data!$F:$F,Final_Merged_Data!$B:$B,$A193)</f>
        <v>460381</v>
      </c>
      <c r="G193">
        <f t="shared" si="4"/>
        <v>2005.580483554781</v>
      </c>
      <c r="H193" cm="1">
        <f t="array" ref="H193">SUMPRODUCT((Final_Merged_Data!$B$2:$B$1000=$A193)*Final_Merged_Data!$H$2:$H$1000*Final_Merged_Data!$F$2:$F$1000)/F193</f>
        <v>3.93</v>
      </c>
      <c r="I193" cm="1">
        <f t="array" ref="I193">SUMPRODUCT((Final_Merged_Data!$B$2:$B$1000=$A193)*Final_Merged_Data!$I$2:$I$1000*Final_Merged_Data!$F$2:$F$1000)/F193</f>
        <v>71.91</v>
      </c>
      <c r="J193" t="str" cm="1">
        <f t="array" ref="J193">_xlfn.TEXTJOIN(", ",TRUE,_xlfn.UNIQUE(_xlfn._xlws.FILTER(Final_Merged_Data!$J$2:$J$1000,Final_Merged_Data!$B$2:$B$1000=$A193)))</f>
        <v>Mymensingh Range</v>
      </c>
      <c r="K193" cm="1">
        <f t="array" ref="K193">SUMPRODUCT((Final_Merged_Data!$B$2:$B$1000=$A193)*Final_Merged_Data!$K$2:$K$1000*Final_Merged_Data!$F$2:$F$1000)/F193</f>
        <v>84.741263899591743</v>
      </c>
      <c r="L193" cm="1">
        <f t="array" ref="L193">SUMPRODUCT((Final_Merged_Data!$B$2:$B$1000=$A193)*Final_Merged_Data!$L$2:$L$1000*Final_Merged_Data!$F$2:$F$1000)/F193</f>
        <v>13.635491015503806</v>
      </c>
      <c r="M193" t="str">
        <f>IF(COUNTIF(Master_Data!$C:$C,$A193)&gt;0,"Found","Missing")</f>
        <v>Found</v>
      </c>
      <c r="N193" t="str">
        <f>_xlfn.XLOOKUP($A193,Master_Data!$C:$C,Master_Data!$D:$D,"CHECK",0)</f>
        <v>Mohammad Zakir Hossain</v>
      </c>
      <c r="O193" t="str">
        <f>_xlfn.XLOOKUP($A193,Master_Data!$C:$C,Master_Data!$E:$E,"CHECK",0)</f>
        <v>BNP</v>
      </c>
      <c r="P193">
        <f>_xlfn.XLOOKUP($A193,Master_Data!$C:$C,Master_Data!$F:$F,"CHECK",0)</f>
        <v>1</v>
      </c>
      <c r="Q193">
        <f>_xlfn.XLOOKUP($A193,Master_Data!$C:$C,Master_Data!$G:$G,"CHECK",0)</f>
        <v>128896</v>
      </c>
      <c r="R193">
        <f>IFERROR(_xlfn.XLOOKUP($A193,Master_Data!$C:$C,Master_Data!$H:$H,"CHECK",0),"")</f>
        <v>55.769197487063224</v>
      </c>
      <c r="S193" t="str">
        <f>_xlfn.XLOOKUP($A193,Master_Data!$C:$C,Master_Data!$I:$I,"CHECK",0)</f>
        <v>Md. Matiur Rahman Akand</v>
      </c>
      <c r="T193">
        <f>_xlfn.XLOOKUP($A193,Master_Data!$C:$C,Master_Data!$K:$K,"CHECK",0)</f>
        <v>102228</v>
      </c>
      <c r="U193">
        <f>IFERROR(_xlfn.XLOOKUP($A193,Master_Data!$C:$C,Master_Data!$L:$L,"CHECK",0),"")</f>
        <v>44.230802512936776</v>
      </c>
      <c r="V193">
        <f>_xlfn.XLOOKUP($A193,Master_Data!$C:$C,Master_Data!$M:$M,"CHECK",0)</f>
        <v>26668</v>
      </c>
      <c r="W193">
        <f>IFERROR(_xlfn.XLOOKUP($A193,Master_Data!$C:$C,Master_Data!$N:$N,"CHECK",0),"")</f>
        <v>11.538394974126442</v>
      </c>
      <c r="X193" t="str">
        <f>IFERROR(_xlfn.XLOOKUP($A193,Master_Data!$C:$C,Master_Data!$O:$O,"CHECK",0),"No Result")</f>
        <v>Safe Seat</v>
      </c>
      <c r="Y193">
        <f>_xlfn.XLOOKUP($A193,Master_Data!$C:$C,Master_Data!$P:$P,"CHECK",0)</f>
        <v>0</v>
      </c>
      <c r="Z193">
        <f t="shared" si="5"/>
        <v>1</v>
      </c>
    </row>
    <row r="194" spans="1:26">
      <c r="A194" t="str">
        <v>Mymensingh-6</v>
      </c>
      <c r="B194" t="str" cm="1">
        <f t="array" ref="B1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Nawabganj","Chapainawabganj"),Final_Merged_Data!$B$2:$B$1000=$A194)))</f>
        <v>Mymensingh</v>
      </c>
      <c r="C194" t="str" cm="1">
        <f t="array" ref="C194">_xlfn.TEXTJOIN(", ",TRUE,_xlfn._xlws.FILTER(Final_Merged_Data!$C$2:$C$1000,Final_Merged_Data!$B$2:$B$1000=$A194))</f>
        <v>Fulbaria</v>
      </c>
      <c r="D194" cm="1">
        <f t="array" ref="D194">COUNTA(_xlfn._xlws.FILTER(Final_Merged_Data!$C$2:$C$1000,Final_Merged_Data!$B$2:$B$1000=$A194))</f>
        <v>1</v>
      </c>
      <c r="E194">
        <f>SUMIFS(Final_Merged_Data!$E:$E,Final_Merged_Data!$B:$B,$A194)</f>
        <v>402.41</v>
      </c>
      <c r="F194">
        <f>SUMIFS(Final_Merged_Data!$F:$F,Final_Merged_Data!$B:$B,$A194)</f>
        <v>495894</v>
      </c>
      <c r="G194">
        <f t="shared" si="4"/>
        <v>1232.3103302601824</v>
      </c>
      <c r="H194" cm="1">
        <f t="array" ref="H194">SUMPRODUCT((Final_Merged_Data!$B$2:$B$1000=$A194)*Final_Merged_Data!$H$2:$H$1000*Final_Merged_Data!$F$2:$F$1000)/F194</f>
        <v>4.01</v>
      </c>
      <c r="I194" cm="1">
        <f t="array" ref="I194">SUMPRODUCT((Final_Merged_Data!$B$2:$B$1000=$A194)*Final_Merged_Data!$I$2:$I$1000*Final_Merged_Data!$F$2:$F$1000)/F194</f>
        <v>68.05</v>
      </c>
      <c r="J194" t="str" cm="1">
        <f t="array" ref="J194">_xlfn.TEXTJOIN(", ",TRUE,_xlfn.UNIQUE(_xlfn._xlws.FILTER(Final_Merged_Data!$J$2:$J$1000,Final_Merged_Data!$B$2:$B$1000=$A194)))</f>
        <v>Mymensingh Range</v>
      </c>
      <c r="K194" cm="1">
        <f t="array" ref="K194">SUMPRODUCT((Final_Merged_Data!$B$2:$B$1000=$A194)*Final_Merged_Data!$K$2:$K$1000*Final_Merged_Data!$F$2:$F$1000)/F194</f>
        <v>84.741263899591743</v>
      </c>
      <c r="L194" cm="1">
        <f t="array" ref="L194">SUMPRODUCT((Final_Merged_Data!$B$2:$B$1000=$A194)*Final_Merged_Data!$L$2:$L$1000*Final_Merged_Data!$F$2:$F$1000)/F194</f>
        <v>13.635491015503808</v>
      </c>
      <c r="M194" t="str">
        <f>IF(COUNTIF(Master_Data!$C:$C,$A194)&gt;0,"Found","Missing")</f>
        <v>Found</v>
      </c>
      <c r="N194" t="str">
        <f>_xlfn.XLOOKUP($A194,Master_Data!$C:$C,Master_Data!$D:$D,"CHECK",0)</f>
        <v>Md. Kamrul Hasan</v>
      </c>
      <c r="O194" t="str">
        <f>_xlfn.XLOOKUP($A194,Master_Data!$C:$C,Master_Data!$E:$E,"CHECK",0)</f>
        <v>Jamaat</v>
      </c>
      <c r="P194">
        <f>_xlfn.XLOOKUP($A194,Master_Data!$C:$C,Master_Data!$F:$F,"CHECK",0)</f>
        <v>2</v>
      </c>
      <c r="Q194">
        <f>_xlfn.XLOOKUP($A194,Master_Data!$C:$C,Master_Data!$G:$G,"CHECK",0)</f>
        <v>75946</v>
      </c>
      <c r="R194">
        <f>IFERROR(_xlfn.XLOOKUP($A194,Master_Data!$C:$C,Master_Data!$H:$H,"CHECK",0),"")</f>
        <v>59.049100027213001</v>
      </c>
      <c r="S194" t="str">
        <f>_xlfn.XLOOKUP($A194,Master_Data!$C:$C,Master_Data!$I:$I,"CHECK",0)</f>
        <v>Akhtar Sultana</v>
      </c>
      <c r="T194">
        <f>_xlfn.XLOOKUP($A194,Master_Data!$C:$C,Master_Data!$K:$K,"CHECK",0)</f>
        <v>52669</v>
      </c>
      <c r="U194">
        <f>IFERROR(_xlfn.XLOOKUP($A194,Master_Data!$C:$C,Master_Data!$L:$L,"CHECK",0),"")</f>
        <v>40.950899972786999</v>
      </c>
      <c r="V194">
        <f>_xlfn.XLOOKUP($A194,Master_Data!$C:$C,Master_Data!$M:$M,"CHECK",0)</f>
        <v>23277</v>
      </c>
      <c r="W194">
        <f>IFERROR(_xlfn.XLOOKUP($A194,Master_Data!$C:$C,Master_Data!$N:$N,"CHECK",0),"")</f>
        <v>18.098200054426002</v>
      </c>
      <c r="X194" t="str">
        <f>IFERROR(_xlfn.XLOOKUP($A194,Master_Data!$C:$C,Master_Data!$O:$O,"CHECK",0),"No Result")</f>
        <v>Safe Seat</v>
      </c>
      <c r="Y194">
        <f>_xlfn.XLOOKUP($A194,Master_Data!$C:$C,Master_Data!$P:$P,"CHECK",0)</f>
        <v>0</v>
      </c>
      <c r="Z194">
        <f t="shared" si="5"/>
        <v>1</v>
      </c>
    </row>
    <row r="195" spans="1:26">
      <c r="A195" t="str">
        <v>Mymensingh-7</v>
      </c>
      <c r="B195" t="str" cm="1">
        <f t="array" ref="B1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Nawabganj","Chapainawabganj"),Final_Merged_Data!$B$2:$B$1000=$A195)))</f>
        <v>Mymensingh</v>
      </c>
      <c r="C195" t="str" cm="1">
        <f t="array" ref="C195">_xlfn.TEXTJOIN(", ",TRUE,_xlfn._xlws.FILTER(Final_Merged_Data!$C$2:$C$1000,Final_Merged_Data!$B$2:$B$1000=$A195))</f>
        <v>Trishal</v>
      </c>
      <c r="D195" cm="1">
        <f t="array" ref="D195">COUNTA(_xlfn._xlws.FILTER(Final_Merged_Data!$C$2:$C$1000,Final_Merged_Data!$B$2:$B$1000=$A195))</f>
        <v>1</v>
      </c>
      <c r="E195">
        <f>SUMIFS(Final_Merged_Data!$E:$E,Final_Merged_Data!$B:$B,$A195)</f>
        <v>338.98</v>
      </c>
      <c r="F195">
        <f>SUMIFS(Final_Merged_Data!$F:$F,Final_Merged_Data!$B:$B,$A195)</f>
        <v>491467</v>
      </c>
      <c r="G195">
        <f t="shared" ref="G195:G258" si="6">IF(E195=0,"",F195/E195)</f>
        <v>1449.8406985662871</v>
      </c>
      <c r="H195" cm="1">
        <f t="array" ref="H195">SUMPRODUCT((Final_Merged_Data!$B$2:$B$1000=$A195)*Final_Merged_Data!$H$2:$H$1000*Final_Merged_Data!$F$2:$F$1000)/F195</f>
        <v>4.07</v>
      </c>
      <c r="I195" cm="1">
        <f t="array" ref="I195">SUMPRODUCT((Final_Merged_Data!$B$2:$B$1000=$A195)*Final_Merged_Data!$I$2:$I$1000*Final_Merged_Data!$F$2:$F$1000)/F195</f>
        <v>71.44</v>
      </c>
      <c r="J195" t="str" cm="1">
        <f t="array" ref="J195">_xlfn.TEXTJOIN(", ",TRUE,_xlfn.UNIQUE(_xlfn._xlws.FILTER(Final_Merged_Data!$J$2:$J$1000,Final_Merged_Data!$B$2:$B$1000=$A195)))</f>
        <v>Mymensingh Range</v>
      </c>
      <c r="K195" cm="1">
        <f t="array" ref="K195">SUMPRODUCT((Final_Merged_Data!$B$2:$B$1000=$A195)*Final_Merged_Data!$K$2:$K$1000*Final_Merged_Data!$F$2:$F$1000)/F195</f>
        <v>84.741263899591743</v>
      </c>
      <c r="L195" cm="1">
        <f t="array" ref="L195">SUMPRODUCT((Final_Merged_Data!$B$2:$B$1000=$A195)*Final_Merged_Data!$L$2:$L$1000*Final_Merged_Data!$F$2:$F$1000)/F195</f>
        <v>13.635491015503808</v>
      </c>
      <c r="M195" t="str">
        <f>IF(COUNTIF(Master_Data!$C:$C,$A195)&gt;0,"Found","Missing")</f>
        <v>Found</v>
      </c>
      <c r="N195" t="str">
        <f>_xlfn.XLOOKUP($A195,Master_Data!$C:$C,Master_Data!$D:$D,"CHECK",0)</f>
        <v>Md. Mahabubur Rahman</v>
      </c>
      <c r="O195" t="str">
        <f>_xlfn.XLOOKUP($A195,Master_Data!$C:$C,Master_Data!$E:$E,"CHECK",0)</f>
        <v>BNP</v>
      </c>
      <c r="P195">
        <f>_xlfn.XLOOKUP($A195,Master_Data!$C:$C,Master_Data!$F:$F,"CHECK",0)</f>
        <v>1</v>
      </c>
      <c r="Q195">
        <f>_xlfn.XLOOKUP($A195,Master_Data!$C:$C,Master_Data!$G:$G,"CHECK",0)</f>
        <v>99049</v>
      </c>
      <c r="R195">
        <f>IFERROR(_xlfn.XLOOKUP($A195,Master_Data!$C:$C,Master_Data!$H:$H,"CHECK",0),"")</f>
        <v>53.860250135943446</v>
      </c>
      <c r="S195" t="str">
        <f>_xlfn.XLOOKUP($A195,Master_Data!$C:$C,Master_Data!$I:$I,"CHECK",0)</f>
        <v>Md. Achaduzzaman</v>
      </c>
      <c r="T195">
        <f>_xlfn.XLOOKUP($A195,Master_Data!$C:$C,Master_Data!$K:$K,"CHECK",0)</f>
        <v>84851</v>
      </c>
      <c r="U195">
        <f>IFERROR(_xlfn.XLOOKUP($A195,Master_Data!$C:$C,Master_Data!$L:$L,"CHECK",0),"")</f>
        <v>46.139749864056547</v>
      </c>
      <c r="V195">
        <f>_xlfn.XLOOKUP($A195,Master_Data!$C:$C,Master_Data!$M:$M,"CHECK",0)</f>
        <v>14198</v>
      </c>
      <c r="W195">
        <f>IFERROR(_xlfn.XLOOKUP($A195,Master_Data!$C:$C,Master_Data!$N:$N,"CHECK",0),"")</f>
        <v>7.7205002718868947</v>
      </c>
      <c r="X195" t="str">
        <f>IFERROR(_xlfn.XLOOKUP($A195,Master_Data!$C:$C,Master_Data!$O:$O,"CHECK",0),"No Result")</f>
        <v>Safe Seat</v>
      </c>
      <c r="Y195">
        <f>_xlfn.XLOOKUP($A195,Master_Data!$C:$C,Master_Data!$P:$P,"CHECK",0)</f>
        <v>0</v>
      </c>
      <c r="Z195">
        <f t="shared" ref="Z195:Z258" si="7">IF(OR(R195="",Y195="No Result",N195="Election postponed",N195="Result withheld"),0,1)</f>
        <v>1</v>
      </c>
    </row>
    <row r="196" spans="1:26">
      <c r="A196" t="str">
        <v>Mymensingh-8</v>
      </c>
      <c r="B196" t="str" cm="1">
        <f t="array" ref="B1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Nawabganj","Chapainawabganj"),Final_Merged_Data!$B$2:$B$1000=$A196)))</f>
        <v>Mymensingh</v>
      </c>
      <c r="C196" t="str" cm="1">
        <f t="array" ref="C196">_xlfn.TEXTJOIN(", ",TRUE,_xlfn._xlws.FILTER(Final_Merged_Data!$C$2:$C$1000,Final_Merged_Data!$B$2:$B$1000=$A196))</f>
        <v>Ishwarganj</v>
      </c>
      <c r="D196" cm="1">
        <f t="array" ref="D196">COUNTA(_xlfn._xlws.FILTER(Final_Merged_Data!$C$2:$C$1000,Final_Merged_Data!$B$2:$B$1000=$A196))</f>
        <v>1</v>
      </c>
      <c r="E196">
        <f>SUMIFS(Final_Merged_Data!$E:$E,Final_Merged_Data!$B:$B,$A196)</f>
        <v>286.19</v>
      </c>
      <c r="F196">
        <f>SUMIFS(Final_Merged_Data!$F:$F,Final_Merged_Data!$B:$B,$A196)</f>
        <v>404598</v>
      </c>
      <c r="G196">
        <f t="shared" si="6"/>
        <v>1413.7391243579441</v>
      </c>
      <c r="H196" cm="1">
        <f t="array" ref="H196">SUMPRODUCT((Final_Merged_Data!$B$2:$B$1000=$A196)*Final_Merged_Data!$H$2:$H$1000*Final_Merged_Data!$F$2:$F$1000)/F196</f>
        <v>4.1100000000000003</v>
      </c>
      <c r="I196" cm="1">
        <f t="array" ref="I196">SUMPRODUCT((Final_Merged_Data!$B$2:$B$1000=$A196)*Final_Merged_Data!$I$2:$I$1000*Final_Merged_Data!$F$2:$F$1000)/F196</f>
        <v>66.819999999999993</v>
      </c>
      <c r="J196" t="str" cm="1">
        <f t="array" ref="J196">_xlfn.TEXTJOIN(", ",TRUE,_xlfn.UNIQUE(_xlfn._xlws.FILTER(Final_Merged_Data!$J$2:$J$1000,Final_Merged_Data!$B$2:$B$1000=$A196)))</f>
        <v>Mymensingh Range</v>
      </c>
      <c r="K196" cm="1">
        <f t="array" ref="K196">SUMPRODUCT((Final_Merged_Data!$B$2:$B$1000=$A196)*Final_Merged_Data!$K$2:$K$1000*Final_Merged_Data!$F$2:$F$1000)/F196</f>
        <v>84.741263899591743</v>
      </c>
      <c r="L196" cm="1">
        <f t="array" ref="L196">SUMPRODUCT((Final_Merged_Data!$B$2:$B$1000=$A196)*Final_Merged_Data!$L$2:$L$1000*Final_Merged_Data!$F$2:$F$1000)/F196</f>
        <v>13.635491015503806</v>
      </c>
      <c r="M196" t="str">
        <f>IF(COUNTIF(Master_Data!$C:$C,$A196)&gt;0,"Found","Missing")</f>
        <v>Found</v>
      </c>
      <c r="N196" t="str">
        <f>_xlfn.XLOOKUP($A196,Master_Data!$C:$C,Master_Data!$D:$D,"CHECK",0)</f>
        <v>Lutfulahel Majed</v>
      </c>
      <c r="O196" t="str">
        <f>_xlfn.XLOOKUP($A196,Master_Data!$C:$C,Master_Data!$E:$E,"CHECK",0)</f>
        <v>BNP</v>
      </c>
      <c r="P196">
        <f>_xlfn.XLOOKUP($A196,Master_Data!$C:$C,Master_Data!$F:$F,"CHECK",0)</f>
        <v>1</v>
      </c>
      <c r="Q196">
        <f>_xlfn.XLOOKUP($A196,Master_Data!$C:$C,Master_Data!$G:$G,"CHECK",0)</f>
        <v>107577</v>
      </c>
      <c r="R196">
        <f>IFERROR(_xlfn.XLOOKUP($A196,Master_Data!$C:$C,Master_Data!$H:$H,"CHECK",0),"")</f>
        <v>70.143054613739494</v>
      </c>
      <c r="S196" t="str">
        <f>_xlfn.XLOOKUP($A196,Master_Data!$C:$C,Master_Data!$I:$I,"CHECK",0)</f>
        <v>Md. Aurangzeb Belal</v>
      </c>
      <c r="T196">
        <f>_xlfn.XLOOKUP($A196,Master_Data!$C:$C,Master_Data!$K:$K,"CHECK",0)</f>
        <v>45791</v>
      </c>
      <c r="U196">
        <f>IFERROR(_xlfn.XLOOKUP($A196,Master_Data!$C:$C,Master_Data!$L:$L,"CHECK",0),"")</f>
        <v>29.856945386260499</v>
      </c>
      <c r="V196">
        <f>_xlfn.XLOOKUP($A196,Master_Data!$C:$C,Master_Data!$M:$M,"CHECK",0)</f>
        <v>61786</v>
      </c>
      <c r="W196">
        <f>IFERROR(_xlfn.XLOOKUP($A196,Master_Data!$C:$C,Master_Data!$N:$N,"CHECK",0),"")</f>
        <v>40.286109227479002</v>
      </c>
      <c r="X196" t="str">
        <f>IFERROR(_xlfn.XLOOKUP($A196,Master_Data!$C:$C,Master_Data!$O:$O,"CHECK",0),"No Result")</f>
        <v>Safe Seat</v>
      </c>
      <c r="Y196">
        <f>_xlfn.XLOOKUP($A196,Master_Data!$C:$C,Master_Data!$P:$P,"CHECK",0)</f>
        <v>0</v>
      </c>
      <c r="Z196">
        <f t="shared" si="7"/>
        <v>1</v>
      </c>
    </row>
    <row r="197" spans="1:26">
      <c r="A197" t="str">
        <v>Mymensingh-9</v>
      </c>
      <c r="B197" t="str" cm="1">
        <f t="array" ref="B1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Nawabganj","Chapainawabganj"),Final_Merged_Data!$B$2:$B$1000=$A197)))</f>
        <v>Mymensingh</v>
      </c>
      <c r="C197" t="str" cm="1">
        <f t="array" ref="C197">_xlfn.TEXTJOIN(", ",TRUE,_xlfn._xlws.FILTER(Final_Merged_Data!$C$2:$C$1000,Final_Merged_Data!$B$2:$B$1000=$A197))</f>
        <v>Nandail</v>
      </c>
      <c r="D197" cm="1">
        <f t="array" ref="D197">COUNTA(_xlfn._xlws.FILTER(Final_Merged_Data!$C$2:$C$1000,Final_Merged_Data!$B$2:$B$1000=$A197))</f>
        <v>1</v>
      </c>
      <c r="E197">
        <f>SUMIFS(Final_Merged_Data!$E:$E,Final_Merged_Data!$B:$B,$A197)</f>
        <v>347.31</v>
      </c>
      <c r="F197">
        <f>SUMIFS(Final_Merged_Data!$F:$F,Final_Merged_Data!$B:$B,$A197)</f>
        <v>421277</v>
      </c>
      <c r="G197">
        <f t="shared" si="6"/>
        <v>1212.9711209006364</v>
      </c>
      <c r="H197" cm="1">
        <f t="array" ref="H197">SUMPRODUCT((Final_Merged_Data!$B$2:$B$1000=$A197)*Final_Merged_Data!$H$2:$H$1000*Final_Merged_Data!$F$2:$F$1000)/F197</f>
        <v>4.1100000000000003</v>
      </c>
      <c r="I197" cm="1">
        <f t="array" ref="I197">SUMPRODUCT((Final_Merged_Data!$B$2:$B$1000=$A197)*Final_Merged_Data!$I$2:$I$1000*Final_Merged_Data!$F$2:$F$1000)/F197</f>
        <v>66.03</v>
      </c>
      <c r="J197" t="str" cm="1">
        <f t="array" ref="J197">_xlfn.TEXTJOIN(", ",TRUE,_xlfn.UNIQUE(_xlfn._xlws.FILTER(Final_Merged_Data!$J$2:$J$1000,Final_Merged_Data!$B$2:$B$1000=$A197)))</f>
        <v>Mymensingh Range</v>
      </c>
      <c r="K197" cm="1">
        <f t="array" ref="K197">SUMPRODUCT((Final_Merged_Data!$B$2:$B$1000=$A197)*Final_Merged_Data!$K$2:$K$1000*Final_Merged_Data!$F$2:$F$1000)/F197</f>
        <v>84.741263899591743</v>
      </c>
      <c r="L197" cm="1">
        <f t="array" ref="L197">SUMPRODUCT((Final_Merged_Data!$B$2:$B$1000=$A197)*Final_Merged_Data!$L$2:$L$1000*Final_Merged_Data!$F$2:$F$1000)/F197</f>
        <v>13.63549101550381</v>
      </c>
      <c r="M197" t="str">
        <f>IF(COUNTIF(Master_Data!$C:$C,$A197)&gt;0,"Found","Missing")</f>
        <v>Found</v>
      </c>
      <c r="N197" t="str">
        <f>_xlfn.XLOOKUP($A197,Master_Data!$C:$C,Master_Data!$D:$D,"CHECK",0)</f>
        <v>Yasser Khan Chowdhury</v>
      </c>
      <c r="O197" t="str">
        <f>_xlfn.XLOOKUP($A197,Master_Data!$C:$C,Master_Data!$E:$E,"CHECK",0)</f>
        <v>BNP</v>
      </c>
      <c r="P197">
        <f>_xlfn.XLOOKUP($A197,Master_Data!$C:$C,Master_Data!$F:$F,"CHECK",0)</f>
        <v>1</v>
      </c>
      <c r="Q197">
        <f>_xlfn.XLOOKUP($A197,Master_Data!$C:$C,Master_Data!$G:$G,"CHECK",0)</f>
        <v>85761</v>
      </c>
      <c r="R197">
        <f>IFERROR(_xlfn.XLOOKUP($A197,Master_Data!$C:$C,Master_Data!$H:$H,"CHECK",0),"")</f>
        <v>54.649554894251537</v>
      </c>
      <c r="S197" t="str">
        <f>_xlfn.XLOOKUP($A197,Master_Data!$C:$C,Master_Data!$I:$I,"CHECK",0)</f>
        <v>AKM Anwarul Islam</v>
      </c>
      <c r="T197">
        <f>_xlfn.XLOOKUP($A197,Master_Data!$C:$C,Master_Data!$K:$K,"CHECK",0)</f>
        <v>71168</v>
      </c>
      <c r="U197">
        <f>IFERROR(_xlfn.XLOOKUP($A197,Master_Data!$C:$C,Master_Data!$L:$L,"CHECK",0),"")</f>
        <v>45.350445105748463</v>
      </c>
      <c r="V197">
        <f>_xlfn.XLOOKUP($A197,Master_Data!$C:$C,Master_Data!$M:$M,"CHECK",0)</f>
        <v>14593</v>
      </c>
      <c r="W197">
        <f>IFERROR(_xlfn.XLOOKUP($A197,Master_Data!$C:$C,Master_Data!$N:$N,"CHECK",0),"")</f>
        <v>9.2991097885030811</v>
      </c>
      <c r="X197" t="str">
        <f>IFERROR(_xlfn.XLOOKUP($A197,Master_Data!$C:$C,Master_Data!$O:$O,"CHECK",0),"No Result")</f>
        <v>Safe Seat</v>
      </c>
      <c r="Y197">
        <f>_xlfn.XLOOKUP($A197,Master_Data!$C:$C,Master_Data!$P:$P,"CHECK",0)</f>
        <v>0</v>
      </c>
      <c r="Z197">
        <f t="shared" si="7"/>
        <v>1</v>
      </c>
    </row>
    <row r="198" spans="1:26">
      <c r="A198" t="str">
        <v>Naogaon-1</v>
      </c>
      <c r="B198" t="str" cm="1">
        <f t="array" ref="B1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Nawabganj","Chapainawabganj"),Final_Merged_Data!$B$2:$B$1000=$A198)))</f>
        <v>Naogaon</v>
      </c>
      <c r="C198" t="str" cm="1">
        <f t="array" ref="C198">_xlfn.TEXTJOIN(", ",TRUE,_xlfn._xlws.FILTER(Final_Merged_Data!$C$2:$C$1000,Final_Merged_Data!$B$2:$B$1000=$A198))</f>
        <v>Sapahar, Porsha, Niamatpur</v>
      </c>
      <c r="D198" cm="1">
        <f t="array" ref="D198">COUNTA(_xlfn._xlws.FILTER(Final_Merged_Data!$C$2:$C$1000,Final_Merged_Data!$B$2:$B$1000=$A198))</f>
        <v>3</v>
      </c>
      <c r="E198">
        <f>SUMIFS(Final_Merged_Data!$E:$E,Final_Merged_Data!$B:$B,$A198)</f>
        <v>990.5</v>
      </c>
      <c r="F198">
        <f>SUMIFS(Final_Merged_Data!$F:$F,Final_Merged_Data!$B:$B,$A198)</f>
        <v>602253</v>
      </c>
      <c r="G198">
        <f t="shared" si="6"/>
        <v>608.02927814235238</v>
      </c>
      <c r="H198" cm="1">
        <f t="array" ref="H198">SUMPRODUCT((Final_Merged_Data!$B$2:$B$1000=$A198)*Final_Merged_Data!$H$2:$H$1000*Final_Merged_Data!$F$2:$F$1000)/F198</f>
        <v>3.7338310975619882</v>
      </c>
      <c r="I198" cm="1">
        <f t="array" ref="I198">SUMPRODUCT((Final_Merged_Data!$B$2:$B$1000=$A198)*Final_Merged_Data!$I$2:$I$1000*Final_Merged_Data!$F$2:$F$1000)/F198</f>
        <v>73.111721668468235</v>
      </c>
      <c r="J198" t="str" cm="1">
        <f t="array" ref="J198">_xlfn.TEXTJOIN(", ",TRUE,_xlfn.UNIQUE(_xlfn._xlws.FILTER(Final_Merged_Data!$J$2:$J$1000,Final_Merged_Data!$B$2:$B$1000=$A198)))</f>
        <v>Rajshahi Range</v>
      </c>
      <c r="K198" cm="1">
        <f t="array" ref="K198">SUMPRODUCT((Final_Merged_Data!$B$2:$B$1000=$A198)*Final_Merged_Data!$K$2:$K$1000*Final_Merged_Data!$F$2:$F$1000)/F198</f>
        <v>112.81411131450233</v>
      </c>
      <c r="L198" cm="1">
        <f t="array" ref="L198">SUMPRODUCT((Final_Merged_Data!$B$2:$B$1000=$A198)*Final_Merged_Data!$L$2:$L$1000*Final_Merged_Data!$F$2:$F$1000)/F198</f>
        <v>14.272851259111951</v>
      </c>
      <c r="M198" t="str">
        <f>IF(COUNTIF(Master_Data!$C:$C,$A198)&gt;0,"Found","Missing")</f>
        <v>Found</v>
      </c>
      <c r="N198" t="str">
        <f>_xlfn.XLOOKUP($A198,Master_Data!$C:$C,Master_Data!$D:$D,"CHECK",0)</f>
        <v>Md. Mostafizur Rahman</v>
      </c>
      <c r="O198" t="str">
        <f>_xlfn.XLOOKUP($A198,Master_Data!$C:$C,Master_Data!$E:$E,"CHECK",0)</f>
        <v>BNP</v>
      </c>
      <c r="P198">
        <f>_xlfn.XLOOKUP($A198,Master_Data!$C:$C,Master_Data!$F:$F,"CHECK",0)</f>
        <v>1</v>
      </c>
      <c r="Q198">
        <f>_xlfn.XLOOKUP($A198,Master_Data!$C:$C,Master_Data!$G:$G,"CHECK",0)</f>
        <v>173864</v>
      </c>
      <c r="R198">
        <f>IFERROR(_xlfn.XLOOKUP($A198,Master_Data!$C:$C,Master_Data!$H:$H,"CHECK",0),"")</f>
        <v>53.059082031250007</v>
      </c>
      <c r="S198" t="str">
        <f>_xlfn.XLOOKUP($A198,Master_Data!$C:$C,Master_Data!$I:$I,"CHECK",0)</f>
        <v>Md. Mahbubul Alam</v>
      </c>
      <c r="T198">
        <f>_xlfn.XLOOKUP($A198,Master_Data!$C:$C,Master_Data!$K:$K,"CHECK",0)</f>
        <v>153816</v>
      </c>
      <c r="U198">
        <f>IFERROR(_xlfn.XLOOKUP($A198,Master_Data!$C:$C,Master_Data!$L:$L,"CHECK",0),"")</f>
        <v>46.94091796875</v>
      </c>
      <c r="V198">
        <f>_xlfn.XLOOKUP($A198,Master_Data!$C:$C,Master_Data!$M:$M,"CHECK",0)</f>
        <v>20048</v>
      </c>
      <c r="W198">
        <f>IFERROR(_xlfn.XLOOKUP($A198,Master_Data!$C:$C,Master_Data!$N:$N,"CHECK",0),"")</f>
        <v>6.1181640625</v>
      </c>
      <c r="X198" t="str">
        <f>IFERROR(_xlfn.XLOOKUP($A198,Master_Data!$C:$C,Master_Data!$O:$O,"CHECK",0),"No Result")</f>
        <v>Safe Seat</v>
      </c>
      <c r="Y198">
        <f>_xlfn.XLOOKUP($A198,Master_Data!$C:$C,Master_Data!$P:$P,"CHECK",0)</f>
        <v>0</v>
      </c>
      <c r="Z198">
        <f t="shared" si="7"/>
        <v>1</v>
      </c>
    </row>
    <row r="199" spans="1:26">
      <c r="A199" t="str">
        <v>Naogaon-2</v>
      </c>
      <c r="B199" t="str" cm="1">
        <f t="array" ref="B1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Nawabganj","Chapainawabganj"),Final_Merged_Data!$B$2:$B$1000=$A199)))</f>
        <v>Naogaon</v>
      </c>
      <c r="C199" t="str" cm="1">
        <f t="array" ref="C199">_xlfn.TEXTJOIN(", ",TRUE,_xlfn._xlws.FILTER(Final_Merged_Data!$C$2:$C$1000,Final_Merged_Data!$B$2:$B$1000=$A199))</f>
        <v>Patnitala, Dhamoirhat</v>
      </c>
      <c r="D199" cm="1">
        <f t="array" ref="D199">COUNTA(_xlfn._xlws.FILTER(Final_Merged_Data!$C$2:$C$1000,Final_Merged_Data!$B$2:$B$1000=$A199))</f>
        <v>2</v>
      </c>
      <c r="E199">
        <f>SUMIFS(Final_Merged_Data!$E:$E,Final_Merged_Data!$B:$B,$A199)</f>
        <v>681.78</v>
      </c>
      <c r="F199">
        <f>SUMIFS(Final_Merged_Data!$F:$F,Final_Merged_Data!$B:$B,$A199)</f>
        <v>444892</v>
      </c>
      <c r="G199">
        <f t="shared" si="6"/>
        <v>652.5448091759805</v>
      </c>
      <c r="H199" cm="1">
        <f t="array" ref="H199">SUMPRODUCT((Final_Merged_Data!$B$2:$B$1000=$A199)*Final_Merged_Data!$H$2:$H$1000*Final_Merged_Data!$F$2:$F$1000)/F199</f>
        <v>3.5538127455652155</v>
      </c>
      <c r="I199" cm="1">
        <f t="array" ref="I199">SUMPRODUCT((Final_Merged_Data!$B$2:$B$1000=$A199)*Final_Merged_Data!$I$2:$I$1000*Final_Merged_Data!$F$2:$F$1000)/F199</f>
        <v>74.770252802927459</v>
      </c>
      <c r="J199" t="str" cm="1">
        <f t="array" ref="J199">_xlfn.TEXTJOIN(", ",TRUE,_xlfn.UNIQUE(_xlfn._xlws.FILTER(Final_Merged_Data!$J$2:$J$1000,Final_Merged_Data!$B$2:$B$1000=$A199)))</f>
        <v>Rajshahi Range</v>
      </c>
      <c r="K199" cm="1">
        <f t="array" ref="K199">SUMPRODUCT((Final_Merged_Data!$B$2:$B$1000=$A199)*Final_Merged_Data!$K$2:$K$1000*Final_Merged_Data!$F$2:$F$1000)/F199</f>
        <v>112.81411131450233</v>
      </c>
      <c r="L199" cm="1">
        <f t="array" ref="L199">SUMPRODUCT((Final_Merged_Data!$B$2:$B$1000=$A199)*Final_Merged_Data!$L$2:$L$1000*Final_Merged_Data!$F$2:$F$1000)/F199</f>
        <v>14.272851259111947</v>
      </c>
      <c r="M199" t="str">
        <f>IF(COUNTIF(Master_Data!$C:$C,$A199)&gt;0,"Found","Missing")</f>
        <v>Found</v>
      </c>
      <c r="N199" t="str">
        <f>_xlfn.XLOOKUP($A199,Master_Data!$C:$C,Master_Data!$D:$D,"CHECK",0)</f>
        <v>Md. Enamul Haque</v>
      </c>
      <c r="O199" t="str">
        <f>_xlfn.XLOOKUP($A199,Master_Data!$C:$C,Master_Data!$E:$E,"CHECK",0)</f>
        <v>Jamaat</v>
      </c>
      <c r="P199">
        <f>_xlfn.XLOOKUP($A199,Master_Data!$C:$C,Master_Data!$F:$F,"CHECK",0)</f>
        <v>2</v>
      </c>
      <c r="Q199">
        <f>_xlfn.XLOOKUP($A199,Master_Data!$C:$C,Master_Data!$G:$G,"CHECK",0)</f>
        <v>141526</v>
      </c>
      <c r="R199">
        <f>IFERROR(_xlfn.XLOOKUP($A199,Master_Data!$C:$C,Master_Data!$H:$H,"CHECK",0),"")</f>
        <v>51.26657707229252</v>
      </c>
      <c r="S199" t="str">
        <f>_xlfn.XLOOKUP($A199,Master_Data!$C:$C,Master_Data!$I:$I,"CHECK",0)</f>
        <v>Md. Samsujjoha Khan</v>
      </c>
      <c r="T199">
        <f>_xlfn.XLOOKUP($A199,Master_Data!$C:$C,Master_Data!$K:$K,"CHECK",0)</f>
        <v>134533</v>
      </c>
      <c r="U199">
        <f>IFERROR(_xlfn.XLOOKUP($A199,Master_Data!$C:$C,Master_Data!$L:$L,"CHECK",0),"")</f>
        <v>48.73342292770748</v>
      </c>
      <c r="V199">
        <f>_xlfn.XLOOKUP($A199,Master_Data!$C:$C,Master_Data!$M:$M,"CHECK",0)</f>
        <v>6993</v>
      </c>
      <c r="W199">
        <f>IFERROR(_xlfn.XLOOKUP($A199,Master_Data!$C:$C,Master_Data!$N:$N,"CHECK",0),"")</f>
        <v>2.5331541445850347</v>
      </c>
      <c r="X199" t="str">
        <f>IFERROR(_xlfn.XLOOKUP($A199,Master_Data!$C:$C,Master_Data!$O:$O,"CHECK",0),"No Result")</f>
        <v>Highly Competitive</v>
      </c>
      <c r="Y199">
        <f>_xlfn.XLOOKUP($A199,Master_Data!$C:$C,Master_Data!$P:$P,"CHECK",0)</f>
        <v>0</v>
      </c>
      <c r="Z199">
        <f t="shared" si="7"/>
        <v>1</v>
      </c>
    </row>
    <row r="200" spans="1:26">
      <c r="A200" t="str">
        <v>Naogaon-3</v>
      </c>
      <c r="B200" t="str" cm="1">
        <f t="array" ref="B2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Nawabganj","Chapainawabganj"),Final_Merged_Data!$B$2:$B$1000=$A200)))</f>
        <v>Naogaon</v>
      </c>
      <c r="C200" t="str" cm="1">
        <f t="array" ref="C200">_xlfn.TEXTJOIN(", ",TRUE,_xlfn._xlws.FILTER(Final_Merged_Data!$C$2:$C$1000,Final_Merged_Data!$B$2:$B$1000=$A200))</f>
        <v>Mahadebpur, Badalgachhi</v>
      </c>
      <c r="D200" cm="1">
        <f t="array" ref="D200">COUNTA(_xlfn._xlws.FILTER(Final_Merged_Data!$C$2:$C$1000,Final_Merged_Data!$B$2:$B$1000=$A200))</f>
        <v>2</v>
      </c>
      <c r="E200">
        <f>SUMIFS(Final_Merged_Data!$E:$E,Final_Merged_Data!$B:$B,$A200)</f>
        <v>693.65000000000009</v>
      </c>
      <c r="F200">
        <f>SUMIFS(Final_Merged_Data!$F:$F,Final_Merged_Data!$B:$B,$A200)</f>
        <v>515202</v>
      </c>
      <c r="G200">
        <f t="shared" si="6"/>
        <v>742.74057521804934</v>
      </c>
      <c r="H200" cm="1">
        <f t="array" ref="H200">SUMPRODUCT((Final_Merged_Data!$B$2:$B$1000=$A200)*Final_Merged_Data!$H$2:$H$1000*Final_Merged_Data!$F$2:$F$1000)/F200</f>
        <v>3.4999547556104211</v>
      </c>
      <c r="I200" cm="1">
        <f t="array" ref="I200">SUMPRODUCT((Final_Merged_Data!$B$2:$B$1000=$A200)*Final_Merged_Data!$I$2:$I$1000*Final_Merged_Data!$F$2:$F$1000)/F200</f>
        <v>71.79701387028777</v>
      </c>
      <c r="J200" t="str" cm="1">
        <f t="array" ref="J200">_xlfn.TEXTJOIN(", ",TRUE,_xlfn.UNIQUE(_xlfn._xlws.FILTER(Final_Merged_Data!$J$2:$J$1000,Final_Merged_Data!$B$2:$B$1000=$A200)))</f>
        <v>Rajshahi Range</v>
      </c>
      <c r="K200" cm="1">
        <f t="array" ref="K200">SUMPRODUCT((Final_Merged_Data!$B$2:$B$1000=$A200)*Final_Merged_Data!$K$2:$K$1000*Final_Merged_Data!$F$2:$F$1000)/F200</f>
        <v>112.81411131450233</v>
      </c>
      <c r="L200" cm="1">
        <f t="array" ref="L200">SUMPRODUCT((Final_Merged_Data!$B$2:$B$1000=$A200)*Final_Merged_Data!$L$2:$L$1000*Final_Merged_Data!$F$2:$F$1000)/F200</f>
        <v>14.272851259111951</v>
      </c>
      <c r="M200" t="str">
        <f>IF(COUNTIF(Master_Data!$C:$C,$A200)&gt;0,"Found","Missing")</f>
        <v>Found</v>
      </c>
      <c r="N200" t="str">
        <f>_xlfn.XLOOKUP($A200,Master_Data!$C:$C,Master_Data!$D:$D,"CHECK",0)</f>
        <v>Md. Fazle Huda</v>
      </c>
      <c r="O200" t="str">
        <f>_xlfn.XLOOKUP($A200,Master_Data!$C:$C,Master_Data!$E:$E,"CHECK",0)</f>
        <v>BNP</v>
      </c>
      <c r="P200">
        <f>_xlfn.XLOOKUP($A200,Master_Data!$C:$C,Master_Data!$F:$F,"CHECK",0)</f>
        <v>1</v>
      </c>
      <c r="Q200">
        <f>_xlfn.XLOOKUP($A200,Master_Data!$C:$C,Master_Data!$G:$G,"CHECK",0)</f>
        <v>166889</v>
      </c>
      <c r="R200">
        <f>IFERROR(_xlfn.XLOOKUP($A200,Master_Data!$C:$C,Master_Data!$H:$H,"CHECK",0),"")</f>
        <v>58.289616150326573</v>
      </c>
      <c r="S200" t="str">
        <f>_xlfn.XLOOKUP($A200,Master_Data!$C:$C,Master_Data!$I:$I,"CHECK",0)</f>
        <v>Md. Mahfuzur Rahman</v>
      </c>
      <c r="T200">
        <f>_xlfn.XLOOKUP($A200,Master_Data!$C:$C,Master_Data!$K:$K,"CHECK",0)</f>
        <v>119421</v>
      </c>
      <c r="U200">
        <f>IFERROR(_xlfn.XLOOKUP($A200,Master_Data!$C:$C,Master_Data!$L:$L,"CHECK",0),"")</f>
        <v>41.710383849673434</v>
      </c>
      <c r="V200">
        <f>_xlfn.XLOOKUP($A200,Master_Data!$C:$C,Master_Data!$M:$M,"CHECK",0)</f>
        <v>47468</v>
      </c>
      <c r="W200">
        <f>IFERROR(_xlfn.XLOOKUP($A200,Master_Data!$C:$C,Master_Data!$N:$N,"CHECK",0),"")</f>
        <v>16.579232300653139</v>
      </c>
      <c r="X200" t="str">
        <f>IFERROR(_xlfn.XLOOKUP($A200,Master_Data!$C:$C,Master_Data!$O:$O,"CHECK",0),"No Result")</f>
        <v>Safe Seat</v>
      </c>
      <c r="Y200">
        <f>_xlfn.XLOOKUP($A200,Master_Data!$C:$C,Master_Data!$P:$P,"CHECK",0)</f>
        <v>0</v>
      </c>
      <c r="Z200">
        <f t="shared" si="7"/>
        <v>1</v>
      </c>
    </row>
    <row r="201" spans="1:26">
      <c r="A201" t="str">
        <v>Naogaon-4</v>
      </c>
      <c r="B201" t="str" cm="1">
        <f t="array" ref="B2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Nawabganj","Chapainawabganj"),Final_Merged_Data!$B$2:$B$1000=$A201)))</f>
        <v>Naogaon</v>
      </c>
      <c r="C201" t="str" cm="1">
        <f t="array" ref="C201">_xlfn.TEXTJOIN(", ",TRUE,_xlfn._xlws.FILTER(Final_Merged_Data!$C$2:$C$1000,Final_Merged_Data!$B$2:$B$1000=$A201))</f>
        <v>Manda</v>
      </c>
      <c r="D201" cm="1">
        <f t="array" ref="D201">COUNTA(_xlfn._xlws.FILTER(Final_Merged_Data!$C$2:$C$1000,Final_Merged_Data!$B$2:$B$1000=$A201))</f>
        <v>1</v>
      </c>
      <c r="E201">
        <f>SUMIFS(Final_Merged_Data!$E:$E,Final_Merged_Data!$B:$B,$A201)</f>
        <v>483.29</v>
      </c>
      <c r="F201">
        <f>SUMIFS(Final_Merged_Data!$F:$F,Final_Merged_Data!$B:$B,$A201)</f>
        <v>380571</v>
      </c>
      <c r="G201">
        <f t="shared" si="6"/>
        <v>787.45887562333166</v>
      </c>
      <c r="H201" cm="1">
        <f t="array" ref="H201">SUMPRODUCT((Final_Merged_Data!$B$2:$B$1000=$A201)*Final_Merged_Data!$H$2:$H$1000*Final_Merged_Data!$F$2:$F$1000)/F201</f>
        <v>3.44</v>
      </c>
      <c r="I201" cm="1">
        <f t="array" ref="I201">SUMPRODUCT((Final_Merged_Data!$B$2:$B$1000=$A201)*Final_Merged_Data!$I$2:$I$1000*Final_Merged_Data!$F$2:$F$1000)/F201</f>
        <v>68.3</v>
      </c>
      <c r="J201" t="str" cm="1">
        <f t="array" ref="J201">_xlfn.TEXTJOIN(", ",TRUE,_xlfn.UNIQUE(_xlfn._xlws.FILTER(Final_Merged_Data!$J$2:$J$1000,Final_Merged_Data!$B$2:$B$1000=$A201)))</f>
        <v>Rajshahi Range</v>
      </c>
      <c r="K201" cm="1">
        <f t="array" ref="K201">SUMPRODUCT((Final_Merged_Data!$B$2:$B$1000=$A201)*Final_Merged_Data!$K$2:$K$1000*Final_Merged_Data!$F$2:$F$1000)/F201</f>
        <v>112.81411131450233</v>
      </c>
      <c r="L201" cm="1">
        <f t="array" ref="L201">SUMPRODUCT((Final_Merged_Data!$B$2:$B$1000=$A201)*Final_Merged_Data!$L$2:$L$1000*Final_Merged_Data!$F$2:$F$1000)/F201</f>
        <v>14.272851259111949</v>
      </c>
      <c r="M201" t="str">
        <f>IF(COUNTIF(Master_Data!$C:$C,$A201)&gt;0,"Found","Missing")</f>
        <v>Found</v>
      </c>
      <c r="N201" t="str">
        <f>_xlfn.XLOOKUP($A201,Master_Data!$C:$C,Master_Data!$D:$D,"CHECK",0)</f>
        <v>Ekramul Bari Tipu</v>
      </c>
      <c r="O201" t="str">
        <f>_xlfn.XLOOKUP($A201,Master_Data!$C:$C,Master_Data!$E:$E,"CHECK",0)</f>
        <v>BNP</v>
      </c>
      <c r="P201">
        <f>_xlfn.XLOOKUP($A201,Master_Data!$C:$C,Master_Data!$F:$F,"CHECK",0)</f>
        <v>1</v>
      </c>
      <c r="Q201">
        <f>_xlfn.XLOOKUP($A201,Master_Data!$C:$C,Master_Data!$G:$G,"CHECK",0)</f>
        <v>133924</v>
      </c>
      <c r="R201">
        <f>IFERROR(_xlfn.XLOOKUP($A201,Master_Data!$C:$C,Master_Data!$H:$H,"CHECK",0),"")</f>
        <v>57.848290995166494</v>
      </c>
      <c r="S201" t="str">
        <f>_xlfn.XLOOKUP($A201,Master_Data!$C:$C,Master_Data!$I:$I,"CHECK",0)</f>
        <v>Md. Abdur Rakib</v>
      </c>
      <c r="T201">
        <f>_xlfn.XLOOKUP($A201,Master_Data!$C:$C,Master_Data!$K:$K,"CHECK",0)</f>
        <v>97585</v>
      </c>
      <c r="U201">
        <f>IFERROR(_xlfn.XLOOKUP($A201,Master_Data!$C:$C,Master_Data!$L:$L,"CHECK",0),"")</f>
        <v>42.151709004833506</v>
      </c>
      <c r="V201">
        <f>_xlfn.XLOOKUP($A201,Master_Data!$C:$C,Master_Data!$M:$M,"CHECK",0)</f>
        <v>36339</v>
      </c>
      <c r="W201">
        <f>IFERROR(_xlfn.XLOOKUP($A201,Master_Data!$C:$C,Master_Data!$N:$N,"CHECK",0),"")</f>
        <v>15.696581990332989</v>
      </c>
      <c r="X201" t="str">
        <f>IFERROR(_xlfn.XLOOKUP($A201,Master_Data!$C:$C,Master_Data!$O:$O,"CHECK",0),"No Result")</f>
        <v>Safe Seat</v>
      </c>
      <c r="Y201">
        <f>_xlfn.XLOOKUP($A201,Master_Data!$C:$C,Master_Data!$P:$P,"CHECK",0)</f>
        <v>0</v>
      </c>
      <c r="Z201">
        <f t="shared" si="7"/>
        <v>1</v>
      </c>
    </row>
    <row r="202" spans="1:26">
      <c r="A202" t="str">
        <v>Naogaon-5</v>
      </c>
      <c r="B202" t="str" cm="1">
        <f t="array" ref="B20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Nawabganj","Chapainawabganj"),Final_Merged_Data!$B$2:$B$1000=$A202)))</f>
        <v>Naogaon</v>
      </c>
      <c r="C202" t="str" cm="1">
        <f t="array" ref="C202">_xlfn.TEXTJOIN(", ",TRUE,_xlfn._xlws.FILTER(Final_Merged_Data!$C$2:$C$1000,Final_Merged_Data!$B$2:$B$1000=$A202))</f>
        <v>Naogaon Sadar</v>
      </c>
      <c r="D202" cm="1">
        <f t="array" ref="D202">COUNTA(_xlfn._xlws.FILTER(Final_Merged_Data!$C$2:$C$1000,Final_Merged_Data!$B$2:$B$1000=$A202))</f>
        <v>1</v>
      </c>
      <c r="E202">
        <f>SUMIFS(Final_Merged_Data!$E:$E,Final_Merged_Data!$B:$B,$A202)</f>
        <v>275.73</v>
      </c>
      <c r="F202">
        <f>SUMIFS(Final_Merged_Data!$F:$F,Final_Merged_Data!$B:$B,$A202)</f>
        <v>447877</v>
      </c>
      <c r="G202">
        <f t="shared" si="6"/>
        <v>1624.3317738367243</v>
      </c>
      <c r="H202" cm="1">
        <f t="array" ref="H202">SUMPRODUCT((Final_Merged_Data!$B$2:$B$1000=$A202)*Final_Merged_Data!$H$2:$H$1000*Final_Merged_Data!$F$2:$F$1000)/F202</f>
        <v>3.6700000000000004</v>
      </c>
      <c r="I202" cm="1">
        <f t="array" ref="I202">SUMPRODUCT((Final_Merged_Data!$B$2:$B$1000=$A202)*Final_Merged_Data!$I$2:$I$1000*Final_Merged_Data!$F$2:$F$1000)/F202</f>
        <v>75.36</v>
      </c>
      <c r="J202" t="str" cm="1">
        <f t="array" ref="J202">_xlfn.TEXTJOIN(", ",TRUE,_xlfn.UNIQUE(_xlfn._xlws.FILTER(Final_Merged_Data!$J$2:$J$1000,Final_Merged_Data!$B$2:$B$1000=$A202)))</f>
        <v>Rajshahi Range</v>
      </c>
      <c r="K202" cm="1">
        <f t="array" ref="K202">SUMPRODUCT((Final_Merged_Data!$B$2:$B$1000=$A202)*Final_Merged_Data!$K$2:$K$1000*Final_Merged_Data!$F$2:$F$1000)/F202</f>
        <v>112.81411131450233</v>
      </c>
      <c r="L202" cm="1">
        <f t="array" ref="L202">SUMPRODUCT((Final_Merged_Data!$B$2:$B$1000=$A202)*Final_Merged_Data!$L$2:$L$1000*Final_Merged_Data!$F$2:$F$1000)/F202</f>
        <v>14.272851259111951</v>
      </c>
      <c r="M202" t="str">
        <f>IF(COUNTIF(Master_Data!$C:$C,$A202)&gt;0,"Found","Missing")</f>
        <v>Found</v>
      </c>
      <c r="N202" t="str">
        <f>_xlfn.XLOOKUP($A202,Master_Data!$C:$C,Master_Data!$D:$D,"CHECK",0)</f>
        <v>Md. Zahidul Islam Dulu</v>
      </c>
      <c r="O202" t="str">
        <f>_xlfn.XLOOKUP($A202,Master_Data!$C:$C,Master_Data!$E:$E,"CHECK",0)</f>
        <v>BNP</v>
      </c>
      <c r="P202">
        <f>_xlfn.XLOOKUP($A202,Master_Data!$C:$C,Master_Data!$F:$F,"CHECK",0)</f>
        <v>1</v>
      </c>
      <c r="Q202">
        <f>_xlfn.XLOOKUP($A202,Master_Data!$C:$C,Master_Data!$G:$G,"CHECK",0)</f>
        <v>129385</v>
      </c>
      <c r="R202">
        <f>IFERROR(_xlfn.XLOOKUP($A202,Master_Data!$C:$C,Master_Data!$H:$H,"CHECK",0),"")</f>
        <v>55.261561853996888</v>
      </c>
      <c r="S202" t="str">
        <f>_xlfn.XLOOKUP($A202,Master_Data!$C:$C,Master_Data!$I:$I,"CHECK",0)</f>
        <v>Abu Sadat Md. Sayem</v>
      </c>
      <c r="T202">
        <f>_xlfn.XLOOKUP($A202,Master_Data!$C:$C,Master_Data!$K:$K,"CHECK",0)</f>
        <v>104747</v>
      </c>
      <c r="U202">
        <f>IFERROR(_xlfn.XLOOKUP($A202,Master_Data!$C:$C,Master_Data!$L:$L,"CHECK",0),"")</f>
        <v>44.738438146003105</v>
      </c>
      <c r="V202">
        <f>_xlfn.XLOOKUP($A202,Master_Data!$C:$C,Master_Data!$M:$M,"CHECK",0)</f>
        <v>24638</v>
      </c>
      <c r="W202">
        <f>IFERROR(_xlfn.XLOOKUP($A202,Master_Data!$C:$C,Master_Data!$N:$N,"CHECK",0),"")</f>
        <v>10.523123707993781</v>
      </c>
      <c r="X202" t="str">
        <f>IFERROR(_xlfn.XLOOKUP($A202,Master_Data!$C:$C,Master_Data!$O:$O,"CHECK",0),"No Result")</f>
        <v>Safe Seat</v>
      </c>
      <c r="Y202">
        <f>_xlfn.XLOOKUP($A202,Master_Data!$C:$C,Master_Data!$P:$P,"CHECK",0)</f>
        <v>0</v>
      </c>
      <c r="Z202">
        <f t="shared" si="7"/>
        <v>1</v>
      </c>
    </row>
    <row r="203" spans="1:26">
      <c r="A203" t="str">
        <v>Naogaon-6</v>
      </c>
      <c r="B203" t="str" cm="1">
        <f t="array" ref="B20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Nawabganj","Chapainawabganj"),Final_Merged_Data!$B$2:$B$1000=$A203)))</f>
        <v>Naogaon</v>
      </c>
      <c r="C203" t="str" cm="1">
        <f t="array" ref="C203">_xlfn.TEXTJOIN(", ",TRUE,_xlfn._xlws.FILTER(Final_Merged_Data!$C$2:$C$1000,Final_Merged_Data!$B$2:$B$1000=$A203))</f>
        <v>Raninagar, Atrai</v>
      </c>
      <c r="D203" cm="1">
        <f t="array" ref="D203">COUNTA(_xlfn._xlws.FILTER(Final_Merged_Data!$C$2:$C$1000,Final_Merged_Data!$B$2:$B$1000=$A203))</f>
        <v>2</v>
      </c>
      <c r="E203">
        <f>SUMIFS(Final_Merged_Data!$E:$E,Final_Merged_Data!$B:$B,$A203)</f>
        <v>542.95000000000005</v>
      </c>
      <c r="F203">
        <f>SUMIFS(Final_Merged_Data!$F:$F,Final_Merged_Data!$B:$B,$A203)</f>
        <v>393666</v>
      </c>
      <c r="G203">
        <f t="shared" si="6"/>
        <v>725.05018878349745</v>
      </c>
      <c r="H203" cm="1">
        <f t="array" ref="H203">SUMPRODUCT((Final_Merged_Data!$B$2:$B$1000=$A203)*Final_Merged_Data!$H$2:$H$1000*Final_Merged_Data!$F$2:$F$1000)/F203</f>
        <v>3.599296002194754</v>
      </c>
      <c r="I203" cm="1">
        <f t="array" ref="I203">SUMPRODUCT((Final_Merged_Data!$B$2:$B$1000=$A203)*Final_Merged_Data!$I$2:$I$1000*Final_Merged_Data!$F$2:$F$1000)/F203</f>
        <v>68.920152108640323</v>
      </c>
      <c r="J203" t="str" cm="1">
        <f t="array" ref="J203">_xlfn.TEXTJOIN(", ",TRUE,_xlfn.UNIQUE(_xlfn._xlws.FILTER(Final_Merged_Data!$J$2:$J$1000,Final_Merged_Data!$B$2:$B$1000=$A203)))</f>
        <v>Rajshahi Range</v>
      </c>
      <c r="K203" cm="1">
        <f t="array" ref="K203">SUMPRODUCT((Final_Merged_Data!$B$2:$B$1000=$A203)*Final_Merged_Data!$K$2:$K$1000*Final_Merged_Data!$F$2:$F$1000)/F203</f>
        <v>112.81411131450233</v>
      </c>
      <c r="L203" cm="1">
        <f t="array" ref="L203">SUMPRODUCT((Final_Merged_Data!$B$2:$B$1000=$A203)*Final_Merged_Data!$L$2:$L$1000*Final_Merged_Data!$F$2:$F$1000)/F203</f>
        <v>14.272851259111951</v>
      </c>
      <c r="M203" t="str">
        <f>IF(COUNTIF(Master_Data!$C:$C,$A203)&gt;0,"Found","Missing")</f>
        <v>Found</v>
      </c>
      <c r="N203" t="str">
        <f>_xlfn.XLOOKUP($A203,Master_Data!$C:$C,Master_Data!$D:$D,"CHECK",0)</f>
        <v>Sheikh Md. Rezaul Islam</v>
      </c>
      <c r="O203" t="str">
        <f>_xlfn.XLOOKUP($A203,Master_Data!$C:$C,Master_Data!$E:$E,"CHECK",0)</f>
        <v>BNP</v>
      </c>
      <c r="P203">
        <f>_xlfn.XLOOKUP($A203,Master_Data!$C:$C,Master_Data!$F:$F,"CHECK",0)</f>
        <v>1</v>
      </c>
      <c r="Q203">
        <f>_xlfn.XLOOKUP($A203,Master_Data!$C:$C,Master_Data!$G:$G,"CHECK",0)</f>
        <v>108866</v>
      </c>
      <c r="R203">
        <f>IFERROR(_xlfn.XLOOKUP($A203,Master_Data!$C:$C,Master_Data!$H:$H,"CHECK",0),"")</f>
        <v>52.720889125644689</v>
      </c>
      <c r="S203" t="str">
        <f>_xlfn.XLOOKUP($A203,Master_Data!$C:$C,Master_Data!$I:$I,"CHECK",0)</f>
        <v>Md. Khabirul Islam</v>
      </c>
      <c r="T203">
        <f>_xlfn.XLOOKUP($A203,Master_Data!$C:$C,Master_Data!$K:$K,"CHECK",0)</f>
        <v>97629</v>
      </c>
      <c r="U203">
        <f>IFERROR(_xlfn.XLOOKUP($A203,Master_Data!$C:$C,Master_Data!$L:$L,"CHECK",0),"")</f>
        <v>47.279110874355311</v>
      </c>
      <c r="V203">
        <f>_xlfn.XLOOKUP($A203,Master_Data!$C:$C,Master_Data!$M:$M,"CHECK",0)</f>
        <v>11237</v>
      </c>
      <c r="W203">
        <f>IFERROR(_xlfn.XLOOKUP($A203,Master_Data!$C:$C,Master_Data!$N:$N,"CHECK",0),"")</f>
        <v>5.4417782512893771</v>
      </c>
      <c r="X203" t="str">
        <f>IFERROR(_xlfn.XLOOKUP($A203,Master_Data!$C:$C,Master_Data!$O:$O,"CHECK",0),"No Result")</f>
        <v>Safe Seat</v>
      </c>
      <c r="Y203">
        <f>_xlfn.XLOOKUP($A203,Master_Data!$C:$C,Master_Data!$P:$P,"CHECK",0)</f>
        <v>0</v>
      </c>
      <c r="Z203">
        <f t="shared" si="7"/>
        <v>1</v>
      </c>
    </row>
    <row r="204" spans="1:26">
      <c r="A204" t="str">
        <v>Narail-1</v>
      </c>
      <c r="B204" t="str" cm="1">
        <f t="array" ref="B20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Nawabganj","Chapainawabganj"),Final_Merged_Data!$B$2:$B$1000=$A204)))</f>
        <v>Narail</v>
      </c>
      <c r="C204" t="str" cm="1">
        <f t="array" ref="C204">_xlfn.TEXTJOIN(", ",TRUE,_xlfn._xlws.FILTER(Final_Merged_Data!$C$2:$C$1000,Final_Merged_Data!$B$2:$B$1000=$A204))</f>
        <v>Narail Sadar, Kalia</v>
      </c>
      <c r="D204" cm="1">
        <f t="array" ref="D204">COUNTA(_xlfn._xlws.FILTER(Final_Merged_Data!$C$2:$C$1000,Final_Merged_Data!$B$2:$B$1000=$A204))</f>
        <v>2</v>
      </c>
      <c r="E204">
        <f>SUMIFS(Final_Merged_Data!$E:$E,Final_Merged_Data!$B:$B,$A204)</f>
        <v>497.86</v>
      </c>
      <c r="F204">
        <f>SUMIFS(Final_Merged_Data!$F:$F,Final_Merged_Data!$B:$B,$A204)</f>
        <v>540214</v>
      </c>
      <c r="G204">
        <f t="shared" si="6"/>
        <v>1085.0721086249146</v>
      </c>
      <c r="H204" cm="1">
        <f t="array" ref="H204">SUMPRODUCT((Final_Merged_Data!$B$2:$B$1000=$A204)*Final_Merged_Data!$H$2:$H$1000*Final_Merged_Data!$F$2:$F$1000)/F204</f>
        <v>3.9840121507402624</v>
      </c>
      <c r="I204" cm="1">
        <f t="array" ref="I204">SUMPRODUCT((Final_Merged_Data!$B$2:$B$1000=$A204)*Final_Merged_Data!$I$2:$I$1000*Final_Merged_Data!$F$2:$F$1000)/F204</f>
        <v>74.6987185078506</v>
      </c>
      <c r="J204" t="str" cm="1">
        <f t="array" ref="J204">_xlfn.TEXTJOIN(", ",TRUE,_xlfn.UNIQUE(_xlfn._xlws.FILTER(Final_Merged_Data!$J$2:$J$1000,Final_Merged_Data!$B$2:$B$1000=$A204)))</f>
        <v>Khulna Range</v>
      </c>
      <c r="K204" cm="1">
        <f t="array" ref="K204">SUMPRODUCT((Final_Merged_Data!$B$2:$B$1000=$A204)*Final_Merged_Data!$K$2:$K$1000*Final_Merged_Data!$F$2:$F$1000)/F204</f>
        <v>102.32166075410298</v>
      </c>
      <c r="L204" cm="1">
        <f t="array" ref="L204">SUMPRODUCT((Final_Merged_Data!$B$2:$B$1000=$A204)*Final_Merged_Data!$L$2:$L$1000*Final_Merged_Data!$F$2:$F$1000)/F204</f>
        <v>12.212237548443923</v>
      </c>
      <c r="M204" t="str">
        <f>IF(COUNTIF(Master_Data!$C:$C,$A204)&gt;0,"Found","Missing")</f>
        <v>Found</v>
      </c>
      <c r="N204" t="str">
        <f>_xlfn.XLOOKUP($A204,Master_Data!$C:$C,Master_Data!$D:$D,"CHECK",0)</f>
        <v>Biswas Jahangir Alam</v>
      </c>
      <c r="O204" t="str">
        <f>_xlfn.XLOOKUP($A204,Master_Data!$C:$C,Master_Data!$E:$E,"CHECK",0)</f>
        <v>BNP</v>
      </c>
      <c r="P204">
        <f>_xlfn.XLOOKUP($A204,Master_Data!$C:$C,Master_Data!$F:$F,"CHECK",0)</f>
        <v>1</v>
      </c>
      <c r="Q204">
        <f>_xlfn.XLOOKUP($A204,Master_Data!$C:$C,Master_Data!$G:$G,"CHECK",0)</f>
        <v>99975</v>
      </c>
      <c r="R204">
        <f>IFERROR(_xlfn.XLOOKUP($A204,Master_Data!$C:$C,Master_Data!$H:$H,"CHECK",0),"")</f>
        <v>57.063356164383563</v>
      </c>
      <c r="S204" t="str">
        <f>_xlfn.XLOOKUP($A204,Master_Data!$C:$C,Master_Data!$I:$I,"CHECK",0)</f>
        <v>Md. Obaidullah</v>
      </c>
      <c r="T204">
        <f>_xlfn.XLOOKUP($A204,Master_Data!$C:$C,Master_Data!$K:$K,"CHECK",0)</f>
        <v>75225</v>
      </c>
      <c r="U204">
        <f>IFERROR(_xlfn.XLOOKUP($A204,Master_Data!$C:$C,Master_Data!$L:$L,"CHECK",0),"")</f>
        <v>42.936643835616437</v>
      </c>
      <c r="V204">
        <f>_xlfn.XLOOKUP($A204,Master_Data!$C:$C,Master_Data!$M:$M,"CHECK",0)</f>
        <v>24750</v>
      </c>
      <c r="W204">
        <f>IFERROR(_xlfn.XLOOKUP($A204,Master_Data!$C:$C,Master_Data!$N:$N,"CHECK",0),"")</f>
        <v>14.126712328767125</v>
      </c>
      <c r="X204" t="str">
        <f>IFERROR(_xlfn.XLOOKUP($A204,Master_Data!$C:$C,Master_Data!$O:$O,"CHECK",0),"No Result")</f>
        <v>Safe Seat</v>
      </c>
      <c r="Y204">
        <f>_xlfn.XLOOKUP($A204,Master_Data!$C:$C,Master_Data!$P:$P,"CHECK",0)</f>
        <v>0</v>
      </c>
      <c r="Z204">
        <f t="shared" si="7"/>
        <v>1</v>
      </c>
    </row>
    <row r="205" spans="1:26">
      <c r="A205" t="str">
        <v>Narail-2</v>
      </c>
      <c r="B205" t="str" cm="1">
        <f t="array" ref="B20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Nawabganj","Chapainawabganj"),Final_Merged_Data!$B$2:$B$1000=$A205)))</f>
        <v>Narail</v>
      </c>
      <c r="C205" t="str" cm="1">
        <f t="array" ref="C205">_xlfn.TEXTJOIN(", ",TRUE,_xlfn._xlws.FILTER(Final_Merged_Data!$C$2:$C$1000,Final_Merged_Data!$B$2:$B$1000=$A205))</f>
        <v>Lohagara</v>
      </c>
      <c r="D205" cm="1">
        <f t="array" ref="D205">COUNTA(_xlfn._xlws.FILTER(Final_Merged_Data!$C$2:$C$1000,Final_Merged_Data!$B$2:$B$1000=$A205))</f>
        <v>1</v>
      </c>
      <c r="E205">
        <f>SUMIFS(Final_Merged_Data!$E:$E,Final_Merged_Data!$B:$B,$A205)</f>
        <v>258.87</v>
      </c>
      <c r="F205">
        <f>SUMIFS(Final_Merged_Data!$F:$F,Final_Merged_Data!$B:$B,$A205)</f>
        <v>328206</v>
      </c>
      <c r="G205">
        <f t="shared" si="6"/>
        <v>1267.8410012747711</v>
      </c>
      <c r="H205" cm="1">
        <f t="array" ref="H205">SUMPRODUCT((Final_Merged_Data!$B$2:$B$1000=$A205)*Final_Merged_Data!$H$2:$H$1000*Final_Merged_Data!$F$2:$F$1000)/F205</f>
        <v>4.5</v>
      </c>
      <c r="I205" cm="1">
        <f t="array" ref="I205">SUMPRODUCT((Final_Merged_Data!$B$2:$B$1000=$A205)*Final_Merged_Data!$I$2:$I$1000*Final_Merged_Data!$F$2:$F$1000)/F205</f>
        <v>82.41</v>
      </c>
      <c r="J205" t="str" cm="1">
        <f t="array" ref="J205">_xlfn.TEXTJOIN(", ",TRUE,_xlfn.UNIQUE(_xlfn._xlws.FILTER(Final_Merged_Data!$J$2:$J$1000,Final_Merged_Data!$B$2:$B$1000=$A205)))</f>
        <v>Khulna Range</v>
      </c>
      <c r="K205" cm="1">
        <f t="array" ref="K205">SUMPRODUCT((Final_Merged_Data!$B$2:$B$1000=$A205)*Final_Merged_Data!$K$2:$K$1000*Final_Merged_Data!$F$2:$F$1000)/F205</f>
        <v>102.32166075410298</v>
      </c>
      <c r="L205" cm="1">
        <f t="array" ref="L205">SUMPRODUCT((Final_Merged_Data!$B$2:$B$1000=$A205)*Final_Merged_Data!$L$2:$L$1000*Final_Merged_Data!$F$2:$F$1000)/F205</f>
        <v>12.212237548443923</v>
      </c>
      <c r="M205" t="str">
        <f>IF(COUNTIF(Master_Data!$C:$C,$A205)&gt;0,"Found","Missing")</f>
        <v>Found</v>
      </c>
      <c r="N205" t="str">
        <f>_xlfn.XLOOKUP($A205,Master_Data!$C:$C,Master_Data!$D:$D,"CHECK",0)</f>
        <v>Md. Ataur Rahman</v>
      </c>
      <c r="O205" t="str">
        <f>_xlfn.XLOOKUP($A205,Master_Data!$C:$C,Master_Data!$E:$E,"CHECK",0)</f>
        <v>Jamaat</v>
      </c>
      <c r="P205">
        <f>_xlfn.XLOOKUP($A205,Master_Data!$C:$C,Master_Data!$F:$F,"CHECK",0)</f>
        <v>2</v>
      </c>
      <c r="Q205">
        <f>_xlfn.XLOOKUP($A205,Master_Data!$C:$C,Master_Data!$G:$G,"CHECK",0)</f>
        <v>118142</v>
      </c>
      <c r="R205">
        <f>IFERROR(_xlfn.XLOOKUP($A205,Master_Data!$C:$C,Master_Data!$H:$H,"CHECK",0),"")</f>
        <v>60.092879414442599</v>
      </c>
      <c r="S205" t="str">
        <f>_xlfn.XLOOKUP($A205,Master_Data!$C:$C,Master_Data!$I:$I,"CHECK",0)</f>
        <v>Md. Monirul Islam</v>
      </c>
      <c r="T205">
        <f>_xlfn.XLOOKUP($A205,Master_Data!$C:$C,Master_Data!$K:$K,"CHECK",0)</f>
        <v>78457</v>
      </c>
      <c r="U205">
        <f>IFERROR(_xlfn.XLOOKUP($A205,Master_Data!$C:$C,Master_Data!$L:$L,"CHECK",0),"")</f>
        <v>39.907120585557401</v>
      </c>
      <c r="V205">
        <f>_xlfn.XLOOKUP($A205,Master_Data!$C:$C,Master_Data!$M:$M,"CHECK",0)</f>
        <v>39685</v>
      </c>
      <c r="W205">
        <f>IFERROR(_xlfn.XLOOKUP($A205,Master_Data!$C:$C,Master_Data!$N:$N,"CHECK",0),"")</f>
        <v>20.185758828885191</v>
      </c>
      <c r="X205" t="str">
        <f>IFERROR(_xlfn.XLOOKUP($A205,Master_Data!$C:$C,Master_Data!$O:$O,"CHECK",0),"No Result")</f>
        <v>Safe Seat</v>
      </c>
      <c r="Y205">
        <f>_xlfn.XLOOKUP($A205,Master_Data!$C:$C,Master_Data!$P:$P,"CHECK",0)</f>
        <v>0</v>
      </c>
      <c r="Z205">
        <f t="shared" si="7"/>
        <v>1</v>
      </c>
    </row>
    <row r="206" spans="1:26">
      <c r="A206" t="str">
        <v>Narayanganj-1</v>
      </c>
      <c r="B206" t="str" cm="1">
        <f t="array" ref="B20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Nawabganj","Chapainawabganj"),Final_Merged_Data!$B$2:$B$1000=$A206)))</f>
        <v>Narayanganj</v>
      </c>
      <c r="C206" t="str" cm="1">
        <f t="array" ref="C206">_xlfn.TEXTJOIN(", ",TRUE,_xlfn._xlws.FILTER(Final_Merged_Data!$C$2:$C$1000,Final_Merged_Data!$B$2:$B$1000=$A206))</f>
        <v>Rupganj</v>
      </c>
      <c r="D206" cm="1">
        <f t="array" ref="D206">COUNTA(_xlfn._xlws.FILTER(Final_Merged_Data!$C$2:$C$1000,Final_Merged_Data!$B$2:$B$1000=$A206))</f>
        <v>1</v>
      </c>
      <c r="E206">
        <f>SUMIFS(Final_Merged_Data!$E:$E,Final_Merged_Data!$B:$B,$A206)</f>
        <v>247.37</v>
      </c>
      <c r="F206">
        <f>SUMIFS(Final_Merged_Data!$F:$F,Final_Merged_Data!$B:$B,$A206)</f>
        <v>704828</v>
      </c>
      <c r="G206">
        <f t="shared" si="6"/>
        <v>2849.2864939159963</v>
      </c>
      <c r="H206" cm="1">
        <f t="array" ref="H206">SUMPRODUCT((Final_Merged_Data!$B$2:$B$1000=$A206)*Final_Merged_Data!$H$2:$H$1000*Final_Merged_Data!$F$2:$F$1000)/F206</f>
        <v>3.71</v>
      </c>
      <c r="I206" cm="1">
        <f t="array" ref="I206">SUMPRODUCT((Final_Merged_Data!$B$2:$B$1000=$A206)*Final_Merged_Data!$I$2:$I$1000*Final_Merged_Data!$F$2:$F$1000)/F206</f>
        <v>78.7</v>
      </c>
      <c r="J206" t="str" cm="1">
        <f t="array" ref="J206">_xlfn.TEXTJOIN(", ",TRUE,_xlfn.UNIQUE(_xlfn._xlws.FILTER(Final_Merged_Data!$J$2:$J$1000,Final_Merged_Data!$B$2:$B$1000=$A206)))</f>
        <v>Dhaka Range</v>
      </c>
      <c r="K206" cm="1">
        <f t="array" ref="K206">SUMPRODUCT((Final_Merged_Data!$B$2:$B$1000=$A206)*Final_Merged_Data!$K$2:$K$1000*Final_Merged_Data!$F$2:$F$1000)/F206</f>
        <v>87.055167395391194</v>
      </c>
      <c r="L206" cm="1">
        <f t="array" ref="L206">SUMPRODUCT((Final_Merged_Data!$B$2:$B$1000=$A206)*Final_Merged_Data!$L$2:$L$1000*Final_Merged_Data!$F$2:$F$1000)/F206</f>
        <v>14.083489099923574</v>
      </c>
      <c r="M206" t="str">
        <f>IF(COUNTIF(Master_Data!$C:$C,$A206)&gt;0,"Found","Missing")</f>
        <v>Found</v>
      </c>
      <c r="N206" t="str">
        <f>_xlfn.XLOOKUP($A206,Master_Data!$C:$C,Master_Data!$D:$D,"CHECK",0)</f>
        <v>Mustafizur Rahman Bhuiyan</v>
      </c>
      <c r="O206" t="str">
        <f>_xlfn.XLOOKUP($A206,Master_Data!$C:$C,Master_Data!$E:$E,"CHECK",0)</f>
        <v>BNP</v>
      </c>
      <c r="P206">
        <f>_xlfn.XLOOKUP($A206,Master_Data!$C:$C,Master_Data!$F:$F,"CHECK",0)</f>
        <v>1</v>
      </c>
      <c r="Q206">
        <f>_xlfn.XLOOKUP($A206,Master_Data!$C:$C,Master_Data!$G:$G,"CHECK",0)</f>
        <v>158358</v>
      </c>
      <c r="R206">
        <f>IFERROR(_xlfn.XLOOKUP($A206,Master_Data!$C:$C,Master_Data!$H:$H,"CHECK",0),"")</f>
        <v>63.331040440235476</v>
      </c>
      <c r="S206" t="str">
        <f>_xlfn.XLOOKUP($A206,Master_Data!$C:$C,Master_Data!$I:$I,"CHECK",0)</f>
        <v>Md. Anwar Hossain Molla</v>
      </c>
      <c r="T206">
        <f>_xlfn.XLOOKUP($A206,Master_Data!$C:$C,Master_Data!$K:$K,"CHECK",0)</f>
        <v>91690</v>
      </c>
      <c r="U206">
        <f>IFERROR(_xlfn.XLOOKUP($A206,Master_Data!$C:$C,Master_Data!$L:$L,"CHECK",0),"")</f>
        <v>36.668959559764524</v>
      </c>
      <c r="V206">
        <f>_xlfn.XLOOKUP($A206,Master_Data!$C:$C,Master_Data!$M:$M,"CHECK",0)</f>
        <v>66668</v>
      </c>
      <c r="W206">
        <f>IFERROR(_xlfn.XLOOKUP($A206,Master_Data!$C:$C,Master_Data!$N:$N,"CHECK",0),"")</f>
        <v>26.662080880470953</v>
      </c>
      <c r="X206" t="str">
        <f>IFERROR(_xlfn.XLOOKUP($A206,Master_Data!$C:$C,Master_Data!$O:$O,"CHECK",0),"No Result")</f>
        <v>Safe Seat</v>
      </c>
      <c r="Y206">
        <f>_xlfn.XLOOKUP($A206,Master_Data!$C:$C,Master_Data!$P:$P,"CHECK",0)</f>
        <v>0</v>
      </c>
      <c r="Z206">
        <f t="shared" si="7"/>
        <v>1</v>
      </c>
    </row>
    <row r="207" spans="1:26">
      <c r="A207" t="str">
        <v>Narayanganj-2</v>
      </c>
      <c r="B207" t="str" cm="1">
        <f t="array" ref="B20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Nawabganj","Chapainawabganj"),Final_Merged_Data!$B$2:$B$1000=$A207)))</f>
        <v>Narayanganj</v>
      </c>
      <c r="C207" t="str" cm="1">
        <f t="array" ref="C207">_xlfn.TEXTJOIN(", ",TRUE,_xlfn._xlws.FILTER(Final_Merged_Data!$C$2:$C$1000,Final_Merged_Data!$B$2:$B$1000=$A207))</f>
        <v>Araihazar</v>
      </c>
      <c r="D207" cm="1">
        <f t="array" ref="D207">COUNTA(_xlfn._xlws.FILTER(Final_Merged_Data!$C$2:$C$1000,Final_Merged_Data!$B$2:$B$1000=$A207))</f>
        <v>1</v>
      </c>
      <c r="E207">
        <f>SUMIFS(Final_Merged_Data!$E:$E,Final_Merged_Data!$B:$B,$A207)</f>
        <v>183.14</v>
      </c>
      <c r="F207">
        <f>SUMIFS(Final_Merged_Data!$F:$F,Final_Merged_Data!$B:$B,$A207)</f>
        <v>467514</v>
      </c>
      <c r="G207">
        <f t="shared" si="6"/>
        <v>2552.7683739215904</v>
      </c>
      <c r="H207" cm="1">
        <f t="array" ref="H207">SUMPRODUCT((Final_Merged_Data!$B$2:$B$1000=$A207)*Final_Merged_Data!$H$2:$H$1000*Final_Merged_Data!$F$2:$F$1000)/F207</f>
        <v>4.1500000000000004</v>
      </c>
      <c r="I207" cm="1">
        <f t="array" ref="I207">SUMPRODUCT((Final_Merged_Data!$B$2:$B$1000=$A207)*Final_Merged_Data!$I$2:$I$1000*Final_Merged_Data!$F$2:$F$1000)/F207</f>
        <v>69.34</v>
      </c>
      <c r="J207" t="str" cm="1">
        <f t="array" ref="J207">_xlfn.TEXTJOIN(", ",TRUE,_xlfn.UNIQUE(_xlfn._xlws.FILTER(Final_Merged_Data!$J$2:$J$1000,Final_Merged_Data!$B$2:$B$1000=$A207)))</f>
        <v>Dhaka Range</v>
      </c>
      <c r="K207" cm="1">
        <f t="array" ref="K207">SUMPRODUCT((Final_Merged_Data!$B$2:$B$1000=$A207)*Final_Merged_Data!$K$2:$K$1000*Final_Merged_Data!$F$2:$F$1000)/F207</f>
        <v>87.055167395391194</v>
      </c>
      <c r="L207" cm="1">
        <f t="array" ref="L207">SUMPRODUCT((Final_Merged_Data!$B$2:$B$1000=$A207)*Final_Merged_Data!$L$2:$L$1000*Final_Merged_Data!$F$2:$F$1000)/F207</f>
        <v>14.08348909992357</v>
      </c>
      <c r="M207" t="str">
        <f>IF(COUNTIF(Master_Data!$C:$C,$A207)&gt;0,"Found","Missing")</f>
        <v>Found</v>
      </c>
      <c r="N207" t="str">
        <f>_xlfn.XLOOKUP($A207,Master_Data!$C:$C,Master_Data!$D:$D,"CHECK",0)</f>
        <v>Md. Nazrul Islam Azad</v>
      </c>
      <c r="O207" t="str">
        <f>_xlfn.XLOOKUP($A207,Master_Data!$C:$C,Master_Data!$E:$E,"CHECK",0)</f>
        <v>BNP</v>
      </c>
      <c r="P207">
        <f>_xlfn.XLOOKUP($A207,Master_Data!$C:$C,Master_Data!$F:$F,"CHECK",0)</f>
        <v>1</v>
      </c>
      <c r="Q207">
        <f>_xlfn.XLOOKUP($A207,Master_Data!$C:$C,Master_Data!$G:$G,"CHECK",0)</f>
        <v>124291</v>
      </c>
      <c r="R207">
        <f>IFERROR(_xlfn.XLOOKUP($A207,Master_Data!$C:$C,Master_Data!$H:$H,"CHECK",0),"")</f>
        <v>60.527892084053668</v>
      </c>
      <c r="S207" t="str">
        <f>_xlfn.XLOOKUP($A207,Master_Data!$C:$C,Master_Data!$I:$I,"CHECK",0)</f>
        <v>Md Ilyach Molla</v>
      </c>
      <c r="T207">
        <f>_xlfn.XLOOKUP($A207,Master_Data!$C:$C,Master_Data!$K:$K,"CHECK",0)</f>
        <v>81054</v>
      </c>
      <c r="U207">
        <f>IFERROR(_xlfn.XLOOKUP($A207,Master_Data!$C:$C,Master_Data!$L:$L,"CHECK",0),"")</f>
        <v>39.472107915946339</v>
      </c>
      <c r="V207">
        <f>_xlfn.XLOOKUP($A207,Master_Data!$C:$C,Master_Data!$M:$M,"CHECK",0)</f>
        <v>43237</v>
      </c>
      <c r="W207">
        <f>IFERROR(_xlfn.XLOOKUP($A207,Master_Data!$C:$C,Master_Data!$N:$N,"CHECK",0),"")</f>
        <v>21.05578416810733</v>
      </c>
      <c r="X207" t="str">
        <f>IFERROR(_xlfn.XLOOKUP($A207,Master_Data!$C:$C,Master_Data!$O:$O,"CHECK",0),"No Result")</f>
        <v>Safe Seat</v>
      </c>
      <c r="Y207">
        <f>_xlfn.XLOOKUP($A207,Master_Data!$C:$C,Master_Data!$P:$P,"CHECK",0)</f>
        <v>0</v>
      </c>
      <c r="Z207">
        <f t="shared" si="7"/>
        <v>1</v>
      </c>
    </row>
    <row r="208" spans="1:26">
      <c r="A208" t="str">
        <v>Narayanganj-3</v>
      </c>
      <c r="B208" t="str" cm="1">
        <f t="array" ref="B20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Nawabganj","Chapainawabganj"),Final_Merged_Data!$B$2:$B$1000=$A208)))</f>
        <v>Narayanganj</v>
      </c>
      <c r="C208" t="str" cm="1">
        <f t="array" ref="C208">_xlfn.TEXTJOIN(", ",TRUE,_xlfn._xlws.FILTER(Final_Merged_Data!$C$2:$C$1000,Final_Merged_Data!$B$2:$B$1000=$A208))</f>
        <v>Sonargaon</v>
      </c>
      <c r="D208" cm="1">
        <f t="array" ref="D208">COUNTA(_xlfn._xlws.FILTER(Final_Merged_Data!$C$2:$C$1000,Final_Merged_Data!$B$2:$B$1000=$A208))</f>
        <v>1</v>
      </c>
      <c r="E208">
        <f>SUMIFS(Final_Merged_Data!$E:$E,Final_Merged_Data!$B:$B,$A208)</f>
        <v>171.66</v>
      </c>
      <c r="F208">
        <f>SUMIFS(Final_Merged_Data!$F:$F,Final_Merged_Data!$B:$B,$A208)</f>
        <v>551821</v>
      </c>
      <c r="G208">
        <f t="shared" si="6"/>
        <v>3214.6161015961784</v>
      </c>
      <c r="H208" cm="1">
        <f t="array" ref="H208">SUMPRODUCT((Final_Merged_Data!$B$2:$B$1000=$A208)*Final_Merged_Data!$H$2:$H$1000*Final_Merged_Data!$F$2:$F$1000)/F208</f>
        <v>3.8199999999999994</v>
      </c>
      <c r="I208" cm="1">
        <f t="array" ref="I208">SUMPRODUCT((Final_Merged_Data!$B$2:$B$1000=$A208)*Final_Merged_Data!$I$2:$I$1000*Final_Merged_Data!$F$2:$F$1000)/F208</f>
        <v>78.040000000000006</v>
      </c>
      <c r="J208" t="str" cm="1">
        <f t="array" ref="J208">_xlfn.TEXTJOIN(", ",TRUE,_xlfn.UNIQUE(_xlfn._xlws.FILTER(Final_Merged_Data!$J$2:$J$1000,Final_Merged_Data!$B$2:$B$1000=$A208)))</f>
        <v>Dhaka Range</v>
      </c>
      <c r="K208" cm="1">
        <f t="array" ref="K208">SUMPRODUCT((Final_Merged_Data!$B$2:$B$1000=$A208)*Final_Merged_Data!$K$2:$K$1000*Final_Merged_Data!$F$2:$F$1000)/F208</f>
        <v>87.055167395391194</v>
      </c>
      <c r="L208" cm="1">
        <f t="array" ref="L208">SUMPRODUCT((Final_Merged_Data!$B$2:$B$1000=$A208)*Final_Merged_Data!$L$2:$L$1000*Final_Merged_Data!$F$2:$F$1000)/F208</f>
        <v>14.083489099923572</v>
      </c>
      <c r="M208" t="str">
        <f>IF(COUNTIF(Master_Data!$C:$C,$A208)&gt;0,"Found","Missing")</f>
        <v>Found</v>
      </c>
      <c r="N208" t="str">
        <f>_xlfn.XLOOKUP($A208,Master_Data!$C:$C,Master_Data!$D:$D,"CHECK",0)</f>
        <v>Azharul Islam Mannan</v>
      </c>
      <c r="O208" t="str">
        <f>_xlfn.XLOOKUP($A208,Master_Data!$C:$C,Master_Data!$E:$E,"CHECK",0)</f>
        <v>BNP</v>
      </c>
      <c r="P208">
        <f>_xlfn.XLOOKUP($A208,Master_Data!$C:$C,Master_Data!$F:$F,"CHECK",0)</f>
        <v>1</v>
      </c>
      <c r="Q208">
        <f>_xlfn.XLOOKUP($A208,Master_Data!$C:$C,Master_Data!$G:$G,"CHECK",0)</f>
        <v>155400</v>
      </c>
      <c r="R208">
        <f>IFERROR(_xlfn.XLOOKUP($A208,Master_Data!$C:$C,Master_Data!$H:$H,"CHECK",0),"")</f>
        <v>53.52751121184356</v>
      </c>
      <c r="S208" t="str">
        <f>_xlfn.XLOOKUP($A208,Master_Data!$C:$C,Master_Data!$I:$I,"CHECK",0)</f>
        <v>Md. Iqbal Hossain Bhuiyan</v>
      </c>
      <c r="T208">
        <f>_xlfn.XLOOKUP($A208,Master_Data!$C:$C,Master_Data!$K:$K,"CHECK",0)</f>
        <v>134918</v>
      </c>
      <c r="U208">
        <f>IFERROR(_xlfn.XLOOKUP($A208,Master_Data!$C:$C,Master_Data!$L:$L,"CHECK",0),"")</f>
        <v>46.472488788156433</v>
      </c>
      <c r="V208">
        <f>_xlfn.XLOOKUP($A208,Master_Data!$C:$C,Master_Data!$M:$M,"CHECK",0)</f>
        <v>20482</v>
      </c>
      <c r="W208">
        <f>IFERROR(_xlfn.XLOOKUP($A208,Master_Data!$C:$C,Master_Data!$N:$N,"CHECK",0),"")</f>
        <v>7.0550224236871291</v>
      </c>
      <c r="X208" t="str">
        <f>IFERROR(_xlfn.XLOOKUP($A208,Master_Data!$C:$C,Master_Data!$O:$O,"CHECK",0),"No Result")</f>
        <v>Safe Seat</v>
      </c>
      <c r="Y208">
        <f>_xlfn.XLOOKUP($A208,Master_Data!$C:$C,Master_Data!$P:$P,"CHECK",0)</f>
        <v>0</v>
      </c>
      <c r="Z208">
        <f t="shared" si="7"/>
        <v>1</v>
      </c>
    </row>
    <row r="209" spans="1:26">
      <c r="A209" t="str">
        <v>Narayanganj-4</v>
      </c>
      <c r="B209" t="str" cm="1">
        <f t="array" ref="B20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Nawabganj","Chapainawabganj"),Final_Merged_Data!$B$2:$B$1000=$A209)))</f>
        <v>Narayanganj</v>
      </c>
      <c r="C209" t="str" cm="1">
        <f t="array" ref="C209">_xlfn.TEXTJOIN(", ",TRUE,_xlfn._xlws.FILTER(Final_Merged_Data!$C$2:$C$1000,Final_Merged_Data!$B$2:$B$1000=$A209))</f>
        <v>Narayanganj Sadar</v>
      </c>
      <c r="D209" cm="1">
        <f t="array" ref="D209">COUNTA(_xlfn._xlws.FILTER(Final_Merged_Data!$C$2:$C$1000,Final_Merged_Data!$B$2:$B$1000=$A209))</f>
        <v>1</v>
      </c>
      <c r="E209">
        <f>SUMIFS(Final_Merged_Data!$E:$E,Final_Merged_Data!$B:$B,$A209)</f>
        <v>259.57</v>
      </c>
      <c r="F209">
        <f>SUMIFS(Final_Merged_Data!$F:$F,Final_Merged_Data!$B:$B,$A209)</f>
        <v>1012080</v>
      </c>
      <c r="G209">
        <f t="shared" si="6"/>
        <v>3899.0638363447242</v>
      </c>
      <c r="H209" cm="1">
        <f t="array" ref="H209">SUMPRODUCT((Final_Merged_Data!$B$2:$B$1000=$A209)*Final_Merged_Data!$H$2:$H$1000*Final_Merged_Data!$F$2:$F$1000)/F209</f>
        <v>3.65</v>
      </c>
      <c r="I209" cm="1">
        <f t="array" ref="I209">SUMPRODUCT((Final_Merged_Data!$B$2:$B$1000=$A209)*Final_Merged_Data!$I$2:$I$1000*Final_Merged_Data!$F$2:$F$1000)/F209</f>
        <v>80.59</v>
      </c>
      <c r="J209" t="str" cm="1">
        <f t="array" ref="J209">_xlfn.TEXTJOIN(", ",TRUE,_xlfn.UNIQUE(_xlfn._xlws.FILTER(Final_Merged_Data!$J$2:$J$1000,Final_Merged_Data!$B$2:$B$1000=$A209)))</f>
        <v>Dhaka Range</v>
      </c>
      <c r="K209" cm="1">
        <f t="array" ref="K209">SUMPRODUCT((Final_Merged_Data!$B$2:$B$1000=$A209)*Final_Merged_Data!$K$2:$K$1000*Final_Merged_Data!$F$2:$F$1000)/F209</f>
        <v>87.055167395391194</v>
      </c>
      <c r="L209" cm="1">
        <f t="array" ref="L209">SUMPRODUCT((Final_Merged_Data!$B$2:$B$1000=$A209)*Final_Merged_Data!$L$2:$L$1000*Final_Merged_Data!$F$2:$F$1000)/F209</f>
        <v>14.083489099923572</v>
      </c>
      <c r="M209" t="str">
        <f>IF(COUNTIF(Master_Data!$C:$C,$A209)&gt;0,"Found","Missing")</f>
        <v>Found</v>
      </c>
      <c r="N209" t="str">
        <f>_xlfn.XLOOKUP($A209,Master_Data!$C:$C,Master_Data!$D:$D,"CHECK",0)</f>
        <v>Abdullah Al Amin</v>
      </c>
      <c r="O209" t="str">
        <f>_xlfn.XLOOKUP($A209,Master_Data!$C:$C,Master_Data!$E:$E,"CHECK",0)</f>
        <v>NCP</v>
      </c>
      <c r="P209">
        <f>_xlfn.XLOOKUP($A209,Master_Data!$C:$C,Master_Data!$F:$F,"CHECK",0)</f>
        <v>0</v>
      </c>
      <c r="Q209">
        <f>_xlfn.XLOOKUP($A209,Master_Data!$C:$C,Master_Data!$G:$G,"CHECK",0)</f>
        <v>106171</v>
      </c>
      <c r="R209">
        <f>IFERROR(_xlfn.XLOOKUP($A209,Master_Data!$C:$C,Master_Data!$H:$H,"CHECK",0),"")</f>
        <v>56.839766582793516</v>
      </c>
      <c r="S209" t="str">
        <f>_xlfn.XLOOKUP($A209,Master_Data!$C:$C,Master_Data!$I:$I,"CHECK",0)</f>
        <v>Monir Hossain</v>
      </c>
      <c r="T209">
        <f>_xlfn.XLOOKUP($A209,Master_Data!$C:$C,Master_Data!$K:$K,"CHECK",0)</f>
        <v>80619</v>
      </c>
      <c r="U209">
        <f>IFERROR(_xlfn.XLOOKUP($A209,Master_Data!$C:$C,Master_Data!$L:$L,"CHECK",0),"")</f>
        <v>43.160233417206491</v>
      </c>
      <c r="V209">
        <f>_xlfn.XLOOKUP($A209,Master_Data!$C:$C,Master_Data!$M:$M,"CHECK",0)</f>
        <v>25552</v>
      </c>
      <c r="W209">
        <f>IFERROR(_xlfn.XLOOKUP($A209,Master_Data!$C:$C,Master_Data!$N:$N,"CHECK",0),"")</f>
        <v>13.679533165587024</v>
      </c>
      <c r="X209" t="str">
        <f>IFERROR(_xlfn.XLOOKUP($A209,Master_Data!$C:$C,Master_Data!$O:$O,"CHECK",0),"No Result")</f>
        <v>Safe Seat</v>
      </c>
      <c r="Y209">
        <f>_xlfn.XLOOKUP($A209,Master_Data!$C:$C,Master_Data!$P:$P,"CHECK",0)</f>
        <v>1</v>
      </c>
      <c r="Z209">
        <f t="shared" si="7"/>
        <v>1</v>
      </c>
    </row>
    <row r="210" spans="1:26">
      <c r="A210" t="str">
        <v>Narayanganj-5</v>
      </c>
      <c r="B210" t="str" cm="1">
        <f t="array" ref="B2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Nawabganj","Chapainawabganj"),Final_Merged_Data!$B$2:$B$1000=$A210)))</f>
        <v>Narayanganj</v>
      </c>
      <c r="C210" t="str" cm="1">
        <f t="array" ref="C210">_xlfn.TEXTJOIN(", ",TRUE,_xlfn._xlws.FILTER(Final_Merged_Data!$C$2:$C$1000,Final_Merged_Data!$B$2:$B$1000=$A210))</f>
        <v>Narayanganj Sadar</v>
      </c>
      <c r="D210" cm="1">
        <f t="array" ref="D210">COUNTA(_xlfn._xlws.FILTER(Final_Merged_Data!$C$2:$C$1000,Final_Merged_Data!$B$2:$B$1000=$A210))</f>
        <v>1</v>
      </c>
      <c r="E210">
        <f>SUMIFS(Final_Merged_Data!$E:$E,Final_Merged_Data!$B:$B,$A210)</f>
        <v>259.57</v>
      </c>
      <c r="F210">
        <f>SUMIFS(Final_Merged_Data!$F:$F,Final_Merged_Data!$B:$B,$A210)</f>
        <v>1012080</v>
      </c>
      <c r="G210">
        <f t="shared" si="6"/>
        <v>3899.0638363447242</v>
      </c>
      <c r="H210" cm="1">
        <f t="array" ref="H210">SUMPRODUCT((Final_Merged_Data!$B$2:$B$1000=$A210)*Final_Merged_Data!$H$2:$H$1000*Final_Merged_Data!$F$2:$F$1000)/F210</f>
        <v>3.65</v>
      </c>
      <c r="I210" cm="1">
        <f t="array" ref="I210">SUMPRODUCT((Final_Merged_Data!$B$2:$B$1000=$A210)*Final_Merged_Data!$I$2:$I$1000*Final_Merged_Data!$F$2:$F$1000)/F210</f>
        <v>80.59</v>
      </c>
      <c r="J210" t="str" cm="1">
        <f t="array" ref="J210">_xlfn.TEXTJOIN(", ",TRUE,_xlfn.UNIQUE(_xlfn._xlws.FILTER(Final_Merged_Data!$J$2:$J$1000,Final_Merged_Data!$B$2:$B$1000=$A210)))</f>
        <v>Dhaka Range</v>
      </c>
      <c r="K210" cm="1">
        <f t="array" ref="K210">SUMPRODUCT((Final_Merged_Data!$B$2:$B$1000=$A210)*Final_Merged_Data!$K$2:$K$1000*Final_Merged_Data!$F$2:$F$1000)/F210</f>
        <v>87.055167395391194</v>
      </c>
      <c r="L210" cm="1">
        <f t="array" ref="L210">SUMPRODUCT((Final_Merged_Data!$B$2:$B$1000=$A210)*Final_Merged_Data!$L$2:$L$1000*Final_Merged_Data!$F$2:$F$1000)/F210</f>
        <v>14.083489099923572</v>
      </c>
      <c r="M210" t="str">
        <f>IF(COUNTIF(Master_Data!$C:$C,$A210)&gt;0,"Found","Missing")</f>
        <v>Found</v>
      </c>
      <c r="N210" t="str">
        <f>_xlfn.XLOOKUP($A210,Master_Data!$C:$C,Master_Data!$D:$D,"CHECK",0)</f>
        <v>Abul Kalam</v>
      </c>
      <c r="O210" t="str">
        <f>_xlfn.XLOOKUP($A210,Master_Data!$C:$C,Master_Data!$E:$E,"CHECK",0)</f>
        <v>BNP</v>
      </c>
      <c r="P210">
        <f>_xlfn.XLOOKUP($A210,Master_Data!$C:$C,Master_Data!$F:$F,"CHECK",0)</f>
        <v>1</v>
      </c>
      <c r="Q210">
        <f>_xlfn.XLOOKUP($A210,Master_Data!$C:$C,Master_Data!$G:$G,"CHECK",0)</f>
        <v>114799</v>
      </c>
      <c r="R210">
        <f>IFERROR(_xlfn.XLOOKUP($A210,Master_Data!$C:$C,Master_Data!$H:$H,"CHECK",0),"")</f>
        <v>53.148915484154728</v>
      </c>
      <c r="S210" t="str">
        <f>_xlfn.XLOOKUP($A210,Master_Data!$C:$C,Master_Data!$I:$I,"CHECK",0)</f>
        <v>ABM Sirajul Mamun</v>
      </c>
      <c r="T210">
        <f>_xlfn.XLOOKUP($A210,Master_Data!$C:$C,Master_Data!$K:$K,"CHECK",0)</f>
        <v>101196</v>
      </c>
      <c r="U210">
        <f>IFERROR(_xlfn.XLOOKUP($A210,Master_Data!$C:$C,Master_Data!$L:$L,"CHECK",0),"")</f>
        <v>46.851084515845272</v>
      </c>
      <c r="V210">
        <f>_xlfn.XLOOKUP($A210,Master_Data!$C:$C,Master_Data!$M:$M,"CHECK",0)</f>
        <v>13603</v>
      </c>
      <c r="W210">
        <f>IFERROR(_xlfn.XLOOKUP($A210,Master_Data!$C:$C,Master_Data!$N:$N,"CHECK",0),"")</f>
        <v>6.2978309683094524</v>
      </c>
      <c r="X210" t="str">
        <f>IFERROR(_xlfn.XLOOKUP($A210,Master_Data!$C:$C,Master_Data!$O:$O,"CHECK",0),"No Result")</f>
        <v>Safe Seat</v>
      </c>
      <c r="Y210">
        <f>_xlfn.XLOOKUP($A210,Master_Data!$C:$C,Master_Data!$P:$P,"CHECK",0)</f>
        <v>1</v>
      </c>
      <c r="Z210">
        <f t="shared" si="7"/>
        <v>1</v>
      </c>
    </row>
    <row r="211" spans="1:26">
      <c r="A211" t="str">
        <v>Narsingdi-1</v>
      </c>
      <c r="B211" t="str" cm="1">
        <f t="array" ref="B2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Nawabganj","Chapainawabganj"),Final_Merged_Data!$B$2:$B$1000=$A211)))</f>
        <v>Narsingdi</v>
      </c>
      <c r="C211" t="str" cm="1">
        <f t="array" ref="C211">_xlfn.TEXTJOIN(", ",TRUE,_xlfn._xlws.FILTER(Final_Merged_Data!$C$2:$C$1000,Final_Merged_Data!$B$2:$B$1000=$A211))</f>
        <v>Narsingdi Sadar</v>
      </c>
      <c r="D211" cm="1">
        <f t="array" ref="D211">COUNTA(_xlfn._xlws.FILTER(Final_Merged_Data!$C$2:$C$1000,Final_Merged_Data!$B$2:$B$1000=$A211))</f>
        <v>1</v>
      </c>
      <c r="E211">
        <f>SUMIFS(Final_Merged_Data!$E:$E,Final_Merged_Data!$B:$B,$A211)</f>
        <v>213.78</v>
      </c>
      <c r="F211">
        <f>SUMIFS(Final_Merged_Data!$F:$F,Final_Merged_Data!$B:$B,$A211)</f>
        <v>852310</v>
      </c>
      <c r="G211">
        <f t="shared" si="6"/>
        <v>3986.8556459912061</v>
      </c>
      <c r="H211" cm="1">
        <f t="array" ref="H211">SUMPRODUCT((Final_Merged_Data!$B$2:$B$1000=$A211)*Final_Merged_Data!$H$2:$H$1000*Final_Merged_Data!$F$2:$F$1000)/F211</f>
        <v>4.04</v>
      </c>
      <c r="I211" cm="1">
        <f t="array" ref="I211">SUMPRODUCT((Final_Merged_Data!$B$2:$B$1000=$A211)*Final_Merged_Data!$I$2:$I$1000*Final_Merged_Data!$F$2:$F$1000)/F211</f>
        <v>75.61</v>
      </c>
      <c r="J211" t="str" cm="1">
        <f t="array" ref="J211">_xlfn.TEXTJOIN(", ",TRUE,_xlfn.UNIQUE(_xlfn._xlws.FILTER(Final_Merged_Data!$J$2:$J$1000,Final_Merged_Data!$B$2:$B$1000=$A211)))</f>
        <v>Dhaka Range</v>
      </c>
      <c r="K211" cm="1">
        <f t="array" ref="K211">SUMPRODUCT((Final_Merged_Data!$B$2:$B$1000=$A211)*Final_Merged_Data!$K$2:$K$1000*Final_Merged_Data!$F$2:$F$1000)/F211</f>
        <v>87.055167395391194</v>
      </c>
      <c r="L211" cm="1">
        <f t="array" ref="L211">SUMPRODUCT((Final_Merged_Data!$B$2:$B$1000=$A211)*Final_Merged_Data!$L$2:$L$1000*Final_Merged_Data!$F$2:$F$1000)/F211</f>
        <v>14.083489099923572</v>
      </c>
      <c r="M211" t="str">
        <f>IF(COUNTIF(Master_Data!$C:$C,$A211)&gt;0,"Found","Missing")</f>
        <v>Found</v>
      </c>
      <c r="N211" t="str">
        <f>_xlfn.XLOOKUP($A211,Master_Data!$C:$C,Master_Data!$D:$D,"CHECK",0)</f>
        <v>Khairul Kabir Khokon</v>
      </c>
      <c r="O211" t="str">
        <f>_xlfn.XLOOKUP($A211,Master_Data!$C:$C,Master_Data!$E:$E,"CHECK",0)</f>
        <v>BNP</v>
      </c>
      <c r="P211">
        <f>_xlfn.XLOOKUP($A211,Master_Data!$C:$C,Master_Data!$F:$F,"CHECK",0)</f>
        <v>1</v>
      </c>
      <c r="Q211">
        <f>_xlfn.XLOOKUP($A211,Master_Data!$C:$C,Master_Data!$G:$G,"CHECK",0)</f>
        <v>161405</v>
      </c>
      <c r="R211">
        <f>IFERROR(_xlfn.XLOOKUP($A211,Master_Data!$C:$C,Master_Data!$H:$H,"CHECK",0),"")</f>
        <v>62.863674957352181</v>
      </c>
      <c r="S211" t="str">
        <f>_xlfn.XLOOKUP($A211,Master_Data!$C:$C,Master_Data!$I:$I,"CHECK",0)</f>
        <v>Md. Ibrahim Bhuiyan</v>
      </c>
      <c r="T211">
        <f>_xlfn.XLOOKUP($A211,Master_Data!$C:$C,Master_Data!$K:$K,"CHECK",0)</f>
        <v>95349</v>
      </c>
      <c r="U211">
        <f>IFERROR(_xlfn.XLOOKUP($A211,Master_Data!$C:$C,Master_Data!$L:$L,"CHECK",0),"")</f>
        <v>37.136325042647826</v>
      </c>
      <c r="V211">
        <f>_xlfn.XLOOKUP($A211,Master_Data!$C:$C,Master_Data!$M:$M,"CHECK",0)</f>
        <v>66056</v>
      </c>
      <c r="W211">
        <f>IFERROR(_xlfn.XLOOKUP($A211,Master_Data!$C:$C,Master_Data!$N:$N,"CHECK",0),"")</f>
        <v>25.727349914704345</v>
      </c>
      <c r="X211" t="str">
        <f>IFERROR(_xlfn.XLOOKUP($A211,Master_Data!$C:$C,Master_Data!$O:$O,"CHECK",0),"No Result")</f>
        <v>Safe Seat</v>
      </c>
      <c r="Y211">
        <f>_xlfn.XLOOKUP($A211,Master_Data!$C:$C,Master_Data!$P:$P,"CHECK",0)</f>
        <v>0</v>
      </c>
      <c r="Z211">
        <f t="shared" si="7"/>
        <v>1</v>
      </c>
    </row>
    <row r="212" spans="1:26">
      <c r="A212" t="str">
        <v>Narsingdi-2</v>
      </c>
      <c r="B212" t="str" cm="1">
        <f t="array" ref="B2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Nawabganj","Chapainawabganj"),Final_Merged_Data!$B$2:$B$1000=$A212)))</f>
        <v>Narsingdi</v>
      </c>
      <c r="C212" t="str" cm="1">
        <f t="array" ref="C212">_xlfn.TEXTJOIN(", ",TRUE,_xlfn._xlws.FILTER(Final_Merged_Data!$C$2:$C$1000,Final_Merged_Data!$B$2:$B$1000=$A212))</f>
        <v>Palash</v>
      </c>
      <c r="D212" cm="1">
        <f t="array" ref="D212">COUNTA(_xlfn._xlws.FILTER(Final_Merged_Data!$C$2:$C$1000,Final_Merged_Data!$B$2:$B$1000=$A212))</f>
        <v>1</v>
      </c>
      <c r="E212">
        <f>SUMIFS(Final_Merged_Data!$E:$E,Final_Merged_Data!$B:$B,$A212)</f>
        <v>123.38</v>
      </c>
      <c r="F212">
        <f>SUMIFS(Final_Merged_Data!$F:$F,Final_Merged_Data!$B:$B,$A212)</f>
        <v>249151</v>
      </c>
      <c r="G212">
        <f t="shared" si="6"/>
        <v>2019.3791538336845</v>
      </c>
      <c r="H212" cm="1">
        <f t="array" ref="H212">SUMPRODUCT((Final_Merged_Data!$B$2:$B$1000=$A212)*Final_Merged_Data!$H$2:$H$1000*Final_Merged_Data!$F$2:$F$1000)/F212</f>
        <v>3.96</v>
      </c>
      <c r="I212" cm="1">
        <f t="array" ref="I212">SUMPRODUCT((Final_Merged_Data!$B$2:$B$1000=$A212)*Final_Merged_Data!$I$2:$I$1000*Final_Merged_Data!$F$2:$F$1000)/F212</f>
        <v>79.349999999999994</v>
      </c>
      <c r="J212" t="str" cm="1">
        <f t="array" ref="J212">_xlfn.TEXTJOIN(", ",TRUE,_xlfn.UNIQUE(_xlfn._xlws.FILTER(Final_Merged_Data!$J$2:$J$1000,Final_Merged_Data!$B$2:$B$1000=$A212)))</f>
        <v>Dhaka Range</v>
      </c>
      <c r="K212" cm="1">
        <f t="array" ref="K212">SUMPRODUCT((Final_Merged_Data!$B$2:$B$1000=$A212)*Final_Merged_Data!$K$2:$K$1000*Final_Merged_Data!$F$2:$F$1000)/F212</f>
        <v>87.055167395391194</v>
      </c>
      <c r="L212" cm="1">
        <f t="array" ref="L212">SUMPRODUCT((Final_Merged_Data!$B$2:$B$1000=$A212)*Final_Merged_Data!$L$2:$L$1000*Final_Merged_Data!$F$2:$F$1000)/F212</f>
        <v>14.083489099923572</v>
      </c>
      <c r="M212" t="str">
        <f>IF(COUNTIF(Master_Data!$C:$C,$A212)&gt;0,"Found","Missing")</f>
        <v>Found</v>
      </c>
      <c r="N212" t="str">
        <f>_xlfn.XLOOKUP($A212,Master_Data!$C:$C,Master_Data!$D:$D,"CHECK",0)</f>
        <v>Abdul Moyeen Khan</v>
      </c>
      <c r="O212" t="str">
        <f>_xlfn.XLOOKUP($A212,Master_Data!$C:$C,Master_Data!$E:$E,"CHECK",0)</f>
        <v>BNP</v>
      </c>
      <c r="P212">
        <f>_xlfn.XLOOKUP($A212,Master_Data!$C:$C,Master_Data!$F:$F,"CHECK",0)</f>
        <v>1</v>
      </c>
      <c r="Q212">
        <f>_xlfn.XLOOKUP($A212,Master_Data!$C:$C,Master_Data!$G:$G,"CHECK",0)</f>
        <v>92739</v>
      </c>
      <c r="R212">
        <f>IFERROR(_xlfn.XLOOKUP($A212,Master_Data!$C:$C,Master_Data!$H:$H,"CHECK",0),"")</f>
        <v>62.383710370714184</v>
      </c>
      <c r="S212" t="str">
        <f>_xlfn.XLOOKUP($A212,Master_Data!$C:$C,Master_Data!$I:$I,"CHECK",0)</f>
        <v>Md. Amjad Hossain</v>
      </c>
      <c r="T212">
        <f>_xlfn.XLOOKUP($A212,Master_Data!$C:$C,Master_Data!$K:$K,"CHECK",0)</f>
        <v>55920</v>
      </c>
      <c r="U212">
        <f>IFERROR(_xlfn.XLOOKUP($A212,Master_Data!$C:$C,Master_Data!$L:$L,"CHECK",0),"")</f>
        <v>37.616289629285816</v>
      </c>
      <c r="V212">
        <f>_xlfn.XLOOKUP($A212,Master_Data!$C:$C,Master_Data!$M:$M,"CHECK",0)</f>
        <v>36819</v>
      </c>
      <c r="W212">
        <f>IFERROR(_xlfn.XLOOKUP($A212,Master_Data!$C:$C,Master_Data!$N:$N,"CHECK",0),"")</f>
        <v>24.767420741428371</v>
      </c>
      <c r="X212" t="str">
        <f>IFERROR(_xlfn.XLOOKUP($A212,Master_Data!$C:$C,Master_Data!$O:$O,"CHECK",0),"No Result")</f>
        <v>Safe Seat</v>
      </c>
      <c r="Y212">
        <f>_xlfn.XLOOKUP($A212,Master_Data!$C:$C,Master_Data!$P:$P,"CHECK",0)</f>
        <v>0</v>
      </c>
      <c r="Z212">
        <f t="shared" si="7"/>
        <v>1</v>
      </c>
    </row>
    <row r="213" spans="1:26">
      <c r="A213" t="str">
        <v>Narsingdi-3</v>
      </c>
      <c r="B213" t="str" cm="1">
        <f t="array" ref="B2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Nawabganj","Chapainawabganj"),Final_Merged_Data!$B$2:$B$1000=$A213)))</f>
        <v>Narsingdi</v>
      </c>
      <c r="C213" t="str" cm="1">
        <f t="array" ref="C213">_xlfn.TEXTJOIN(", ",TRUE,_xlfn._xlws.FILTER(Final_Merged_Data!$C$2:$C$1000,Final_Merged_Data!$B$2:$B$1000=$A213))</f>
        <v>Shibpur</v>
      </c>
      <c r="D213" cm="1">
        <f t="array" ref="D213">COUNTA(_xlfn._xlws.FILTER(Final_Merged_Data!$C$2:$C$1000,Final_Merged_Data!$B$2:$B$1000=$A213))</f>
        <v>1</v>
      </c>
      <c r="E213">
        <f>SUMIFS(Final_Merged_Data!$E:$E,Final_Merged_Data!$B:$B,$A213)</f>
        <v>247.26</v>
      </c>
      <c r="F213">
        <f>SUMIFS(Final_Merged_Data!$F:$F,Final_Merged_Data!$B:$B,$A213)</f>
        <v>360123</v>
      </c>
      <c r="G213">
        <f t="shared" si="6"/>
        <v>1456.4547439941762</v>
      </c>
      <c r="H213" cm="1">
        <f t="array" ref="H213">SUMPRODUCT((Final_Merged_Data!$B$2:$B$1000=$A213)*Final_Merged_Data!$H$2:$H$1000*Final_Merged_Data!$F$2:$F$1000)/F213</f>
        <v>4.05</v>
      </c>
      <c r="I213" cm="1">
        <f t="array" ref="I213">SUMPRODUCT((Final_Merged_Data!$B$2:$B$1000=$A213)*Final_Merged_Data!$I$2:$I$1000*Final_Merged_Data!$F$2:$F$1000)/F213</f>
        <v>76.959999999999994</v>
      </c>
      <c r="J213" t="str" cm="1">
        <f t="array" ref="J213">_xlfn.TEXTJOIN(", ",TRUE,_xlfn.UNIQUE(_xlfn._xlws.FILTER(Final_Merged_Data!$J$2:$J$1000,Final_Merged_Data!$B$2:$B$1000=$A213)))</f>
        <v>Dhaka Range</v>
      </c>
      <c r="K213" cm="1">
        <f t="array" ref="K213">SUMPRODUCT((Final_Merged_Data!$B$2:$B$1000=$A213)*Final_Merged_Data!$K$2:$K$1000*Final_Merged_Data!$F$2:$F$1000)/F213</f>
        <v>87.055167395391194</v>
      </c>
      <c r="L213" cm="1">
        <f t="array" ref="L213">SUMPRODUCT((Final_Merged_Data!$B$2:$B$1000=$A213)*Final_Merged_Data!$L$2:$L$1000*Final_Merged_Data!$F$2:$F$1000)/F213</f>
        <v>14.083489099923572</v>
      </c>
      <c r="M213" t="str">
        <f>IF(COUNTIF(Master_Data!$C:$C,$A213)&gt;0,"Found","Missing")</f>
        <v>Found</v>
      </c>
      <c r="N213" t="str">
        <f>_xlfn.XLOOKUP($A213,Master_Data!$C:$C,Master_Data!$D:$D,"CHECK",0)</f>
        <v>Manzoor Elahi</v>
      </c>
      <c r="O213" t="str">
        <f>_xlfn.XLOOKUP($A213,Master_Data!$C:$C,Master_Data!$E:$E,"CHECK",0)</f>
        <v>BNP</v>
      </c>
      <c r="P213">
        <f>_xlfn.XLOOKUP($A213,Master_Data!$C:$C,Master_Data!$F:$F,"CHECK",0)</f>
        <v>1</v>
      </c>
      <c r="Q213">
        <f>_xlfn.XLOOKUP($A213,Master_Data!$C:$C,Master_Data!$G:$G,"CHECK",0)</f>
        <v>82061</v>
      </c>
      <c r="R213">
        <f>IFERROR(_xlfn.XLOOKUP($A213,Master_Data!$C:$C,Master_Data!$H:$H,"CHECK",0),"")</f>
        <v>64.239136391035117</v>
      </c>
      <c r="S213" t="str">
        <f>_xlfn.XLOOKUP($A213,Master_Data!$C:$C,Master_Data!$I:$I,"CHECK",0)</f>
        <v>Md. Ariful Islam Mridha</v>
      </c>
      <c r="T213">
        <f>_xlfn.XLOOKUP($A213,Master_Data!$C:$C,Master_Data!$K:$K,"CHECK",0)</f>
        <v>45682</v>
      </c>
      <c r="U213">
        <f>IFERROR(_xlfn.XLOOKUP($A213,Master_Data!$C:$C,Master_Data!$L:$L,"CHECK",0),"")</f>
        <v>35.760863608964875</v>
      </c>
      <c r="V213">
        <f>_xlfn.XLOOKUP($A213,Master_Data!$C:$C,Master_Data!$M:$M,"CHECK",0)</f>
        <v>36379</v>
      </c>
      <c r="W213">
        <f>IFERROR(_xlfn.XLOOKUP($A213,Master_Data!$C:$C,Master_Data!$N:$N,"CHECK",0),"")</f>
        <v>28.478272782070253</v>
      </c>
      <c r="X213" t="str">
        <f>IFERROR(_xlfn.XLOOKUP($A213,Master_Data!$C:$C,Master_Data!$O:$O,"CHECK",0),"No Result")</f>
        <v>Safe Seat</v>
      </c>
      <c r="Y213">
        <f>_xlfn.XLOOKUP($A213,Master_Data!$C:$C,Master_Data!$P:$P,"CHECK",0)</f>
        <v>0</v>
      </c>
      <c r="Z213">
        <f t="shared" si="7"/>
        <v>1</v>
      </c>
    </row>
    <row r="214" spans="1:26">
      <c r="A214" t="str">
        <v>Narsingdi-4</v>
      </c>
      <c r="B214" t="str" cm="1">
        <f t="array" ref="B2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Nawabganj","Chapainawabganj"),Final_Merged_Data!$B$2:$B$1000=$A214)))</f>
        <v>Narsingdi</v>
      </c>
      <c r="C214" t="str" cm="1">
        <f t="array" ref="C214">_xlfn.TEXTJOIN(", ",TRUE,_xlfn._xlws.FILTER(Final_Merged_Data!$C$2:$C$1000,Final_Merged_Data!$B$2:$B$1000=$A214))</f>
        <v>Belabo, Monohardi</v>
      </c>
      <c r="D214" cm="1">
        <f t="array" ref="D214">COUNTA(_xlfn._xlws.FILTER(Final_Merged_Data!$C$2:$C$1000,Final_Merged_Data!$B$2:$B$1000=$A214))</f>
        <v>2</v>
      </c>
      <c r="E214">
        <f>SUMIFS(Final_Merged_Data!$E:$E,Final_Merged_Data!$B:$B,$A214)</f>
        <v>284.13</v>
      </c>
      <c r="F214">
        <f>SUMIFS(Final_Merged_Data!$F:$F,Final_Merged_Data!$B:$B,$A214)</f>
        <v>512190</v>
      </c>
      <c r="G214">
        <f t="shared" si="6"/>
        <v>1802.6607538802662</v>
      </c>
      <c r="H214" cm="1">
        <f t="array" ref="H214">SUMPRODUCT((Final_Merged_Data!$B$2:$B$1000=$A214)*Final_Merged_Data!$H$2:$H$1000*Final_Merged_Data!$F$2:$F$1000)/F214</f>
        <v>3.980081766531951</v>
      </c>
      <c r="I214" cm="1">
        <f t="array" ref="I214">SUMPRODUCT((Final_Merged_Data!$B$2:$B$1000=$A214)*Final_Merged_Data!$I$2:$I$1000*Final_Merged_Data!$F$2:$F$1000)/F214</f>
        <v>74.54938675101036</v>
      </c>
      <c r="J214" t="str" cm="1">
        <f t="array" ref="J214">_xlfn.TEXTJOIN(", ",TRUE,_xlfn.UNIQUE(_xlfn._xlws.FILTER(Final_Merged_Data!$J$2:$J$1000,Final_Merged_Data!$B$2:$B$1000=$A214)))</f>
        <v>Dhaka Range</v>
      </c>
      <c r="K214" cm="1">
        <f t="array" ref="K214">SUMPRODUCT((Final_Merged_Data!$B$2:$B$1000=$A214)*Final_Merged_Data!$K$2:$K$1000*Final_Merged_Data!$F$2:$F$1000)/F214</f>
        <v>87.055167395391194</v>
      </c>
      <c r="L214" cm="1">
        <f t="array" ref="L214">SUMPRODUCT((Final_Merged_Data!$B$2:$B$1000=$A214)*Final_Merged_Data!$L$2:$L$1000*Final_Merged_Data!$F$2:$F$1000)/F214</f>
        <v>14.08348909992357</v>
      </c>
      <c r="M214" t="str">
        <f>IF(COUNTIF(Master_Data!$C:$C,$A214)&gt;0,"Found","Missing")</f>
        <v>Found</v>
      </c>
      <c r="N214" t="str">
        <f>_xlfn.XLOOKUP($A214,Master_Data!$C:$C,Master_Data!$D:$D,"CHECK",0)</f>
        <v>Sardar Shakhawat Hossain Bokul</v>
      </c>
      <c r="O214" t="str">
        <f>_xlfn.XLOOKUP($A214,Master_Data!$C:$C,Master_Data!$E:$E,"CHECK",0)</f>
        <v>BNP</v>
      </c>
      <c r="P214">
        <f>_xlfn.XLOOKUP($A214,Master_Data!$C:$C,Master_Data!$F:$F,"CHECK",0)</f>
        <v>1</v>
      </c>
      <c r="Q214">
        <f>_xlfn.XLOOKUP($A214,Master_Data!$C:$C,Master_Data!$G:$G,"CHECK",0)</f>
        <v>163392</v>
      </c>
      <c r="R214">
        <f>IFERROR(_xlfn.XLOOKUP($A214,Master_Data!$C:$C,Master_Data!$H:$H,"CHECK",0),"")</f>
        <v>67.479433045891568</v>
      </c>
      <c r="S214" t="str">
        <f>_xlfn.XLOOKUP($A214,Master_Data!$C:$C,Master_Data!$I:$I,"CHECK",0)</f>
        <v>Md. Jahangir Alam</v>
      </c>
      <c r="T214">
        <f>_xlfn.XLOOKUP($A214,Master_Data!$C:$C,Master_Data!$K:$K,"CHECK",0)</f>
        <v>78744</v>
      </c>
      <c r="U214">
        <f>IFERROR(_xlfn.XLOOKUP($A214,Master_Data!$C:$C,Master_Data!$L:$L,"CHECK",0),"")</f>
        <v>32.520566954108439</v>
      </c>
      <c r="V214">
        <f>_xlfn.XLOOKUP($A214,Master_Data!$C:$C,Master_Data!$M:$M,"CHECK",0)</f>
        <v>84648</v>
      </c>
      <c r="W214">
        <f>IFERROR(_xlfn.XLOOKUP($A214,Master_Data!$C:$C,Master_Data!$N:$N,"CHECK",0),"")</f>
        <v>34.958866091783129</v>
      </c>
      <c r="X214" t="str">
        <f>IFERROR(_xlfn.XLOOKUP($A214,Master_Data!$C:$C,Master_Data!$O:$O,"CHECK",0),"No Result")</f>
        <v>Safe Seat</v>
      </c>
      <c r="Y214">
        <f>_xlfn.XLOOKUP($A214,Master_Data!$C:$C,Master_Data!$P:$P,"CHECK",0)</f>
        <v>0</v>
      </c>
      <c r="Z214">
        <f t="shared" si="7"/>
        <v>1</v>
      </c>
    </row>
    <row r="215" spans="1:26">
      <c r="A215" t="str">
        <v>Narsingdi-5</v>
      </c>
      <c r="B215" t="str" cm="1">
        <f t="array" ref="B2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Nawabganj","Chapainawabganj"),Final_Merged_Data!$B$2:$B$1000=$A215)))</f>
        <v>Narsingdi</v>
      </c>
      <c r="C215" t="str" cm="1">
        <f t="array" ref="C215">_xlfn.TEXTJOIN(", ",TRUE,_xlfn._xlws.FILTER(Final_Merged_Data!$C$2:$C$1000,Final_Merged_Data!$B$2:$B$1000=$A215))</f>
        <v>Raipura</v>
      </c>
      <c r="D215" cm="1">
        <f t="array" ref="D215">COUNTA(_xlfn._xlws.FILTER(Final_Merged_Data!$C$2:$C$1000,Final_Merged_Data!$B$2:$B$1000=$A215))</f>
        <v>1</v>
      </c>
      <c r="E215">
        <f>SUMIFS(Final_Merged_Data!$E:$E,Final_Merged_Data!$B:$B,$A215)</f>
        <v>312.77</v>
      </c>
      <c r="F215">
        <f>SUMIFS(Final_Merged_Data!$F:$F,Final_Merged_Data!$B:$B,$A215)</f>
        <v>610561</v>
      </c>
      <c r="G215">
        <f t="shared" si="6"/>
        <v>1952.1085781884453</v>
      </c>
      <c r="H215" cm="1">
        <f t="array" ref="H215">SUMPRODUCT((Final_Merged_Data!$B$2:$B$1000=$A215)*Final_Merged_Data!$H$2:$H$1000*Final_Merged_Data!$F$2:$F$1000)/F215</f>
        <v>4.33</v>
      </c>
      <c r="I215" cm="1">
        <f t="array" ref="I215">SUMPRODUCT((Final_Merged_Data!$B$2:$B$1000=$A215)*Final_Merged_Data!$I$2:$I$1000*Final_Merged_Data!$F$2:$F$1000)/F215</f>
        <v>70.67</v>
      </c>
      <c r="J215" t="str" cm="1">
        <f t="array" ref="J215">_xlfn.TEXTJOIN(", ",TRUE,_xlfn.UNIQUE(_xlfn._xlws.FILTER(Final_Merged_Data!$J$2:$J$1000,Final_Merged_Data!$B$2:$B$1000=$A215)))</f>
        <v>Dhaka Range</v>
      </c>
      <c r="K215" cm="1">
        <f t="array" ref="K215">SUMPRODUCT((Final_Merged_Data!$B$2:$B$1000=$A215)*Final_Merged_Data!$K$2:$K$1000*Final_Merged_Data!$F$2:$F$1000)/F215</f>
        <v>87.055167395391194</v>
      </c>
      <c r="L215" cm="1">
        <f t="array" ref="L215">SUMPRODUCT((Final_Merged_Data!$B$2:$B$1000=$A215)*Final_Merged_Data!$L$2:$L$1000*Final_Merged_Data!$F$2:$F$1000)/F215</f>
        <v>14.083489099923572</v>
      </c>
      <c r="M215" t="str">
        <f>IF(COUNTIF(Master_Data!$C:$C,$A215)&gt;0,"Found","Missing")</f>
        <v>Found</v>
      </c>
      <c r="N215" t="str">
        <f>_xlfn.XLOOKUP($A215,Master_Data!$C:$C,Master_Data!$D:$D,"CHECK",0)</f>
        <v>Md. Ashraf Uddin</v>
      </c>
      <c r="O215" t="str">
        <f>_xlfn.XLOOKUP($A215,Master_Data!$C:$C,Master_Data!$E:$E,"CHECK",0)</f>
        <v>BNP</v>
      </c>
      <c r="P215">
        <f>_xlfn.XLOOKUP($A215,Master_Data!$C:$C,Master_Data!$F:$F,"CHECK",0)</f>
        <v>1</v>
      </c>
      <c r="Q215">
        <f>_xlfn.XLOOKUP($A215,Master_Data!$C:$C,Master_Data!$G:$G,"CHECK",0)</f>
        <v>137690</v>
      </c>
      <c r="R215">
        <f>IFERROR(_xlfn.XLOOKUP($A215,Master_Data!$C:$C,Master_Data!$H:$H,"CHECK",0),"")</f>
        <v>75.375949110696283</v>
      </c>
      <c r="S215" t="str">
        <f>_xlfn.XLOOKUP($A215,Master_Data!$C:$C,Master_Data!$I:$I,"CHECK",0)</f>
        <v>Tajul Islam</v>
      </c>
      <c r="T215">
        <f>_xlfn.XLOOKUP($A215,Master_Data!$C:$C,Master_Data!$K:$K,"CHECK",0)</f>
        <v>44981</v>
      </c>
      <c r="U215">
        <f>IFERROR(_xlfn.XLOOKUP($A215,Master_Data!$C:$C,Master_Data!$L:$L,"CHECK",0),"")</f>
        <v>24.624050889303721</v>
      </c>
      <c r="V215">
        <f>_xlfn.XLOOKUP($A215,Master_Data!$C:$C,Master_Data!$M:$M,"CHECK",0)</f>
        <v>92709</v>
      </c>
      <c r="W215">
        <f>IFERROR(_xlfn.XLOOKUP($A215,Master_Data!$C:$C,Master_Data!$N:$N,"CHECK",0),"")</f>
        <v>50.751898221392558</v>
      </c>
      <c r="X215" t="str">
        <f>IFERROR(_xlfn.XLOOKUP($A215,Master_Data!$C:$C,Master_Data!$O:$O,"CHECK",0),"No Result")</f>
        <v>Safe Seat</v>
      </c>
      <c r="Y215">
        <f>_xlfn.XLOOKUP($A215,Master_Data!$C:$C,Master_Data!$P:$P,"CHECK",0)</f>
        <v>0</v>
      </c>
      <c r="Z215">
        <f t="shared" si="7"/>
        <v>1</v>
      </c>
    </row>
    <row r="216" spans="1:26">
      <c r="A216" t="str">
        <v>Natore-1</v>
      </c>
      <c r="B216" t="str" cm="1">
        <f t="array" ref="B2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Nawabganj","Chapainawabganj"),Final_Merged_Data!$B$2:$B$1000=$A216)))</f>
        <v>Natore</v>
      </c>
      <c r="C216" t="str" cm="1">
        <f t="array" ref="C216">_xlfn.TEXTJOIN(", ",TRUE,_xlfn._xlws.FILTER(Final_Merged_Data!$C$2:$C$1000,Final_Merged_Data!$B$2:$B$1000=$A216))</f>
        <v>Lalpur, Bagatipara</v>
      </c>
      <c r="D216" cm="1">
        <f t="array" ref="D216">COUNTA(_xlfn._xlws.FILTER(Final_Merged_Data!$C$2:$C$1000,Final_Merged_Data!$B$2:$B$1000=$A216))</f>
        <v>2</v>
      </c>
      <c r="E216">
        <f>SUMIFS(Final_Merged_Data!$E:$E,Final_Merged_Data!$B:$B,$A216)</f>
        <v>674.08999999999992</v>
      </c>
      <c r="F216">
        <f>SUMIFS(Final_Merged_Data!$F:$F,Final_Merged_Data!$B:$B,$A216)</f>
        <v>447024</v>
      </c>
      <c r="G216">
        <f t="shared" si="6"/>
        <v>663.15180465516482</v>
      </c>
      <c r="H216" cm="1">
        <f t="array" ref="H216">SUMPRODUCT((Final_Merged_Data!$B$2:$B$1000=$A216)*Final_Merged_Data!$H$2:$H$1000*Final_Merged_Data!$F$2:$F$1000)/F216</f>
        <v>3.6690853511220873</v>
      </c>
      <c r="I216" cm="1">
        <f t="array" ref="I216">SUMPRODUCT((Final_Merged_Data!$B$2:$B$1000=$A216)*Final_Merged_Data!$I$2:$I$1000*Final_Merged_Data!$F$2:$F$1000)/F216</f>
        <v>73.434029380972831</v>
      </c>
      <c r="J216" t="str" cm="1">
        <f t="array" ref="J216">_xlfn.TEXTJOIN(", ",TRUE,_xlfn.UNIQUE(_xlfn._xlws.FILTER(Final_Merged_Data!$J$2:$J$1000,Final_Merged_Data!$B$2:$B$1000=$A216)))</f>
        <v>Rajshahi Range</v>
      </c>
      <c r="K216" cm="1">
        <f t="array" ref="K216">SUMPRODUCT((Final_Merged_Data!$B$2:$B$1000=$A216)*Final_Merged_Data!$K$2:$K$1000*Final_Merged_Data!$F$2:$F$1000)/F216</f>
        <v>112.81411131450233</v>
      </c>
      <c r="L216" cm="1">
        <f t="array" ref="L216">SUMPRODUCT((Final_Merged_Data!$B$2:$B$1000=$A216)*Final_Merged_Data!$L$2:$L$1000*Final_Merged_Data!$F$2:$F$1000)/F216</f>
        <v>14.272851259111951</v>
      </c>
      <c r="M216" t="str">
        <f>IF(COUNTIF(Master_Data!$C:$C,$A216)&gt;0,"Found","Missing")</f>
        <v>Found</v>
      </c>
      <c r="N216" t="str">
        <f>_xlfn.XLOOKUP($A216,Master_Data!$C:$C,Master_Data!$D:$D,"CHECK",0)</f>
        <v>Farzana Sharmin</v>
      </c>
      <c r="O216" t="str">
        <f>_xlfn.XLOOKUP($A216,Master_Data!$C:$C,Master_Data!$E:$E,"CHECK",0)</f>
        <v>BNP</v>
      </c>
      <c r="P216">
        <f>_xlfn.XLOOKUP($A216,Master_Data!$C:$C,Master_Data!$F:$F,"CHECK",0)</f>
        <v>1</v>
      </c>
      <c r="Q216">
        <f>_xlfn.XLOOKUP($A216,Master_Data!$C:$C,Master_Data!$G:$G,"CHECK",0)</f>
        <v>102726</v>
      </c>
      <c r="R216">
        <f>IFERROR(_xlfn.XLOOKUP($A216,Master_Data!$C:$C,Master_Data!$H:$H,"CHECK",0),"")</f>
        <v>53.144950179519277</v>
      </c>
      <c r="S216" t="str">
        <f>_xlfn.XLOOKUP($A216,Master_Data!$C:$C,Master_Data!$I:$I,"CHECK",0)</f>
        <v>Md. Abul Kalam Azad</v>
      </c>
      <c r="T216">
        <f>_xlfn.XLOOKUP($A216,Master_Data!$C:$C,Master_Data!$K:$K,"CHECK",0)</f>
        <v>90568</v>
      </c>
      <c r="U216">
        <f>IFERROR(_xlfn.XLOOKUP($A216,Master_Data!$C:$C,Master_Data!$L:$L,"CHECK",0),"")</f>
        <v>46.855049820480723</v>
      </c>
      <c r="V216">
        <f>_xlfn.XLOOKUP($A216,Master_Data!$C:$C,Master_Data!$M:$M,"CHECK",0)</f>
        <v>12158</v>
      </c>
      <c r="W216">
        <f>IFERROR(_xlfn.XLOOKUP($A216,Master_Data!$C:$C,Master_Data!$N:$N,"CHECK",0),"")</f>
        <v>6.2899003590385627</v>
      </c>
      <c r="X216" t="str">
        <f>IFERROR(_xlfn.XLOOKUP($A216,Master_Data!$C:$C,Master_Data!$O:$O,"CHECK",0),"No Result")</f>
        <v>Safe Seat</v>
      </c>
      <c r="Y216">
        <f>_xlfn.XLOOKUP($A216,Master_Data!$C:$C,Master_Data!$P:$P,"CHECK",0)</f>
        <v>0</v>
      </c>
      <c r="Z216">
        <f t="shared" si="7"/>
        <v>1</v>
      </c>
    </row>
    <row r="217" spans="1:26">
      <c r="A217" t="str">
        <v>Natore-2</v>
      </c>
      <c r="B217" t="str" cm="1">
        <f t="array" ref="B2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Nawabganj","Chapainawabganj"),Final_Merged_Data!$B$2:$B$1000=$A217)))</f>
        <v>Natore</v>
      </c>
      <c r="C217" t="str" cm="1">
        <f t="array" ref="C217">_xlfn.TEXTJOIN(", ",TRUE,_xlfn._xlws.FILTER(Final_Merged_Data!$C$2:$C$1000,Final_Merged_Data!$B$2:$B$1000=$A217))</f>
        <v>Natore Sadar</v>
      </c>
      <c r="D217" cm="1">
        <f t="array" ref="D217">COUNTA(_xlfn._xlws.FILTER(Final_Merged_Data!$C$2:$C$1000,Final_Merged_Data!$B$2:$B$1000=$A217))</f>
        <v>1</v>
      </c>
      <c r="E217">
        <f>SUMIFS(Final_Merged_Data!$E:$E,Final_Merged_Data!$B:$B,$A217)</f>
        <v>278.33</v>
      </c>
      <c r="F217">
        <f>SUMIFS(Final_Merged_Data!$F:$F,Final_Merged_Data!$B:$B,$A217)</f>
        <v>352967</v>
      </c>
      <c r="G217">
        <f t="shared" si="6"/>
        <v>1268.1600977257212</v>
      </c>
      <c r="H217" cm="1">
        <f t="array" ref="H217">SUMPRODUCT((Final_Merged_Data!$B$2:$B$1000=$A217)*Final_Merged_Data!$H$2:$H$1000*Final_Merged_Data!$F$2:$F$1000)/F217</f>
        <v>3.67</v>
      </c>
      <c r="I217" cm="1">
        <f t="array" ref="I217">SUMPRODUCT((Final_Merged_Data!$B$2:$B$1000=$A217)*Final_Merged_Data!$I$2:$I$1000*Final_Merged_Data!$F$2:$F$1000)/F217</f>
        <v>75.2</v>
      </c>
      <c r="J217" t="str" cm="1">
        <f t="array" ref="J217">_xlfn.TEXTJOIN(", ",TRUE,_xlfn.UNIQUE(_xlfn._xlws.FILTER(Final_Merged_Data!$J$2:$J$1000,Final_Merged_Data!$B$2:$B$1000=$A217)))</f>
        <v>Rajshahi Range</v>
      </c>
      <c r="K217" cm="1">
        <f t="array" ref="K217">SUMPRODUCT((Final_Merged_Data!$B$2:$B$1000=$A217)*Final_Merged_Data!$K$2:$K$1000*Final_Merged_Data!$F$2:$F$1000)/F217</f>
        <v>112.81411131450233</v>
      </c>
      <c r="L217" cm="1">
        <f t="array" ref="L217">SUMPRODUCT((Final_Merged_Data!$B$2:$B$1000=$A217)*Final_Merged_Data!$L$2:$L$1000*Final_Merged_Data!$F$2:$F$1000)/F217</f>
        <v>14.272851259111949</v>
      </c>
      <c r="M217" t="str">
        <f>IF(COUNTIF(Master_Data!$C:$C,$A217)&gt;0,"Found","Missing")</f>
        <v>Found</v>
      </c>
      <c r="N217" t="str">
        <f>_xlfn.XLOOKUP($A217,Master_Data!$C:$C,Master_Data!$D:$D,"CHECK",0)</f>
        <v>Ruhul Quddus Talukdar Dulu</v>
      </c>
      <c r="O217" t="str">
        <f>_xlfn.XLOOKUP($A217,Master_Data!$C:$C,Master_Data!$E:$E,"CHECK",0)</f>
        <v>BNP</v>
      </c>
      <c r="P217">
        <f>_xlfn.XLOOKUP($A217,Master_Data!$C:$C,Master_Data!$F:$F,"CHECK",0)</f>
        <v>1</v>
      </c>
      <c r="Q217">
        <f>_xlfn.XLOOKUP($A217,Master_Data!$C:$C,Master_Data!$G:$G,"CHECK",0)</f>
        <v>162841</v>
      </c>
      <c r="R217">
        <f>IFERROR(_xlfn.XLOOKUP($A217,Master_Data!$C:$C,Master_Data!$H:$H,"CHECK",0),"")</f>
        <v>55.594779230267633</v>
      </c>
      <c r="S217" t="str">
        <f>_xlfn.XLOOKUP($A217,Master_Data!$C:$C,Master_Data!$I:$I,"CHECK",0)</f>
        <v>Md. Yunus Ali</v>
      </c>
      <c r="T217">
        <f>_xlfn.XLOOKUP($A217,Master_Data!$C:$C,Master_Data!$K:$K,"CHECK",0)</f>
        <v>130066</v>
      </c>
      <c r="U217">
        <f>IFERROR(_xlfn.XLOOKUP($A217,Master_Data!$C:$C,Master_Data!$L:$L,"CHECK",0),"")</f>
        <v>44.405220769732374</v>
      </c>
      <c r="V217">
        <f>_xlfn.XLOOKUP($A217,Master_Data!$C:$C,Master_Data!$M:$M,"CHECK",0)</f>
        <v>32775</v>
      </c>
      <c r="W217">
        <f>IFERROR(_xlfn.XLOOKUP($A217,Master_Data!$C:$C,Master_Data!$N:$N,"CHECK",0),"")</f>
        <v>11.189558460535256</v>
      </c>
      <c r="X217" t="str">
        <f>IFERROR(_xlfn.XLOOKUP($A217,Master_Data!$C:$C,Master_Data!$O:$O,"CHECK",0),"No Result")</f>
        <v>Safe Seat</v>
      </c>
      <c r="Y217">
        <f>_xlfn.XLOOKUP($A217,Master_Data!$C:$C,Master_Data!$P:$P,"CHECK",0)</f>
        <v>0</v>
      </c>
      <c r="Z217">
        <f t="shared" si="7"/>
        <v>1</v>
      </c>
    </row>
    <row r="218" spans="1:26">
      <c r="A218" t="str">
        <v>Natore-3</v>
      </c>
      <c r="B218" t="str" cm="1">
        <f t="array" ref="B2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Nawabganj","Chapainawabganj"),Final_Merged_Data!$B$2:$B$1000=$A218)))</f>
        <v>Natore</v>
      </c>
      <c r="C218" t="str" cm="1">
        <f t="array" ref="C218">_xlfn.TEXTJOIN(", ",TRUE,_xlfn._xlws.FILTER(Final_Merged_Data!$C$2:$C$1000,Final_Merged_Data!$B$2:$B$1000=$A218))</f>
        <v>Singra, Gurudaspur</v>
      </c>
      <c r="D218" cm="1">
        <f t="array" ref="D218">COUNTA(_xlfn._xlws.FILTER(Final_Merged_Data!$C$2:$C$1000,Final_Merged_Data!$B$2:$B$1000=$A218))</f>
        <v>2</v>
      </c>
      <c r="E218">
        <f>SUMIFS(Final_Merged_Data!$E:$E,Final_Merged_Data!$B:$B,$A218)</f>
        <v>607.05999999999995</v>
      </c>
      <c r="F218">
        <f>SUMIFS(Final_Merged_Data!$F:$F,Final_Merged_Data!$B:$B,$A218)</f>
        <v>615629</v>
      </c>
      <c r="G218">
        <f t="shared" si="6"/>
        <v>1014.1155734194315</v>
      </c>
      <c r="H218" cm="1">
        <f t="array" ref="H218">SUMPRODUCT((Final_Merged_Data!$B$2:$B$1000=$A218)*Final_Merged_Data!$H$2:$H$1000*Final_Merged_Data!$F$2:$F$1000)/F218</f>
        <v>3.6743241790104104</v>
      </c>
      <c r="I218" cm="1">
        <f t="array" ref="I218">SUMPRODUCT((Final_Merged_Data!$B$2:$B$1000=$A218)*Final_Merged_Data!$I$2:$I$1000*Final_Merged_Data!$F$2:$F$1000)/F218</f>
        <v>67.718876319991423</v>
      </c>
      <c r="J218" t="str" cm="1">
        <f t="array" ref="J218">_xlfn.TEXTJOIN(", ",TRUE,_xlfn.UNIQUE(_xlfn._xlws.FILTER(Final_Merged_Data!$J$2:$J$1000,Final_Merged_Data!$B$2:$B$1000=$A218)))</f>
        <v>Rajshahi Range</v>
      </c>
      <c r="K218" cm="1">
        <f t="array" ref="K218">SUMPRODUCT((Final_Merged_Data!$B$2:$B$1000=$A218)*Final_Merged_Data!$K$2:$K$1000*Final_Merged_Data!$F$2:$F$1000)/F218</f>
        <v>112.81411131450233</v>
      </c>
      <c r="L218" cm="1">
        <f t="array" ref="L218">SUMPRODUCT((Final_Merged_Data!$B$2:$B$1000=$A218)*Final_Merged_Data!$L$2:$L$1000*Final_Merged_Data!$F$2:$F$1000)/F218</f>
        <v>14.272851259111949</v>
      </c>
      <c r="M218" t="str">
        <f>IF(COUNTIF(Master_Data!$C:$C,$A218)&gt;0,"Found","Missing")</f>
        <v>Found</v>
      </c>
      <c r="N218" t="str">
        <f>_xlfn.XLOOKUP($A218,Master_Data!$C:$C,Master_Data!$D:$D,"CHECK",0)</f>
        <v>Md. Anwarul Islam</v>
      </c>
      <c r="O218" t="str">
        <f>_xlfn.XLOOKUP($A218,Master_Data!$C:$C,Master_Data!$E:$E,"CHECK",0)</f>
        <v>BNP</v>
      </c>
      <c r="P218">
        <f>_xlfn.XLOOKUP($A218,Master_Data!$C:$C,Master_Data!$F:$F,"CHECK",0)</f>
        <v>1</v>
      </c>
      <c r="Q218">
        <f>_xlfn.XLOOKUP($A218,Master_Data!$C:$C,Master_Data!$G:$G,"CHECK",0)</f>
        <v>119768</v>
      </c>
      <c r="R218">
        <f>IFERROR(_xlfn.XLOOKUP($A218,Master_Data!$C:$C,Master_Data!$H:$H,"CHECK",0),"")</f>
        <v>64.301514012670452</v>
      </c>
      <c r="S218" t="str">
        <f>_xlfn.XLOOKUP($A218,Master_Data!$C:$C,Master_Data!$I:$I,"CHECK",0)</f>
        <v>Md. Daudar Mahmud</v>
      </c>
      <c r="T218">
        <f>_xlfn.XLOOKUP($A218,Master_Data!$C:$C,Master_Data!$K:$K,"CHECK",0)</f>
        <v>66492</v>
      </c>
      <c r="U218">
        <f>IFERROR(_xlfn.XLOOKUP($A218,Master_Data!$C:$C,Master_Data!$L:$L,"CHECK",0),"")</f>
        <v>35.698485987329533</v>
      </c>
      <c r="V218">
        <f>_xlfn.XLOOKUP($A218,Master_Data!$C:$C,Master_Data!$M:$M,"CHECK",0)</f>
        <v>53276</v>
      </c>
      <c r="W218">
        <f>IFERROR(_xlfn.XLOOKUP($A218,Master_Data!$C:$C,Master_Data!$N:$N,"CHECK",0),"")</f>
        <v>28.603028025340922</v>
      </c>
      <c r="X218" t="str">
        <f>IFERROR(_xlfn.XLOOKUP($A218,Master_Data!$C:$C,Master_Data!$O:$O,"CHECK",0),"No Result")</f>
        <v>Safe Seat</v>
      </c>
      <c r="Y218">
        <f>_xlfn.XLOOKUP($A218,Master_Data!$C:$C,Master_Data!$P:$P,"CHECK",0)</f>
        <v>0</v>
      </c>
      <c r="Z218">
        <f t="shared" si="7"/>
        <v>1</v>
      </c>
    </row>
    <row r="219" spans="1:26">
      <c r="A219" t="str">
        <v>Natore-4</v>
      </c>
      <c r="B219" t="str" cm="1">
        <f t="array" ref="B2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Nawabganj","Chapainawabganj"),Final_Merged_Data!$B$2:$B$1000=$A219)))</f>
        <v>Natore</v>
      </c>
      <c r="C219" t="str" cm="1">
        <f t="array" ref="C219">_xlfn.TEXTJOIN(", ",TRUE,_xlfn._xlws.FILTER(Final_Merged_Data!$C$2:$C$1000,Final_Merged_Data!$B$2:$B$1000=$A219))</f>
        <v>Baraigram</v>
      </c>
      <c r="D219" cm="1">
        <f t="array" ref="D219">COUNTA(_xlfn._xlws.FILTER(Final_Merged_Data!$C$2:$C$1000,Final_Merged_Data!$B$2:$B$1000=$A219))</f>
        <v>1</v>
      </c>
      <c r="E219">
        <f>SUMIFS(Final_Merged_Data!$E:$E,Final_Merged_Data!$B:$B,$A219)</f>
        <v>299.63</v>
      </c>
      <c r="F219">
        <f>SUMIFS(Final_Merged_Data!$F:$F,Final_Merged_Data!$B:$B,$A219)</f>
        <v>308917</v>
      </c>
      <c r="G219">
        <f t="shared" si="6"/>
        <v>1030.9948937022327</v>
      </c>
      <c r="H219" cm="1">
        <f t="array" ref="H219">SUMPRODUCT((Final_Merged_Data!$B$2:$B$1000=$A219)*Final_Merged_Data!$H$2:$H$1000*Final_Merged_Data!$F$2:$F$1000)/F219</f>
        <v>3.6400000000000006</v>
      </c>
      <c r="I219" cm="1">
        <f t="array" ref="I219">SUMPRODUCT((Final_Merged_Data!$B$2:$B$1000=$A219)*Final_Merged_Data!$I$2:$I$1000*Final_Merged_Data!$F$2:$F$1000)/F219</f>
        <v>72.38</v>
      </c>
      <c r="J219" t="str" cm="1">
        <f t="array" ref="J219">_xlfn.TEXTJOIN(", ",TRUE,_xlfn.UNIQUE(_xlfn._xlws.FILTER(Final_Merged_Data!$J$2:$J$1000,Final_Merged_Data!$B$2:$B$1000=$A219)))</f>
        <v>Rajshahi Range</v>
      </c>
      <c r="K219" cm="1">
        <f t="array" ref="K219">SUMPRODUCT((Final_Merged_Data!$B$2:$B$1000=$A219)*Final_Merged_Data!$K$2:$K$1000*Final_Merged_Data!$F$2:$F$1000)/F219</f>
        <v>112.81411131450231</v>
      </c>
      <c r="L219" cm="1">
        <f t="array" ref="L219">SUMPRODUCT((Final_Merged_Data!$B$2:$B$1000=$A219)*Final_Merged_Data!$L$2:$L$1000*Final_Merged_Data!$F$2:$F$1000)/F219</f>
        <v>14.272851259111949</v>
      </c>
      <c r="M219" t="str">
        <f>IF(COUNTIF(Master_Data!$C:$C,$A219)&gt;0,"Found","Missing")</f>
        <v>Found</v>
      </c>
      <c r="N219" t="str">
        <f>_xlfn.XLOOKUP($A219,Master_Data!$C:$C,Master_Data!$D:$D,"CHECK",0)</f>
        <v>Md. Abdul Aziz</v>
      </c>
      <c r="O219" t="str">
        <f>_xlfn.XLOOKUP($A219,Master_Data!$C:$C,Master_Data!$E:$E,"CHECK",0)</f>
        <v>BNP</v>
      </c>
      <c r="P219">
        <f>_xlfn.XLOOKUP($A219,Master_Data!$C:$C,Master_Data!$F:$F,"CHECK",0)</f>
        <v>1</v>
      </c>
      <c r="Q219">
        <f>_xlfn.XLOOKUP($A219,Master_Data!$C:$C,Master_Data!$G:$G,"CHECK",0)</f>
        <v>170551</v>
      </c>
      <c r="R219">
        <f>IFERROR(_xlfn.XLOOKUP($A219,Master_Data!$C:$C,Master_Data!$H:$H,"CHECK",0),"")</f>
        <v>55.747098258791837</v>
      </c>
      <c r="S219" t="str">
        <f>_xlfn.XLOOKUP($A219,Master_Data!$C:$C,Master_Data!$I:$I,"CHECK",0)</f>
        <v>Md. Abdul Hakim</v>
      </c>
      <c r="T219">
        <f>_xlfn.XLOOKUP($A219,Master_Data!$C:$C,Master_Data!$K:$K,"CHECK",0)</f>
        <v>135386</v>
      </c>
      <c r="U219">
        <f>IFERROR(_xlfn.XLOOKUP($A219,Master_Data!$C:$C,Master_Data!$L:$L,"CHECK",0),"")</f>
        <v>44.252901741208156</v>
      </c>
      <c r="V219">
        <f>_xlfn.XLOOKUP($A219,Master_Data!$C:$C,Master_Data!$M:$M,"CHECK",0)</f>
        <v>35165</v>
      </c>
      <c r="W219">
        <f>IFERROR(_xlfn.XLOOKUP($A219,Master_Data!$C:$C,Master_Data!$N:$N,"CHECK",0),"")</f>
        <v>11.494196517583685</v>
      </c>
      <c r="X219" t="str">
        <f>IFERROR(_xlfn.XLOOKUP($A219,Master_Data!$C:$C,Master_Data!$O:$O,"CHECK",0),"No Result")</f>
        <v>Safe Seat</v>
      </c>
      <c r="Y219">
        <f>_xlfn.XLOOKUP($A219,Master_Data!$C:$C,Master_Data!$P:$P,"CHECK",0)</f>
        <v>0</v>
      </c>
      <c r="Z219">
        <f t="shared" si="7"/>
        <v>1</v>
      </c>
    </row>
    <row r="220" spans="1:26">
      <c r="A220" t="str">
        <v>Netrokona-1</v>
      </c>
      <c r="B220" t="str" cm="1">
        <f t="array" ref="B2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Nawabganj","Chapainawabganj"),Final_Merged_Data!$B$2:$B$1000=$A220)))</f>
        <v>Netrokona</v>
      </c>
      <c r="C220" t="str" cm="1">
        <f t="array" ref="C220">_xlfn.TEXTJOIN(", ",TRUE,_xlfn._xlws.FILTER(Final_Merged_Data!$C$2:$C$1000,Final_Merged_Data!$B$2:$B$1000=$A220))</f>
        <v>Durgapur, Khaliajuri</v>
      </c>
      <c r="D220" cm="1">
        <f t="array" ref="D220">COUNTA(_xlfn._xlws.FILTER(Final_Merged_Data!$C$2:$C$1000,Final_Merged_Data!$B$2:$B$1000=$A220))</f>
        <v>2</v>
      </c>
      <c r="E220">
        <f>SUMIFS(Final_Merged_Data!$E:$E,Final_Merged_Data!$B:$B,$A220)</f>
        <v>633.09999999999991</v>
      </c>
      <c r="F220">
        <f>SUMIFS(Final_Merged_Data!$F:$F,Final_Merged_Data!$B:$B,$A220)</f>
        <v>338784</v>
      </c>
      <c r="G220">
        <f t="shared" si="6"/>
        <v>535.11925446217037</v>
      </c>
      <c r="H220" cm="1">
        <f t="array" ref="H220">SUMPRODUCT((Final_Merged_Data!$B$2:$B$1000=$A220)*Final_Merged_Data!$H$2:$H$1000*Final_Merged_Data!$F$2:$F$1000)/F220</f>
        <v>4.1795284606120706</v>
      </c>
      <c r="I220" cm="1">
        <f t="array" ref="I220">SUMPRODUCT((Final_Merged_Data!$B$2:$B$1000=$A220)*Final_Merged_Data!$I$2:$I$1000*Final_Merged_Data!$F$2:$F$1000)/F220</f>
        <v>64.644309294417681</v>
      </c>
      <c r="J220" t="str" cm="1">
        <f t="array" ref="J220">_xlfn.TEXTJOIN(", ",TRUE,_xlfn.UNIQUE(_xlfn._xlws.FILTER(Final_Merged_Data!$J$2:$J$1000,Final_Merged_Data!$B$2:$B$1000=$A220)))</f>
        <v>Mymensingh Range</v>
      </c>
      <c r="K220" cm="1">
        <f t="array" ref="K220">SUMPRODUCT((Final_Merged_Data!$B$2:$B$1000=$A220)*Final_Merged_Data!$K$2:$K$1000*Final_Merged_Data!$F$2:$F$1000)/F220</f>
        <v>84.741263899591743</v>
      </c>
      <c r="L220" cm="1">
        <f t="array" ref="L220">SUMPRODUCT((Final_Merged_Data!$B$2:$B$1000=$A220)*Final_Merged_Data!$L$2:$L$1000*Final_Merged_Data!$F$2:$F$1000)/F220</f>
        <v>13.635491015503808</v>
      </c>
      <c r="M220" t="str">
        <f>IF(COUNTIF(Master_Data!$C:$C,$A220)&gt;0,"Found","Missing")</f>
        <v>Found</v>
      </c>
      <c r="N220" t="str">
        <f>_xlfn.XLOOKUP($A220,Master_Data!$C:$C,Master_Data!$D:$D,"CHECK",0)</f>
        <v>Kaiser Kamal</v>
      </c>
      <c r="O220" t="str">
        <f>_xlfn.XLOOKUP($A220,Master_Data!$C:$C,Master_Data!$E:$E,"CHECK",0)</f>
        <v>BNP</v>
      </c>
      <c r="P220">
        <f>_xlfn.XLOOKUP($A220,Master_Data!$C:$C,Master_Data!$F:$F,"CHECK",0)</f>
        <v>1</v>
      </c>
      <c r="Q220">
        <f>_xlfn.XLOOKUP($A220,Master_Data!$C:$C,Master_Data!$G:$G,"CHECK",0)</f>
        <v>158343</v>
      </c>
      <c r="R220">
        <f>IFERROR(_xlfn.XLOOKUP($A220,Master_Data!$C:$C,Master_Data!$H:$H,"CHECK",0),"")</f>
        <v>64.411323226118753</v>
      </c>
      <c r="S220" t="str">
        <f>_xlfn.XLOOKUP($A220,Master_Data!$C:$C,Master_Data!$I:$I,"CHECK",0)</f>
        <v>Golam Rabbani</v>
      </c>
      <c r="T220">
        <f>_xlfn.XLOOKUP($A220,Master_Data!$C:$C,Master_Data!$K:$K,"CHECK",0)</f>
        <v>87488</v>
      </c>
      <c r="U220">
        <f>IFERROR(_xlfn.XLOOKUP($A220,Master_Data!$C:$C,Master_Data!$L:$L,"CHECK",0),"")</f>
        <v>35.588676773881247</v>
      </c>
      <c r="V220">
        <f>_xlfn.XLOOKUP($A220,Master_Data!$C:$C,Master_Data!$M:$M,"CHECK",0)</f>
        <v>70855</v>
      </c>
      <c r="W220">
        <f>IFERROR(_xlfn.XLOOKUP($A220,Master_Data!$C:$C,Master_Data!$N:$N,"CHECK",0),"")</f>
        <v>28.82264645223751</v>
      </c>
      <c r="X220" t="str">
        <f>IFERROR(_xlfn.XLOOKUP($A220,Master_Data!$C:$C,Master_Data!$O:$O,"CHECK",0),"No Result")</f>
        <v>Safe Seat</v>
      </c>
      <c r="Y220">
        <f>_xlfn.XLOOKUP($A220,Master_Data!$C:$C,Master_Data!$P:$P,"CHECK",0)</f>
        <v>0</v>
      </c>
      <c r="Z220">
        <f t="shared" si="7"/>
        <v>1</v>
      </c>
    </row>
    <row r="221" spans="1:26">
      <c r="A221" t="str">
        <v>Netrokona-2</v>
      </c>
      <c r="B221" t="str" cm="1">
        <f t="array" ref="B2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Nawabganj","Chapainawabganj"),Final_Merged_Data!$B$2:$B$1000=$A221)))</f>
        <v>Netrokona</v>
      </c>
      <c r="C221" t="str" cm="1">
        <f t="array" ref="C221">_xlfn.TEXTJOIN(", ",TRUE,_xlfn._xlws.FILTER(Final_Merged_Data!$C$2:$C$1000,Final_Merged_Data!$B$2:$B$1000=$A221))</f>
        <v>Barhatta, Netrokona Sadar</v>
      </c>
      <c r="D221" cm="1">
        <f t="array" ref="D221">COUNTA(_xlfn._xlws.FILTER(Final_Merged_Data!$C$2:$C$1000,Final_Merged_Data!$B$2:$B$1000=$A221))</f>
        <v>2</v>
      </c>
      <c r="E221">
        <f>SUMIFS(Final_Merged_Data!$E:$E,Final_Merged_Data!$B:$B,$A221)</f>
        <v>780.44</v>
      </c>
      <c r="F221">
        <f>SUMIFS(Final_Merged_Data!$F:$F,Final_Merged_Data!$B:$B,$A221)</f>
        <v>604123</v>
      </c>
      <c r="G221">
        <f t="shared" si="6"/>
        <v>774.08000615037668</v>
      </c>
      <c r="H221" cm="1">
        <f t="array" ref="H221">SUMPRODUCT((Final_Merged_Data!$B$2:$B$1000=$A221)*Final_Merged_Data!$H$2:$H$1000*Final_Merged_Data!$F$2:$F$1000)/F221</f>
        <v>4.2152366488281361</v>
      </c>
      <c r="I221" cm="1">
        <f t="array" ref="I221">SUMPRODUCT((Final_Merged_Data!$B$2:$B$1000=$A221)*Final_Merged_Data!$I$2:$I$1000*Final_Merged_Data!$F$2:$F$1000)/F221</f>
        <v>68.987682111093264</v>
      </c>
      <c r="J221" t="str" cm="1">
        <f t="array" ref="J221">_xlfn.TEXTJOIN(", ",TRUE,_xlfn.UNIQUE(_xlfn._xlws.FILTER(Final_Merged_Data!$J$2:$J$1000,Final_Merged_Data!$B$2:$B$1000=$A221)))</f>
        <v>Mymensingh Range</v>
      </c>
      <c r="K221" cm="1">
        <f t="array" ref="K221">SUMPRODUCT((Final_Merged_Data!$B$2:$B$1000=$A221)*Final_Merged_Data!$K$2:$K$1000*Final_Merged_Data!$F$2:$F$1000)/F221</f>
        <v>84.741263899591743</v>
      </c>
      <c r="L221" cm="1">
        <f t="array" ref="L221">SUMPRODUCT((Final_Merged_Data!$B$2:$B$1000=$A221)*Final_Merged_Data!$L$2:$L$1000*Final_Merged_Data!$F$2:$F$1000)/F221</f>
        <v>13.635491015503808</v>
      </c>
      <c r="M221" t="str">
        <f>IF(COUNTIF(Master_Data!$C:$C,$A221)&gt;0,"Found","Missing")</f>
        <v>Found</v>
      </c>
      <c r="N221" t="str">
        <f>_xlfn.XLOOKUP($A221,Master_Data!$C:$C,Master_Data!$D:$D,"CHECK",0)</f>
        <v>Md. Anwarul Haque</v>
      </c>
      <c r="O221" t="str">
        <f>_xlfn.XLOOKUP($A221,Master_Data!$C:$C,Master_Data!$E:$E,"CHECK",0)</f>
        <v>BNP</v>
      </c>
      <c r="P221">
        <f>_xlfn.XLOOKUP($A221,Master_Data!$C:$C,Master_Data!$F:$F,"CHECK",0)</f>
        <v>1</v>
      </c>
      <c r="Q221">
        <f>_xlfn.XLOOKUP($A221,Master_Data!$C:$C,Master_Data!$G:$G,"CHECK",0)</f>
        <v>171399</v>
      </c>
      <c r="R221">
        <f>IFERROR(_xlfn.XLOOKUP($A221,Master_Data!$C:$C,Master_Data!$H:$H,"CHECK",0),"")</f>
        <v>71.7853463223407</v>
      </c>
      <c r="S221" t="str">
        <f>_xlfn.XLOOKUP($A221,Master_Data!$C:$C,Master_Data!$I:$I,"CHECK",0)</f>
        <v>Md. Fahim Rahman Khan Pathan</v>
      </c>
      <c r="T221">
        <f>_xlfn.XLOOKUP($A221,Master_Data!$C:$C,Master_Data!$K:$K,"CHECK",0)</f>
        <v>67367</v>
      </c>
      <c r="U221">
        <f>IFERROR(_xlfn.XLOOKUP($A221,Master_Data!$C:$C,Master_Data!$L:$L,"CHECK",0),"")</f>
        <v>28.214653677659296</v>
      </c>
      <c r="V221">
        <f>_xlfn.XLOOKUP($A221,Master_Data!$C:$C,Master_Data!$M:$M,"CHECK",0)</f>
        <v>104032</v>
      </c>
      <c r="W221">
        <f>IFERROR(_xlfn.XLOOKUP($A221,Master_Data!$C:$C,Master_Data!$N:$N,"CHECK",0),"")</f>
        <v>43.570692644681401</v>
      </c>
      <c r="X221" t="str">
        <f>IFERROR(_xlfn.XLOOKUP($A221,Master_Data!$C:$C,Master_Data!$O:$O,"CHECK",0),"No Result")</f>
        <v>Safe Seat</v>
      </c>
      <c r="Y221">
        <f>_xlfn.XLOOKUP($A221,Master_Data!$C:$C,Master_Data!$P:$P,"CHECK",0)</f>
        <v>0</v>
      </c>
      <c r="Z221">
        <f t="shared" si="7"/>
        <v>1</v>
      </c>
    </row>
    <row r="222" spans="1:26">
      <c r="A222" t="str">
        <v>Netrokona-3</v>
      </c>
      <c r="B222" t="str" cm="1">
        <f t="array" ref="B2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Nawabganj","Chapainawabganj"),Final_Merged_Data!$B$2:$B$1000=$A222)))</f>
        <v>Netrokona</v>
      </c>
      <c r="C222" t="str" cm="1">
        <f t="array" ref="C222">_xlfn.TEXTJOIN(", ",TRUE,_xlfn._xlws.FILTER(Final_Merged_Data!$C$2:$C$1000,Final_Merged_Data!$B$2:$B$1000=$A222))</f>
        <v>Atpara, Kendua</v>
      </c>
      <c r="D222" cm="1">
        <f t="array" ref="D222">COUNTA(_xlfn._xlws.FILTER(Final_Merged_Data!$C$2:$C$1000,Final_Merged_Data!$B$2:$B$1000=$A222))</f>
        <v>2</v>
      </c>
      <c r="E222">
        <f>SUMIFS(Final_Merged_Data!$E:$E,Final_Merged_Data!$B:$B,$A222)</f>
        <v>815.11</v>
      </c>
      <c r="F222">
        <f>SUMIFS(Final_Merged_Data!$F:$F,Final_Merged_Data!$B:$B,$A222)</f>
        <v>461769</v>
      </c>
      <c r="G222">
        <f t="shared" si="6"/>
        <v>566.51126841775954</v>
      </c>
      <c r="H222" cm="1">
        <f t="array" ref="H222">SUMPRODUCT((Final_Merged_Data!$B$2:$B$1000=$A222)*Final_Merged_Data!$H$2:$H$1000*Final_Merged_Data!$F$2:$F$1000)/F222</f>
        <v>4.1519550684433124</v>
      </c>
      <c r="I222" cm="1">
        <f t="array" ref="I222">SUMPRODUCT((Final_Merged_Data!$B$2:$B$1000=$A222)*Final_Merged_Data!$I$2:$I$1000*Final_Merged_Data!$F$2:$F$1000)/F222</f>
        <v>64.890590684952869</v>
      </c>
      <c r="J222" t="str" cm="1">
        <f t="array" ref="J222">_xlfn.TEXTJOIN(", ",TRUE,_xlfn.UNIQUE(_xlfn._xlws.FILTER(Final_Merged_Data!$J$2:$J$1000,Final_Merged_Data!$B$2:$B$1000=$A222)))</f>
        <v>Mymensingh Range</v>
      </c>
      <c r="K222" cm="1">
        <f t="array" ref="K222">SUMPRODUCT((Final_Merged_Data!$B$2:$B$1000=$A222)*Final_Merged_Data!$K$2:$K$1000*Final_Merged_Data!$F$2:$F$1000)/F222</f>
        <v>84.741263899591743</v>
      </c>
      <c r="L222" cm="1">
        <f t="array" ref="L222">SUMPRODUCT((Final_Merged_Data!$B$2:$B$1000=$A222)*Final_Merged_Data!$L$2:$L$1000*Final_Merged_Data!$F$2:$F$1000)/F222</f>
        <v>13.635491015503808</v>
      </c>
      <c r="M222" t="str">
        <f>IF(COUNTIF(Master_Data!$C:$C,$A222)&gt;0,"Found","Missing")</f>
        <v>Found</v>
      </c>
      <c r="N222" t="str">
        <f>_xlfn.XLOOKUP($A222,Master_Data!$C:$C,Master_Data!$D:$D,"CHECK",0)</f>
        <v>Rafiqul Islam Hilali</v>
      </c>
      <c r="O222" t="str">
        <f>_xlfn.XLOOKUP($A222,Master_Data!$C:$C,Master_Data!$E:$E,"CHECK",0)</f>
        <v>BNP</v>
      </c>
      <c r="P222">
        <f>_xlfn.XLOOKUP($A222,Master_Data!$C:$C,Master_Data!$F:$F,"CHECK",0)</f>
        <v>1</v>
      </c>
      <c r="Q222">
        <f>_xlfn.XLOOKUP($A222,Master_Data!$C:$C,Master_Data!$G:$G,"CHECK",0)</f>
        <v>118469</v>
      </c>
      <c r="R222">
        <f>IFERROR(_xlfn.XLOOKUP($A222,Master_Data!$C:$C,Master_Data!$H:$H,"CHECK",0),"")</f>
        <v>63.207063970549001</v>
      </c>
      <c r="S222" t="str">
        <f>_xlfn.XLOOKUP($A222,Master_Data!$C:$C,Master_Data!$I:$I,"CHECK",0)</f>
        <v>Md Delwar Hossain Bhuiyan</v>
      </c>
      <c r="T222">
        <f>_xlfn.XLOOKUP($A222,Master_Data!$C:$C,Master_Data!$K:$K,"CHECK",0)</f>
        <v>68961</v>
      </c>
      <c r="U222">
        <f>IFERROR(_xlfn.XLOOKUP($A222,Master_Data!$C:$C,Master_Data!$L:$L,"CHECK",0),"")</f>
        <v>36.792936029450999</v>
      </c>
      <c r="V222">
        <f>_xlfn.XLOOKUP($A222,Master_Data!$C:$C,Master_Data!$M:$M,"CHECK",0)</f>
        <v>49508</v>
      </c>
      <c r="W222">
        <f>IFERROR(_xlfn.XLOOKUP($A222,Master_Data!$C:$C,Master_Data!$N:$N,"CHECK",0),"")</f>
        <v>26.414127941098009</v>
      </c>
      <c r="X222" t="str">
        <f>IFERROR(_xlfn.XLOOKUP($A222,Master_Data!$C:$C,Master_Data!$O:$O,"CHECK",0),"No Result")</f>
        <v>Safe Seat</v>
      </c>
      <c r="Y222">
        <f>_xlfn.XLOOKUP($A222,Master_Data!$C:$C,Master_Data!$P:$P,"CHECK",0)</f>
        <v>0</v>
      </c>
      <c r="Z222">
        <f t="shared" si="7"/>
        <v>1</v>
      </c>
    </row>
    <row r="223" spans="1:26">
      <c r="A223" t="str">
        <v>Netrokona-4</v>
      </c>
      <c r="B223" t="str" cm="1">
        <f t="array" ref="B2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Nawabganj","Chapainawabganj"),Final_Merged_Data!$B$2:$B$1000=$A223)))</f>
        <v>Netrokona</v>
      </c>
      <c r="C223" t="str" cm="1">
        <f t="array" ref="C223">_xlfn.TEXTJOIN(", ",TRUE,_xlfn._xlws.FILTER(Final_Merged_Data!$C$2:$C$1000,Final_Merged_Data!$B$2:$B$1000=$A223))</f>
        <v>Madan, Mohanganj, Khaliajuri</v>
      </c>
      <c r="D223" cm="1">
        <f t="array" ref="D223">COUNTA(_xlfn._xlws.FILTER(Final_Merged_Data!$C$2:$C$1000,Final_Merged_Data!$B$2:$B$1000=$A223))</f>
        <v>3</v>
      </c>
      <c r="E223">
        <f>SUMIFS(Final_Merged_Data!$E:$E,Final_Merged_Data!$B:$B,$A223)</f>
        <v>930.68</v>
      </c>
      <c r="F223">
        <f>SUMIFS(Final_Merged_Data!$F:$F,Final_Merged_Data!$B:$B,$A223)</f>
        <v>412612</v>
      </c>
      <c r="G223">
        <f t="shared" si="6"/>
        <v>443.34465122276185</v>
      </c>
      <c r="H223" cm="1">
        <f t="array" ref="H223">SUMPRODUCT((Final_Merged_Data!$B$2:$B$1000=$A223)*Final_Merged_Data!$H$2:$H$1000*Final_Merged_Data!$F$2:$F$1000)/F223</f>
        <v>4.2916261524143753</v>
      </c>
      <c r="I223" cm="1">
        <f t="array" ref="I223">SUMPRODUCT((Final_Merged_Data!$B$2:$B$1000=$A223)*Final_Merged_Data!$I$2:$I$1000*Final_Merged_Data!$F$2:$F$1000)/F223</f>
        <v>62.241647649607863</v>
      </c>
      <c r="J223" t="str" cm="1">
        <f t="array" ref="J223">_xlfn.TEXTJOIN(", ",TRUE,_xlfn.UNIQUE(_xlfn._xlws.FILTER(Final_Merged_Data!$J$2:$J$1000,Final_Merged_Data!$B$2:$B$1000=$A223)))</f>
        <v>Mymensingh Range</v>
      </c>
      <c r="K223" cm="1">
        <f t="array" ref="K223">SUMPRODUCT((Final_Merged_Data!$B$2:$B$1000=$A223)*Final_Merged_Data!$K$2:$K$1000*Final_Merged_Data!$F$2:$F$1000)/F223</f>
        <v>84.741263899591758</v>
      </c>
      <c r="L223" cm="1">
        <f t="array" ref="L223">SUMPRODUCT((Final_Merged_Data!$B$2:$B$1000=$A223)*Final_Merged_Data!$L$2:$L$1000*Final_Merged_Data!$F$2:$F$1000)/F223</f>
        <v>13.63549101550381</v>
      </c>
      <c r="M223" t="str">
        <f>IF(COUNTIF(Master_Data!$C:$C,$A223)&gt;0,"Found","Missing")</f>
        <v>Found</v>
      </c>
      <c r="N223" t="str">
        <f>_xlfn.XLOOKUP($A223,Master_Data!$C:$C,Master_Data!$D:$D,"CHECK",0)</f>
        <v>Lutfozzaman Babar</v>
      </c>
      <c r="O223" t="str">
        <f>_xlfn.XLOOKUP($A223,Master_Data!$C:$C,Master_Data!$E:$E,"CHECK",0)</f>
        <v>BNP</v>
      </c>
      <c r="P223">
        <f>_xlfn.XLOOKUP($A223,Master_Data!$C:$C,Master_Data!$F:$F,"CHECK",0)</f>
        <v>1</v>
      </c>
      <c r="Q223">
        <f>_xlfn.XLOOKUP($A223,Master_Data!$C:$C,Master_Data!$G:$G,"CHECK",0)</f>
        <v>160801</v>
      </c>
      <c r="R223">
        <f>IFERROR(_xlfn.XLOOKUP($A223,Master_Data!$C:$C,Master_Data!$H:$H,"CHECK",0),"")</f>
        <v>80.143639634969915</v>
      </c>
      <c r="S223" t="str">
        <f>_xlfn.XLOOKUP($A223,Master_Data!$C:$C,Master_Data!$I:$I,"CHECK",0)</f>
        <v>Md. Al Helal</v>
      </c>
      <c r="T223">
        <f>_xlfn.XLOOKUP($A223,Master_Data!$C:$C,Master_Data!$K:$K,"CHECK",0)</f>
        <v>39840</v>
      </c>
      <c r="U223">
        <f>IFERROR(_xlfn.XLOOKUP($A223,Master_Data!$C:$C,Master_Data!$L:$L,"CHECK",0),"")</f>
        <v>19.856360365030078</v>
      </c>
      <c r="V223">
        <f>_xlfn.XLOOKUP($A223,Master_Data!$C:$C,Master_Data!$M:$M,"CHECK",0)</f>
        <v>120961</v>
      </c>
      <c r="W223">
        <f>IFERROR(_xlfn.XLOOKUP($A223,Master_Data!$C:$C,Master_Data!$N:$N,"CHECK",0),"")</f>
        <v>60.287279269939845</v>
      </c>
      <c r="X223" t="str">
        <f>IFERROR(_xlfn.XLOOKUP($A223,Master_Data!$C:$C,Master_Data!$O:$O,"CHECK",0),"No Result")</f>
        <v>Safe Seat</v>
      </c>
      <c r="Y223">
        <f>_xlfn.XLOOKUP($A223,Master_Data!$C:$C,Master_Data!$P:$P,"CHECK",0)</f>
        <v>0</v>
      </c>
      <c r="Z223">
        <f t="shared" si="7"/>
        <v>1</v>
      </c>
    </row>
    <row r="224" spans="1:26">
      <c r="A224" t="str">
        <v>Netrokona-5</v>
      </c>
      <c r="B224" t="str" cm="1">
        <f t="array" ref="B2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Nawabganj","Chapainawabganj"),Final_Merged_Data!$B$2:$B$1000=$A224)))</f>
        <v>Netrokona</v>
      </c>
      <c r="C224" t="str" cm="1">
        <f t="array" ref="C224">_xlfn.TEXTJOIN(", ",TRUE,_xlfn._xlws.FILTER(Final_Merged_Data!$C$2:$C$1000,Final_Merged_Data!$B$2:$B$1000=$A224))</f>
        <v>Purbadhala</v>
      </c>
      <c r="D224" cm="1">
        <f t="array" ref="D224">COUNTA(_xlfn._xlws.FILTER(Final_Merged_Data!$C$2:$C$1000,Final_Merged_Data!$B$2:$B$1000=$A224))</f>
        <v>1</v>
      </c>
      <c r="E224">
        <f>SUMIFS(Final_Merged_Data!$E:$E,Final_Merged_Data!$B:$B,$A224)</f>
        <v>308.12</v>
      </c>
      <c r="F224">
        <f>SUMIFS(Final_Merged_Data!$F:$F,Final_Merged_Data!$B:$B,$A224)</f>
        <v>332388</v>
      </c>
      <c r="G224">
        <f t="shared" si="6"/>
        <v>1078.7615214851357</v>
      </c>
      <c r="H224" cm="1">
        <f t="array" ref="H224">SUMPRODUCT((Final_Merged_Data!$B$2:$B$1000=$A224)*Final_Merged_Data!$H$2:$H$1000*Final_Merged_Data!$F$2:$F$1000)/F224</f>
        <v>4.0999999999999996</v>
      </c>
      <c r="I224" cm="1">
        <f t="array" ref="I224">SUMPRODUCT((Final_Merged_Data!$B$2:$B$1000=$A224)*Final_Merged_Data!$I$2:$I$1000*Final_Merged_Data!$F$2:$F$1000)/F224</f>
        <v>69.64</v>
      </c>
      <c r="J224" t="str" cm="1">
        <f t="array" ref="J224">_xlfn.TEXTJOIN(", ",TRUE,_xlfn.UNIQUE(_xlfn._xlws.FILTER(Final_Merged_Data!$J$2:$J$1000,Final_Merged_Data!$B$2:$B$1000=$A224)))</f>
        <v>Mymensingh Range</v>
      </c>
      <c r="K224" cm="1">
        <f t="array" ref="K224">SUMPRODUCT((Final_Merged_Data!$B$2:$B$1000=$A224)*Final_Merged_Data!$K$2:$K$1000*Final_Merged_Data!$F$2:$F$1000)/F224</f>
        <v>84.741263899591743</v>
      </c>
      <c r="L224" cm="1">
        <f t="array" ref="L224">SUMPRODUCT((Final_Merged_Data!$B$2:$B$1000=$A224)*Final_Merged_Data!$L$2:$L$1000*Final_Merged_Data!$F$2:$F$1000)/F224</f>
        <v>13.635491015503806</v>
      </c>
      <c r="M224" t="str">
        <f>IF(COUNTIF(Master_Data!$C:$C,$A224)&gt;0,"Found","Missing")</f>
        <v>Found</v>
      </c>
      <c r="N224" t="str">
        <f>_xlfn.XLOOKUP($A224,Master_Data!$C:$C,Master_Data!$D:$D,"CHECK",0)</f>
        <v>Machum Mustafa</v>
      </c>
      <c r="O224" t="str">
        <f>_xlfn.XLOOKUP($A224,Master_Data!$C:$C,Master_Data!$E:$E,"CHECK",0)</f>
        <v>Jamaat</v>
      </c>
      <c r="P224">
        <f>_xlfn.XLOOKUP($A224,Master_Data!$C:$C,Master_Data!$F:$F,"CHECK",0)</f>
        <v>2</v>
      </c>
      <c r="Q224">
        <f>_xlfn.XLOOKUP($A224,Master_Data!$C:$C,Master_Data!$G:$G,"CHECK",0)</f>
        <v>82177</v>
      </c>
      <c r="R224">
        <f>IFERROR(_xlfn.XLOOKUP($A224,Master_Data!$C:$C,Master_Data!$H:$H,"CHECK",0),"")</f>
        <v>50.855565663504322</v>
      </c>
      <c r="S224" t="str">
        <f>_xlfn.XLOOKUP($A224,Master_Data!$C:$C,Master_Data!$I:$I,"CHECK",0)</f>
        <v>Md. Abu Taher Talukdar</v>
      </c>
      <c r="T224">
        <f>_xlfn.XLOOKUP($A224,Master_Data!$C:$C,Master_Data!$K:$K,"CHECK",0)</f>
        <v>79412</v>
      </c>
      <c r="U224">
        <f>IFERROR(_xlfn.XLOOKUP($A224,Master_Data!$C:$C,Master_Data!$L:$L,"CHECK",0),"")</f>
        <v>49.144434336495678</v>
      </c>
      <c r="V224">
        <f>_xlfn.XLOOKUP($A224,Master_Data!$C:$C,Master_Data!$M:$M,"CHECK",0)</f>
        <v>2765</v>
      </c>
      <c r="W224">
        <f>IFERROR(_xlfn.XLOOKUP($A224,Master_Data!$C:$C,Master_Data!$N:$N,"CHECK",0),"")</f>
        <v>1.7111313270086452</v>
      </c>
      <c r="X224" t="str">
        <f>IFERROR(_xlfn.XLOOKUP($A224,Master_Data!$C:$C,Master_Data!$O:$O,"CHECK",0),"No Result")</f>
        <v>Highly Competitive</v>
      </c>
      <c r="Y224">
        <f>_xlfn.XLOOKUP($A224,Master_Data!$C:$C,Master_Data!$P:$P,"CHECK",0)</f>
        <v>0</v>
      </c>
      <c r="Z224">
        <f t="shared" si="7"/>
        <v>1</v>
      </c>
    </row>
    <row r="225" spans="1:26">
      <c r="A225" t="str">
        <v>Nilphamari-1</v>
      </c>
      <c r="B225" t="str" cm="1">
        <f t="array" ref="B2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Nawabganj","Chapainawabganj"),Final_Merged_Data!$B$2:$B$1000=$A225)))</f>
        <v>Nilphamari</v>
      </c>
      <c r="C225" t="str" cm="1">
        <f t="array" ref="C225">_xlfn.TEXTJOIN(", ",TRUE,_xlfn._xlws.FILTER(Final_Merged_Data!$C$2:$C$1000,Final_Merged_Data!$B$2:$B$1000=$A225))</f>
        <v>Dimla, Jaldhaka</v>
      </c>
      <c r="D225" cm="1">
        <f t="array" ref="D225">COUNTA(_xlfn._xlws.FILTER(Final_Merged_Data!$C$2:$C$1000,Final_Merged_Data!$B$2:$B$1000=$A225))</f>
        <v>2</v>
      </c>
      <c r="E225">
        <f>SUMIFS(Final_Merged_Data!$E:$E,Final_Merged_Data!$B:$B,$A225)</f>
        <v>522.51</v>
      </c>
      <c r="F225">
        <f>SUMIFS(Final_Merged_Data!$F:$F,Final_Merged_Data!$B:$B,$A225)</f>
        <v>703628</v>
      </c>
      <c r="G225">
        <f t="shared" si="6"/>
        <v>1346.6306864940384</v>
      </c>
      <c r="H225" cm="1">
        <f t="array" ref="H225">SUMPRODUCT((Final_Merged_Data!$B$2:$B$1000=$A225)*Final_Merged_Data!$H$2:$H$1000*Final_Merged_Data!$F$2:$F$1000)/F225</f>
        <v>4.1180116766245796</v>
      </c>
      <c r="I225" cm="1">
        <f t="array" ref="I225">SUMPRODUCT((Final_Merged_Data!$B$2:$B$1000=$A225)*Final_Merged_Data!$I$2:$I$1000*Final_Merged_Data!$F$2:$F$1000)/F225</f>
        <v>66.996841541268978</v>
      </c>
      <c r="J225" t="str" cm="1">
        <f t="array" ref="J225">_xlfn.TEXTJOIN(", ",TRUE,_xlfn.UNIQUE(_xlfn._xlws.FILTER(Final_Merged_Data!$J$2:$J$1000,Final_Merged_Data!$B$2:$B$1000=$A225)))</f>
        <v>Rangpur Range</v>
      </c>
      <c r="K225" cm="1">
        <f t="array" ref="K225">SUMPRODUCT((Final_Merged_Data!$B$2:$B$1000=$A225)*Final_Merged_Data!$K$2:$K$1000*Final_Merged_Data!$F$2:$F$1000)/F225</f>
        <v>101.90869513385243</v>
      </c>
      <c r="L225" cm="1">
        <f t="array" ref="L225">SUMPRODUCT((Final_Merged_Data!$B$2:$B$1000=$A225)*Final_Merged_Data!$L$2:$L$1000*Final_Merged_Data!$F$2:$F$1000)/F225</f>
        <v>15.175373179583827</v>
      </c>
      <c r="M225" t="str">
        <f>IF(COUNTIF(Master_Data!$C:$C,$A225)&gt;0,"Found","Missing")</f>
        <v>Found</v>
      </c>
      <c r="N225" t="str">
        <f>_xlfn.XLOOKUP($A225,Master_Data!$C:$C,Master_Data!$D:$D,"CHECK",0)</f>
        <v>Md. Abdus Sattar</v>
      </c>
      <c r="O225" t="str">
        <f>_xlfn.XLOOKUP($A225,Master_Data!$C:$C,Master_Data!$E:$E,"CHECK",0)</f>
        <v>Jamaat</v>
      </c>
      <c r="P225">
        <f>_xlfn.XLOOKUP($A225,Master_Data!$C:$C,Master_Data!$F:$F,"CHECK",0)</f>
        <v>2</v>
      </c>
      <c r="Q225">
        <f>_xlfn.XLOOKUP($A225,Master_Data!$C:$C,Master_Data!$G:$G,"CHECK",0)</f>
        <v>149224</v>
      </c>
      <c r="R225">
        <f>IFERROR(_xlfn.XLOOKUP($A225,Master_Data!$C:$C,Master_Data!$H:$H,"CHECK",0),"")</f>
        <v>55.808874128594077</v>
      </c>
      <c r="S225" t="str">
        <f>_xlfn.XLOOKUP($A225,Master_Data!$C:$C,Master_Data!$I:$I,"CHECK",0)</f>
        <v>Md. Manjurul Islam</v>
      </c>
      <c r="T225">
        <f>_xlfn.XLOOKUP($A225,Master_Data!$C:$C,Master_Data!$K:$K,"CHECK",0)</f>
        <v>118160</v>
      </c>
      <c r="U225">
        <f>IFERROR(_xlfn.XLOOKUP($A225,Master_Data!$C:$C,Master_Data!$L:$L,"CHECK",0),"")</f>
        <v>44.191125871405916</v>
      </c>
      <c r="V225">
        <f>_xlfn.XLOOKUP($A225,Master_Data!$C:$C,Master_Data!$M:$M,"CHECK",0)</f>
        <v>31064</v>
      </c>
      <c r="W225">
        <f>IFERROR(_xlfn.XLOOKUP($A225,Master_Data!$C:$C,Master_Data!$N:$N,"CHECK",0),"")</f>
        <v>11.617748257188163</v>
      </c>
      <c r="X225" t="str">
        <f>IFERROR(_xlfn.XLOOKUP($A225,Master_Data!$C:$C,Master_Data!$O:$O,"CHECK",0),"No Result")</f>
        <v>Safe Seat</v>
      </c>
      <c r="Y225">
        <f>_xlfn.XLOOKUP($A225,Master_Data!$C:$C,Master_Data!$P:$P,"CHECK",0)</f>
        <v>0</v>
      </c>
      <c r="Z225">
        <f t="shared" si="7"/>
        <v>1</v>
      </c>
    </row>
    <row r="226" spans="1:26">
      <c r="A226" t="str">
        <v>Nilphamari-2</v>
      </c>
      <c r="B226" t="str" cm="1">
        <f t="array" ref="B2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Nawabganj","Chapainawabganj"),Final_Merged_Data!$B$2:$B$1000=$A226)))</f>
        <v>Nilphamari</v>
      </c>
      <c r="C226" t="str" cm="1">
        <f t="array" ref="C226">_xlfn.TEXTJOIN(", ",TRUE,_xlfn._xlws.FILTER(Final_Merged_Data!$C$2:$C$1000,Final_Merged_Data!$B$2:$B$1000=$A226))</f>
        <v>Nilphamari Sadar</v>
      </c>
      <c r="D226" cm="1">
        <f t="array" ref="D226">COUNTA(_xlfn._xlws.FILTER(Final_Merged_Data!$C$2:$C$1000,Final_Merged_Data!$B$2:$B$1000=$A226))</f>
        <v>1</v>
      </c>
      <c r="E226">
        <f>SUMIFS(Final_Merged_Data!$E:$E,Final_Merged_Data!$B:$B,$A226)</f>
        <v>314.52999999999997</v>
      </c>
      <c r="F226">
        <f>SUMIFS(Final_Merged_Data!$F:$F,Final_Merged_Data!$B:$B,$A226)</f>
        <v>523950</v>
      </c>
      <c r="G226">
        <f t="shared" si="6"/>
        <v>1665.8188408100978</v>
      </c>
      <c r="H226" cm="1">
        <f t="array" ref="H226">SUMPRODUCT((Final_Merged_Data!$B$2:$B$1000=$A226)*Final_Merged_Data!$H$2:$H$1000*Final_Merged_Data!$F$2:$F$1000)/F226</f>
        <v>4.17</v>
      </c>
      <c r="I226" cm="1">
        <f t="array" ref="I226">SUMPRODUCT((Final_Merged_Data!$B$2:$B$1000=$A226)*Final_Merged_Data!$I$2:$I$1000*Final_Merged_Data!$F$2:$F$1000)/F226</f>
        <v>69.790000000000006</v>
      </c>
      <c r="J226" t="str" cm="1">
        <f t="array" ref="J226">_xlfn.TEXTJOIN(", ",TRUE,_xlfn.UNIQUE(_xlfn._xlws.FILTER(Final_Merged_Data!$J$2:$J$1000,Final_Merged_Data!$B$2:$B$1000=$A226)))</f>
        <v>Rangpur Range</v>
      </c>
      <c r="K226" cm="1">
        <f t="array" ref="K226">SUMPRODUCT((Final_Merged_Data!$B$2:$B$1000=$A226)*Final_Merged_Data!$K$2:$K$1000*Final_Merged_Data!$F$2:$F$1000)/F226</f>
        <v>101.90869513385242</v>
      </c>
      <c r="L226" cm="1">
        <f t="array" ref="L226">SUMPRODUCT((Final_Merged_Data!$B$2:$B$1000=$A226)*Final_Merged_Data!$L$2:$L$1000*Final_Merged_Data!$F$2:$F$1000)/F226</f>
        <v>15.175373179583827</v>
      </c>
      <c r="M226" t="str">
        <f>IF(COUNTIF(Master_Data!$C:$C,$A226)&gt;0,"Found","Missing")</f>
        <v>Found</v>
      </c>
      <c r="N226" t="str">
        <f>_xlfn.XLOOKUP($A226,Master_Data!$C:$C,Master_Data!$D:$D,"CHECK",0)</f>
        <v>Alfaruk Abdul Latif</v>
      </c>
      <c r="O226" t="str">
        <f>_xlfn.XLOOKUP($A226,Master_Data!$C:$C,Master_Data!$E:$E,"CHECK",0)</f>
        <v>Jamaat</v>
      </c>
      <c r="P226">
        <f>_xlfn.XLOOKUP($A226,Master_Data!$C:$C,Master_Data!$F:$F,"CHECK",0)</f>
        <v>2</v>
      </c>
      <c r="Q226">
        <f>_xlfn.XLOOKUP($A226,Master_Data!$C:$C,Master_Data!$G:$G,"CHECK",0)</f>
        <v>145202</v>
      </c>
      <c r="R226">
        <f>IFERROR(_xlfn.XLOOKUP($A226,Master_Data!$C:$C,Master_Data!$H:$H,"CHECK",0),"")</f>
        <v>51.898449144152039</v>
      </c>
      <c r="S226" t="str">
        <f>_xlfn.XLOOKUP($A226,Master_Data!$C:$C,Master_Data!$I:$I,"CHECK",0)</f>
        <v>Shahrin Islam Tuhin</v>
      </c>
      <c r="T226">
        <f>_xlfn.XLOOKUP($A226,Master_Data!$C:$C,Master_Data!$K:$K,"CHECK",0)</f>
        <v>134579</v>
      </c>
      <c r="U226">
        <f>IFERROR(_xlfn.XLOOKUP($A226,Master_Data!$C:$C,Master_Data!$L:$L,"CHECK",0),"")</f>
        <v>48.101550855847968</v>
      </c>
      <c r="V226">
        <f>_xlfn.XLOOKUP($A226,Master_Data!$C:$C,Master_Data!$M:$M,"CHECK",0)</f>
        <v>10623</v>
      </c>
      <c r="W226">
        <f>IFERROR(_xlfn.XLOOKUP($A226,Master_Data!$C:$C,Master_Data!$N:$N,"CHECK",0),"")</f>
        <v>3.7968982883040665</v>
      </c>
      <c r="X226" t="str">
        <f>IFERROR(_xlfn.XLOOKUP($A226,Master_Data!$C:$C,Master_Data!$O:$O,"CHECK",0),"No Result")</f>
        <v>Highly Competitive</v>
      </c>
      <c r="Y226">
        <f>_xlfn.XLOOKUP($A226,Master_Data!$C:$C,Master_Data!$P:$P,"CHECK",0)</f>
        <v>0</v>
      </c>
      <c r="Z226">
        <f t="shared" si="7"/>
        <v>1</v>
      </c>
    </row>
    <row r="227" spans="1:26">
      <c r="A227" t="str">
        <v>Nilphamari-3</v>
      </c>
      <c r="B227" t="str" cm="1">
        <f t="array" ref="B2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Nawabganj","Chapainawabganj"),Final_Merged_Data!$B$2:$B$1000=$A227)))</f>
        <v>Nilphamari</v>
      </c>
      <c r="C227" t="str" cm="1">
        <f t="array" ref="C227">_xlfn.TEXTJOIN(", ",TRUE,_xlfn._xlws.FILTER(Final_Merged_Data!$C$2:$C$1000,Final_Merged_Data!$B$2:$B$1000=$A227))</f>
        <v>Kishoreganj, Syedpur</v>
      </c>
      <c r="D227" cm="1">
        <f t="array" ref="D227">COUNTA(_xlfn._xlws.FILTER(Final_Merged_Data!$C$2:$C$1000,Final_Merged_Data!$B$2:$B$1000=$A227))</f>
        <v>2</v>
      </c>
      <c r="E227">
        <f>SUMIFS(Final_Merged_Data!$E:$E,Final_Merged_Data!$B:$B,$A227)</f>
        <v>517.31999999999994</v>
      </c>
      <c r="F227">
        <f>SUMIFS(Final_Merged_Data!$F:$F,Final_Merged_Data!$B:$B,$A227)</f>
        <v>582310</v>
      </c>
      <c r="G227">
        <f t="shared" si="6"/>
        <v>1125.6282378411815</v>
      </c>
      <c r="H227" cm="1">
        <f t="array" ref="H227">SUMPRODUCT((Final_Merged_Data!$B$2:$B$1000=$A227)*Final_Merged_Data!$H$2:$H$1000*Final_Merged_Data!$F$2:$F$1000)/F227</f>
        <v>4.0512481324380492</v>
      </c>
      <c r="I227" cm="1">
        <f t="array" ref="I227">SUMPRODUCT((Final_Merged_Data!$B$2:$B$1000=$A227)*Final_Merged_Data!$I$2:$I$1000*Final_Merged_Data!$F$2:$F$1000)/F227</f>
        <v>69.329311191633309</v>
      </c>
      <c r="J227" t="str" cm="1">
        <f t="array" ref="J227">_xlfn.TEXTJOIN(", ",TRUE,_xlfn.UNIQUE(_xlfn._xlws.FILTER(Final_Merged_Data!$J$2:$J$1000,Final_Merged_Data!$B$2:$B$1000=$A227)))</f>
        <v>Rangpur Range</v>
      </c>
      <c r="K227" cm="1">
        <f t="array" ref="K227">SUMPRODUCT((Final_Merged_Data!$B$2:$B$1000=$A227)*Final_Merged_Data!$K$2:$K$1000*Final_Merged_Data!$F$2:$F$1000)/F227</f>
        <v>101.90869513385242</v>
      </c>
      <c r="L227" cm="1">
        <f t="array" ref="L227">SUMPRODUCT((Final_Merged_Data!$B$2:$B$1000=$A227)*Final_Merged_Data!$L$2:$L$1000*Final_Merged_Data!$F$2:$F$1000)/F227</f>
        <v>15.175373179583827</v>
      </c>
      <c r="M227" t="str">
        <f>IF(COUNTIF(Master_Data!$C:$C,$A227)&gt;0,"Found","Missing")</f>
        <v>Found</v>
      </c>
      <c r="N227" t="str">
        <f>_xlfn.XLOOKUP($A227,Master_Data!$C:$C,Master_Data!$D:$D,"CHECK",0)</f>
        <v>Obaidullah Salafi</v>
      </c>
      <c r="O227" t="str">
        <f>_xlfn.XLOOKUP($A227,Master_Data!$C:$C,Master_Data!$E:$E,"CHECK",0)</f>
        <v>Jamaat</v>
      </c>
      <c r="P227">
        <f>_xlfn.XLOOKUP($A227,Master_Data!$C:$C,Master_Data!$F:$F,"CHECK",0)</f>
        <v>2</v>
      </c>
      <c r="Q227">
        <f>_xlfn.XLOOKUP($A227,Master_Data!$C:$C,Master_Data!$G:$G,"CHECK",0)</f>
        <v>108560</v>
      </c>
      <c r="R227">
        <f>IFERROR(_xlfn.XLOOKUP($A227,Master_Data!$C:$C,Master_Data!$H:$H,"CHECK",0),"")</f>
        <v>54.922038631603442</v>
      </c>
      <c r="S227" t="str">
        <f>_xlfn.XLOOKUP($A227,Master_Data!$C:$C,Master_Data!$I:$I,"CHECK",0)</f>
        <v>Syed Ali</v>
      </c>
      <c r="T227">
        <f>_xlfn.XLOOKUP($A227,Master_Data!$C:$C,Master_Data!$K:$K,"CHECK",0)</f>
        <v>89102</v>
      </c>
      <c r="U227">
        <f>IFERROR(_xlfn.XLOOKUP($A227,Master_Data!$C:$C,Master_Data!$L:$L,"CHECK",0),"")</f>
        <v>45.077961368396558</v>
      </c>
      <c r="V227">
        <f>_xlfn.XLOOKUP($A227,Master_Data!$C:$C,Master_Data!$M:$M,"CHECK",0)</f>
        <v>19458</v>
      </c>
      <c r="W227">
        <f>IFERROR(_xlfn.XLOOKUP($A227,Master_Data!$C:$C,Master_Data!$N:$N,"CHECK",0),"")</f>
        <v>9.8440772632068878</v>
      </c>
      <c r="X227" t="str">
        <f>IFERROR(_xlfn.XLOOKUP($A227,Master_Data!$C:$C,Master_Data!$O:$O,"CHECK",0),"No Result")</f>
        <v>Safe Seat</v>
      </c>
      <c r="Y227">
        <f>_xlfn.XLOOKUP($A227,Master_Data!$C:$C,Master_Data!$P:$P,"CHECK",0)</f>
        <v>0</v>
      </c>
      <c r="Z227">
        <f t="shared" si="7"/>
        <v>1</v>
      </c>
    </row>
    <row r="228" spans="1:26">
      <c r="A228" t="str">
        <v>Nilphamari-4</v>
      </c>
      <c r="B228" t="str" cm="1">
        <f t="array" ref="B2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Nawabganj","Chapainawabganj"),Final_Merged_Data!$B$2:$B$1000=$A228)))</f>
        <v>Nilphamari</v>
      </c>
      <c r="C228" t="str" cm="1">
        <f t="array" ref="C228">_xlfn.TEXTJOIN(", ",TRUE,_xlfn._xlws.FILTER(Final_Merged_Data!$C$2:$C$1000,Final_Merged_Data!$B$2:$B$1000=$A228))</f>
        <v>Syedpur</v>
      </c>
      <c r="D228" cm="1">
        <f t="array" ref="D228">COUNTA(_xlfn._xlws.FILTER(Final_Merged_Data!$C$2:$C$1000,Final_Merged_Data!$B$2:$B$1000=$A228))</f>
        <v>1</v>
      </c>
      <c r="E228">
        <f>SUMIFS(Final_Merged_Data!$E:$E,Final_Merged_Data!$B:$B,$A228)</f>
        <v>209.61</v>
      </c>
      <c r="F228">
        <f>SUMIFS(Final_Merged_Data!$F:$F,Final_Merged_Data!$B:$B,$A228)</f>
        <v>312988</v>
      </c>
      <c r="G228">
        <f t="shared" si="6"/>
        <v>1493.1921186966269</v>
      </c>
      <c r="H228" cm="1">
        <f t="array" ref="H228">SUMPRODUCT((Final_Merged_Data!$B$2:$B$1000=$A228)*Final_Merged_Data!$H$2:$H$1000*Final_Merged_Data!$F$2:$F$1000)/F228</f>
        <v>4.1900000000000004</v>
      </c>
      <c r="I228" cm="1">
        <f t="array" ref="I228">SUMPRODUCT((Final_Merged_Data!$B$2:$B$1000=$A228)*Final_Merged_Data!$I$2:$I$1000*Final_Merged_Data!$F$2:$F$1000)/F228</f>
        <v>74.069999999999993</v>
      </c>
      <c r="J228" t="str" cm="1">
        <f t="array" ref="J228">_xlfn.TEXTJOIN(", ",TRUE,_xlfn.UNIQUE(_xlfn._xlws.FILTER(Final_Merged_Data!$J$2:$J$1000,Final_Merged_Data!$B$2:$B$1000=$A228)))</f>
        <v>Rangpur Range</v>
      </c>
      <c r="K228" cm="1">
        <f t="array" ref="K228">SUMPRODUCT((Final_Merged_Data!$B$2:$B$1000=$A228)*Final_Merged_Data!$K$2:$K$1000*Final_Merged_Data!$F$2:$F$1000)/F228</f>
        <v>101.90869513385242</v>
      </c>
      <c r="L228" cm="1">
        <f t="array" ref="L228">SUMPRODUCT((Final_Merged_Data!$B$2:$B$1000=$A228)*Final_Merged_Data!$L$2:$L$1000*Final_Merged_Data!$F$2:$F$1000)/F228</f>
        <v>15.175373179583827</v>
      </c>
      <c r="M228" t="str">
        <f>IF(COUNTIF(Master_Data!$C:$C,$A228)&gt;0,"Found","Missing")</f>
        <v>Found</v>
      </c>
      <c r="N228" t="str">
        <f>_xlfn.XLOOKUP($A228,Master_Data!$C:$C,Master_Data!$D:$D,"CHECK",0)</f>
        <v>Abdul Montakim</v>
      </c>
      <c r="O228" t="str">
        <f>_xlfn.XLOOKUP($A228,Master_Data!$C:$C,Master_Data!$E:$E,"CHECK",0)</f>
        <v>Jamaat</v>
      </c>
      <c r="P228">
        <f>_xlfn.XLOOKUP($A228,Master_Data!$C:$C,Master_Data!$F:$F,"CHECK",0)</f>
        <v>2</v>
      </c>
      <c r="Q228">
        <f>_xlfn.XLOOKUP($A228,Master_Data!$C:$C,Master_Data!$G:$G,"CHECK",0)</f>
        <v>124865</v>
      </c>
      <c r="R228">
        <f>IFERROR(_xlfn.XLOOKUP($A228,Master_Data!$C:$C,Master_Data!$H:$H,"CHECK",0),"")</f>
        <v>60.499246575674327</v>
      </c>
      <c r="S228" t="str">
        <f>_xlfn.XLOOKUP($A228,Master_Data!$C:$C,Master_Data!$I:$I,"CHECK",0)</f>
        <v>Md. Abdul Gafur Sarkar</v>
      </c>
      <c r="T228">
        <f>_xlfn.XLOOKUP($A228,Master_Data!$C:$C,Master_Data!$K:$K,"CHECK",0)</f>
        <v>81526</v>
      </c>
      <c r="U228">
        <f>IFERROR(_xlfn.XLOOKUP($A228,Master_Data!$C:$C,Master_Data!$L:$L,"CHECK",0),"")</f>
        <v>39.500753424325673</v>
      </c>
      <c r="V228">
        <f>_xlfn.XLOOKUP($A228,Master_Data!$C:$C,Master_Data!$M:$M,"CHECK",0)</f>
        <v>43339</v>
      </c>
      <c r="W228">
        <f>IFERROR(_xlfn.XLOOKUP($A228,Master_Data!$C:$C,Master_Data!$N:$N,"CHECK",0),"")</f>
        <v>20.998493151348654</v>
      </c>
      <c r="X228" t="str">
        <f>IFERROR(_xlfn.XLOOKUP($A228,Master_Data!$C:$C,Master_Data!$O:$O,"CHECK",0),"No Result")</f>
        <v>Safe Seat</v>
      </c>
      <c r="Y228">
        <f>_xlfn.XLOOKUP($A228,Master_Data!$C:$C,Master_Data!$P:$P,"CHECK",0)</f>
        <v>0</v>
      </c>
      <c r="Z228">
        <f t="shared" si="7"/>
        <v>1</v>
      </c>
    </row>
    <row r="229" spans="1:26">
      <c r="A229" t="str">
        <v>Noakhali-1</v>
      </c>
      <c r="B229" t="str" cm="1">
        <f t="array" ref="B2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Nawabganj","Chapainawabganj"),Final_Merged_Data!$B$2:$B$1000=$A229)))</f>
        <v>Noakhali</v>
      </c>
      <c r="C229" t="str" cm="1">
        <f t="array" ref="C229">_xlfn.TEXTJOIN(", ",TRUE,_xlfn._xlws.FILTER(Final_Merged_Data!$C$2:$C$1000,Final_Merged_Data!$B$2:$B$1000=$A229))</f>
        <v>Chatkhil, Companiganj</v>
      </c>
      <c r="D229" cm="1">
        <f t="array" ref="D229">COUNTA(_xlfn._xlws.FILTER(Final_Merged_Data!$C$2:$C$1000,Final_Merged_Data!$B$2:$B$1000=$A229))</f>
        <v>2</v>
      </c>
      <c r="E229">
        <f>SUMIFS(Final_Merged_Data!$E:$E,Final_Merged_Data!$B:$B,$A229)</f>
        <v>1816.58</v>
      </c>
      <c r="F229">
        <f>SUMIFS(Final_Merged_Data!$F:$F,Final_Merged_Data!$B:$B,$A229)</f>
        <v>560081</v>
      </c>
      <c r="G229">
        <f t="shared" si="6"/>
        <v>308.3161765515419</v>
      </c>
      <c r="H229" cm="1">
        <f t="array" ref="H229">SUMPRODUCT((Final_Merged_Data!$B$2:$B$1000=$A229)*Final_Merged_Data!$H$2:$H$1000*Final_Merged_Data!$F$2:$F$1000)/F229</f>
        <v>4.4598667335617526</v>
      </c>
      <c r="I229" cm="1">
        <f t="array" ref="I229">SUMPRODUCT((Final_Merged_Data!$B$2:$B$1000=$A229)*Final_Merged_Data!$I$2:$I$1000*Final_Merged_Data!$F$2:$F$1000)/F229</f>
        <v>80.062653919700892</v>
      </c>
      <c r="J229" t="str" cm="1">
        <f t="array" ref="J229">_xlfn.TEXTJOIN(", ",TRUE,_xlfn.UNIQUE(_xlfn._xlws.FILTER(Final_Merged_Data!$J$2:$J$1000,Final_Merged_Data!$B$2:$B$1000=$A229)))</f>
        <v>Chittagong Range</v>
      </c>
      <c r="K229" cm="1">
        <f t="array" ref="K229">SUMPRODUCT((Final_Merged_Data!$B$2:$B$1000=$A229)*Final_Merged_Data!$K$2:$K$1000*Final_Merged_Data!$F$2:$F$1000)/F229</f>
        <v>84.879645400600893</v>
      </c>
      <c r="L229" cm="1">
        <f t="array" ref="L229">SUMPRODUCT((Final_Merged_Data!$B$2:$B$1000=$A229)*Final_Merged_Data!$L$2:$L$1000*Final_Merged_Data!$F$2:$F$1000)/F229</f>
        <v>10.309673910686193</v>
      </c>
      <c r="M229" t="str">
        <f>IF(COUNTIF(Master_Data!$C:$C,$A229)&gt;0,"Found","Missing")</f>
        <v>Found</v>
      </c>
      <c r="N229" t="str">
        <f>_xlfn.XLOOKUP($A229,Master_Data!$C:$C,Master_Data!$D:$D,"CHECK",0)</f>
        <v>Mahbub Uddin Khokon</v>
      </c>
      <c r="O229" t="str">
        <f>_xlfn.XLOOKUP($A229,Master_Data!$C:$C,Master_Data!$E:$E,"CHECK",0)</f>
        <v>BNP</v>
      </c>
      <c r="P229">
        <f>_xlfn.XLOOKUP($A229,Master_Data!$C:$C,Master_Data!$F:$F,"CHECK",0)</f>
        <v>1</v>
      </c>
      <c r="Q229">
        <f>_xlfn.XLOOKUP($A229,Master_Data!$C:$C,Master_Data!$G:$G,"CHECK",0)</f>
        <v>126833</v>
      </c>
      <c r="R229">
        <f>IFERROR(_xlfn.XLOOKUP($A229,Master_Data!$C:$C,Master_Data!$H:$H,"CHECK",0),"")</f>
        <v>56.403061337934531</v>
      </c>
      <c r="S229" t="str">
        <f>_xlfn.XLOOKUP($A229,Master_Data!$C:$C,Master_Data!$I:$I,"CHECK",0)</f>
        <v>Md. Saif Ullah</v>
      </c>
      <c r="T229">
        <f>_xlfn.XLOOKUP($A229,Master_Data!$C:$C,Master_Data!$K:$K,"CHECK",0)</f>
        <v>98036</v>
      </c>
      <c r="U229">
        <f>IFERROR(_xlfn.XLOOKUP($A229,Master_Data!$C:$C,Master_Data!$L:$L,"CHECK",0),"")</f>
        <v>43.596938662065469</v>
      </c>
      <c r="V229">
        <f>_xlfn.XLOOKUP($A229,Master_Data!$C:$C,Master_Data!$M:$M,"CHECK",0)</f>
        <v>28797</v>
      </c>
      <c r="W229">
        <f>IFERROR(_xlfn.XLOOKUP($A229,Master_Data!$C:$C,Master_Data!$N:$N,"CHECK",0),"")</f>
        <v>12.806122675869061</v>
      </c>
      <c r="X229" t="str">
        <f>IFERROR(_xlfn.XLOOKUP($A229,Master_Data!$C:$C,Master_Data!$O:$O,"CHECK",0),"No Result")</f>
        <v>Safe Seat</v>
      </c>
      <c r="Y229">
        <f>_xlfn.XLOOKUP($A229,Master_Data!$C:$C,Master_Data!$P:$P,"CHECK",0)</f>
        <v>0</v>
      </c>
      <c r="Z229">
        <f t="shared" si="7"/>
        <v>1</v>
      </c>
    </row>
    <row r="230" spans="1:26">
      <c r="A230" t="str">
        <v>Noakhali-2</v>
      </c>
      <c r="B230" t="str" cm="1">
        <f t="array" ref="B2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Nawabganj","Chapainawabganj"),Final_Merged_Data!$B$2:$B$1000=$A230)))</f>
        <v>Noakhali</v>
      </c>
      <c r="C230" t="str" cm="1">
        <f t="array" ref="C230">_xlfn.TEXTJOIN(", ",TRUE,_xlfn._xlws.FILTER(Final_Merged_Data!$C$2:$C$1000,Final_Merged_Data!$B$2:$B$1000=$A230))</f>
        <v>Senbag, Sonaimuri</v>
      </c>
      <c r="D230" cm="1">
        <f t="array" ref="D230">COUNTA(_xlfn._xlws.FILTER(Final_Merged_Data!$C$2:$C$1000,Final_Merged_Data!$B$2:$B$1000=$A230))</f>
        <v>2</v>
      </c>
      <c r="E230">
        <f>SUMIFS(Final_Merged_Data!$E:$E,Final_Merged_Data!$B:$B,$A230)</f>
        <v>564.82000000000005</v>
      </c>
      <c r="F230">
        <f>SUMIFS(Final_Merged_Data!$F:$F,Final_Merged_Data!$B:$B,$A230)</f>
        <v>679699</v>
      </c>
      <c r="G230">
        <f t="shared" si="6"/>
        <v>1203.390460677738</v>
      </c>
      <c r="H230" cm="1">
        <f t="array" ref="H230">SUMPRODUCT((Final_Merged_Data!$B$2:$B$1000=$A230)*Final_Merged_Data!$H$2:$H$1000*Final_Merged_Data!$F$2:$F$1000)/F230</f>
        <v>4.5608526862625958</v>
      </c>
      <c r="I230" cm="1">
        <f t="array" ref="I230">SUMPRODUCT((Final_Merged_Data!$B$2:$B$1000=$A230)*Final_Merged_Data!$I$2:$I$1000*Final_Merged_Data!$F$2:$F$1000)/F230</f>
        <v>81.106509528482462</v>
      </c>
      <c r="J230" t="str" cm="1">
        <f t="array" ref="J230">_xlfn.TEXTJOIN(", ",TRUE,_xlfn.UNIQUE(_xlfn._xlws.FILTER(Final_Merged_Data!$J$2:$J$1000,Final_Merged_Data!$B$2:$B$1000=$A230)))</f>
        <v>Chittagong Range</v>
      </c>
      <c r="K230" cm="1">
        <f t="array" ref="K230">SUMPRODUCT((Final_Merged_Data!$B$2:$B$1000=$A230)*Final_Merged_Data!$K$2:$K$1000*Final_Merged_Data!$F$2:$F$1000)/F230</f>
        <v>84.879645400600893</v>
      </c>
      <c r="L230" cm="1">
        <f t="array" ref="L230">SUMPRODUCT((Final_Merged_Data!$B$2:$B$1000=$A230)*Final_Merged_Data!$L$2:$L$1000*Final_Merged_Data!$F$2:$F$1000)/F230</f>
        <v>10.309673910686193</v>
      </c>
      <c r="M230" t="str">
        <f>IF(COUNTIF(Master_Data!$C:$C,$A230)&gt;0,"Found","Missing")</f>
        <v>Found</v>
      </c>
      <c r="N230" t="str">
        <f>_xlfn.XLOOKUP($A230,Master_Data!$C:$C,Master_Data!$D:$D,"CHECK",0)</f>
        <v>Zainul Abdin Farroque</v>
      </c>
      <c r="O230" t="str">
        <f>_xlfn.XLOOKUP($A230,Master_Data!$C:$C,Master_Data!$E:$E,"CHECK",0)</f>
        <v>BNP</v>
      </c>
      <c r="P230">
        <f>_xlfn.XLOOKUP($A230,Master_Data!$C:$C,Master_Data!$F:$F,"CHECK",0)</f>
        <v>1</v>
      </c>
      <c r="Q230">
        <f>_xlfn.XLOOKUP($A230,Master_Data!$C:$C,Master_Data!$G:$G,"CHECK",0)</f>
        <v>83982</v>
      </c>
      <c r="R230">
        <f>IFERROR(_xlfn.XLOOKUP($A230,Master_Data!$C:$C,Master_Data!$H:$H,"CHECK",0),"")</f>
        <v>55.60396196933182</v>
      </c>
      <c r="S230" t="str">
        <f>_xlfn.XLOOKUP($A230,Master_Data!$C:$C,Master_Data!$I:$I,"CHECK",0)</f>
        <v>Sultan Muhammad Zakaria Majumdar</v>
      </c>
      <c r="T230">
        <f>_xlfn.XLOOKUP($A230,Master_Data!$C:$C,Master_Data!$K:$K,"CHECK",0)</f>
        <v>67054</v>
      </c>
      <c r="U230">
        <f>IFERROR(_xlfn.XLOOKUP($A230,Master_Data!$C:$C,Master_Data!$L:$L,"CHECK",0),"")</f>
        <v>44.39603803066818</v>
      </c>
      <c r="V230">
        <f>_xlfn.XLOOKUP($A230,Master_Data!$C:$C,Master_Data!$M:$M,"CHECK",0)</f>
        <v>16928</v>
      </c>
      <c r="W230">
        <f>IFERROR(_xlfn.XLOOKUP($A230,Master_Data!$C:$C,Master_Data!$N:$N,"CHECK",0),"")</f>
        <v>11.20792393866363</v>
      </c>
      <c r="X230" t="str">
        <f>IFERROR(_xlfn.XLOOKUP($A230,Master_Data!$C:$C,Master_Data!$O:$O,"CHECK",0),"No Result")</f>
        <v>Safe Seat</v>
      </c>
      <c r="Y230">
        <f>_xlfn.XLOOKUP($A230,Master_Data!$C:$C,Master_Data!$P:$P,"CHECK",0)</f>
        <v>0</v>
      </c>
      <c r="Z230">
        <f t="shared" si="7"/>
        <v>1</v>
      </c>
    </row>
    <row r="231" spans="1:26">
      <c r="A231" t="str">
        <v>Noakhali-3</v>
      </c>
      <c r="B231" t="str" cm="1">
        <f t="array" ref="B2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Nawabganj","Chapainawabganj"),Final_Merged_Data!$B$2:$B$1000=$A231)))</f>
        <v>Noakhali</v>
      </c>
      <c r="C231" t="str" cm="1">
        <f t="array" ref="C231">_xlfn.TEXTJOIN(", ",TRUE,_xlfn._xlws.FILTER(Final_Merged_Data!$C$2:$C$1000,Final_Merged_Data!$B$2:$B$1000=$A231))</f>
        <v>Noakhali Sadar</v>
      </c>
      <c r="D231" cm="1">
        <f t="array" ref="D231">COUNTA(_xlfn._xlws.FILTER(Final_Merged_Data!$C$2:$C$1000,Final_Merged_Data!$B$2:$B$1000=$A231))</f>
        <v>1</v>
      </c>
      <c r="E231">
        <f>SUMIFS(Final_Merged_Data!$E:$E,Final_Merged_Data!$B:$B,$A231)</f>
        <v>1072.8499999999999</v>
      </c>
      <c r="F231">
        <f>SUMIFS(Final_Merged_Data!$F:$F,Final_Merged_Data!$B:$B,$A231)</f>
        <v>642471</v>
      </c>
      <c r="G231">
        <f t="shared" si="6"/>
        <v>598.84513212471461</v>
      </c>
      <c r="H231" cm="1">
        <f t="array" ref="H231">SUMPRODUCT((Final_Merged_Data!$B$2:$B$1000=$A231)*Final_Merged_Data!$H$2:$H$1000*Final_Merged_Data!$F$2:$F$1000)/F231</f>
        <v>4.57</v>
      </c>
      <c r="I231" cm="1">
        <f t="array" ref="I231">SUMPRODUCT((Final_Merged_Data!$B$2:$B$1000=$A231)*Final_Merged_Data!$I$2:$I$1000*Final_Merged_Data!$F$2:$F$1000)/F231</f>
        <v>75.099999999999994</v>
      </c>
      <c r="J231" t="str" cm="1">
        <f t="array" ref="J231">_xlfn.TEXTJOIN(", ",TRUE,_xlfn.UNIQUE(_xlfn._xlws.FILTER(Final_Merged_Data!$J$2:$J$1000,Final_Merged_Data!$B$2:$B$1000=$A231)))</f>
        <v>Chittagong Range</v>
      </c>
      <c r="K231" cm="1">
        <f t="array" ref="K231">SUMPRODUCT((Final_Merged_Data!$B$2:$B$1000=$A231)*Final_Merged_Data!$K$2:$K$1000*Final_Merged_Data!$F$2:$F$1000)/F231</f>
        <v>84.879645400600893</v>
      </c>
      <c r="L231" cm="1">
        <f t="array" ref="L231">SUMPRODUCT((Final_Merged_Data!$B$2:$B$1000=$A231)*Final_Merged_Data!$L$2:$L$1000*Final_Merged_Data!$F$2:$F$1000)/F231</f>
        <v>10.309673910686193</v>
      </c>
      <c r="M231" t="str">
        <f>IF(COUNTIF(Master_Data!$C:$C,$A231)&gt;0,"Found","Missing")</f>
        <v>Found</v>
      </c>
      <c r="N231" t="str">
        <f>_xlfn.XLOOKUP($A231,Master_Data!$C:$C,Master_Data!$D:$D,"CHECK",0)</f>
        <v>Barkat Ullah Bulu</v>
      </c>
      <c r="O231" t="str">
        <f>_xlfn.XLOOKUP($A231,Master_Data!$C:$C,Master_Data!$E:$E,"CHECK",0)</f>
        <v>BNP</v>
      </c>
      <c r="P231">
        <f>_xlfn.XLOOKUP($A231,Master_Data!$C:$C,Master_Data!$F:$F,"CHECK",0)</f>
        <v>1</v>
      </c>
      <c r="Q231">
        <f>_xlfn.XLOOKUP($A231,Master_Data!$C:$C,Master_Data!$G:$G,"CHECK",0)</f>
        <v>141031</v>
      </c>
      <c r="R231">
        <f>IFERROR(_xlfn.XLOOKUP($A231,Master_Data!$C:$C,Master_Data!$H:$H,"CHECK",0),"")</f>
        <v>53.224869042766784</v>
      </c>
      <c r="S231" t="str">
        <f>_xlfn.XLOOKUP($A231,Master_Data!$C:$C,Master_Data!$I:$I,"CHECK",0)</f>
        <v>Md. Borhan Uddin</v>
      </c>
      <c r="T231">
        <f>_xlfn.XLOOKUP($A231,Master_Data!$C:$C,Master_Data!$K:$K,"CHECK",0)</f>
        <v>123941</v>
      </c>
      <c r="U231">
        <f>IFERROR(_xlfn.XLOOKUP($A231,Master_Data!$C:$C,Master_Data!$L:$L,"CHECK",0),"")</f>
        <v>46.775130957233216</v>
      </c>
      <c r="V231">
        <f>_xlfn.XLOOKUP($A231,Master_Data!$C:$C,Master_Data!$M:$M,"CHECK",0)</f>
        <v>17090</v>
      </c>
      <c r="W231">
        <f>IFERROR(_xlfn.XLOOKUP($A231,Master_Data!$C:$C,Master_Data!$N:$N,"CHECK",0),"")</f>
        <v>6.449738085533566</v>
      </c>
      <c r="X231" t="str">
        <f>IFERROR(_xlfn.XLOOKUP($A231,Master_Data!$C:$C,Master_Data!$O:$O,"CHECK",0),"No Result")</f>
        <v>Safe Seat</v>
      </c>
      <c r="Y231">
        <f>_xlfn.XLOOKUP($A231,Master_Data!$C:$C,Master_Data!$P:$P,"CHECK",0)</f>
        <v>0</v>
      </c>
      <c r="Z231">
        <f t="shared" si="7"/>
        <v>1</v>
      </c>
    </row>
    <row r="232" spans="1:26">
      <c r="A232" t="str">
        <v>Noakhali-4</v>
      </c>
      <c r="B232" t="str" cm="1">
        <f t="array" ref="B2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Nawabganj","Chapainawabganj"),Final_Merged_Data!$B$2:$B$1000=$A232)))</f>
        <v>Noakhali</v>
      </c>
      <c r="C232" t="str" cm="1">
        <f t="array" ref="C232">_xlfn.TEXTJOIN(", ",TRUE,_xlfn._xlws.FILTER(Final_Merged_Data!$C$2:$C$1000,Final_Merged_Data!$B$2:$B$1000=$A232))</f>
        <v>Subarnachar</v>
      </c>
      <c r="D232" cm="1">
        <f t="array" ref="D232">COUNTA(_xlfn._xlws.FILTER(Final_Merged_Data!$C$2:$C$1000,Final_Merged_Data!$B$2:$B$1000=$A232))</f>
        <v>1</v>
      </c>
      <c r="E232">
        <f>SUMIFS(Final_Merged_Data!$E:$E,Final_Merged_Data!$B:$B,$A232)</f>
        <v>576.14</v>
      </c>
      <c r="F232">
        <f>SUMIFS(Final_Merged_Data!$F:$F,Final_Merged_Data!$B:$B,$A232)</f>
        <v>355902</v>
      </c>
      <c r="G232">
        <f t="shared" si="6"/>
        <v>617.73527267677991</v>
      </c>
      <c r="H232" cm="1">
        <f t="array" ref="H232">SUMPRODUCT((Final_Merged_Data!$B$2:$B$1000=$A232)*Final_Merged_Data!$H$2:$H$1000*Final_Merged_Data!$F$2:$F$1000)/F232</f>
        <v>4.82</v>
      </c>
      <c r="I232" cm="1">
        <f t="array" ref="I232">SUMPRODUCT((Final_Merged_Data!$B$2:$B$1000=$A232)*Final_Merged_Data!$I$2:$I$1000*Final_Merged_Data!$F$2:$F$1000)/F232</f>
        <v>63.63</v>
      </c>
      <c r="J232" t="str" cm="1">
        <f t="array" ref="J232">_xlfn.TEXTJOIN(", ",TRUE,_xlfn.UNIQUE(_xlfn._xlws.FILTER(Final_Merged_Data!$J$2:$J$1000,Final_Merged_Data!$B$2:$B$1000=$A232)))</f>
        <v>Chittagong Range</v>
      </c>
      <c r="K232" cm="1">
        <f t="array" ref="K232">SUMPRODUCT((Final_Merged_Data!$B$2:$B$1000=$A232)*Final_Merged_Data!$K$2:$K$1000*Final_Merged_Data!$F$2:$F$1000)/F232</f>
        <v>84.879645400600893</v>
      </c>
      <c r="L232" cm="1">
        <f t="array" ref="L232">SUMPRODUCT((Final_Merged_Data!$B$2:$B$1000=$A232)*Final_Merged_Data!$L$2:$L$1000*Final_Merged_Data!$F$2:$F$1000)/F232</f>
        <v>10.309673910686193</v>
      </c>
      <c r="M232" t="str">
        <f>IF(COUNTIF(Master_Data!$C:$C,$A232)&gt;0,"Found","Missing")</f>
        <v>Found</v>
      </c>
      <c r="N232" t="str">
        <f>_xlfn.XLOOKUP($A232,Master_Data!$C:$C,Master_Data!$D:$D,"CHECK",0)</f>
        <v>Md. Shahjahan</v>
      </c>
      <c r="O232" t="str">
        <f>_xlfn.XLOOKUP($A232,Master_Data!$C:$C,Master_Data!$E:$E,"CHECK",0)</f>
        <v>BNP</v>
      </c>
      <c r="P232">
        <f>_xlfn.XLOOKUP($A232,Master_Data!$C:$C,Master_Data!$F:$F,"CHECK",0)</f>
        <v>1</v>
      </c>
      <c r="Q232">
        <f>_xlfn.XLOOKUP($A232,Master_Data!$C:$C,Master_Data!$G:$G,"CHECK",0)</f>
        <v>219182</v>
      </c>
      <c r="R232">
        <f>IFERROR(_xlfn.XLOOKUP($A232,Master_Data!$C:$C,Master_Data!$H:$H,"CHECK",0),"")</f>
        <v>59.532662811573964</v>
      </c>
      <c r="S232" t="str">
        <f>_xlfn.XLOOKUP($A232,Master_Data!$C:$C,Master_Data!$I:$I,"CHECK",0)</f>
        <v>Md. Ishaq Khandkar</v>
      </c>
      <c r="T232">
        <f>_xlfn.XLOOKUP($A232,Master_Data!$C:$C,Master_Data!$K:$K,"CHECK",0)</f>
        <v>148989</v>
      </c>
      <c r="U232">
        <f>IFERROR(_xlfn.XLOOKUP($A232,Master_Data!$C:$C,Master_Data!$L:$L,"CHECK",0),"")</f>
        <v>40.467337188426029</v>
      </c>
      <c r="V232">
        <f>_xlfn.XLOOKUP($A232,Master_Data!$C:$C,Master_Data!$M:$M,"CHECK",0)</f>
        <v>70193</v>
      </c>
      <c r="W232">
        <f>IFERROR(_xlfn.XLOOKUP($A232,Master_Data!$C:$C,Master_Data!$N:$N,"CHECK",0),"")</f>
        <v>19.065325623147938</v>
      </c>
      <c r="X232" t="str">
        <f>IFERROR(_xlfn.XLOOKUP($A232,Master_Data!$C:$C,Master_Data!$O:$O,"CHECK",0),"No Result")</f>
        <v>Safe Seat</v>
      </c>
      <c r="Y232">
        <f>_xlfn.XLOOKUP($A232,Master_Data!$C:$C,Master_Data!$P:$P,"CHECK",0)</f>
        <v>0</v>
      </c>
      <c r="Z232">
        <f t="shared" si="7"/>
        <v>1</v>
      </c>
    </row>
    <row r="233" spans="1:26">
      <c r="A233" t="str">
        <v>Noakhali-5</v>
      </c>
      <c r="B233" t="str" cm="1">
        <f t="array" ref="B2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Nawabganj","Chapainawabganj"),Final_Merged_Data!$B$2:$B$1000=$A233)))</f>
        <v>Noakhali</v>
      </c>
      <c r="C233" t="str" cm="1">
        <f t="array" ref="C233">_xlfn.TEXTJOIN(", ",TRUE,_xlfn._xlws.FILTER(Final_Merged_Data!$C$2:$C$1000,Final_Merged_Data!$B$2:$B$1000=$A233))</f>
        <v>Kabirhat, Hatia</v>
      </c>
      <c r="D233" cm="1">
        <f t="array" ref="D233">COUNTA(_xlfn._xlws.FILTER(Final_Merged_Data!$C$2:$C$1000,Final_Merged_Data!$B$2:$B$1000=$A233))</f>
        <v>2</v>
      </c>
      <c r="E233">
        <f>SUMIFS(Final_Merged_Data!$E:$E,Final_Merged_Data!$B:$B,$A233)</f>
        <v>481.58000000000004</v>
      </c>
      <c r="F233">
        <f>SUMIFS(Final_Merged_Data!$F:$F,Final_Merged_Data!$B:$B,$A233)</f>
        <v>776088</v>
      </c>
      <c r="G233">
        <f t="shared" si="6"/>
        <v>1611.5453299555627</v>
      </c>
      <c r="H233" cm="1">
        <f t="array" ref="H233">SUMPRODUCT((Final_Merged_Data!$B$2:$B$1000=$A233)*Final_Merged_Data!$H$2:$H$1000*Final_Merged_Data!$F$2:$F$1000)/F233</f>
        <v>4.7953805367432558</v>
      </c>
      <c r="I233" cm="1">
        <f t="array" ref="I233">SUMPRODUCT((Final_Merged_Data!$B$2:$B$1000=$A233)*Final_Merged_Data!$I$2:$I$1000*Final_Merged_Data!$F$2:$F$1000)/F233</f>
        <v>67.894457948067739</v>
      </c>
      <c r="J233" t="str" cm="1">
        <f t="array" ref="J233">_xlfn.TEXTJOIN(", ",TRUE,_xlfn.UNIQUE(_xlfn._xlws.FILTER(Final_Merged_Data!$J$2:$J$1000,Final_Merged_Data!$B$2:$B$1000=$A233)))</f>
        <v>Chittagong Range</v>
      </c>
      <c r="K233" cm="1">
        <f t="array" ref="K233">SUMPRODUCT((Final_Merged_Data!$B$2:$B$1000=$A233)*Final_Merged_Data!$K$2:$K$1000*Final_Merged_Data!$F$2:$F$1000)/F233</f>
        <v>84.879645400600893</v>
      </c>
      <c r="L233" cm="1">
        <f t="array" ref="L233">SUMPRODUCT((Final_Merged_Data!$B$2:$B$1000=$A233)*Final_Merged_Data!$L$2:$L$1000*Final_Merged_Data!$F$2:$F$1000)/F233</f>
        <v>10.309673910686193</v>
      </c>
      <c r="M233" t="str">
        <f>IF(COUNTIF(Master_Data!$C:$C,$A233)&gt;0,"Found","Missing")</f>
        <v>Found</v>
      </c>
      <c r="N233" t="str">
        <f>_xlfn.XLOOKUP($A233,Master_Data!$C:$C,Master_Data!$D:$D,"CHECK",0)</f>
        <v>Mohammad Fakhrul Islam</v>
      </c>
      <c r="O233" t="str">
        <f>_xlfn.XLOOKUP($A233,Master_Data!$C:$C,Master_Data!$E:$E,"CHECK",0)</f>
        <v>BNP</v>
      </c>
      <c r="P233">
        <f>_xlfn.XLOOKUP($A233,Master_Data!$C:$C,Master_Data!$F:$F,"CHECK",0)</f>
        <v>1</v>
      </c>
      <c r="Q233">
        <f>_xlfn.XLOOKUP($A233,Master_Data!$C:$C,Master_Data!$G:$G,"CHECK",0)</f>
        <v>147808</v>
      </c>
      <c r="R233">
        <f>IFERROR(_xlfn.XLOOKUP($A233,Master_Data!$C:$C,Master_Data!$H:$H,"CHECK",0),"")</f>
        <v>55.098579368599985</v>
      </c>
      <c r="S233" t="str">
        <f>_xlfn.XLOOKUP($A233,Master_Data!$C:$C,Master_Data!$I:$I,"CHECK",0)</f>
        <v>Mohammad Belayet Hossain</v>
      </c>
      <c r="T233">
        <f>_xlfn.XLOOKUP($A233,Master_Data!$C:$C,Master_Data!$K:$K,"CHECK",0)</f>
        <v>120453</v>
      </c>
      <c r="U233">
        <f>IFERROR(_xlfn.XLOOKUP($A233,Master_Data!$C:$C,Master_Data!$L:$L,"CHECK",0),"")</f>
        <v>44.901420631400022</v>
      </c>
      <c r="V233">
        <f>_xlfn.XLOOKUP($A233,Master_Data!$C:$C,Master_Data!$M:$M,"CHECK",0)</f>
        <v>27355</v>
      </c>
      <c r="W233">
        <f>IFERROR(_xlfn.XLOOKUP($A233,Master_Data!$C:$C,Master_Data!$N:$N,"CHECK",0),"")</f>
        <v>10.197158737199965</v>
      </c>
      <c r="X233" t="str">
        <f>IFERROR(_xlfn.XLOOKUP($A233,Master_Data!$C:$C,Master_Data!$O:$O,"CHECK",0),"No Result")</f>
        <v>Safe Seat</v>
      </c>
      <c r="Y233">
        <f>_xlfn.XLOOKUP($A233,Master_Data!$C:$C,Master_Data!$P:$P,"CHECK",0)</f>
        <v>0</v>
      </c>
      <c r="Z233">
        <f t="shared" si="7"/>
        <v>1</v>
      </c>
    </row>
    <row r="234" spans="1:26">
      <c r="A234" t="str">
        <v>Noakhali-6</v>
      </c>
      <c r="B234" t="str" cm="1">
        <f t="array" ref="B2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Nawabganj","Chapainawabganj"),Final_Merged_Data!$B$2:$B$1000=$A234)))</f>
        <v>Noakhali</v>
      </c>
      <c r="C234" t="str" cm="1">
        <f t="array" ref="C234">_xlfn.TEXTJOIN(", ",TRUE,_xlfn._xlws.FILTER(Final_Merged_Data!$C$2:$C$1000,Final_Merged_Data!$B$2:$B$1000=$A234))</f>
        <v>Begumganj</v>
      </c>
      <c r="D234" cm="1">
        <f t="array" ref="D234">COUNTA(_xlfn._xlws.FILTER(Final_Merged_Data!$C$2:$C$1000,Final_Merged_Data!$B$2:$B$1000=$A234))</f>
        <v>1</v>
      </c>
      <c r="E234">
        <f>SUMIFS(Final_Merged_Data!$E:$E,Final_Merged_Data!$B:$B,$A234)</f>
        <v>134.46</v>
      </c>
      <c r="F234">
        <f>SUMIFS(Final_Merged_Data!$F:$F,Final_Merged_Data!$B:$B,$A234)</f>
        <v>611081</v>
      </c>
      <c r="G234">
        <f t="shared" si="6"/>
        <v>4544.7047449055481</v>
      </c>
      <c r="H234" cm="1">
        <f t="array" ref="H234">SUMPRODUCT((Final_Merged_Data!$B$2:$B$1000=$A234)*Final_Merged_Data!$H$2:$H$1000*Final_Merged_Data!$F$2:$F$1000)/F234</f>
        <v>4.55</v>
      </c>
      <c r="I234" cm="1">
        <f t="array" ref="I234">SUMPRODUCT((Final_Merged_Data!$B$2:$B$1000=$A234)*Final_Merged_Data!$I$2:$I$1000*Final_Merged_Data!$F$2:$F$1000)/F234</f>
        <v>81.459999999999994</v>
      </c>
      <c r="J234" t="str" cm="1">
        <f t="array" ref="J234">_xlfn.TEXTJOIN(", ",TRUE,_xlfn.UNIQUE(_xlfn._xlws.FILTER(Final_Merged_Data!$J$2:$J$1000,Final_Merged_Data!$B$2:$B$1000=$A234)))</f>
        <v>Chittagong Range</v>
      </c>
      <c r="K234" cm="1">
        <f t="array" ref="K234">SUMPRODUCT((Final_Merged_Data!$B$2:$B$1000=$A234)*Final_Merged_Data!$K$2:$K$1000*Final_Merged_Data!$F$2:$F$1000)/F234</f>
        <v>84.879645400600893</v>
      </c>
      <c r="L234" cm="1">
        <f t="array" ref="L234">SUMPRODUCT((Final_Merged_Data!$B$2:$B$1000=$A234)*Final_Merged_Data!$L$2:$L$1000*Final_Merged_Data!$F$2:$F$1000)/F234</f>
        <v>10.309673910686193</v>
      </c>
      <c r="M234" t="str">
        <f>IF(COUNTIF(Master_Data!$C:$C,$A234)&gt;0,"Found","Missing")</f>
        <v>Found</v>
      </c>
      <c r="N234" t="str">
        <f>_xlfn.XLOOKUP($A234,Master_Data!$C:$C,Master_Data!$D:$D,"CHECK",0)</f>
        <v>Abdul Hannan Masud</v>
      </c>
      <c r="O234" t="str">
        <f>_xlfn.XLOOKUP($A234,Master_Data!$C:$C,Master_Data!$E:$E,"CHECK",0)</f>
        <v>NCP</v>
      </c>
      <c r="P234">
        <f>_xlfn.XLOOKUP($A234,Master_Data!$C:$C,Master_Data!$F:$F,"CHECK",0)</f>
        <v>0</v>
      </c>
      <c r="Q234">
        <f>_xlfn.XLOOKUP($A234,Master_Data!$C:$C,Master_Data!$G:$G,"CHECK",0)</f>
        <v>91899</v>
      </c>
      <c r="R234">
        <f>IFERROR(_xlfn.XLOOKUP($A234,Master_Data!$C:$C,Master_Data!$H:$H,"CHECK",0),"")</f>
        <v>58.939840944073886</v>
      </c>
      <c r="S234" t="str">
        <f>_xlfn.XLOOKUP($A234,Master_Data!$C:$C,Master_Data!$I:$I,"CHECK",0)</f>
        <v>Mohammad Mahbuber Rahman</v>
      </c>
      <c r="T234">
        <f>_xlfn.XLOOKUP($A234,Master_Data!$C:$C,Master_Data!$K:$K,"CHECK",0)</f>
        <v>64021</v>
      </c>
      <c r="U234">
        <f>IFERROR(_xlfn.XLOOKUP($A234,Master_Data!$C:$C,Master_Data!$L:$L,"CHECK",0),"")</f>
        <v>41.060159055926114</v>
      </c>
      <c r="V234">
        <f>_xlfn.XLOOKUP($A234,Master_Data!$C:$C,Master_Data!$M:$M,"CHECK",0)</f>
        <v>27878</v>
      </c>
      <c r="W234">
        <f>IFERROR(_xlfn.XLOOKUP($A234,Master_Data!$C:$C,Master_Data!$N:$N,"CHECK",0),"")</f>
        <v>17.879681888147768</v>
      </c>
      <c r="X234" t="str">
        <f>IFERROR(_xlfn.XLOOKUP($A234,Master_Data!$C:$C,Master_Data!$O:$O,"CHECK",0),"No Result")</f>
        <v>Safe Seat</v>
      </c>
      <c r="Y234">
        <f>_xlfn.XLOOKUP($A234,Master_Data!$C:$C,Master_Data!$P:$P,"CHECK",0)</f>
        <v>0</v>
      </c>
      <c r="Z234">
        <f t="shared" si="7"/>
        <v>1</v>
      </c>
    </row>
    <row r="235" spans="1:26">
      <c r="A235" t="str">
        <v>Pabna-1</v>
      </c>
      <c r="B235" t="str" cm="1">
        <f t="array" ref="B2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Nawabganj","Chapainawabganj"),Final_Merged_Data!$B$2:$B$1000=$A235)))</f>
        <v>Pabna</v>
      </c>
      <c r="C235" t="str" cm="1">
        <f t="array" ref="C235">_xlfn.TEXTJOIN(", ",TRUE,_xlfn._xlws.FILTER(Final_Merged_Data!$C$2:$C$1000,Final_Merged_Data!$B$2:$B$1000=$A235))</f>
        <v>Santhia, Bera</v>
      </c>
      <c r="D235" cm="1">
        <f t="array" ref="D235">COUNTA(_xlfn._xlws.FILTER(Final_Merged_Data!$C$2:$C$1000,Final_Merged_Data!$B$2:$B$1000=$A235))</f>
        <v>2</v>
      </c>
      <c r="E235">
        <f>SUMIFS(Final_Merged_Data!$E:$E,Final_Merged_Data!$B:$B,$A235)</f>
        <v>346.15</v>
      </c>
      <c r="F235">
        <f>SUMIFS(Final_Merged_Data!$F:$F,Final_Merged_Data!$B:$B,$A235)</f>
        <v>712236</v>
      </c>
      <c r="G235">
        <f t="shared" si="6"/>
        <v>2057.5935288169871</v>
      </c>
      <c r="H235" cm="1">
        <f t="array" ref="H235">SUMPRODUCT((Final_Merged_Data!$B$2:$B$1000=$A235)*Final_Merged_Data!$H$2:$H$1000*Final_Merged_Data!$F$2:$F$1000)/F235</f>
        <v>3.9615874513503946</v>
      </c>
      <c r="I235" cm="1">
        <f t="array" ref="I235">SUMPRODUCT((Final_Merged_Data!$B$2:$B$1000=$A235)*Final_Merged_Data!$I$2:$I$1000*Final_Merged_Data!$F$2:$F$1000)/F235</f>
        <v>67.154126665880412</v>
      </c>
      <c r="J235" t="str" cm="1">
        <f t="array" ref="J235">_xlfn.TEXTJOIN(", ",TRUE,_xlfn.UNIQUE(_xlfn._xlws.FILTER(Final_Merged_Data!$J$2:$J$1000,Final_Merged_Data!$B$2:$B$1000=$A235)))</f>
        <v>Rajshahi Range</v>
      </c>
      <c r="K235" cm="1">
        <f t="array" ref="K235">SUMPRODUCT((Final_Merged_Data!$B$2:$B$1000=$A235)*Final_Merged_Data!$K$2:$K$1000*Final_Merged_Data!$F$2:$F$1000)/F235</f>
        <v>112.81411131450233</v>
      </c>
      <c r="L235" cm="1">
        <f t="array" ref="L235">SUMPRODUCT((Final_Merged_Data!$B$2:$B$1000=$A235)*Final_Merged_Data!$L$2:$L$1000*Final_Merged_Data!$F$2:$F$1000)/F235</f>
        <v>14.272851259111949</v>
      </c>
      <c r="M235" t="str">
        <f>IF(COUNTIF(Master_Data!$C:$C,$A235)&gt;0,"Found","Missing")</f>
        <v>Found</v>
      </c>
      <c r="N235" t="str">
        <f>_xlfn.XLOOKUP($A235,Master_Data!$C:$C,Master_Data!$D:$D,"CHECK",0)</f>
        <v>Mohammad Najibur Rahman</v>
      </c>
      <c r="O235" t="str">
        <f>_xlfn.XLOOKUP($A235,Master_Data!$C:$C,Master_Data!$E:$E,"CHECK",0)</f>
        <v>Jamaat</v>
      </c>
      <c r="P235">
        <f>_xlfn.XLOOKUP($A235,Master_Data!$C:$C,Master_Data!$F:$F,"CHECK",0)</f>
        <v>2</v>
      </c>
      <c r="Q235">
        <f>_xlfn.XLOOKUP($A235,Master_Data!$C:$C,Master_Data!$G:$G,"CHECK",0)</f>
        <v>129974</v>
      </c>
      <c r="R235">
        <f>IFERROR(_xlfn.XLOOKUP($A235,Master_Data!$C:$C,Master_Data!$H:$H,"CHECK",0),"")</f>
        <v>55.492509147421856</v>
      </c>
      <c r="S235" t="str">
        <f>_xlfn.XLOOKUP($A235,Master_Data!$C:$C,Master_Data!$I:$I,"CHECK",0)</f>
        <v>Md. Shamsur Rahman</v>
      </c>
      <c r="T235">
        <f>_xlfn.XLOOKUP($A235,Master_Data!$C:$C,Master_Data!$K:$K,"CHECK",0)</f>
        <v>104245</v>
      </c>
      <c r="U235">
        <f>IFERROR(_xlfn.XLOOKUP($A235,Master_Data!$C:$C,Master_Data!$L:$L,"CHECK",0),"")</f>
        <v>44.507490852578144</v>
      </c>
      <c r="V235">
        <f>_xlfn.XLOOKUP($A235,Master_Data!$C:$C,Master_Data!$M:$M,"CHECK",0)</f>
        <v>25729</v>
      </c>
      <c r="W235">
        <f>IFERROR(_xlfn.XLOOKUP($A235,Master_Data!$C:$C,Master_Data!$N:$N,"CHECK",0),"")</f>
        <v>10.985018294843716</v>
      </c>
      <c r="X235" t="str">
        <f>IFERROR(_xlfn.XLOOKUP($A235,Master_Data!$C:$C,Master_Data!$O:$O,"CHECK",0),"No Result")</f>
        <v>Safe Seat</v>
      </c>
      <c r="Y235">
        <f>_xlfn.XLOOKUP($A235,Master_Data!$C:$C,Master_Data!$P:$P,"CHECK",0)</f>
        <v>0</v>
      </c>
      <c r="Z235">
        <f t="shared" si="7"/>
        <v>1</v>
      </c>
    </row>
    <row r="236" spans="1:26">
      <c r="A236" t="str">
        <v>Pabna-2</v>
      </c>
      <c r="B236" t="str" cm="1">
        <f t="array" ref="B2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Nawabganj","Chapainawabganj"),Final_Merged_Data!$B$2:$B$1000=$A236)))</f>
        <v>Pabna</v>
      </c>
      <c r="C236" t="str" cm="1">
        <f t="array" ref="C236">_xlfn.TEXTJOIN(", ",TRUE,_xlfn._xlws.FILTER(Final_Merged_Data!$C$2:$C$1000,Final_Merged_Data!$B$2:$B$1000=$A236))</f>
        <v>Sujanagar, Pabna Sadar</v>
      </c>
      <c r="D236" cm="1">
        <f t="array" ref="D236">COUNTA(_xlfn._xlws.FILTER(Final_Merged_Data!$C$2:$C$1000,Final_Merged_Data!$B$2:$B$1000=$A236))</f>
        <v>2</v>
      </c>
      <c r="E236">
        <f>SUMIFS(Final_Merged_Data!$E:$E,Final_Merged_Data!$B:$B,$A236)</f>
        <v>660.05</v>
      </c>
      <c r="F236">
        <f>SUMIFS(Final_Merged_Data!$F:$F,Final_Merged_Data!$B:$B,$A236)</f>
        <v>1017112</v>
      </c>
      <c r="G236">
        <f t="shared" si="6"/>
        <v>1540.9620483296721</v>
      </c>
      <c r="H236" cm="1">
        <f t="array" ref="H236">SUMPRODUCT((Final_Merged_Data!$B$2:$B$1000=$A236)*Final_Merged_Data!$H$2:$H$1000*Final_Merged_Data!$F$2:$F$1000)/F236</f>
        <v>3.8610295523010247</v>
      </c>
      <c r="I236" cm="1">
        <f t="array" ref="I236">SUMPRODUCT((Final_Merged_Data!$B$2:$B$1000=$A236)*Final_Merged_Data!$I$2:$I$1000*Final_Merged_Data!$F$2:$F$1000)/F236</f>
        <v>71.009568267801384</v>
      </c>
      <c r="J236" t="str" cm="1">
        <f t="array" ref="J236">_xlfn.TEXTJOIN(", ",TRUE,_xlfn.UNIQUE(_xlfn._xlws.FILTER(Final_Merged_Data!$J$2:$J$1000,Final_Merged_Data!$B$2:$B$1000=$A236)))</f>
        <v>Rajshahi Range</v>
      </c>
      <c r="K236" cm="1">
        <f t="array" ref="K236">SUMPRODUCT((Final_Merged_Data!$B$2:$B$1000=$A236)*Final_Merged_Data!$K$2:$K$1000*Final_Merged_Data!$F$2:$F$1000)/F236</f>
        <v>112.81411131450233</v>
      </c>
      <c r="L236" cm="1">
        <f t="array" ref="L236">SUMPRODUCT((Final_Merged_Data!$B$2:$B$1000=$A236)*Final_Merged_Data!$L$2:$L$1000*Final_Merged_Data!$F$2:$F$1000)/F236</f>
        <v>14.272851259111949</v>
      </c>
      <c r="M236" t="str">
        <f>IF(COUNTIF(Master_Data!$C:$C,$A236)&gt;0,"Found","Missing")</f>
        <v>Found</v>
      </c>
      <c r="N236" t="str">
        <f>_xlfn.XLOOKUP($A236,Master_Data!$C:$C,Master_Data!$D:$D,"CHECK",0)</f>
        <v>AKM Salim Reza Habib</v>
      </c>
      <c r="O236" t="str">
        <f>_xlfn.XLOOKUP($A236,Master_Data!$C:$C,Master_Data!$E:$E,"CHECK",0)</f>
        <v>BNP</v>
      </c>
      <c r="P236">
        <f>_xlfn.XLOOKUP($A236,Master_Data!$C:$C,Master_Data!$F:$F,"CHECK",0)</f>
        <v>1</v>
      </c>
      <c r="Q236">
        <f>_xlfn.XLOOKUP($A236,Master_Data!$C:$C,Master_Data!$G:$G,"CHECK",0)</f>
        <v>213950</v>
      </c>
      <c r="R236">
        <f>IFERROR(_xlfn.XLOOKUP($A236,Master_Data!$C:$C,Master_Data!$H:$H,"CHECK",0),"")</f>
        <v>73.944915444619937</v>
      </c>
      <c r="S236" t="str">
        <f>_xlfn.XLOOKUP($A236,Master_Data!$C:$C,Master_Data!$I:$I,"CHECK",0)</f>
        <v>Md. Hesab Uddin</v>
      </c>
      <c r="T236">
        <f>_xlfn.XLOOKUP($A236,Master_Data!$C:$C,Master_Data!$K:$K,"CHECK",0)</f>
        <v>75387</v>
      </c>
      <c r="U236">
        <f>IFERROR(_xlfn.XLOOKUP($A236,Master_Data!$C:$C,Master_Data!$L:$L,"CHECK",0),"")</f>
        <v>26.055084555380059</v>
      </c>
      <c r="V236">
        <f>_xlfn.XLOOKUP($A236,Master_Data!$C:$C,Master_Data!$M:$M,"CHECK",0)</f>
        <v>138563</v>
      </c>
      <c r="W236">
        <f>IFERROR(_xlfn.XLOOKUP($A236,Master_Data!$C:$C,Master_Data!$N:$N,"CHECK",0),"")</f>
        <v>47.889830889239882</v>
      </c>
      <c r="X236" t="str">
        <f>IFERROR(_xlfn.XLOOKUP($A236,Master_Data!$C:$C,Master_Data!$O:$O,"CHECK",0),"No Result")</f>
        <v>Safe Seat</v>
      </c>
      <c r="Y236">
        <f>_xlfn.XLOOKUP($A236,Master_Data!$C:$C,Master_Data!$P:$P,"CHECK",0)</f>
        <v>0</v>
      </c>
      <c r="Z236">
        <f t="shared" si="7"/>
        <v>1</v>
      </c>
    </row>
    <row r="237" spans="1:26">
      <c r="A237" t="str">
        <v>Pabna-3</v>
      </c>
      <c r="B237" t="str" cm="1">
        <f t="array" ref="B2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Nawabganj","Chapainawabganj"),Final_Merged_Data!$B$2:$B$1000=$A237)))</f>
        <v>Pabna</v>
      </c>
      <c r="C237" t="str" cm="1">
        <f t="array" ref="C237">_xlfn.TEXTJOIN(", ",TRUE,_xlfn._xlws.FILTER(Final_Merged_Data!$C$2:$C$1000,Final_Merged_Data!$B$2:$B$1000=$A237))</f>
        <v>Chatmohar, Faridpur, Bhangura</v>
      </c>
      <c r="D237" cm="1">
        <f t="array" ref="D237">COUNTA(_xlfn._xlws.FILTER(Final_Merged_Data!$C$2:$C$1000,Final_Merged_Data!$B$2:$B$1000=$A237))</f>
        <v>3</v>
      </c>
      <c r="E237">
        <f>SUMIFS(Final_Merged_Data!$E:$E,Final_Merged_Data!$B:$B,$A237)</f>
        <v>962.92000000000007</v>
      </c>
      <c r="F237">
        <f>SUMIFS(Final_Merged_Data!$F:$F,Final_Merged_Data!$B:$B,$A237)</f>
        <v>611191</v>
      </c>
      <c r="G237">
        <f t="shared" si="6"/>
        <v>634.72666472811864</v>
      </c>
      <c r="H237" cm="1">
        <f t="array" ref="H237">SUMPRODUCT((Final_Merged_Data!$B$2:$B$1000=$A237)*Final_Merged_Data!$H$2:$H$1000*Final_Merged_Data!$F$2:$F$1000)/F237</f>
        <v>3.7871207854827698</v>
      </c>
      <c r="I237" cm="1">
        <f t="array" ref="I237">SUMPRODUCT((Final_Merged_Data!$B$2:$B$1000=$A237)*Final_Merged_Data!$I$2:$I$1000*Final_Merged_Data!$F$2:$F$1000)/F237</f>
        <v>69.038302560083508</v>
      </c>
      <c r="J237" t="str" cm="1">
        <f t="array" ref="J237">_xlfn.TEXTJOIN(", ",TRUE,_xlfn.UNIQUE(_xlfn._xlws.FILTER(Final_Merged_Data!$J$2:$J$1000,Final_Merged_Data!$B$2:$B$1000=$A237)))</f>
        <v>Rajshahi Range</v>
      </c>
      <c r="K237" cm="1">
        <f t="array" ref="K237">SUMPRODUCT((Final_Merged_Data!$B$2:$B$1000=$A237)*Final_Merged_Data!$K$2:$K$1000*Final_Merged_Data!$F$2:$F$1000)/F237</f>
        <v>112.81411131450231</v>
      </c>
      <c r="L237" cm="1">
        <f t="array" ref="L237">SUMPRODUCT((Final_Merged_Data!$B$2:$B$1000=$A237)*Final_Merged_Data!$L$2:$L$1000*Final_Merged_Data!$F$2:$F$1000)/F237</f>
        <v>14.272851259111949</v>
      </c>
      <c r="M237" t="str">
        <f>IF(COUNTIF(Master_Data!$C:$C,$A237)&gt;0,"Found","Missing")</f>
        <v>Found</v>
      </c>
      <c r="N237" t="str">
        <f>_xlfn.XLOOKUP($A237,Master_Data!$C:$C,Master_Data!$D:$D,"CHECK",0)</f>
        <v>Muhammad Ali Asghar</v>
      </c>
      <c r="O237" t="str">
        <f>_xlfn.XLOOKUP($A237,Master_Data!$C:$C,Master_Data!$E:$E,"CHECK",0)</f>
        <v>Jamaat</v>
      </c>
      <c r="P237">
        <f>_xlfn.XLOOKUP($A237,Master_Data!$C:$C,Master_Data!$F:$F,"CHECK",0)</f>
        <v>2</v>
      </c>
      <c r="Q237">
        <f>_xlfn.XLOOKUP($A237,Master_Data!$C:$C,Master_Data!$G:$G,"CHECK",0)</f>
        <v>147475</v>
      </c>
      <c r="R237">
        <f>IFERROR(_xlfn.XLOOKUP($A237,Master_Data!$C:$C,Master_Data!$H:$H,"CHECK",0),"")</f>
        <v>50.560372461696169</v>
      </c>
      <c r="S237" t="str">
        <f>_xlfn.XLOOKUP($A237,Master_Data!$C:$C,Master_Data!$I:$I,"CHECK",0)</f>
        <v>Md. Hasan Zafir Tuhin</v>
      </c>
      <c r="T237">
        <f>_xlfn.XLOOKUP($A237,Master_Data!$C:$C,Master_Data!$K:$K,"CHECK",0)</f>
        <v>144206</v>
      </c>
      <c r="U237">
        <f>IFERROR(_xlfn.XLOOKUP($A237,Master_Data!$C:$C,Master_Data!$L:$L,"CHECK",0),"")</f>
        <v>49.439627538303831</v>
      </c>
      <c r="V237">
        <f>_xlfn.XLOOKUP($A237,Master_Data!$C:$C,Master_Data!$M:$M,"CHECK",0)</f>
        <v>3269</v>
      </c>
      <c r="W237">
        <f>IFERROR(_xlfn.XLOOKUP($A237,Master_Data!$C:$C,Master_Data!$N:$N,"CHECK",0),"")</f>
        <v>1.1207449233923361</v>
      </c>
      <c r="X237" t="str">
        <f>IFERROR(_xlfn.XLOOKUP($A237,Master_Data!$C:$C,Master_Data!$O:$O,"CHECK",0),"No Result")</f>
        <v>Highly Competitive</v>
      </c>
      <c r="Y237">
        <f>_xlfn.XLOOKUP($A237,Master_Data!$C:$C,Master_Data!$P:$P,"CHECK",0)</f>
        <v>0</v>
      </c>
      <c r="Z237">
        <f t="shared" si="7"/>
        <v>1</v>
      </c>
    </row>
    <row r="238" spans="1:26">
      <c r="A238" t="str">
        <v>Pabna-4</v>
      </c>
      <c r="B238" t="str" cm="1">
        <f t="array" ref="B2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Nawabganj","Chapainawabganj"),Final_Merged_Data!$B$2:$B$1000=$A238)))</f>
        <v>Pabna</v>
      </c>
      <c r="C238" t="str" cm="1">
        <f t="array" ref="C238">_xlfn.TEXTJOIN(", ",TRUE,_xlfn._xlws.FILTER(Final_Merged_Data!$C$2:$C$1000,Final_Merged_Data!$B$2:$B$1000=$A238))</f>
        <v>Ishwardi, Atgharia</v>
      </c>
      <c r="D238" cm="1">
        <f t="array" ref="D238">COUNTA(_xlfn._xlws.FILTER(Final_Merged_Data!$C$2:$C$1000,Final_Merged_Data!$B$2:$B$1000=$A238))</f>
        <v>2</v>
      </c>
      <c r="E238">
        <f>SUMIFS(Final_Merged_Data!$E:$E,Final_Merged_Data!$B:$B,$A238)</f>
        <v>697.84</v>
      </c>
      <c r="F238">
        <f>SUMIFS(Final_Merged_Data!$F:$F,Final_Merged_Data!$B:$B,$A238)</f>
        <v>568970</v>
      </c>
      <c r="G238">
        <f t="shared" si="6"/>
        <v>815.33016164163701</v>
      </c>
      <c r="H238" cm="1">
        <f t="array" ref="H238">SUMPRODUCT((Final_Merged_Data!$B$2:$B$1000=$A238)*Final_Merged_Data!$H$2:$H$1000*Final_Merged_Data!$F$2:$F$1000)/F238</f>
        <v>3.840584196003304</v>
      </c>
      <c r="I238" cm="1">
        <f t="array" ref="I238">SUMPRODUCT((Final_Merged_Data!$B$2:$B$1000=$A238)*Final_Merged_Data!$I$2:$I$1000*Final_Merged_Data!$F$2:$F$1000)/F238</f>
        <v>75.205407754363151</v>
      </c>
      <c r="J238" t="str" cm="1">
        <f t="array" ref="J238">_xlfn.TEXTJOIN(", ",TRUE,_xlfn.UNIQUE(_xlfn._xlws.FILTER(Final_Merged_Data!$J$2:$J$1000,Final_Merged_Data!$B$2:$B$1000=$A238)))</f>
        <v>Rajshahi Range</v>
      </c>
      <c r="K238" cm="1">
        <f t="array" ref="K238">SUMPRODUCT((Final_Merged_Data!$B$2:$B$1000=$A238)*Final_Merged_Data!$K$2:$K$1000*Final_Merged_Data!$F$2:$F$1000)/F238</f>
        <v>112.81411131450231</v>
      </c>
      <c r="L238" cm="1">
        <f t="array" ref="L238">SUMPRODUCT((Final_Merged_Data!$B$2:$B$1000=$A238)*Final_Merged_Data!$L$2:$L$1000*Final_Merged_Data!$F$2:$F$1000)/F238</f>
        <v>14.272851259111949</v>
      </c>
      <c r="M238" t="str">
        <f>IF(COUNTIF(Master_Data!$C:$C,$A238)&gt;0,"Found","Missing")</f>
        <v>Found</v>
      </c>
      <c r="N238" t="str">
        <f>_xlfn.XLOOKUP($A238,Master_Data!$C:$C,Master_Data!$D:$D,"CHECK",0)</f>
        <v>Md. Abu Taleb Mandal</v>
      </c>
      <c r="O238" t="str">
        <f>_xlfn.XLOOKUP($A238,Master_Data!$C:$C,Master_Data!$E:$E,"CHECK",0)</f>
        <v>Jamaat</v>
      </c>
      <c r="P238">
        <f>_xlfn.XLOOKUP($A238,Master_Data!$C:$C,Master_Data!$F:$F,"CHECK",0)</f>
        <v>2</v>
      </c>
      <c r="Q238">
        <f>_xlfn.XLOOKUP($A238,Master_Data!$C:$C,Master_Data!$G:$G,"CHECK",0)</f>
        <v>137675</v>
      </c>
      <c r="R238">
        <f>IFERROR(_xlfn.XLOOKUP($A238,Master_Data!$C:$C,Master_Data!$H:$H,"CHECK",0),"")</f>
        <v>50.699873687621754</v>
      </c>
      <c r="S238" t="str">
        <f>_xlfn.XLOOKUP($A238,Master_Data!$C:$C,Master_Data!$I:$I,"CHECK",0)</f>
        <v>Md. Habibur Rahman</v>
      </c>
      <c r="T238">
        <f>_xlfn.XLOOKUP($A238,Master_Data!$C:$C,Master_Data!$K:$K,"CHECK",0)</f>
        <v>133874</v>
      </c>
      <c r="U238">
        <f>IFERROR(_xlfn.XLOOKUP($A238,Master_Data!$C:$C,Master_Data!$L:$L,"CHECK",0),"")</f>
        <v>49.300126312378246</v>
      </c>
      <c r="V238">
        <f>_xlfn.XLOOKUP($A238,Master_Data!$C:$C,Master_Data!$M:$M,"CHECK",0)</f>
        <v>3801</v>
      </c>
      <c r="W238">
        <f>IFERROR(_xlfn.XLOOKUP($A238,Master_Data!$C:$C,Master_Data!$N:$N,"CHECK",0),"")</f>
        <v>1.3997473752435103</v>
      </c>
      <c r="X238" t="str">
        <f>IFERROR(_xlfn.XLOOKUP($A238,Master_Data!$C:$C,Master_Data!$O:$O,"CHECK",0),"No Result")</f>
        <v>Highly Competitive</v>
      </c>
      <c r="Y238">
        <f>_xlfn.XLOOKUP($A238,Master_Data!$C:$C,Master_Data!$P:$P,"CHECK",0)</f>
        <v>0</v>
      </c>
      <c r="Z238">
        <f t="shared" si="7"/>
        <v>1</v>
      </c>
    </row>
    <row r="239" spans="1:26">
      <c r="A239" t="str">
        <v>Pabna-5</v>
      </c>
      <c r="B239" t="str" cm="1">
        <f t="array" ref="B2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Nawabganj","Chapainawabganj"),Final_Merged_Data!$B$2:$B$1000=$A239)))</f>
        <v>Pabna</v>
      </c>
      <c r="C239" t="str" cm="1">
        <f t="array" ref="C239">_xlfn.TEXTJOIN(", ",TRUE,_xlfn._xlws.FILTER(Final_Merged_Data!$C$2:$C$1000,Final_Merged_Data!$B$2:$B$1000=$A239))</f>
        <v>Shahjadpur</v>
      </c>
      <c r="D239" cm="1">
        <f t="array" ref="D239">COUNTA(_xlfn._xlws.FILTER(Final_Merged_Data!$C$2:$C$1000,Final_Merged_Data!$B$2:$B$1000=$A239))</f>
        <v>1</v>
      </c>
      <c r="E239">
        <f>SUMIFS(Final_Merged_Data!$E:$E,Final_Merged_Data!$B:$B,$A239)</f>
        <v>356.67</v>
      </c>
      <c r="F239">
        <f>SUMIFS(Final_Merged_Data!$F:$F,Final_Merged_Data!$B:$B,$A239)</f>
        <v>601613</v>
      </c>
      <c r="G239">
        <f t="shared" si="6"/>
        <v>1686.7496565452659</v>
      </c>
      <c r="H239" cm="1">
        <f t="array" ref="H239">SUMPRODUCT((Final_Merged_Data!$B$2:$B$1000=$A239)*Final_Merged_Data!$H$2:$H$1000*Final_Merged_Data!$F$2:$F$1000)/F239</f>
        <v>4.04</v>
      </c>
      <c r="I239" cm="1">
        <f t="array" ref="I239">SUMPRODUCT((Final_Merged_Data!$B$2:$B$1000=$A239)*Final_Merged_Data!$I$2:$I$1000*Final_Merged_Data!$F$2:$F$1000)/F239</f>
        <v>65.3</v>
      </c>
      <c r="J239" t="str" cm="1">
        <f t="array" ref="J239">_xlfn.TEXTJOIN(", ",TRUE,_xlfn.UNIQUE(_xlfn._xlws.FILTER(Final_Merged_Data!$J$2:$J$1000,Final_Merged_Data!$B$2:$B$1000=$A239)))</f>
        <v>Rajshahi Range</v>
      </c>
      <c r="K239" cm="1">
        <f t="array" ref="K239">SUMPRODUCT((Final_Merged_Data!$B$2:$B$1000=$A239)*Final_Merged_Data!$K$2:$K$1000*Final_Merged_Data!$F$2:$F$1000)/F239</f>
        <v>112.81411131450231</v>
      </c>
      <c r="L239" cm="1">
        <f t="array" ref="L239">SUMPRODUCT((Final_Merged_Data!$B$2:$B$1000=$A239)*Final_Merged_Data!$L$2:$L$1000*Final_Merged_Data!$F$2:$F$1000)/F239</f>
        <v>14.272851259111949</v>
      </c>
      <c r="M239" t="str">
        <f>IF(COUNTIF(Master_Data!$C:$C,$A239)&gt;0,"Found","Missing")</f>
        <v>Found</v>
      </c>
      <c r="N239" t="str">
        <f>_xlfn.XLOOKUP($A239,Master_Data!$C:$C,Master_Data!$D:$D,"CHECK",0)</f>
        <v>Shamsur Rahman Simul Biswas</v>
      </c>
      <c r="O239" t="str">
        <f>_xlfn.XLOOKUP($A239,Master_Data!$C:$C,Master_Data!$E:$E,"CHECK",0)</f>
        <v>BNP</v>
      </c>
      <c r="P239">
        <f>_xlfn.XLOOKUP($A239,Master_Data!$C:$C,Master_Data!$F:$F,"CHECK",0)</f>
        <v>1</v>
      </c>
      <c r="Q239">
        <f>_xlfn.XLOOKUP($A239,Master_Data!$C:$C,Master_Data!$G:$G,"CHECK",0)</f>
        <v>181925</v>
      </c>
      <c r="R239">
        <f>IFERROR(_xlfn.XLOOKUP($A239,Master_Data!$C:$C,Master_Data!$H:$H,"CHECK",0),"")</f>
        <v>52.440194973466426</v>
      </c>
      <c r="S239" t="str">
        <f>_xlfn.XLOOKUP($A239,Master_Data!$C:$C,Master_Data!$I:$I,"CHECK",0)</f>
        <v>Md. Iqbal Hossain</v>
      </c>
      <c r="T239">
        <f>_xlfn.XLOOKUP($A239,Master_Data!$C:$C,Master_Data!$K:$K,"CHECK",0)</f>
        <v>164994</v>
      </c>
      <c r="U239">
        <f>IFERROR(_xlfn.XLOOKUP($A239,Master_Data!$C:$C,Master_Data!$L:$L,"CHECK",0),"")</f>
        <v>47.559805026533567</v>
      </c>
      <c r="V239">
        <f>_xlfn.XLOOKUP($A239,Master_Data!$C:$C,Master_Data!$M:$M,"CHECK",0)</f>
        <v>16931</v>
      </c>
      <c r="W239">
        <f>IFERROR(_xlfn.XLOOKUP($A239,Master_Data!$C:$C,Master_Data!$N:$N,"CHECK",0),"")</f>
        <v>4.8803899469328575</v>
      </c>
      <c r="X239" t="str">
        <f>IFERROR(_xlfn.XLOOKUP($A239,Master_Data!$C:$C,Master_Data!$O:$O,"CHECK",0),"No Result")</f>
        <v>Highly Competitive</v>
      </c>
      <c r="Y239">
        <f>_xlfn.XLOOKUP($A239,Master_Data!$C:$C,Master_Data!$P:$P,"CHECK",0)</f>
        <v>0</v>
      </c>
      <c r="Z239">
        <f t="shared" si="7"/>
        <v>1</v>
      </c>
    </row>
    <row r="240" spans="1:26">
      <c r="A240" t="str">
        <v>Panchagarh-1</v>
      </c>
      <c r="B240" t="str" cm="1">
        <f t="array" ref="B2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Nawabganj","Chapainawabganj"),Final_Merged_Data!$B$2:$B$1000=$A240)))</f>
        <v>Panchagarh</v>
      </c>
      <c r="C240" t="str" cm="1">
        <f t="array" ref="C240">_xlfn.TEXTJOIN(", ",TRUE,_xlfn._xlws.FILTER(Final_Merged_Data!$C$2:$C$1000,Final_Merged_Data!$B$2:$B$1000=$A240))</f>
        <v>Panchagarh Sadar, Tetulia, Atwari</v>
      </c>
      <c r="D240" cm="1">
        <f t="array" ref="D240">COUNTA(_xlfn._xlws.FILTER(Final_Merged_Data!$C$2:$C$1000,Final_Merged_Data!$B$2:$B$1000=$A240))</f>
        <v>3</v>
      </c>
      <c r="E240">
        <f>SUMIFS(Final_Merged_Data!$E:$E,Final_Merged_Data!$B:$B,$A240)</f>
        <v>779.43000000000006</v>
      </c>
      <c r="F240">
        <f>SUMIFS(Final_Merged_Data!$F:$F,Final_Merged_Data!$B:$B,$A240)</f>
        <v>637076</v>
      </c>
      <c r="G240">
        <f t="shared" si="6"/>
        <v>817.36140512938937</v>
      </c>
      <c r="H240" cm="1">
        <f t="array" ref="H240">SUMPRODUCT((Final_Merged_Data!$B$2:$B$1000=$A240)*Final_Merged_Data!$H$2:$H$1000*Final_Merged_Data!$F$2:$F$1000)/F240</f>
        <v>4.2079039863375804</v>
      </c>
      <c r="I240" cm="1">
        <f t="array" ref="I240">SUMPRODUCT((Final_Merged_Data!$B$2:$B$1000=$A240)*Final_Merged_Data!$I$2:$I$1000*Final_Merged_Data!$F$2:$F$1000)/F240</f>
        <v>74.76537125868812</v>
      </c>
      <c r="J240" t="str" cm="1">
        <f t="array" ref="J240">_xlfn.TEXTJOIN(", ",TRUE,_xlfn.UNIQUE(_xlfn._xlws.FILTER(Final_Merged_Data!$J$2:$J$1000,Final_Merged_Data!$B$2:$B$1000=$A240)))</f>
        <v>Rangpur Range</v>
      </c>
      <c r="K240" cm="1">
        <f t="array" ref="K240">SUMPRODUCT((Final_Merged_Data!$B$2:$B$1000=$A240)*Final_Merged_Data!$K$2:$K$1000*Final_Merged_Data!$F$2:$F$1000)/F240</f>
        <v>101.90869513385242</v>
      </c>
      <c r="L240" cm="1">
        <f t="array" ref="L240">SUMPRODUCT((Final_Merged_Data!$B$2:$B$1000=$A240)*Final_Merged_Data!$L$2:$L$1000*Final_Merged_Data!$F$2:$F$1000)/F240</f>
        <v>15.175373179583831</v>
      </c>
      <c r="M240" t="str">
        <f>IF(COUNTIF(Master_Data!$C:$C,$A240)&gt;0,"Found","Missing")</f>
        <v>Found</v>
      </c>
      <c r="N240" t="str">
        <f>_xlfn.XLOOKUP($A240,Master_Data!$C:$C,Master_Data!$D:$D,"CHECK",0)</f>
        <v>Muhammad Nawshad Zamir</v>
      </c>
      <c r="O240" t="str">
        <f>_xlfn.XLOOKUP($A240,Master_Data!$C:$C,Master_Data!$E:$E,"CHECK",0)</f>
        <v>BNP</v>
      </c>
      <c r="P240">
        <f>_xlfn.XLOOKUP($A240,Master_Data!$C:$C,Master_Data!$F:$F,"CHECK",0)</f>
        <v>1</v>
      </c>
      <c r="Q240">
        <f>_xlfn.XLOOKUP($A240,Master_Data!$C:$C,Master_Data!$G:$G,"CHECK",0)</f>
        <v>176169</v>
      </c>
      <c r="R240">
        <f>IFERROR(_xlfn.XLOOKUP($A240,Master_Data!$C:$C,Master_Data!$H:$H,"CHECK",0),"")</f>
        <v>51.179485093748731</v>
      </c>
      <c r="S240" t="str">
        <f>_xlfn.XLOOKUP($A240,Master_Data!$C:$C,Master_Data!$I:$I,"CHECK",0)</f>
        <v>Sarjis Alam</v>
      </c>
      <c r="T240">
        <f>_xlfn.XLOOKUP($A240,Master_Data!$C:$C,Master_Data!$K:$K,"CHECK",0)</f>
        <v>168049</v>
      </c>
      <c r="U240">
        <f>IFERROR(_xlfn.XLOOKUP($A240,Master_Data!$C:$C,Master_Data!$L:$L,"CHECK",0),"")</f>
        <v>48.820514906251269</v>
      </c>
      <c r="V240">
        <f>_xlfn.XLOOKUP($A240,Master_Data!$C:$C,Master_Data!$M:$M,"CHECK",0)</f>
        <v>8120</v>
      </c>
      <c r="W240">
        <f>IFERROR(_xlfn.XLOOKUP($A240,Master_Data!$C:$C,Master_Data!$N:$N,"CHECK",0),"")</f>
        <v>2.3589701874974578</v>
      </c>
      <c r="X240" t="str">
        <f>IFERROR(_xlfn.XLOOKUP($A240,Master_Data!$C:$C,Master_Data!$O:$O,"CHECK",0),"No Result")</f>
        <v>Highly Competitive</v>
      </c>
      <c r="Y240">
        <f>_xlfn.XLOOKUP($A240,Master_Data!$C:$C,Master_Data!$P:$P,"CHECK",0)</f>
        <v>0</v>
      </c>
      <c r="Z240">
        <f t="shared" si="7"/>
        <v>1</v>
      </c>
    </row>
    <row r="241" spans="1:26">
      <c r="A241" t="str">
        <v>Panchagarh-2</v>
      </c>
      <c r="B241" t="str" cm="1">
        <f t="array" ref="B2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Nawabganj","Chapainawabganj"),Final_Merged_Data!$B$2:$B$1000=$A241)))</f>
        <v>Panchagarh</v>
      </c>
      <c r="C241" t="str" cm="1">
        <f t="array" ref="C241">_xlfn.TEXTJOIN(", ",TRUE,_xlfn._xlws.FILTER(Final_Merged_Data!$C$2:$C$1000,Final_Merged_Data!$B$2:$B$1000=$A241))</f>
        <v>Boda, Debiganj</v>
      </c>
      <c r="D241" cm="1">
        <f t="array" ref="D241">COUNTA(_xlfn._xlws.FILTER(Final_Merged_Data!$C$2:$C$1000,Final_Merged_Data!$B$2:$B$1000=$A241))</f>
        <v>2</v>
      </c>
      <c r="E241">
        <f>SUMIFS(Final_Merged_Data!$E:$E,Final_Merged_Data!$B:$B,$A241)</f>
        <v>548.80999999999995</v>
      </c>
      <c r="F241">
        <f>SUMIFS(Final_Merged_Data!$F:$F,Final_Merged_Data!$B:$B,$A241)</f>
        <v>542731</v>
      </c>
      <c r="G241">
        <f t="shared" si="6"/>
        <v>988.92330679105714</v>
      </c>
      <c r="H241" cm="1">
        <f t="array" ref="H241">SUMPRODUCT((Final_Merged_Data!$B$2:$B$1000=$A241)*Final_Merged_Data!$H$2:$H$1000*Final_Merged_Data!$F$2:$F$1000)/F241</f>
        <v>4.0746394622750497</v>
      </c>
      <c r="I241" cm="1">
        <f t="array" ref="I241">SUMPRODUCT((Final_Merged_Data!$B$2:$B$1000=$A241)*Final_Merged_Data!$I$2:$I$1000*Final_Merged_Data!$F$2:$F$1000)/F241</f>
        <v>72.373964284332402</v>
      </c>
      <c r="J241" t="str" cm="1">
        <f t="array" ref="J241">_xlfn.TEXTJOIN(", ",TRUE,_xlfn.UNIQUE(_xlfn._xlws.FILTER(Final_Merged_Data!$J$2:$J$1000,Final_Merged_Data!$B$2:$B$1000=$A241)))</f>
        <v>Rangpur Range</v>
      </c>
      <c r="K241" cm="1">
        <f t="array" ref="K241">SUMPRODUCT((Final_Merged_Data!$B$2:$B$1000=$A241)*Final_Merged_Data!$K$2:$K$1000*Final_Merged_Data!$F$2:$F$1000)/F241</f>
        <v>101.90869513385242</v>
      </c>
      <c r="L241" cm="1">
        <f t="array" ref="L241">SUMPRODUCT((Final_Merged_Data!$B$2:$B$1000=$A241)*Final_Merged_Data!$L$2:$L$1000*Final_Merged_Data!$F$2:$F$1000)/F241</f>
        <v>15.175373179583827</v>
      </c>
      <c r="M241" t="str">
        <f>IF(COUNTIF(Master_Data!$C:$C,$A241)&gt;0,"Found","Missing")</f>
        <v>Found</v>
      </c>
      <c r="N241" t="str">
        <f>_xlfn.XLOOKUP($A241,Master_Data!$C:$C,Master_Data!$D:$D,"CHECK",0)</f>
        <v>Farhad Hossain Azad</v>
      </c>
      <c r="O241" t="str">
        <f>_xlfn.XLOOKUP($A241,Master_Data!$C:$C,Master_Data!$E:$E,"CHECK",0)</f>
        <v>BNP</v>
      </c>
      <c r="P241">
        <f>_xlfn.XLOOKUP($A241,Master_Data!$C:$C,Master_Data!$F:$F,"CHECK",0)</f>
        <v>1</v>
      </c>
      <c r="Q241">
        <f>_xlfn.XLOOKUP($A241,Master_Data!$C:$C,Master_Data!$G:$G,"CHECK",0)</f>
        <v>174650</v>
      </c>
      <c r="R241">
        <f>IFERROR(_xlfn.XLOOKUP($A241,Master_Data!$C:$C,Master_Data!$H:$H,"CHECK",0),"")</f>
        <v>57.543029600147612</v>
      </c>
      <c r="S241" t="str">
        <f>_xlfn.XLOOKUP($A241,Master_Data!$C:$C,Master_Data!$I:$I,"CHECK",0)</f>
        <v>Md. Shafiul Alam</v>
      </c>
      <c r="T241">
        <f>_xlfn.XLOOKUP($A241,Master_Data!$C:$C,Master_Data!$K:$K,"CHECK",0)</f>
        <v>128862</v>
      </c>
      <c r="U241">
        <f>IFERROR(_xlfn.XLOOKUP($A241,Master_Data!$C:$C,Master_Data!$L:$L,"CHECK",0),"")</f>
        <v>42.456970399852395</v>
      </c>
      <c r="V241">
        <f>_xlfn.XLOOKUP($A241,Master_Data!$C:$C,Master_Data!$M:$M,"CHECK",0)</f>
        <v>45788</v>
      </c>
      <c r="W241">
        <f>IFERROR(_xlfn.XLOOKUP($A241,Master_Data!$C:$C,Master_Data!$N:$N,"CHECK",0),"")</f>
        <v>15.08605920029521</v>
      </c>
      <c r="X241" t="str">
        <f>IFERROR(_xlfn.XLOOKUP($A241,Master_Data!$C:$C,Master_Data!$O:$O,"CHECK",0),"No Result")</f>
        <v>Safe Seat</v>
      </c>
      <c r="Y241">
        <f>_xlfn.XLOOKUP($A241,Master_Data!$C:$C,Master_Data!$P:$P,"CHECK",0)</f>
        <v>0</v>
      </c>
      <c r="Z241">
        <f t="shared" si="7"/>
        <v>1</v>
      </c>
    </row>
    <row r="242" spans="1:26">
      <c r="A242" t="str">
        <v>Patuakhali-1</v>
      </c>
      <c r="B242" t="str" cm="1">
        <f t="array" ref="B2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Nawabganj","Chapainawabganj"),Final_Merged_Data!$B$2:$B$1000=$A242)))</f>
        <v>Patuakhali</v>
      </c>
      <c r="C242" t="str" cm="1">
        <f t="array" ref="C242">_xlfn.TEXTJOIN(", ",TRUE,_xlfn._xlws.FILTER(Final_Merged_Data!$C$2:$C$1000,Final_Merged_Data!$B$2:$B$1000=$A242))</f>
        <v>Patuakhali Sadar, Dumki</v>
      </c>
      <c r="D242" cm="1">
        <f t="array" ref="D242">COUNTA(_xlfn._xlws.FILTER(Final_Merged_Data!$C$2:$C$1000,Final_Merged_Data!$B$2:$B$1000=$A242))</f>
        <v>2</v>
      </c>
      <c r="E242">
        <f>SUMIFS(Final_Merged_Data!$E:$E,Final_Merged_Data!$B:$B,$A242)</f>
        <v>603.54</v>
      </c>
      <c r="F242">
        <f>SUMIFS(Final_Merged_Data!$F:$F,Final_Merged_Data!$B:$B,$A242)</f>
        <v>436637</v>
      </c>
      <c r="G242">
        <f t="shared" si="6"/>
        <v>723.45991980647523</v>
      </c>
      <c r="H242" cm="1">
        <f t="array" ref="H242">SUMPRODUCT((Final_Merged_Data!$B$2:$B$1000=$A242)*Final_Merged_Data!$H$2:$H$1000*Final_Merged_Data!$F$2:$F$1000)/F242</f>
        <v>4.085622771318052</v>
      </c>
      <c r="I242" cm="1">
        <f t="array" ref="I242">SUMPRODUCT((Final_Merged_Data!$B$2:$B$1000=$A242)*Final_Merged_Data!$I$2:$I$1000*Final_Merged_Data!$F$2:$F$1000)/F242</f>
        <v>79.784863307507152</v>
      </c>
      <c r="J242" t="str" cm="1">
        <f t="array" ref="J242">_xlfn.TEXTJOIN(", ",TRUE,_xlfn.UNIQUE(_xlfn._xlws.FILTER(Final_Merged_Data!$J$2:$J$1000,Final_Merged_Data!$B$2:$B$1000=$A242)))</f>
        <v>Barishal Range</v>
      </c>
      <c r="K242" cm="1">
        <f t="array" ref="K242">SUMPRODUCT((Final_Merged_Data!$B$2:$B$1000=$A242)*Final_Merged_Data!$K$2:$K$1000*Final_Merged_Data!$F$2:$F$1000)/F242</f>
        <v>112.01964836613054</v>
      </c>
      <c r="L242" cm="1">
        <f t="array" ref="L242">SUMPRODUCT((Final_Merged_Data!$B$2:$B$1000=$A242)*Final_Merged_Data!$L$2:$L$1000*Final_Merged_Data!$F$2:$F$1000)/F242</f>
        <v>22.37167391269287</v>
      </c>
      <c r="M242" t="str">
        <f>IF(COUNTIF(Master_Data!$C:$C,$A242)&gt;0,"Found","Missing")</f>
        <v>Found</v>
      </c>
      <c r="N242" t="str">
        <f>_xlfn.XLOOKUP($A242,Master_Data!$C:$C,Master_Data!$D:$D,"CHECK",0)</f>
        <v>Altaf Hossain Chowdhury</v>
      </c>
      <c r="O242" t="str">
        <f>_xlfn.XLOOKUP($A242,Master_Data!$C:$C,Master_Data!$E:$E,"CHECK",0)</f>
        <v>BNP</v>
      </c>
      <c r="P242">
        <f>_xlfn.XLOOKUP($A242,Master_Data!$C:$C,Master_Data!$F:$F,"CHECK",0)</f>
        <v>1</v>
      </c>
      <c r="Q242">
        <f>_xlfn.XLOOKUP($A242,Master_Data!$C:$C,Master_Data!$G:$G,"CHECK",0)</f>
        <v>152087</v>
      </c>
      <c r="R242">
        <f>IFERROR(_xlfn.XLOOKUP($A242,Master_Data!$C:$C,Master_Data!$H:$H,"CHECK",0),"")</f>
        <v>72.336954453787911</v>
      </c>
      <c r="S242" t="str">
        <f>_xlfn.XLOOKUP($A242,Master_Data!$C:$C,Master_Data!$I:$I,"CHECK",0)</f>
        <v>Md Feroze Alam</v>
      </c>
      <c r="T242">
        <f>_xlfn.XLOOKUP($A242,Master_Data!$C:$C,Master_Data!$K:$K,"CHECK",0)</f>
        <v>58161</v>
      </c>
      <c r="U242">
        <f>IFERROR(_xlfn.XLOOKUP($A242,Master_Data!$C:$C,Master_Data!$L:$L,"CHECK",0),"")</f>
        <v>27.663045546212096</v>
      </c>
      <c r="V242">
        <f>_xlfn.XLOOKUP($A242,Master_Data!$C:$C,Master_Data!$M:$M,"CHECK",0)</f>
        <v>93926</v>
      </c>
      <c r="W242">
        <f>IFERROR(_xlfn.XLOOKUP($A242,Master_Data!$C:$C,Master_Data!$N:$N,"CHECK",0),"")</f>
        <v>44.673908907575814</v>
      </c>
      <c r="X242" t="str">
        <f>IFERROR(_xlfn.XLOOKUP($A242,Master_Data!$C:$C,Master_Data!$O:$O,"CHECK",0),"No Result")</f>
        <v>Safe Seat</v>
      </c>
      <c r="Y242">
        <f>_xlfn.XLOOKUP($A242,Master_Data!$C:$C,Master_Data!$P:$P,"CHECK",0)</f>
        <v>0</v>
      </c>
      <c r="Z242">
        <f t="shared" si="7"/>
        <v>1</v>
      </c>
    </row>
    <row r="243" spans="1:26">
      <c r="A243" t="str">
        <v>Patuakhali-2</v>
      </c>
      <c r="B243" t="str" cm="1">
        <f t="array" ref="B2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Nawabganj","Chapainawabganj"),Final_Merged_Data!$B$2:$B$1000=$A243)))</f>
        <v>Patuakhali</v>
      </c>
      <c r="C243" t="str" cm="1">
        <f t="array" ref="C243">_xlfn.TEXTJOIN(", ",TRUE,_xlfn._xlws.FILTER(Final_Merged_Data!$C$2:$C$1000,Final_Merged_Data!$B$2:$B$1000=$A243))</f>
        <v>Bauphal</v>
      </c>
      <c r="D243" cm="1">
        <f t="array" ref="D243">COUNTA(_xlfn._xlws.FILTER(Final_Merged_Data!$C$2:$C$1000,Final_Merged_Data!$B$2:$B$1000=$A243))</f>
        <v>1</v>
      </c>
      <c r="E243">
        <f>SUMIFS(Final_Merged_Data!$E:$E,Final_Merged_Data!$B:$B,$A243)</f>
        <v>353.7</v>
      </c>
      <c r="F243">
        <f>SUMIFS(Final_Merged_Data!$F:$F,Final_Merged_Data!$B:$B,$A243)</f>
        <v>327491</v>
      </c>
      <c r="G243">
        <f t="shared" si="6"/>
        <v>925.90048063330505</v>
      </c>
      <c r="H243" cm="1">
        <f t="array" ref="H243">SUMPRODUCT((Final_Merged_Data!$B$2:$B$1000=$A243)*Final_Merged_Data!$H$2:$H$1000*Final_Merged_Data!$F$2:$F$1000)/F243</f>
        <v>4.04</v>
      </c>
      <c r="I243" cm="1">
        <f t="array" ref="I243">SUMPRODUCT((Final_Merged_Data!$B$2:$B$1000=$A243)*Final_Merged_Data!$I$2:$I$1000*Final_Merged_Data!$F$2:$F$1000)/F243</f>
        <v>76.209999999999994</v>
      </c>
      <c r="J243" t="str" cm="1">
        <f t="array" ref="J243">_xlfn.TEXTJOIN(", ",TRUE,_xlfn.UNIQUE(_xlfn._xlws.FILTER(Final_Merged_Data!$J$2:$J$1000,Final_Merged_Data!$B$2:$B$1000=$A243)))</f>
        <v>Barishal Range</v>
      </c>
      <c r="K243" cm="1">
        <f t="array" ref="K243">SUMPRODUCT((Final_Merged_Data!$B$2:$B$1000=$A243)*Final_Merged_Data!$K$2:$K$1000*Final_Merged_Data!$F$2:$F$1000)/F243</f>
        <v>112.01964836613055</v>
      </c>
      <c r="L243" cm="1">
        <f t="array" ref="L243">SUMPRODUCT((Final_Merged_Data!$B$2:$B$1000=$A243)*Final_Merged_Data!$L$2:$L$1000*Final_Merged_Data!$F$2:$F$1000)/F243</f>
        <v>22.37167391269287</v>
      </c>
      <c r="M243" t="str">
        <f>IF(COUNTIF(Master_Data!$C:$C,$A243)&gt;0,"Found","Missing")</f>
        <v>Found</v>
      </c>
      <c r="N243" t="str">
        <f>_xlfn.XLOOKUP($A243,Master_Data!$C:$C,Master_Data!$D:$D,"CHECK",0)</f>
        <v>Shafiqul Islam Masud</v>
      </c>
      <c r="O243" t="str">
        <f>_xlfn.XLOOKUP($A243,Master_Data!$C:$C,Master_Data!$E:$E,"CHECK",0)</f>
        <v>Jamaat</v>
      </c>
      <c r="P243">
        <f>_xlfn.XLOOKUP($A243,Master_Data!$C:$C,Master_Data!$F:$F,"CHECK",0)</f>
        <v>2</v>
      </c>
      <c r="Q243">
        <f>_xlfn.XLOOKUP($A243,Master_Data!$C:$C,Master_Data!$G:$G,"CHECK",0)</f>
        <v>100750</v>
      </c>
      <c r="R243">
        <f>IFERROR(_xlfn.XLOOKUP($A243,Master_Data!$C:$C,Master_Data!$H:$H,"CHECK",0),"")</f>
        <v>58.093942084808504</v>
      </c>
      <c r="S243" t="str">
        <f>_xlfn.XLOOKUP($A243,Master_Data!$C:$C,Master_Data!$I:$I,"CHECK",0)</f>
        <v>Md. Shahidul Alam Talukder</v>
      </c>
      <c r="T243">
        <f>_xlfn.XLOOKUP($A243,Master_Data!$C:$C,Master_Data!$K:$K,"CHECK",0)</f>
        <v>72676</v>
      </c>
      <c r="U243">
        <f>IFERROR(_xlfn.XLOOKUP($A243,Master_Data!$C:$C,Master_Data!$L:$L,"CHECK",0),"")</f>
        <v>41.906057915191489</v>
      </c>
      <c r="V243">
        <f>_xlfn.XLOOKUP($A243,Master_Data!$C:$C,Master_Data!$M:$M,"CHECK",0)</f>
        <v>28074</v>
      </c>
      <c r="W243">
        <f>IFERROR(_xlfn.XLOOKUP($A243,Master_Data!$C:$C,Master_Data!$N:$N,"CHECK",0),"")</f>
        <v>16.187884169617011</v>
      </c>
      <c r="X243" t="str">
        <f>IFERROR(_xlfn.XLOOKUP($A243,Master_Data!$C:$C,Master_Data!$O:$O,"CHECK",0),"No Result")</f>
        <v>Safe Seat</v>
      </c>
      <c r="Y243">
        <f>_xlfn.XLOOKUP($A243,Master_Data!$C:$C,Master_Data!$P:$P,"CHECK",0)</f>
        <v>0</v>
      </c>
      <c r="Z243">
        <f t="shared" si="7"/>
        <v>1</v>
      </c>
    </row>
    <row r="244" spans="1:26">
      <c r="A244" t="str">
        <v>Patuakhali-3</v>
      </c>
      <c r="B244" t="str" cm="1">
        <f t="array" ref="B2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Nawabganj","Chapainawabganj"),Final_Merged_Data!$B$2:$B$1000=$A244)))</f>
        <v>Patuakhali</v>
      </c>
      <c r="C244" t="str" cm="1">
        <f t="array" ref="C244">_xlfn.TEXTJOIN(", ",TRUE,_xlfn._xlws.FILTER(Final_Merged_Data!$C$2:$C$1000,Final_Merged_Data!$B$2:$B$1000=$A244))</f>
        <v>Galachipa, Dashmina</v>
      </c>
      <c r="D244" cm="1">
        <f t="array" ref="D244">COUNTA(_xlfn._xlws.FILTER(Final_Merged_Data!$C$2:$C$1000,Final_Merged_Data!$B$2:$B$1000=$A244))</f>
        <v>2</v>
      </c>
      <c r="E244">
        <f>SUMIFS(Final_Merged_Data!$E:$E,Final_Merged_Data!$B:$B,$A244)</f>
        <v>894.85</v>
      </c>
      <c r="F244">
        <f>SUMIFS(Final_Merged_Data!$F:$F,Final_Merged_Data!$B:$B,$A244)</f>
        <v>430617</v>
      </c>
      <c r="G244">
        <f t="shared" si="6"/>
        <v>481.21696373693914</v>
      </c>
      <c r="H244" cm="1">
        <f t="array" ref="H244">SUMPRODUCT((Final_Merged_Data!$B$2:$B$1000=$A244)*Final_Merged_Data!$H$2:$H$1000*Final_Merged_Data!$F$2:$F$1000)/F244</f>
        <v>3.947887147976044</v>
      </c>
      <c r="I244" cm="1">
        <f t="array" ref="I244">SUMPRODUCT((Final_Merged_Data!$B$2:$B$1000=$A244)*Final_Merged_Data!$I$2:$I$1000*Final_Merged_Data!$F$2:$F$1000)/F244</f>
        <v>72.560125447903829</v>
      </c>
      <c r="J244" t="str" cm="1">
        <f t="array" ref="J244">_xlfn.TEXTJOIN(", ",TRUE,_xlfn.UNIQUE(_xlfn._xlws.FILTER(Final_Merged_Data!$J$2:$J$1000,Final_Merged_Data!$B$2:$B$1000=$A244)))</f>
        <v>Barishal Range</v>
      </c>
      <c r="K244" cm="1">
        <f t="array" ref="K244">SUMPRODUCT((Final_Merged_Data!$B$2:$B$1000=$A244)*Final_Merged_Data!$K$2:$K$1000*Final_Merged_Data!$F$2:$F$1000)/F244</f>
        <v>112.01964836613053</v>
      </c>
      <c r="L244" cm="1">
        <f t="array" ref="L244">SUMPRODUCT((Final_Merged_Data!$B$2:$B$1000=$A244)*Final_Merged_Data!$L$2:$L$1000*Final_Merged_Data!$F$2:$F$1000)/F244</f>
        <v>22.37167391269287</v>
      </c>
      <c r="M244" t="str">
        <f>IF(COUNTIF(Master_Data!$C:$C,$A244)&gt;0,"Found","Missing")</f>
        <v>Found</v>
      </c>
      <c r="N244" t="str">
        <f>_xlfn.XLOOKUP($A244,Master_Data!$C:$C,Master_Data!$D:$D,"CHECK",0)</f>
        <v>Nurul Haque Nur</v>
      </c>
      <c r="O244" t="str">
        <f>_xlfn.XLOOKUP($A244,Master_Data!$C:$C,Master_Data!$E:$E,"CHECK",0)</f>
        <v>GOP</v>
      </c>
      <c r="P244">
        <f>_xlfn.XLOOKUP($A244,Master_Data!$C:$C,Master_Data!$F:$F,"CHECK",0)</f>
        <v>0</v>
      </c>
      <c r="Q244">
        <f>_xlfn.XLOOKUP($A244,Master_Data!$C:$C,Master_Data!$G:$G,"CHECK",0)</f>
        <v>97323</v>
      </c>
      <c r="R244">
        <f>IFERROR(_xlfn.XLOOKUP($A244,Master_Data!$C:$C,Master_Data!$H:$H,"CHECK",0),"")</f>
        <v>54.466544290479277</v>
      </c>
      <c r="S244" t="str">
        <f>_xlfn.XLOOKUP($A244,Master_Data!$C:$C,Master_Data!$I:$I,"CHECK",0)</f>
        <v>Md Hasan Mamun</v>
      </c>
      <c r="T244">
        <f>_xlfn.XLOOKUP($A244,Master_Data!$C:$C,Master_Data!$K:$K,"CHECK",0)</f>
        <v>81361</v>
      </c>
      <c r="U244">
        <f>IFERROR(_xlfn.XLOOKUP($A244,Master_Data!$C:$C,Master_Data!$L:$L,"CHECK",0),"")</f>
        <v>45.533455709520723</v>
      </c>
      <c r="V244">
        <f>_xlfn.XLOOKUP($A244,Master_Data!$C:$C,Master_Data!$M:$M,"CHECK",0)</f>
        <v>15962</v>
      </c>
      <c r="W244">
        <f>IFERROR(_xlfn.XLOOKUP($A244,Master_Data!$C:$C,Master_Data!$N:$N,"CHECK",0),"")</f>
        <v>8.9330885809585627</v>
      </c>
      <c r="X244" t="str">
        <f>IFERROR(_xlfn.XLOOKUP($A244,Master_Data!$C:$C,Master_Data!$O:$O,"CHECK",0),"No Result")</f>
        <v>Safe Seat</v>
      </c>
      <c r="Y244">
        <f>_xlfn.XLOOKUP($A244,Master_Data!$C:$C,Master_Data!$P:$P,"CHECK",0)</f>
        <v>0</v>
      </c>
      <c r="Z244">
        <f t="shared" si="7"/>
        <v>1</v>
      </c>
    </row>
    <row r="245" spans="1:26">
      <c r="A245" t="str">
        <v>Patuakhali-4</v>
      </c>
      <c r="B245" t="str" cm="1">
        <f t="array" ref="B2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Nawabganj","Chapainawabganj"),Final_Merged_Data!$B$2:$B$1000=$A245)))</f>
        <v>Patuakhali</v>
      </c>
      <c r="C245" t="str" cm="1">
        <f t="array" ref="C245">_xlfn.TEXTJOIN(", ",TRUE,_xlfn._xlws.FILTER(Final_Merged_Data!$C$2:$C$1000,Final_Merged_Data!$B$2:$B$1000=$A245))</f>
        <v>Kalapara, Rangabali</v>
      </c>
      <c r="D245" cm="1">
        <f t="array" ref="D245">COUNTA(_xlfn._xlws.FILTER(Final_Merged_Data!$C$2:$C$1000,Final_Merged_Data!$B$2:$B$1000=$A245))</f>
        <v>2</v>
      </c>
      <c r="E245">
        <f>SUMIFS(Final_Merged_Data!$E:$E,Final_Merged_Data!$B:$B,$A245)</f>
        <v>703.07</v>
      </c>
      <c r="F245">
        <f>SUMIFS(Final_Merged_Data!$F:$F,Final_Merged_Data!$B:$B,$A245)</f>
        <v>405363</v>
      </c>
      <c r="G245">
        <f t="shared" si="6"/>
        <v>576.56136657800789</v>
      </c>
      <c r="H245" cm="1">
        <f t="array" ref="H245">SUMPRODUCT((Final_Merged_Data!$B$2:$B$1000=$A245)*Final_Merged_Data!$H$2:$H$1000*Final_Merged_Data!$F$2:$F$1000)/F245</f>
        <v>4.0467235539504101</v>
      </c>
      <c r="I245" cm="1">
        <f t="array" ref="I245">SUMPRODUCT((Final_Merged_Data!$B$2:$B$1000=$A245)*Final_Merged_Data!$I$2:$I$1000*Final_Merged_Data!$F$2:$F$1000)/F245</f>
        <v>77.214820543562183</v>
      </c>
      <c r="J245" t="str" cm="1">
        <f t="array" ref="J245">_xlfn.TEXTJOIN(", ",TRUE,_xlfn.UNIQUE(_xlfn._xlws.FILTER(Final_Merged_Data!$J$2:$J$1000,Final_Merged_Data!$B$2:$B$1000=$A245)))</f>
        <v>Barishal Range</v>
      </c>
      <c r="K245" cm="1">
        <f t="array" ref="K245">SUMPRODUCT((Final_Merged_Data!$B$2:$B$1000=$A245)*Final_Merged_Data!$K$2:$K$1000*Final_Merged_Data!$F$2:$F$1000)/F245</f>
        <v>112.01964836613054</v>
      </c>
      <c r="L245" cm="1">
        <f t="array" ref="L245">SUMPRODUCT((Final_Merged_Data!$B$2:$B$1000=$A245)*Final_Merged_Data!$L$2:$L$1000*Final_Merged_Data!$F$2:$F$1000)/F245</f>
        <v>22.37167391269287</v>
      </c>
      <c r="M245" t="str">
        <f>IF(COUNTIF(Master_Data!$C:$C,$A245)&gt;0,"Found","Missing")</f>
        <v>Found</v>
      </c>
      <c r="N245" t="str">
        <f>_xlfn.XLOOKUP($A245,Master_Data!$C:$C,Master_Data!$D:$D,"CHECK",0)</f>
        <v>ABM Mosharraf Hossain</v>
      </c>
      <c r="O245" t="str">
        <f>_xlfn.XLOOKUP($A245,Master_Data!$C:$C,Master_Data!$E:$E,"CHECK",0)</f>
        <v>BNP</v>
      </c>
      <c r="P245">
        <f>_xlfn.XLOOKUP($A245,Master_Data!$C:$C,Master_Data!$F:$F,"CHECK",0)</f>
        <v>1</v>
      </c>
      <c r="Q245">
        <f>_xlfn.XLOOKUP($A245,Master_Data!$C:$C,Master_Data!$G:$G,"CHECK",0)</f>
        <v>124013</v>
      </c>
      <c r="R245">
        <f>IFERROR(_xlfn.XLOOKUP($A245,Master_Data!$C:$C,Master_Data!$H:$H,"CHECK",0),"")</f>
        <v>63.878129185124131</v>
      </c>
      <c r="S245" t="str">
        <f>_xlfn.XLOOKUP($A245,Master_Data!$C:$C,Master_Data!$I:$I,"CHECK",0)</f>
        <v>Mostafizur Rahman</v>
      </c>
      <c r="T245">
        <f>_xlfn.XLOOKUP($A245,Master_Data!$C:$C,Master_Data!$K:$K,"CHECK",0)</f>
        <v>70127</v>
      </c>
      <c r="U245">
        <f>IFERROR(_xlfn.XLOOKUP($A245,Master_Data!$C:$C,Master_Data!$L:$L,"CHECK",0),"")</f>
        <v>36.121870814875862</v>
      </c>
      <c r="V245">
        <f>_xlfn.XLOOKUP($A245,Master_Data!$C:$C,Master_Data!$M:$M,"CHECK",0)</f>
        <v>53886</v>
      </c>
      <c r="W245">
        <f>IFERROR(_xlfn.XLOOKUP($A245,Master_Data!$C:$C,Master_Data!$N:$N,"CHECK",0),"")</f>
        <v>27.756258370248275</v>
      </c>
      <c r="X245" t="str">
        <f>IFERROR(_xlfn.XLOOKUP($A245,Master_Data!$C:$C,Master_Data!$O:$O,"CHECK",0),"No Result")</f>
        <v>Safe Seat</v>
      </c>
      <c r="Y245">
        <f>_xlfn.XLOOKUP($A245,Master_Data!$C:$C,Master_Data!$P:$P,"CHECK",0)</f>
        <v>0</v>
      </c>
      <c r="Z245">
        <f t="shared" si="7"/>
        <v>1</v>
      </c>
    </row>
    <row r="246" spans="1:26">
      <c r="A246" t="str">
        <v>Pirojpur-1</v>
      </c>
      <c r="B246" t="str" cm="1">
        <f t="array" ref="B2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Nawabganj","Chapainawabganj"),Final_Merged_Data!$B$2:$B$1000=$A246)))</f>
        <v>Pirojpur</v>
      </c>
      <c r="C246" t="str" cm="1">
        <f t="array" ref="C246">_xlfn.TEXTJOIN(", ",TRUE,_xlfn._xlws.FILTER(Final_Merged_Data!$C$2:$C$1000,Final_Merged_Data!$B$2:$B$1000=$A246))</f>
        <v>Pirojpur Sadar, Nazirpur, Indurkani</v>
      </c>
      <c r="D246" cm="1">
        <f t="array" ref="D246">COUNTA(_xlfn._xlws.FILTER(Final_Merged_Data!$C$2:$C$1000,Final_Merged_Data!$B$2:$B$1000=$A246))</f>
        <v>3</v>
      </c>
      <c r="E246">
        <f>SUMIFS(Final_Merged_Data!$E:$E,Final_Merged_Data!$B:$B,$A246)</f>
        <v>584.67000000000007</v>
      </c>
      <c r="F246">
        <f>SUMIFS(Final_Merged_Data!$F:$F,Final_Merged_Data!$B:$B,$A246)</f>
        <v>455145</v>
      </c>
      <c r="G246">
        <f t="shared" si="6"/>
        <v>778.46477500128265</v>
      </c>
      <c r="H246" cm="1">
        <f t="array" ref="H246">SUMPRODUCT((Final_Merged_Data!$B$2:$B$1000=$A246)*Final_Merged_Data!$H$2:$H$1000*Final_Merged_Data!$F$2:$F$1000)/F246</f>
        <v>4.0372728690856761</v>
      </c>
      <c r="I246" cm="1">
        <f t="array" ref="I246">SUMPRODUCT((Final_Merged_Data!$B$2:$B$1000=$A246)*Final_Merged_Data!$I$2:$I$1000*Final_Merged_Data!$F$2:$F$1000)/F246</f>
        <v>84.657473574355436</v>
      </c>
      <c r="J246" t="str" cm="1">
        <f t="array" ref="J246">_xlfn.TEXTJOIN(", ",TRUE,_xlfn.UNIQUE(_xlfn._xlws.FILTER(Final_Merged_Data!$J$2:$J$1000,Final_Merged_Data!$B$2:$B$1000=$A246)))</f>
        <v>Barishal Range</v>
      </c>
      <c r="K246" cm="1">
        <f t="array" ref="K246">SUMPRODUCT((Final_Merged_Data!$B$2:$B$1000=$A246)*Final_Merged_Data!$K$2:$K$1000*Final_Merged_Data!$F$2:$F$1000)/F246</f>
        <v>112.01964836613055</v>
      </c>
      <c r="L246" cm="1">
        <f t="array" ref="L246">SUMPRODUCT((Final_Merged_Data!$B$2:$B$1000=$A246)*Final_Merged_Data!$L$2:$L$1000*Final_Merged_Data!$F$2:$F$1000)/F246</f>
        <v>22.37167391269287</v>
      </c>
      <c r="M246" t="str">
        <f>IF(COUNTIF(Master_Data!$C:$C,$A246)&gt;0,"Found","Missing")</f>
        <v>Found</v>
      </c>
      <c r="N246" t="str">
        <f>_xlfn.XLOOKUP($A246,Master_Data!$C:$C,Master_Data!$D:$D,"CHECK",0)</f>
        <v>Masood Sayeedi</v>
      </c>
      <c r="O246" t="str">
        <f>_xlfn.XLOOKUP($A246,Master_Data!$C:$C,Master_Data!$E:$E,"CHECK",0)</f>
        <v>Jamaat</v>
      </c>
      <c r="P246">
        <f>_xlfn.XLOOKUP($A246,Master_Data!$C:$C,Master_Data!$F:$F,"CHECK",0)</f>
        <v>2</v>
      </c>
      <c r="Q246">
        <f>_xlfn.XLOOKUP($A246,Master_Data!$C:$C,Master_Data!$G:$G,"CHECK",0)</f>
        <v>132659</v>
      </c>
      <c r="R246">
        <f>IFERROR(_xlfn.XLOOKUP($A246,Master_Data!$C:$C,Master_Data!$H:$H,"CHECK",0),"")</f>
        <v>55.328990173670775</v>
      </c>
      <c r="S246" t="str">
        <f>_xlfn.XLOOKUP($A246,Master_Data!$C:$C,Master_Data!$I:$I,"CHECK",0)</f>
        <v>Alamgir Hossain</v>
      </c>
      <c r="T246">
        <f>_xlfn.XLOOKUP($A246,Master_Data!$C:$C,Master_Data!$K:$K,"CHECK",0)</f>
        <v>107105</v>
      </c>
      <c r="U246">
        <f>IFERROR(_xlfn.XLOOKUP($A246,Master_Data!$C:$C,Master_Data!$L:$L,"CHECK",0),"")</f>
        <v>44.671009826329225</v>
      </c>
      <c r="V246">
        <f>_xlfn.XLOOKUP($A246,Master_Data!$C:$C,Master_Data!$M:$M,"CHECK",0)</f>
        <v>25554</v>
      </c>
      <c r="W246">
        <f>IFERROR(_xlfn.XLOOKUP($A246,Master_Data!$C:$C,Master_Data!$N:$N,"CHECK",0),"")</f>
        <v>10.657980347341553</v>
      </c>
      <c r="X246" t="str">
        <f>IFERROR(_xlfn.XLOOKUP($A246,Master_Data!$C:$C,Master_Data!$O:$O,"CHECK",0),"No Result")</f>
        <v>Safe Seat</v>
      </c>
      <c r="Y246">
        <f>_xlfn.XLOOKUP($A246,Master_Data!$C:$C,Master_Data!$P:$P,"CHECK",0)</f>
        <v>0</v>
      </c>
      <c r="Z246">
        <f t="shared" si="7"/>
        <v>1</v>
      </c>
    </row>
    <row r="247" spans="1:26">
      <c r="A247" t="str">
        <v>Pirojpur-2</v>
      </c>
      <c r="B247" t="str" cm="1">
        <f t="array" ref="B2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Nawabganj","Chapainawabganj"),Final_Merged_Data!$B$2:$B$1000=$A247)))</f>
        <v>Pirojpur</v>
      </c>
      <c r="C247" t="str" cm="1">
        <f t="array" ref="C247">_xlfn.TEXTJOIN(", ",TRUE,_xlfn._xlws.FILTER(Final_Merged_Data!$C$2:$C$1000,Final_Merged_Data!$B$2:$B$1000=$A247))</f>
        <v>Bhandaria, Kawkhali</v>
      </c>
      <c r="D247" cm="1">
        <f t="array" ref="D247">COUNTA(_xlfn._xlws.FILTER(Final_Merged_Data!$C$2:$C$1000,Final_Merged_Data!$B$2:$B$1000=$A247))</f>
        <v>2</v>
      </c>
      <c r="E247">
        <f>SUMIFS(Final_Merged_Data!$E:$E,Final_Merged_Data!$B:$B,$A247)</f>
        <v>648.08000000000004</v>
      </c>
      <c r="F247">
        <f>SUMIFS(Final_Merged_Data!$F:$F,Final_Merged_Data!$B:$B,$A247)</f>
        <v>234429</v>
      </c>
      <c r="G247">
        <f t="shared" si="6"/>
        <v>361.72849030983826</v>
      </c>
      <c r="H247" cm="1">
        <f t="array" ref="H247">SUMPRODUCT((Final_Merged_Data!$B$2:$B$1000=$A247)*Final_Merged_Data!$H$2:$H$1000*Final_Merged_Data!$F$2:$F$1000)/F247</f>
        <v>3.8918842378715945</v>
      </c>
      <c r="I247" cm="1">
        <f t="array" ref="I247">SUMPRODUCT((Final_Merged_Data!$B$2:$B$1000=$A247)*Final_Merged_Data!$I$2:$I$1000*Final_Merged_Data!$F$2:$F$1000)/F247</f>
        <v>85.237649778824292</v>
      </c>
      <c r="J247" t="str" cm="1">
        <f t="array" ref="J247">_xlfn.TEXTJOIN(", ",TRUE,_xlfn.UNIQUE(_xlfn._xlws.FILTER(Final_Merged_Data!$J$2:$J$1000,Final_Merged_Data!$B$2:$B$1000=$A247)))</f>
        <v>Barishal Range</v>
      </c>
      <c r="K247" cm="1">
        <f t="array" ref="K247">SUMPRODUCT((Final_Merged_Data!$B$2:$B$1000=$A247)*Final_Merged_Data!$K$2:$K$1000*Final_Merged_Data!$F$2:$F$1000)/F247</f>
        <v>112.01964836613055</v>
      </c>
      <c r="L247" cm="1">
        <f t="array" ref="L247">SUMPRODUCT((Final_Merged_Data!$B$2:$B$1000=$A247)*Final_Merged_Data!$L$2:$L$1000*Final_Merged_Data!$F$2:$F$1000)/F247</f>
        <v>22.371673912692867</v>
      </c>
      <c r="M247" t="str">
        <f>IF(COUNTIF(Master_Data!$C:$C,$A247)&gt;0,"Found","Missing")</f>
        <v>Found</v>
      </c>
      <c r="N247" t="str">
        <f>_xlfn.XLOOKUP($A247,Master_Data!$C:$C,Master_Data!$D:$D,"CHECK",0)</f>
        <v>Ahmad Sohail Manzoor</v>
      </c>
      <c r="O247" t="str">
        <f>_xlfn.XLOOKUP($A247,Master_Data!$C:$C,Master_Data!$E:$E,"CHECK",0)</f>
        <v>BNP</v>
      </c>
      <c r="P247">
        <f>_xlfn.XLOOKUP($A247,Master_Data!$C:$C,Master_Data!$F:$F,"CHECK",0)</f>
        <v>1</v>
      </c>
      <c r="Q247">
        <f>_xlfn.XLOOKUP($A247,Master_Data!$C:$C,Master_Data!$G:$G,"CHECK",0)</f>
        <v>105185</v>
      </c>
      <c r="R247">
        <f>IFERROR(_xlfn.XLOOKUP($A247,Master_Data!$C:$C,Master_Data!$H:$H,"CHECK",0),"")</f>
        <v>52.050652705337441</v>
      </c>
      <c r="S247" t="str">
        <f>_xlfn.XLOOKUP($A247,Master_Data!$C:$C,Master_Data!$I:$I,"CHECK",0)</f>
        <v>Shameem Sayeedi</v>
      </c>
      <c r="T247">
        <f>_xlfn.XLOOKUP($A247,Master_Data!$C:$C,Master_Data!$K:$K,"CHECK",0)</f>
        <v>96897</v>
      </c>
      <c r="U247">
        <f>IFERROR(_xlfn.XLOOKUP($A247,Master_Data!$C:$C,Master_Data!$L:$L,"CHECK",0),"")</f>
        <v>47.949347294662566</v>
      </c>
      <c r="V247">
        <f>_xlfn.XLOOKUP($A247,Master_Data!$C:$C,Master_Data!$M:$M,"CHECK",0)</f>
        <v>8288</v>
      </c>
      <c r="W247">
        <f>IFERROR(_xlfn.XLOOKUP($A247,Master_Data!$C:$C,Master_Data!$N:$N,"CHECK",0),"")</f>
        <v>4.1013054106748745</v>
      </c>
      <c r="X247" t="str">
        <f>IFERROR(_xlfn.XLOOKUP($A247,Master_Data!$C:$C,Master_Data!$O:$O,"CHECK",0),"No Result")</f>
        <v>Highly Competitive</v>
      </c>
      <c r="Y247">
        <f>_xlfn.XLOOKUP($A247,Master_Data!$C:$C,Master_Data!$P:$P,"CHECK",0)</f>
        <v>0</v>
      </c>
      <c r="Z247">
        <f t="shared" si="7"/>
        <v>1</v>
      </c>
    </row>
    <row r="248" spans="1:26">
      <c r="A248" t="str">
        <v>Pirojpur-3</v>
      </c>
      <c r="B248" t="str" cm="1">
        <f t="array" ref="B2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Nawabganj","Chapainawabganj"),Final_Merged_Data!$B$2:$B$1000=$A248)))</f>
        <v>Pirojpur</v>
      </c>
      <c r="C248" t="str" cm="1">
        <f t="array" ref="C248">_xlfn.TEXTJOIN(", ",TRUE,_xlfn._xlws.FILTER(Final_Merged_Data!$C$2:$C$1000,Final_Merged_Data!$B$2:$B$1000=$A248))</f>
        <v>Mathbaria</v>
      </c>
      <c r="D248" cm="1">
        <f t="array" ref="D248">COUNTA(_xlfn._xlws.FILTER(Final_Merged_Data!$C$2:$C$1000,Final_Merged_Data!$B$2:$B$1000=$A248))</f>
        <v>1</v>
      </c>
      <c r="E248">
        <f>SUMIFS(Final_Merged_Data!$E:$E,Final_Merged_Data!$B:$B,$A248)</f>
        <v>128.91999999999999</v>
      </c>
      <c r="F248">
        <f>SUMIFS(Final_Merged_Data!$F:$F,Final_Merged_Data!$B:$B,$A248)</f>
        <v>277614</v>
      </c>
      <c r="G248">
        <f t="shared" si="6"/>
        <v>2153.3819422897923</v>
      </c>
      <c r="H248" cm="1">
        <f t="array" ref="H248">SUMPRODUCT((Final_Merged_Data!$B$2:$B$1000=$A248)*Final_Merged_Data!$H$2:$H$1000*Final_Merged_Data!$F$2:$F$1000)/F248</f>
        <v>3.8600000000000003</v>
      </c>
      <c r="I248" cm="1">
        <f t="array" ref="I248">SUMPRODUCT((Final_Merged_Data!$B$2:$B$1000=$A248)*Final_Merged_Data!$I$2:$I$1000*Final_Merged_Data!$F$2:$F$1000)/F248</f>
        <v>84.95</v>
      </c>
      <c r="J248" t="str" cm="1">
        <f t="array" ref="J248">_xlfn.TEXTJOIN(", ",TRUE,_xlfn.UNIQUE(_xlfn._xlws.FILTER(Final_Merged_Data!$J$2:$J$1000,Final_Merged_Data!$B$2:$B$1000=$A248)))</f>
        <v>Barishal Range</v>
      </c>
      <c r="K248" cm="1">
        <f t="array" ref="K248">SUMPRODUCT((Final_Merged_Data!$B$2:$B$1000=$A248)*Final_Merged_Data!$K$2:$K$1000*Final_Merged_Data!$F$2:$F$1000)/F248</f>
        <v>112.01964836613054</v>
      </c>
      <c r="L248" cm="1">
        <f t="array" ref="L248">SUMPRODUCT((Final_Merged_Data!$B$2:$B$1000=$A248)*Final_Merged_Data!$L$2:$L$1000*Final_Merged_Data!$F$2:$F$1000)/F248</f>
        <v>22.37167391269287</v>
      </c>
      <c r="M248" t="str">
        <f>IF(COUNTIF(Master_Data!$C:$C,$A248)&gt;0,"Found","Missing")</f>
        <v>Found</v>
      </c>
      <c r="N248" t="str">
        <f>_xlfn.XLOOKUP($A248,Master_Data!$C:$C,Master_Data!$D:$D,"CHECK",0)</f>
        <v>Md. Ruhul Amin Dulal</v>
      </c>
      <c r="O248" t="str">
        <f>_xlfn.XLOOKUP($A248,Master_Data!$C:$C,Master_Data!$E:$E,"CHECK",0)</f>
        <v>BNP</v>
      </c>
      <c r="P248">
        <f>_xlfn.XLOOKUP($A248,Master_Data!$C:$C,Master_Data!$F:$F,"CHECK",0)</f>
        <v>1</v>
      </c>
      <c r="Q248">
        <f>_xlfn.XLOOKUP($A248,Master_Data!$C:$C,Master_Data!$G:$G,"CHECK",0)</f>
        <v>63791</v>
      </c>
      <c r="R248">
        <f>IFERROR(_xlfn.XLOOKUP($A248,Master_Data!$C:$C,Master_Data!$H:$H,"CHECK",0),"")</f>
        <v>63.532423038234384</v>
      </c>
      <c r="S248" t="str">
        <f>_xlfn.XLOOKUP($A248,Master_Data!$C:$C,Master_Data!$I:$I,"CHECK",0)</f>
        <v>Md. Shamim Hamidi</v>
      </c>
      <c r="T248">
        <f>_xlfn.XLOOKUP($A248,Master_Data!$C:$C,Master_Data!$K:$K,"CHECK",0)</f>
        <v>36616</v>
      </c>
      <c r="U248">
        <f>IFERROR(_xlfn.XLOOKUP($A248,Master_Data!$C:$C,Master_Data!$L:$L,"CHECK",0),"")</f>
        <v>36.467576961765616</v>
      </c>
      <c r="V248">
        <f>_xlfn.XLOOKUP($A248,Master_Data!$C:$C,Master_Data!$M:$M,"CHECK",0)</f>
        <v>27175</v>
      </c>
      <c r="W248">
        <f>IFERROR(_xlfn.XLOOKUP($A248,Master_Data!$C:$C,Master_Data!$N:$N,"CHECK",0),"")</f>
        <v>27.064846076468775</v>
      </c>
      <c r="X248" t="str">
        <f>IFERROR(_xlfn.XLOOKUP($A248,Master_Data!$C:$C,Master_Data!$O:$O,"CHECK",0),"No Result")</f>
        <v>Safe Seat</v>
      </c>
      <c r="Y248">
        <f>_xlfn.XLOOKUP($A248,Master_Data!$C:$C,Master_Data!$P:$P,"CHECK",0)</f>
        <v>0</v>
      </c>
      <c r="Z248">
        <f t="shared" si="7"/>
        <v>1</v>
      </c>
    </row>
    <row r="249" spans="1:26">
      <c r="A249" t="str">
        <v>Rajbari-1</v>
      </c>
      <c r="B249" t="str" cm="1">
        <f t="array" ref="B2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Nawabganj","Chapainawabganj"),Final_Merged_Data!$B$2:$B$1000=$A249)))</f>
        <v>Rajbari</v>
      </c>
      <c r="C249" t="str" cm="1">
        <f t="array" ref="C249">_xlfn.TEXTJOIN(", ",TRUE,_xlfn._xlws.FILTER(Final_Merged_Data!$C$2:$C$1000,Final_Merged_Data!$B$2:$B$1000=$A249))</f>
        <v>Pangsha, Baliakandi</v>
      </c>
      <c r="D249" cm="1">
        <f t="array" ref="D249">COUNTA(_xlfn._xlws.FILTER(Final_Merged_Data!$C$2:$C$1000,Final_Merged_Data!$B$2:$B$1000=$A249))</f>
        <v>2</v>
      </c>
      <c r="E249">
        <f>SUMIFS(Final_Merged_Data!$E:$E,Final_Merged_Data!$B:$B,$A249)</f>
        <v>431.71</v>
      </c>
      <c r="F249">
        <f>SUMIFS(Final_Merged_Data!$F:$F,Final_Merged_Data!$B:$B,$A249)</f>
        <v>504108</v>
      </c>
      <c r="G249">
        <f t="shared" si="6"/>
        <v>1167.70053971416</v>
      </c>
      <c r="H249" cm="1">
        <f t="array" ref="H249">SUMPRODUCT((Final_Merged_Data!$B$2:$B$1000=$A249)*Final_Merged_Data!$H$2:$H$1000*Final_Merged_Data!$F$2:$F$1000)/F249</f>
        <v>4.0095055821371606</v>
      </c>
      <c r="I249" cm="1">
        <f t="array" ref="I249">SUMPRODUCT((Final_Merged_Data!$B$2:$B$1000=$A249)*Final_Merged_Data!$I$2:$I$1000*Final_Merged_Data!$F$2:$F$1000)/F249</f>
        <v>68.031670653907497</v>
      </c>
      <c r="J249" t="str" cm="1">
        <f t="array" ref="J249">_xlfn.TEXTJOIN(", ",TRUE,_xlfn.UNIQUE(_xlfn._xlws.FILTER(Final_Merged_Data!$J$2:$J$1000,Final_Merged_Data!$B$2:$B$1000=$A249)))</f>
        <v>Dhaka Range</v>
      </c>
      <c r="K249" cm="1">
        <f t="array" ref="K249">SUMPRODUCT((Final_Merged_Data!$B$2:$B$1000=$A249)*Final_Merged_Data!$K$2:$K$1000*Final_Merged_Data!$F$2:$F$1000)/F249</f>
        <v>87.055167395391194</v>
      </c>
      <c r="L249" cm="1">
        <f t="array" ref="L249">SUMPRODUCT((Final_Merged_Data!$B$2:$B$1000=$A249)*Final_Merged_Data!$L$2:$L$1000*Final_Merged_Data!$F$2:$F$1000)/F249</f>
        <v>14.083489099923572</v>
      </c>
      <c r="M249" t="str">
        <f>IF(COUNTIF(Master_Data!$C:$C,$A249)&gt;0,"Found","Missing")</f>
        <v>Found</v>
      </c>
      <c r="N249" t="str">
        <f>_xlfn.XLOOKUP($A249,Master_Data!$C:$C,Master_Data!$D:$D,"CHECK",0)</f>
        <v>Ali Newaz Mahmud Khayyam</v>
      </c>
      <c r="O249" t="str">
        <f>_xlfn.XLOOKUP($A249,Master_Data!$C:$C,Master_Data!$E:$E,"CHECK",0)</f>
        <v>BNP</v>
      </c>
      <c r="P249">
        <f>_xlfn.XLOOKUP($A249,Master_Data!$C:$C,Master_Data!$F:$F,"CHECK",0)</f>
        <v>1</v>
      </c>
      <c r="Q249">
        <f>_xlfn.XLOOKUP($A249,Master_Data!$C:$C,Master_Data!$G:$G,"CHECK",0)</f>
        <v>154541</v>
      </c>
      <c r="R249">
        <f>IFERROR(_xlfn.XLOOKUP($A249,Master_Data!$C:$C,Master_Data!$H:$H,"CHECK",0),"")</f>
        <v>60.454244952725197</v>
      </c>
      <c r="S249" t="str">
        <f>_xlfn.XLOOKUP($A249,Master_Data!$C:$C,Master_Data!$I:$I,"CHECK",0)</f>
        <v>Md. Nurul Islam</v>
      </c>
      <c r="T249">
        <f>_xlfn.XLOOKUP($A249,Master_Data!$C:$C,Master_Data!$K:$K,"CHECK",0)</f>
        <v>101092</v>
      </c>
      <c r="U249">
        <f>IFERROR(_xlfn.XLOOKUP($A249,Master_Data!$C:$C,Master_Data!$L:$L,"CHECK",0),"")</f>
        <v>39.545755047274803</v>
      </c>
      <c r="V249">
        <f>_xlfn.XLOOKUP($A249,Master_Data!$C:$C,Master_Data!$M:$M,"CHECK",0)</f>
        <v>53449</v>
      </c>
      <c r="W249">
        <f>IFERROR(_xlfn.XLOOKUP($A249,Master_Data!$C:$C,Master_Data!$N:$N,"CHECK",0),"")</f>
        <v>20.908489905450391</v>
      </c>
      <c r="X249" t="str">
        <f>IFERROR(_xlfn.XLOOKUP($A249,Master_Data!$C:$C,Master_Data!$O:$O,"CHECK",0),"No Result")</f>
        <v>Safe Seat</v>
      </c>
      <c r="Y249">
        <f>_xlfn.XLOOKUP($A249,Master_Data!$C:$C,Master_Data!$P:$P,"CHECK",0)</f>
        <v>0</v>
      </c>
      <c r="Z249">
        <f t="shared" si="7"/>
        <v>1</v>
      </c>
    </row>
    <row r="250" spans="1:26">
      <c r="A250" t="str">
        <v>Rajbari-2</v>
      </c>
      <c r="B250" t="str" cm="1">
        <f t="array" ref="B2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Nawabganj","Chapainawabganj"),Final_Merged_Data!$B$2:$B$1000=$A250)))</f>
        <v>Rajbari</v>
      </c>
      <c r="C250" t="str" cm="1">
        <f t="array" ref="C250">_xlfn.TEXTJOIN(", ",TRUE,_xlfn._xlws.FILTER(Final_Merged_Data!$C$2:$C$1000,Final_Merged_Data!$B$2:$B$1000=$A250))</f>
        <v>Rajbari Sadar, Goalanda, Kalukhali</v>
      </c>
      <c r="D250" cm="1">
        <f t="array" ref="D250">COUNTA(_xlfn._xlws.FILTER(Final_Merged_Data!$C$2:$C$1000,Final_Merged_Data!$B$2:$B$1000=$A250))</f>
        <v>3</v>
      </c>
      <c r="E250">
        <f>SUMIFS(Final_Merged_Data!$E:$E,Final_Merged_Data!$B:$B,$A250)</f>
        <v>435.55999999999995</v>
      </c>
      <c r="F250">
        <f>SUMIFS(Final_Merged_Data!$F:$F,Final_Merged_Data!$B:$B,$A250)</f>
        <v>685635</v>
      </c>
      <c r="G250">
        <f t="shared" si="6"/>
        <v>1574.1459270823768</v>
      </c>
      <c r="H250" cm="1">
        <f t="array" ref="H250">SUMPRODUCT((Final_Merged_Data!$B$2:$B$1000=$A250)*Final_Merged_Data!$H$2:$H$1000*Final_Merged_Data!$F$2:$F$1000)/F250</f>
        <v>3.9826191340873787</v>
      </c>
      <c r="I250" cm="1">
        <f t="array" ref="I250">SUMPRODUCT((Final_Merged_Data!$B$2:$B$1000=$A250)*Final_Merged_Data!$I$2:$I$1000*Final_Merged_Data!$F$2:$F$1000)/F250</f>
        <v>70.546738702079097</v>
      </c>
      <c r="J250" t="str" cm="1">
        <f t="array" ref="J250">_xlfn.TEXTJOIN(", ",TRUE,_xlfn.UNIQUE(_xlfn._xlws.FILTER(Final_Merged_Data!$J$2:$J$1000,Final_Merged_Data!$B$2:$B$1000=$A250)))</f>
        <v>Dhaka Range</v>
      </c>
      <c r="K250" cm="1">
        <f t="array" ref="K250">SUMPRODUCT((Final_Merged_Data!$B$2:$B$1000=$A250)*Final_Merged_Data!$K$2:$K$1000*Final_Merged_Data!$F$2:$F$1000)/F250</f>
        <v>87.055167395391194</v>
      </c>
      <c r="L250" cm="1">
        <f t="array" ref="L250">SUMPRODUCT((Final_Merged_Data!$B$2:$B$1000=$A250)*Final_Merged_Data!$L$2:$L$1000*Final_Merged_Data!$F$2:$F$1000)/F250</f>
        <v>14.083489099923572</v>
      </c>
      <c r="M250" t="str">
        <f>IF(COUNTIF(Master_Data!$C:$C,$A250)&gt;0,"Found","Missing")</f>
        <v>Found</v>
      </c>
      <c r="N250" t="str">
        <f>_xlfn.XLOOKUP($A250,Master_Data!$C:$C,Master_Data!$D:$D,"CHECK",0)</f>
        <v>Md. Haroon-or-Rashid</v>
      </c>
      <c r="O250" t="str">
        <f>_xlfn.XLOOKUP($A250,Master_Data!$C:$C,Master_Data!$E:$E,"CHECK",0)</f>
        <v>BNP</v>
      </c>
      <c r="P250">
        <f>_xlfn.XLOOKUP($A250,Master_Data!$C:$C,Master_Data!$F:$F,"CHECK",0)</f>
        <v>1</v>
      </c>
      <c r="Q250">
        <f>_xlfn.XLOOKUP($A250,Master_Data!$C:$C,Master_Data!$G:$G,"CHECK",0)</f>
        <v>237254</v>
      </c>
      <c r="R250">
        <f>IFERROR(_xlfn.XLOOKUP($A250,Master_Data!$C:$C,Master_Data!$H:$H,"CHECK",0),"")</f>
        <v>77.902368389081701</v>
      </c>
      <c r="S250" t="str">
        <f>_xlfn.XLOOKUP($A250,Master_Data!$C:$C,Master_Data!$I:$I,"CHECK",0)</f>
        <v>Jamil Hijazi</v>
      </c>
      <c r="T250">
        <f>_xlfn.XLOOKUP($A250,Master_Data!$C:$C,Master_Data!$K:$K,"CHECK",0)</f>
        <v>67299</v>
      </c>
      <c r="U250">
        <f>IFERROR(_xlfn.XLOOKUP($A250,Master_Data!$C:$C,Master_Data!$L:$L,"CHECK",0),"")</f>
        <v>22.097631610918299</v>
      </c>
      <c r="V250">
        <f>_xlfn.XLOOKUP($A250,Master_Data!$C:$C,Master_Data!$M:$M,"CHECK",0)</f>
        <v>169955</v>
      </c>
      <c r="W250">
        <f>IFERROR(_xlfn.XLOOKUP($A250,Master_Data!$C:$C,Master_Data!$N:$N,"CHECK",0),"")</f>
        <v>55.804736778163409</v>
      </c>
      <c r="X250" t="str">
        <f>IFERROR(_xlfn.XLOOKUP($A250,Master_Data!$C:$C,Master_Data!$O:$O,"CHECK",0),"No Result")</f>
        <v>Safe Seat</v>
      </c>
      <c r="Y250">
        <f>_xlfn.XLOOKUP($A250,Master_Data!$C:$C,Master_Data!$P:$P,"CHECK",0)</f>
        <v>0</v>
      </c>
      <c r="Z250">
        <f t="shared" si="7"/>
        <v>1</v>
      </c>
    </row>
    <row r="251" spans="1:26">
      <c r="A251" t="str">
        <v>Rajshahi-1</v>
      </c>
      <c r="B251" t="str" cm="1">
        <f t="array" ref="B2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Nawabganj","Chapainawabganj"),Final_Merged_Data!$B$2:$B$1000=$A251)))</f>
        <v>Rajshahi</v>
      </c>
      <c r="C251" t="str" cm="1">
        <f t="array" ref="C251">_xlfn.TEXTJOIN(", ",TRUE,_xlfn._xlws.FILTER(Final_Merged_Data!$C$2:$C$1000,Final_Merged_Data!$B$2:$B$1000=$A251))</f>
        <v>Godagari, Tanor</v>
      </c>
      <c r="D251" cm="1">
        <f t="array" ref="D251">COUNTA(_xlfn._xlws.FILTER(Final_Merged_Data!$C$2:$C$1000,Final_Merged_Data!$B$2:$B$1000=$A251))</f>
        <v>2</v>
      </c>
      <c r="E251">
        <f>SUMIFS(Final_Merged_Data!$E:$E,Final_Merged_Data!$B:$B,$A251)</f>
        <v>752.55</v>
      </c>
      <c r="F251">
        <f>SUMIFS(Final_Merged_Data!$F:$F,Final_Merged_Data!$B:$B,$A251)</f>
        <v>589344</v>
      </c>
      <c r="G251">
        <f t="shared" si="6"/>
        <v>783.12936017540369</v>
      </c>
      <c r="H251" cm="1">
        <f t="array" ref="H251">SUMPRODUCT((Final_Merged_Data!$B$2:$B$1000=$A251)*Final_Merged_Data!$H$2:$H$1000*Final_Merged_Data!$F$2:$F$1000)/F251</f>
        <v>3.8846132649182818</v>
      </c>
      <c r="I251" cm="1">
        <f t="array" ref="I251">SUMPRODUCT((Final_Merged_Data!$B$2:$B$1000=$A251)*Final_Merged_Data!$I$2:$I$1000*Final_Merged_Data!$F$2:$F$1000)/F251</f>
        <v>73.069976244773841</v>
      </c>
      <c r="J251" t="str" cm="1">
        <f t="array" ref="J251">_xlfn.TEXTJOIN(", ",TRUE,_xlfn.UNIQUE(_xlfn._xlws.FILTER(Final_Merged_Data!$J$2:$J$1000,Final_Merged_Data!$B$2:$B$1000=$A251)))</f>
        <v>Rajshahi Range</v>
      </c>
      <c r="K251" cm="1">
        <f t="array" ref="K251">SUMPRODUCT((Final_Merged_Data!$B$2:$B$1000=$A251)*Final_Merged_Data!$K$2:$K$1000*Final_Merged_Data!$F$2:$F$1000)/F251</f>
        <v>112.81411131450233</v>
      </c>
      <c r="L251" cm="1">
        <f t="array" ref="L251">SUMPRODUCT((Final_Merged_Data!$B$2:$B$1000=$A251)*Final_Merged_Data!$L$2:$L$1000*Final_Merged_Data!$F$2:$F$1000)/F251</f>
        <v>14.272851259111947</v>
      </c>
      <c r="M251" t="str">
        <f>IF(COUNTIF(Master_Data!$C:$C,$A251)&gt;0,"Found","Missing")</f>
        <v>Found</v>
      </c>
      <c r="N251" t="str">
        <f>_xlfn.XLOOKUP($A251,Master_Data!$C:$C,Master_Data!$D:$D,"CHECK",0)</f>
        <v>Mujibur Rahman</v>
      </c>
      <c r="O251" t="str">
        <f>_xlfn.XLOOKUP($A251,Master_Data!$C:$C,Master_Data!$E:$E,"CHECK",0)</f>
        <v>Jamaat</v>
      </c>
      <c r="P251">
        <f>_xlfn.XLOOKUP($A251,Master_Data!$C:$C,Master_Data!$F:$F,"CHECK",0)</f>
        <v>2</v>
      </c>
      <c r="Q251">
        <f>_xlfn.XLOOKUP($A251,Master_Data!$C:$C,Master_Data!$G:$G,"CHECK",0)</f>
        <v>171786</v>
      </c>
      <c r="R251">
        <f>IFERROR(_xlfn.XLOOKUP($A251,Master_Data!$C:$C,Master_Data!$H:$H,"CHECK",0),"")</f>
        <v>50.275690103252089</v>
      </c>
      <c r="S251" t="str">
        <f>_xlfn.XLOOKUP($A251,Master_Data!$C:$C,Master_Data!$I:$I,"CHECK",0)</f>
        <v>Md. Sharif Uddin</v>
      </c>
      <c r="T251">
        <f>_xlfn.XLOOKUP($A251,Master_Data!$C:$C,Master_Data!$K:$K,"CHECK",0)</f>
        <v>169902</v>
      </c>
      <c r="U251">
        <f>IFERROR(_xlfn.XLOOKUP($A251,Master_Data!$C:$C,Master_Data!$L:$L,"CHECK",0),"")</f>
        <v>49.724309896747911</v>
      </c>
      <c r="V251">
        <f>_xlfn.XLOOKUP($A251,Master_Data!$C:$C,Master_Data!$M:$M,"CHECK",0)</f>
        <v>1884</v>
      </c>
      <c r="W251">
        <f>IFERROR(_xlfn.XLOOKUP($A251,Master_Data!$C:$C,Master_Data!$N:$N,"CHECK",0),"")</f>
        <v>0.55138020650417918</v>
      </c>
      <c r="X251" t="str">
        <f>IFERROR(_xlfn.XLOOKUP($A251,Master_Data!$C:$C,Master_Data!$O:$O,"CHECK",0),"No Result")</f>
        <v>Highly Competitive</v>
      </c>
      <c r="Y251">
        <f>_xlfn.XLOOKUP($A251,Master_Data!$C:$C,Master_Data!$P:$P,"CHECK",0)</f>
        <v>0</v>
      </c>
      <c r="Z251">
        <f t="shared" si="7"/>
        <v>1</v>
      </c>
    </row>
    <row r="252" spans="1:26">
      <c r="A252" t="str">
        <v>Rajshahi-2</v>
      </c>
      <c r="B252" t="str" cm="1">
        <f t="array" ref="B2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Nawabganj","Chapainawabganj"),Final_Merged_Data!$B$2:$B$1000=$A252)))</f>
        <v>Rajshahi</v>
      </c>
      <c r="C252" t="str" cm="1">
        <f t="array" ref="C252">_xlfn.TEXTJOIN(", ",TRUE,_xlfn._xlws.FILTER(Final_Merged_Data!$C$2:$C$1000,Final_Merged_Data!$B$2:$B$1000=$A252))</f>
        <v>Rajshahi City Corporation</v>
      </c>
      <c r="D252" cm="1">
        <f t="array" ref="D252">COUNTA(_xlfn._xlws.FILTER(Final_Merged_Data!$C$2:$C$1000,Final_Merged_Data!$B$2:$B$1000=$A252))</f>
        <v>1</v>
      </c>
      <c r="E252">
        <f>SUMIFS(Final_Merged_Data!$E:$E,Final_Merged_Data!$B:$B,$A252)</f>
        <v>96.72</v>
      </c>
      <c r="F252">
        <f>SUMIFS(Final_Merged_Data!$F:$F,Final_Merged_Data!$B:$B,$A252)</f>
        <v>550599</v>
      </c>
      <c r="G252">
        <f t="shared" si="6"/>
        <v>5692.7109181141441</v>
      </c>
      <c r="H252" cm="1">
        <f t="array" ref="H252">SUMPRODUCT((Final_Merged_Data!$B$2:$B$1000=$A252)*Final_Merged_Data!$H$2:$H$1000*Final_Merged_Data!$F$2:$F$1000)/F252</f>
        <v>3.75</v>
      </c>
      <c r="I252" cm="1">
        <f t="array" ref="I252">SUMPRODUCT((Final_Merged_Data!$B$2:$B$1000=$A252)*Final_Merged_Data!$I$2:$I$1000*Final_Merged_Data!$F$2:$F$1000)/F252</f>
        <v>88.83</v>
      </c>
      <c r="J252" t="str" cm="1">
        <f t="array" ref="J252">_xlfn.TEXTJOIN(", ",TRUE,_xlfn.UNIQUE(_xlfn._xlws.FILTER(Final_Merged_Data!$J$2:$J$1000,Final_Merged_Data!$B$2:$B$1000=$A252)))</f>
        <v>Rajshahi Range</v>
      </c>
      <c r="K252" cm="1">
        <f t="array" ref="K252">SUMPRODUCT((Final_Merged_Data!$B$2:$B$1000=$A252)*Final_Merged_Data!$K$2:$K$1000*Final_Merged_Data!$F$2:$F$1000)/F252</f>
        <v>112.81411131450233</v>
      </c>
      <c r="L252" cm="1">
        <f t="array" ref="L252">SUMPRODUCT((Final_Merged_Data!$B$2:$B$1000=$A252)*Final_Merged_Data!$L$2:$L$1000*Final_Merged_Data!$F$2:$F$1000)/F252</f>
        <v>14.272851259111949</v>
      </c>
      <c r="M252" t="str">
        <f>IF(COUNTIF(Master_Data!$C:$C,$A252)&gt;0,"Found","Missing")</f>
        <v>Found</v>
      </c>
      <c r="N252" t="str">
        <f>_xlfn.XLOOKUP($A252,Master_Data!$C:$C,Master_Data!$D:$D,"CHECK",0)</f>
        <v>Mizanur Rahman Minu</v>
      </c>
      <c r="O252" t="str">
        <f>_xlfn.XLOOKUP($A252,Master_Data!$C:$C,Master_Data!$E:$E,"CHECK",0)</f>
        <v>BNP</v>
      </c>
      <c r="P252">
        <f>_xlfn.XLOOKUP($A252,Master_Data!$C:$C,Master_Data!$F:$F,"CHECK",0)</f>
        <v>1</v>
      </c>
      <c r="Q252">
        <f>_xlfn.XLOOKUP($A252,Master_Data!$C:$C,Master_Data!$G:$G,"CHECK",0)</f>
        <v>128546</v>
      </c>
      <c r="R252">
        <f>IFERROR(_xlfn.XLOOKUP($A252,Master_Data!$C:$C,Master_Data!$H:$H,"CHECK",0),"")</f>
        <v>56.154222509566829</v>
      </c>
      <c r="S252" t="str">
        <f>_xlfn.XLOOKUP($A252,Master_Data!$C:$C,Master_Data!$I:$I,"CHECK",0)</f>
        <v>Mohammad Jahangir</v>
      </c>
      <c r="T252">
        <f>_xlfn.XLOOKUP($A252,Master_Data!$C:$C,Master_Data!$K:$K,"CHECK",0)</f>
        <v>100370</v>
      </c>
      <c r="U252">
        <f>IFERROR(_xlfn.XLOOKUP($A252,Master_Data!$C:$C,Master_Data!$L:$L,"CHECK",0),"")</f>
        <v>43.845777490433171</v>
      </c>
      <c r="V252">
        <f>_xlfn.XLOOKUP($A252,Master_Data!$C:$C,Master_Data!$M:$M,"CHECK",0)</f>
        <v>28176</v>
      </c>
      <c r="W252">
        <f>IFERROR(_xlfn.XLOOKUP($A252,Master_Data!$C:$C,Master_Data!$N:$N,"CHECK",0),"")</f>
        <v>12.308445019133655</v>
      </c>
      <c r="X252" t="str">
        <f>IFERROR(_xlfn.XLOOKUP($A252,Master_Data!$C:$C,Master_Data!$O:$O,"CHECK",0),"No Result")</f>
        <v>Safe Seat</v>
      </c>
      <c r="Y252">
        <f>_xlfn.XLOOKUP($A252,Master_Data!$C:$C,Master_Data!$P:$P,"CHECK",0)</f>
        <v>1</v>
      </c>
      <c r="Z252">
        <f t="shared" si="7"/>
        <v>1</v>
      </c>
    </row>
    <row r="253" spans="1:26">
      <c r="A253" t="str">
        <v>Rajshahi-3</v>
      </c>
      <c r="B253" t="str" cm="1">
        <f t="array" ref="B2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Nawabganj","Chapainawabganj"),Final_Merged_Data!$B$2:$B$1000=$A253)))</f>
        <v>Rajshahi</v>
      </c>
      <c r="C253" t="str" cm="1">
        <f t="array" ref="C253">_xlfn.TEXTJOIN(", ",TRUE,_xlfn._xlws.FILTER(Final_Merged_Data!$C$2:$C$1000,Final_Merged_Data!$B$2:$B$1000=$A253))</f>
        <v>Paba, Mohanpur</v>
      </c>
      <c r="D253" cm="1">
        <f t="array" ref="D253">COUNTA(_xlfn._xlws.FILTER(Final_Merged_Data!$C$2:$C$1000,Final_Merged_Data!$B$2:$B$1000=$A253))</f>
        <v>2</v>
      </c>
      <c r="E253">
        <f>SUMIFS(Final_Merged_Data!$E:$E,Final_Merged_Data!$B:$B,$A253)</f>
        <v>353.39</v>
      </c>
      <c r="F253">
        <f>SUMIFS(Final_Merged_Data!$F:$F,Final_Merged_Data!$B:$B,$A253)</f>
        <v>555740</v>
      </c>
      <c r="G253">
        <f t="shared" si="6"/>
        <v>1572.5968476753728</v>
      </c>
      <c r="H253" cm="1">
        <f t="array" ref="H253">SUMPRODUCT((Final_Merged_Data!$B$2:$B$1000=$A253)*Final_Merged_Data!$H$2:$H$1000*Final_Merged_Data!$F$2:$F$1000)/F253</f>
        <v>3.6660188937272831</v>
      </c>
      <c r="I253" cm="1">
        <f t="array" ref="I253">SUMPRODUCT((Final_Merged_Data!$B$2:$B$1000=$A253)*Final_Merged_Data!$I$2:$I$1000*Final_Merged_Data!$F$2:$F$1000)/F253</f>
        <v>74.437526685140526</v>
      </c>
      <c r="J253" t="str" cm="1">
        <f t="array" ref="J253">_xlfn.TEXTJOIN(", ",TRUE,_xlfn.UNIQUE(_xlfn._xlws.FILTER(Final_Merged_Data!$J$2:$J$1000,Final_Merged_Data!$B$2:$B$1000=$A253)))</f>
        <v>Rajshahi Range</v>
      </c>
      <c r="K253" cm="1">
        <f t="array" ref="K253">SUMPRODUCT((Final_Merged_Data!$B$2:$B$1000=$A253)*Final_Merged_Data!$K$2:$K$1000*Final_Merged_Data!$F$2:$F$1000)/F253</f>
        <v>112.81411131450231</v>
      </c>
      <c r="L253" cm="1">
        <f t="array" ref="L253">SUMPRODUCT((Final_Merged_Data!$B$2:$B$1000=$A253)*Final_Merged_Data!$L$2:$L$1000*Final_Merged_Data!$F$2:$F$1000)/F253</f>
        <v>14.272851259111949</v>
      </c>
      <c r="M253" t="str">
        <f>IF(COUNTIF(Master_Data!$C:$C,$A253)&gt;0,"Found","Missing")</f>
        <v>Found</v>
      </c>
      <c r="N253" t="str">
        <f>_xlfn.XLOOKUP($A253,Master_Data!$C:$C,Master_Data!$D:$D,"CHECK",0)</f>
        <v>Shofiqul Haque Milon</v>
      </c>
      <c r="O253" t="str">
        <f>_xlfn.XLOOKUP($A253,Master_Data!$C:$C,Master_Data!$E:$E,"CHECK",0)</f>
        <v>BNP</v>
      </c>
      <c r="P253">
        <f>_xlfn.XLOOKUP($A253,Master_Data!$C:$C,Master_Data!$F:$F,"CHECK",0)</f>
        <v>1</v>
      </c>
      <c r="Q253">
        <f>_xlfn.XLOOKUP($A253,Master_Data!$C:$C,Master_Data!$G:$G,"CHECK",0)</f>
        <v>176318</v>
      </c>
      <c r="R253">
        <f>IFERROR(_xlfn.XLOOKUP($A253,Master_Data!$C:$C,Master_Data!$H:$H,"CHECK",0),"")</f>
        <v>56.108450412894392</v>
      </c>
      <c r="S253" t="str">
        <f>_xlfn.XLOOKUP($A253,Master_Data!$C:$C,Master_Data!$I:$I,"CHECK",0)</f>
        <v>Md. Abul Kalam Azad</v>
      </c>
      <c r="T253">
        <f>_xlfn.XLOOKUP($A253,Master_Data!$C:$C,Master_Data!$K:$K,"CHECK",0)</f>
        <v>137927</v>
      </c>
      <c r="U253">
        <f>IFERROR(_xlfn.XLOOKUP($A253,Master_Data!$C:$C,Master_Data!$L:$L,"CHECK",0),"")</f>
        <v>43.891549587105608</v>
      </c>
      <c r="V253">
        <f>_xlfn.XLOOKUP($A253,Master_Data!$C:$C,Master_Data!$M:$M,"CHECK",0)</f>
        <v>38391</v>
      </c>
      <c r="W253">
        <f>IFERROR(_xlfn.XLOOKUP($A253,Master_Data!$C:$C,Master_Data!$N:$N,"CHECK",0),"")</f>
        <v>12.216900825788796</v>
      </c>
      <c r="X253" t="str">
        <f>IFERROR(_xlfn.XLOOKUP($A253,Master_Data!$C:$C,Master_Data!$O:$O,"CHECK",0),"No Result")</f>
        <v>Safe Seat</v>
      </c>
      <c r="Y253">
        <f>_xlfn.XLOOKUP($A253,Master_Data!$C:$C,Master_Data!$P:$P,"CHECK",0)</f>
        <v>0</v>
      </c>
      <c r="Z253">
        <f t="shared" si="7"/>
        <v>1</v>
      </c>
    </row>
    <row r="254" spans="1:26">
      <c r="A254" t="str">
        <v>Rajshahi-4</v>
      </c>
      <c r="B254" t="str" cm="1">
        <f t="array" ref="B2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Nawabganj","Chapainawabganj"),Final_Merged_Data!$B$2:$B$1000=$A254)))</f>
        <v>Rajshahi</v>
      </c>
      <c r="C254" t="str" cm="1">
        <f t="array" ref="C254">_xlfn.TEXTJOIN(", ",TRUE,_xlfn._xlws.FILTER(Final_Merged_Data!$C$2:$C$1000,Final_Merged_Data!$B$2:$B$1000=$A254))</f>
        <v>Bagmara</v>
      </c>
      <c r="D254" cm="1">
        <f t="array" ref="D254">COUNTA(_xlfn._xlws.FILTER(Final_Merged_Data!$C$2:$C$1000,Final_Merged_Data!$B$2:$B$1000=$A254))</f>
        <v>1</v>
      </c>
      <c r="E254">
        <f>SUMIFS(Final_Merged_Data!$E:$E,Final_Merged_Data!$B:$B,$A254)</f>
        <v>363.56</v>
      </c>
      <c r="F254">
        <f>SUMIFS(Final_Merged_Data!$F:$F,Final_Merged_Data!$B:$B,$A254)</f>
        <v>373945</v>
      </c>
      <c r="G254">
        <f t="shared" si="6"/>
        <v>1028.5647485972054</v>
      </c>
      <c r="H254" cm="1">
        <f t="array" ref="H254">SUMPRODUCT((Final_Merged_Data!$B$2:$B$1000=$A254)*Final_Merged_Data!$H$2:$H$1000*Final_Merged_Data!$F$2:$F$1000)/F254</f>
        <v>3.5</v>
      </c>
      <c r="I254" cm="1">
        <f t="array" ref="I254">SUMPRODUCT((Final_Merged_Data!$B$2:$B$1000=$A254)*Final_Merged_Data!$I$2:$I$1000*Final_Merged_Data!$F$2:$F$1000)/F254</f>
        <v>69.209999999999994</v>
      </c>
      <c r="J254" t="str" cm="1">
        <f t="array" ref="J254">_xlfn.TEXTJOIN(", ",TRUE,_xlfn.UNIQUE(_xlfn._xlws.FILTER(Final_Merged_Data!$J$2:$J$1000,Final_Merged_Data!$B$2:$B$1000=$A254)))</f>
        <v>Rajshahi Range</v>
      </c>
      <c r="K254" cm="1">
        <f t="array" ref="K254">SUMPRODUCT((Final_Merged_Data!$B$2:$B$1000=$A254)*Final_Merged_Data!$K$2:$K$1000*Final_Merged_Data!$F$2:$F$1000)/F254</f>
        <v>112.81411131450231</v>
      </c>
      <c r="L254" cm="1">
        <f t="array" ref="L254">SUMPRODUCT((Final_Merged_Data!$B$2:$B$1000=$A254)*Final_Merged_Data!$L$2:$L$1000*Final_Merged_Data!$F$2:$F$1000)/F254</f>
        <v>14.272851259111951</v>
      </c>
      <c r="M254" t="str">
        <f>IF(COUNTIF(Master_Data!$C:$C,$A254)&gt;0,"Found","Missing")</f>
        <v>Found</v>
      </c>
      <c r="N254" t="str">
        <f>_xlfn.XLOOKUP($A254,Master_Data!$C:$C,Master_Data!$D:$D,"CHECK",0)</f>
        <v>Md. Abdul Bari</v>
      </c>
      <c r="O254" t="str">
        <f>_xlfn.XLOOKUP($A254,Master_Data!$C:$C,Master_Data!$E:$E,"CHECK",0)</f>
        <v>Jamaat</v>
      </c>
      <c r="P254">
        <f>_xlfn.XLOOKUP($A254,Master_Data!$C:$C,Master_Data!$F:$F,"CHECK",0)</f>
        <v>2</v>
      </c>
      <c r="Q254">
        <f>_xlfn.XLOOKUP($A254,Master_Data!$C:$C,Master_Data!$G:$G,"CHECK",0)</f>
        <v>115226</v>
      </c>
      <c r="R254">
        <f>IFERROR(_xlfn.XLOOKUP($A254,Master_Data!$C:$C,Master_Data!$H:$H,"CHECK",0),"")</f>
        <v>51.282895761659553</v>
      </c>
      <c r="S254" t="str">
        <f>_xlfn.XLOOKUP($A254,Master_Data!$C:$C,Master_Data!$I:$I,"CHECK",0)</f>
        <v>Ziaur Rahman</v>
      </c>
      <c r="T254">
        <f>_xlfn.XLOOKUP($A254,Master_Data!$C:$C,Master_Data!$K:$K,"CHECK",0)</f>
        <v>109461</v>
      </c>
      <c r="U254">
        <f>IFERROR(_xlfn.XLOOKUP($A254,Master_Data!$C:$C,Master_Data!$L:$L,"CHECK",0),"")</f>
        <v>48.717104238340447</v>
      </c>
      <c r="V254">
        <f>_xlfn.XLOOKUP($A254,Master_Data!$C:$C,Master_Data!$M:$M,"CHECK",0)</f>
        <v>5765</v>
      </c>
      <c r="W254">
        <f>IFERROR(_xlfn.XLOOKUP($A254,Master_Data!$C:$C,Master_Data!$N:$N,"CHECK",0),"")</f>
        <v>2.5657915233191062</v>
      </c>
      <c r="X254" t="str">
        <f>IFERROR(_xlfn.XLOOKUP($A254,Master_Data!$C:$C,Master_Data!$O:$O,"CHECK",0),"No Result")</f>
        <v>Highly Competitive</v>
      </c>
      <c r="Y254">
        <f>_xlfn.XLOOKUP($A254,Master_Data!$C:$C,Master_Data!$P:$P,"CHECK",0)</f>
        <v>0</v>
      </c>
      <c r="Z254">
        <f t="shared" si="7"/>
        <v>1</v>
      </c>
    </row>
    <row r="255" spans="1:26">
      <c r="A255" t="str">
        <v>Rajshahi-5</v>
      </c>
      <c r="B255" t="str" cm="1">
        <f t="array" ref="B2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Nawabganj","Chapainawabganj"),Final_Merged_Data!$B$2:$B$1000=$A255)))</f>
        <v>Rajshahi</v>
      </c>
      <c r="C255" t="str" cm="1">
        <f t="array" ref="C255">_xlfn.TEXTJOIN(", ",TRUE,_xlfn._xlws.FILTER(Final_Merged_Data!$C$2:$C$1000,Final_Merged_Data!$B$2:$B$1000=$A255))</f>
        <v>Durgapur, Puthia</v>
      </c>
      <c r="D255" cm="1">
        <f t="array" ref="D255">COUNTA(_xlfn._xlws.FILTER(Final_Merged_Data!$C$2:$C$1000,Final_Merged_Data!$B$2:$B$1000=$A255))</f>
        <v>2</v>
      </c>
      <c r="E255">
        <f>SUMIFS(Final_Merged_Data!$E:$E,Final_Merged_Data!$B:$B,$A255)</f>
        <v>527.76</v>
      </c>
      <c r="F255">
        <f>SUMIFS(Final_Merged_Data!$F:$F,Final_Merged_Data!$B:$B,$A255)</f>
        <v>466576</v>
      </c>
      <c r="G255">
        <f t="shared" si="6"/>
        <v>884.06851599211768</v>
      </c>
      <c r="H255" cm="1">
        <f t="array" ref="H255">SUMPRODUCT((Final_Merged_Data!$B$2:$B$1000=$A255)*Final_Merged_Data!$H$2:$H$1000*Final_Merged_Data!$F$2:$F$1000)/F255</f>
        <v>3.8350092375090017</v>
      </c>
      <c r="I255" cm="1">
        <f t="array" ref="I255">SUMPRODUCT((Final_Merged_Data!$B$2:$B$1000=$A255)*Final_Merged_Data!$I$2:$I$1000*Final_Merged_Data!$F$2:$F$1000)/F255</f>
        <v>69.051384190356984</v>
      </c>
      <c r="J255" t="str" cm="1">
        <f t="array" ref="J255">_xlfn.TEXTJOIN(", ",TRUE,_xlfn.UNIQUE(_xlfn._xlws.FILTER(Final_Merged_Data!$J$2:$J$1000,Final_Merged_Data!$B$2:$B$1000=$A255)))</f>
        <v>Rajshahi Range</v>
      </c>
      <c r="K255" cm="1">
        <f t="array" ref="K255">SUMPRODUCT((Final_Merged_Data!$B$2:$B$1000=$A255)*Final_Merged_Data!$K$2:$K$1000*Final_Merged_Data!$F$2:$F$1000)/F255</f>
        <v>112.81411131450233</v>
      </c>
      <c r="L255" cm="1">
        <f t="array" ref="L255">SUMPRODUCT((Final_Merged_Data!$B$2:$B$1000=$A255)*Final_Merged_Data!$L$2:$L$1000*Final_Merged_Data!$F$2:$F$1000)/F255</f>
        <v>14.272851259111949</v>
      </c>
      <c r="M255" t="str">
        <f>IF(COUNTIF(Master_Data!$C:$C,$A255)&gt;0,"Found","Missing")</f>
        <v>Found</v>
      </c>
      <c r="N255" t="str">
        <f>_xlfn.XLOOKUP($A255,Master_Data!$C:$C,Master_Data!$D:$D,"CHECK",0)</f>
        <v>Nazrul Islam Mondol</v>
      </c>
      <c r="O255" t="str">
        <f>_xlfn.XLOOKUP($A255,Master_Data!$C:$C,Master_Data!$E:$E,"CHECK",0)</f>
        <v>BNP</v>
      </c>
      <c r="P255">
        <f>_xlfn.XLOOKUP($A255,Master_Data!$C:$C,Master_Data!$F:$F,"CHECK",0)</f>
        <v>1</v>
      </c>
      <c r="Q255">
        <f>_xlfn.XLOOKUP($A255,Master_Data!$C:$C,Master_Data!$G:$G,"CHECK",0)</f>
        <v>153425</v>
      </c>
      <c r="R255">
        <f>IFERROR(_xlfn.XLOOKUP($A255,Master_Data!$C:$C,Master_Data!$H:$H,"CHECK",0),"")</f>
        <v>67.626834751179089</v>
      </c>
      <c r="S255" t="str">
        <f>_xlfn.XLOOKUP($A255,Master_Data!$C:$C,Master_Data!$I:$I,"CHECK",0)</f>
        <v>Manzoor Rahman</v>
      </c>
      <c r="T255">
        <f>_xlfn.XLOOKUP($A255,Master_Data!$C:$C,Master_Data!$K:$K,"CHECK",0)</f>
        <v>73445</v>
      </c>
      <c r="U255">
        <f>IFERROR(_xlfn.XLOOKUP($A255,Master_Data!$C:$C,Master_Data!$L:$L,"CHECK",0),"")</f>
        <v>32.373165248820911</v>
      </c>
      <c r="V255">
        <f>_xlfn.XLOOKUP($A255,Master_Data!$C:$C,Master_Data!$M:$M,"CHECK",0)</f>
        <v>79980</v>
      </c>
      <c r="W255">
        <f>IFERROR(_xlfn.XLOOKUP($A255,Master_Data!$C:$C,Master_Data!$N:$N,"CHECK",0),"")</f>
        <v>35.253669502358179</v>
      </c>
      <c r="X255" t="str">
        <f>IFERROR(_xlfn.XLOOKUP($A255,Master_Data!$C:$C,Master_Data!$O:$O,"CHECK",0),"No Result")</f>
        <v>Safe Seat</v>
      </c>
      <c r="Y255">
        <f>_xlfn.XLOOKUP($A255,Master_Data!$C:$C,Master_Data!$P:$P,"CHECK",0)</f>
        <v>0</v>
      </c>
      <c r="Z255">
        <f t="shared" si="7"/>
        <v>1</v>
      </c>
    </row>
    <row r="256" spans="1:26">
      <c r="A256" t="str">
        <v>Rajshahi-6</v>
      </c>
      <c r="B256" t="str" cm="1">
        <f t="array" ref="B2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Nawabganj","Chapainawabganj"),Final_Merged_Data!$B$2:$B$1000=$A256)))</f>
        <v>Rajshahi</v>
      </c>
      <c r="C256" t="str" cm="1">
        <f t="array" ref="C256">_xlfn.TEXTJOIN(", ",TRUE,_xlfn._xlws.FILTER(Final_Merged_Data!$C$2:$C$1000,Final_Merged_Data!$B$2:$B$1000=$A256))</f>
        <v>Bagha, Charghat</v>
      </c>
      <c r="D256" cm="1">
        <f t="array" ref="D256">COUNTA(_xlfn._xlws.FILTER(Final_Merged_Data!$C$2:$C$1000,Final_Merged_Data!$B$2:$B$1000=$A256))</f>
        <v>2</v>
      </c>
      <c r="E256">
        <f>SUMIFS(Final_Merged_Data!$E:$E,Final_Merged_Data!$B:$B,$A256)</f>
        <v>405.99</v>
      </c>
      <c r="F256">
        <f>SUMIFS(Final_Merged_Data!$F:$F,Final_Merged_Data!$B:$B,$A256)</f>
        <v>420719</v>
      </c>
      <c r="G256">
        <f t="shared" si="6"/>
        <v>1036.2792186999679</v>
      </c>
      <c r="H256" cm="1">
        <f t="array" ref="H256">SUMPRODUCT((Final_Merged_Data!$B$2:$B$1000=$A256)*Final_Merged_Data!$H$2:$H$1000*Final_Merged_Data!$F$2:$F$1000)/F256</f>
        <v>3.6406880364328682</v>
      </c>
      <c r="I256" cm="1">
        <f t="array" ref="I256">SUMPRODUCT((Final_Merged_Data!$B$2:$B$1000=$A256)*Final_Merged_Data!$I$2:$I$1000*Final_Merged_Data!$F$2:$F$1000)/F256</f>
        <v>70.55699369412838</v>
      </c>
      <c r="J256" t="str" cm="1">
        <f t="array" ref="J256">_xlfn.TEXTJOIN(", ",TRUE,_xlfn.UNIQUE(_xlfn._xlws.FILTER(Final_Merged_Data!$J$2:$J$1000,Final_Merged_Data!$B$2:$B$1000=$A256)))</f>
        <v>Rajshahi Range</v>
      </c>
      <c r="K256" cm="1">
        <f t="array" ref="K256">SUMPRODUCT((Final_Merged_Data!$B$2:$B$1000=$A256)*Final_Merged_Data!$K$2:$K$1000*Final_Merged_Data!$F$2:$F$1000)/F256</f>
        <v>112.81411131450233</v>
      </c>
      <c r="L256" cm="1">
        <f t="array" ref="L256">SUMPRODUCT((Final_Merged_Data!$B$2:$B$1000=$A256)*Final_Merged_Data!$L$2:$L$1000*Final_Merged_Data!$F$2:$F$1000)/F256</f>
        <v>14.272851259111951</v>
      </c>
      <c r="M256" t="str">
        <f>IF(COUNTIF(Master_Data!$C:$C,$A256)&gt;0,"Found","Missing")</f>
        <v>Found</v>
      </c>
      <c r="N256" t="str">
        <f>_xlfn.XLOOKUP($A256,Master_Data!$C:$C,Master_Data!$D:$D,"CHECK",0)</f>
        <v>Md. Abu Said Chand</v>
      </c>
      <c r="O256" t="str">
        <f>_xlfn.XLOOKUP($A256,Master_Data!$C:$C,Master_Data!$E:$E,"CHECK",0)</f>
        <v>BNP</v>
      </c>
      <c r="P256">
        <f>_xlfn.XLOOKUP($A256,Master_Data!$C:$C,Master_Data!$F:$F,"CHECK",0)</f>
        <v>1</v>
      </c>
      <c r="Q256">
        <f>_xlfn.XLOOKUP($A256,Master_Data!$C:$C,Master_Data!$G:$G,"CHECK",0)</f>
        <v>148672</v>
      </c>
      <c r="R256">
        <f>IFERROR(_xlfn.XLOOKUP($A256,Master_Data!$C:$C,Master_Data!$H:$H,"CHECK",0),"")</f>
        <v>61.527001245670156</v>
      </c>
      <c r="S256" t="str">
        <f>_xlfn.XLOOKUP($A256,Master_Data!$C:$C,Master_Data!$I:$I,"CHECK",0)</f>
        <v>Md. Nazmul Haque</v>
      </c>
      <c r="T256">
        <f>_xlfn.XLOOKUP($A256,Master_Data!$C:$C,Master_Data!$K:$K,"CHECK",0)</f>
        <v>92965</v>
      </c>
      <c r="U256">
        <f>IFERROR(_xlfn.XLOOKUP($A256,Master_Data!$C:$C,Master_Data!$L:$L,"CHECK",0),"")</f>
        <v>38.472998754329844</v>
      </c>
      <c r="V256">
        <f>_xlfn.XLOOKUP($A256,Master_Data!$C:$C,Master_Data!$M:$M,"CHECK",0)</f>
        <v>55707</v>
      </c>
      <c r="W256">
        <f>IFERROR(_xlfn.XLOOKUP($A256,Master_Data!$C:$C,Master_Data!$N:$N,"CHECK",0),"")</f>
        <v>23.054002491340317</v>
      </c>
      <c r="X256" t="str">
        <f>IFERROR(_xlfn.XLOOKUP($A256,Master_Data!$C:$C,Master_Data!$O:$O,"CHECK",0),"No Result")</f>
        <v>Safe Seat</v>
      </c>
      <c r="Y256">
        <f>_xlfn.XLOOKUP($A256,Master_Data!$C:$C,Master_Data!$P:$P,"CHECK",0)</f>
        <v>0</v>
      </c>
      <c r="Z256">
        <f t="shared" si="7"/>
        <v>1</v>
      </c>
    </row>
    <row r="257" spans="1:26">
      <c r="A257" t="str">
        <v>Rangamati-1</v>
      </c>
      <c r="B257" t="str" cm="1">
        <f t="array" ref="B2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Nawabganj","Chapainawabganj"),Final_Merged_Data!$B$2:$B$1000=$A257)))</f>
        <v>Rangamati</v>
      </c>
      <c r="C257" t="str" cm="1">
        <f t="array" ref="C257">_xlfn.TEXTJOIN(", ",TRUE,_xlfn._xlws.FILTER(Final_Merged_Data!$C$2:$C$1000,Final_Merged_Data!$B$2:$B$1000=$A257))</f>
        <v>Rangamati Sadar, Kaptai, Kawkhali, Belaichhari, Baghaichhari, Barkal, Jurachhari, Rajasthali</v>
      </c>
      <c r="D257" cm="1">
        <f t="array" ref="D257">COUNTA(_xlfn._xlws.FILTER(Final_Merged_Data!$C$2:$C$1000,Final_Merged_Data!$B$2:$B$1000=$A257))</f>
        <v>8</v>
      </c>
      <c r="E257">
        <f>SUMIFS(Final_Merged_Data!$E:$E,Final_Merged_Data!$B:$B,$A257)</f>
        <v>4305.17</v>
      </c>
      <c r="F257">
        <f>SUMIFS(Final_Merged_Data!$F:$F,Final_Merged_Data!$B:$B,$A257)</f>
        <v>513105</v>
      </c>
      <c r="G257">
        <f t="shared" si="6"/>
        <v>119.18344687898504</v>
      </c>
      <c r="H257" cm="1">
        <f t="array" ref="H257">SUMPRODUCT((Final_Merged_Data!$B$2:$B$1000=$A257)*Final_Merged_Data!$H$2:$H$1000*Final_Merged_Data!$F$2:$F$1000)/F257</f>
        <v>4.0771271182311617</v>
      </c>
      <c r="I257" cm="1">
        <f t="array" ref="I257">SUMPRODUCT((Final_Merged_Data!$B$2:$B$1000=$A257)*Final_Merged_Data!$I$2:$I$1000*Final_Merged_Data!$F$2:$F$1000)/F257</f>
        <v>73.844935948782407</v>
      </c>
      <c r="J257" t="str" cm="1">
        <f t="array" ref="J257">_xlfn.TEXTJOIN(", ",TRUE,_xlfn.UNIQUE(_xlfn._xlws.FILTER(Final_Merged_Data!$J$2:$J$1000,Final_Merged_Data!$B$2:$B$1000=$A257)))</f>
        <v>Chittagong Range</v>
      </c>
      <c r="K257" cm="1">
        <f t="array" ref="K257">SUMPRODUCT((Final_Merged_Data!$B$2:$B$1000=$A257)*Final_Merged_Data!$K$2:$K$1000*Final_Merged_Data!$F$2:$F$1000)/F257</f>
        <v>84.879645400600893</v>
      </c>
      <c r="L257" cm="1">
        <f t="array" ref="L257">SUMPRODUCT((Final_Merged_Data!$B$2:$B$1000=$A257)*Final_Merged_Data!$L$2:$L$1000*Final_Merged_Data!$F$2:$F$1000)/F257</f>
        <v>10.309673910686193</v>
      </c>
      <c r="M257" t="str">
        <f>IF(COUNTIF(Master_Data!$C:$C,$A257)&gt;0,"Found","Missing")</f>
        <v>Found</v>
      </c>
      <c r="N257" t="str">
        <f>_xlfn.XLOOKUP($A257,Master_Data!$C:$C,Master_Data!$D:$D,"CHECK",0)</f>
        <v>Dipen Dewan</v>
      </c>
      <c r="O257" t="str">
        <f>_xlfn.XLOOKUP($A257,Master_Data!$C:$C,Master_Data!$E:$E,"CHECK",0)</f>
        <v>BNP</v>
      </c>
      <c r="P257">
        <f>_xlfn.XLOOKUP($A257,Master_Data!$C:$C,Master_Data!$F:$F,"CHECK",0)</f>
        <v>1</v>
      </c>
      <c r="Q257">
        <f>_xlfn.XLOOKUP($A257,Master_Data!$C:$C,Master_Data!$G:$G,"CHECK",0)</f>
        <v>201544</v>
      </c>
      <c r="R257">
        <f>IFERROR(_xlfn.XLOOKUP($A257,Master_Data!$C:$C,Master_Data!$H:$H,"CHECK",0),"")</f>
        <v>86.58652896041518</v>
      </c>
      <c r="S257" t="str">
        <f>_xlfn.XLOOKUP($A257,Master_Data!$C:$C,Master_Data!$I:$I,"CHECK",0)</f>
        <v>Pahel Chakma</v>
      </c>
      <c r="T257">
        <f>_xlfn.XLOOKUP($A257,Master_Data!$C:$C,Master_Data!$K:$K,"CHECK",0)</f>
        <v>31222</v>
      </c>
      <c r="U257">
        <f>IFERROR(_xlfn.XLOOKUP($A257,Master_Data!$C:$C,Master_Data!$L:$L,"CHECK",0),"")</f>
        <v>13.413471039584818</v>
      </c>
      <c r="V257">
        <f>_xlfn.XLOOKUP($A257,Master_Data!$C:$C,Master_Data!$M:$M,"CHECK",0)</f>
        <v>170322</v>
      </c>
      <c r="W257">
        <f>IFERROR(_xlfn.XLOOKUP($A257,Master_Data!$C:$C,Master_Data!$N:$N,"CHECK",0),"")</f>
        <v>73.17305792083036</v>
      </c>
      <c r="X257" t="str">
        <f>IFERROR(_xlfn.XLOOKUP($A257,Master_Data!$C:$C,Master_Data!$O:$O,"CHECK",0),"No Result")</f>
        <v>Safe Seat</v>
      </c>
      <c r="Y257">
        <f>_xlfn.XLOOKUP($A257,Master_Data!$C:$C,Master_Data!$P:$P,"CHECK",0)</f>
        <v>0</v>
      </c>
      <c r="Z257">
        <f t="shared" si="7"/>
        <v>1</v>
      </c>
    </row>
    <row r="258" spans="1:26">
      <c r="A258" t="str">
        <v>Rangpur-1</v>
      </c>
      <c r="B258" t="str" cm="1">
        <f t="array" ref="B2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Nawabganj","Chapainawabganj"),Final_Merged_Data!$B$2:$B$1000=$A258)))</f>
        <v>Rangpur</v>
      </c>
      <c r="C258" t="str" cm="1">
        <f t="array" ref="C258">_xlfn.TEXTJOIN(", ",TRUE,_xlfn._xlws.FILTER(Final_Merged_Data!$C$2:$C$1000,Final_Merged_Data!$B$2:$B$1000=$A258))</f>
        <v>Gangachara, Rangpur Sadar</v>
      </c>
      <c r="D258" cm="1">
        <f t="array" ref="D258">COUNTA(_xlfn._xlws.FILTER(Final_Merged_Data!$C$2:$C$1000,Final_Merged_Data!$B$2:$B$1000=$A258))</f>
        <v>2</v>
      </c>
      <c r="E258">
        <f>SUMIFS(Final_Merged_Data!$E:$E,Final_Merged_Data!$B:$B,$A258)</f>
        <v>566.77</v>
      </c>
      <c r="F258">
        <f>SUMIFS(Final_Merged_Data!$F:$F,Final_Merged_Data!$B:$B,$A258)</f>
        <v>465394</v>
      </c>
      <c r="G258">
        <f t="shared" si="6"/>
        <v>821.13379324946629</v>
      </c>
      <c r="H258" cm="1">
        <f t="array" ref="H258">SUMPRODUCT((Final_Merged_Data!$B$2:$B$1000=$A258)*Final_Merged_Data!$H$2:$H$1000*Final_Merged_Data!$F$2:$F$1000)/F258</f>
        <v>3.8438389837428075</v>
      </c>
      <c r="I258" cm="1">
        <f t="array" ref="I258">SUMPRODUCT((Final_Merged_Data!$B$2:$B$1000=$A258)*Final_Merged_Data!$I$2:$I$1000*Final_Merged_Data!$F$2:$F$1000)/F258</f>
        <v>67.266559431363532</v>
      </c>
      <c r="J258" t="str" cm="1">
        <f t="array" ref="J258">_xlfn.TEXTJOIN(", ",TRUE,_xlfn.UNIQUE(_xlfn._xlws.FILTER(Final_Merged_Data!$J$2:$J$1000,Final_Merged_Data!$B$2:$B$1000=$A258)))</f>
        <v>Rangpur Range</v>
      </c>
      <c r="K258" cm="1">
        <f t="array" ref="K258">SUMPRODUCT((Final_Merged_Data!$B$2:$B$1000=$A258)*Final_Merged_Data!$K$2:$K$1000*Final_Merged_Data!$F$2:$F$1000)/F258</f>
        <v>101.9086951338524</v>
      </c>
      <c r="L258" cm="1">
        <f t="array" ref="L258">SUMPRODUCT((Final_Merged_Data!$B$2:$B$1000=$A258)*Final_Merged_Data!$L$2:$L$1000*Final_Merged_Data!$F$2:$F$1000)/F258</f>
        <v>15.175373179583827</v>
      </c>
      <c r="M258" t="str">
        <f>IF(COUNTIF(Master_Data!$C:$C,$A258)&gt;0,"Found","Missing")</f>
        <v>Found</v>
      </c>
      <c r="N258" t="str">
        <f>_xlfn.XLOOKUP($A258,Master_Data!$C:$C,Master_Data!$D:$D,"CHECK",0)</f>
        <v>Raihan Siraji</v>
      </c>
      <c r="O258" t="str">
        <f>_xlfn.XLOOKUP($A258,Master_Data!$C:$C,Master_Data!$E:$E,"CHECK",0)</f>
        <v>Jamaat</v>
      </c>
      <c r="P258">
        <f>_xlfn.XLOOKUP($A258,Master_Data!$C:$C,Master_Data!$F:$F,"CHECK",0)</f>
        <v>2</v>
      </c>
      <c r="Q258">
        <f>_xlfn.XLOOKUP($A258,Master_Data!$C:$C,Master_Data!$G:$G,"CHECK",0)</f>
        <v>145088</v>
      </c>
      <c r="R258">
        <f>IFERROR(_xlfn.XLOOKUP($A258,Master_Data!$C:$C,Master_Data!$H:$H,"CHECK",0),"")</f>
        <v>67.641669968996936</v>
      </c>
      <c r="S258" t="str">
        <f>_xlfn.XLOOKUP($A258,Master_Data!$C:$C,Master_Data!$I:$I,"CHECK",0)</f>
        <v>Md. Mokarram Hossain Sujan</v>
      </c>
      <c r="T258">
        <f>_xlfn.XLOOKUP($A258,Master_Data!$C:$C,Master_Data!$K:$K,"CHECK",0)</f>
        <v>69407</v>
      </c>
      <c r="U258">
        <f>IFERROR(_xlfn.XLOOKUP($A258,Master_Data!$C:$C,Master_Data!$L:$L,"CHECK",0),"")</f>
        <v>32.358330031003049</v>
      </c>
      <c r="V258">
        <f>_xlfn.XLOOKUP($A258,Master_Data!$C:$C,Master_Data!$M:$M,"CHECK",0)</f>
        <v>75681</v>
      </c>
      <c r="W258">
        <f>IFERROR(_xlfn.XLOOKUP($A258,Master_Data!$C:$C,Master_Data!$N:$N,"CHECK",0),"")</f>
        <v>35.283339937993894</v>
      </c>
      <c r="X258" t="str">
        <f>IFERROR(_xlfn.XLOOKUP($A258,Master_Data!$C:$C,Master_Data!$O:$O,"CHECK",0),"No Result")</f>
        <v>Safe Seat</v>
      </c>
      <c r="Y258">
        <f>_xlfn.XLOOKUP($A258,Master_Data!$C:$C,Master_Data!$P:$P,"CHECK",0)</f>
        <v>0</v>
      </c>
      <c r="Z258">
        <f t="shared" si="7"/>
        <v>1</v>
      </c>
    </row>
    <row r="259" spans="1:26">
      <c r="A259" t="str">
        <v>Rangpur-2</v>
      </c>
      <c r="B259" t="str" cm="1">
        <f t="array" ref="B2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Nawabganj","Chapainawabganj"),Final_Merged_Data!$B$2:$B$1000=$A259)))</f>
        <v>Rangpur</v>
      </c>
      <c r="C259" t="str" cm="1">
        <f t="array" ref="C259">_xlfn.TEXTJOIN(", ",TRUE,_xlfn._xlws.FILTER(Final_Merged_Data!$C$2:$C$1000,Final_Merged_Data!$B$2:$B$1000=$A259))</f>
        <v>Badarganj, Taraganj</v>
      </c>
      <c r="D259" cm="1">
        <f t="array" ref="D259">COUNTA(_xlfn._xlws.FILTER(Final_Merged_Data!$C$2:$C$1000,Final_Merged_Data!$B$2:$B$1000=$A259))</f>
        <v>2</v>
      </c>
      <c r="E259">
        <f>SUMIFS(Final_Merged_Data!$E:$E,Final_Merged_Data!$B:$B,$A259)</f>
        <v>398.82</v>
      </c>
      <c r="F259">
        <f>SUMIFS(Final_Merged_Data!$F:$F,Final_Merged_Data!$B:$B,$A259)</f>
        <v>475729</v>
      </c>
      <c r="G259">
        <f t="shared" ref="G259:G301" si="8">IF(E259=0,"",F259/E259)</f>
        <v>1192.8413820771275</v>
      </c>
      <c r="H259" cm="1">
        <f t="array" ref="H259">SUMPRODUCT((Final_Merged_Data!$B$2:$B$1000=$A259)*Final_Merged_Data!$H$2:$H$1000*Final_Merged_Data!$F$2:$F$1000)/F259</f>
        <v>3.8407279354422372</v>
      </c>
      <c r="I259" cm="1">
        <f t="array" ref="I259">SUMPRODUCT((Final_Merged_Data!$B$2:$B$1000=$A259)*Final_Merged_Data!$I$2:$I$1000*Final_Merged_Data!$F$2:$F$1000)/F259</f>
        <v>68.235453440929604</v>
      </c>
      <c r="J259" t="str" cm="1">
        <f t="array" ref="J259">_xlfn.TEXTJOIN(", ",TRUE,_xlfn.UNIQUE(_xlfn._xlws.FILTER(Final_Merged_Data!$J$2:$J$1000,Final_Merged_Data!$B$2:$B$1000=$A259)))</f>
        <v>Rangpur Range</v>
      </c>
      <c r="K259" cm="1">
        <f t="array" ref="K259">SUMPRODUCT((Final_Merged_Data!$B$2:$B$1000=$A259)*Final_Merged_Data!$K$2:$K$1000*Final_Merged_Data!$F$2:$F$1000)/F259</f>
        <v>101.90869513385242</v>
      </c>
      <c r="L259" cm="1">
        <f t="array" ref="L259">SUMPRODUCT((Final_Merged_Data!$B$2:$B$1000=$A259)*Final_Merged_Data!$L$2:$L$1000*Final_Merged_Data!$F$2:$F$1000)/F259</f>
        <v>15.175373179583826</v>
      </c>
      <c r="M259" t="str">
        <f>IF(COUNTIF(Master_Data!$C:$C,$A259)&gt;0,"Found","Missing")</f>
        <v>Found</v>
      </c>
      <c r="N259" t="str">
        <f>_xlfn.XLOOKUP($A259,Master_Data!$C:$C,Master_Data!$D:$D,"CHECK",0)</f>
        <v>ATM Azharul Islam</v>
      </c>
      <c r="O259" t="str">
        <f>_xlfn.XLOOKUP($A259,Master_Data!$C:$C,Master_Data!$E:$E,"CHECK",0)</f>
        <v>Jamaat</v>
      </c>
      <c r="P259">
        <f>_xlfn.XLOOKUP($A259,Master_Data!$C:$C,Master_Data!$F:$F,"CHECK",0)</f>
        <v>2</v>
      </c>
      <c r="Q259">
        <f>_xlfn.XLOOKUP($A259,Master_Data!$C:$C,Master_Data!$G:$G,"CHECK",0)</f>
        <v>43076</v>
      </c>
      <c r="R259">
        <f>IFERROR(_xlfn.XLOOKUP($A259,Master_Data!$C:$C,Master_Data!$H:$H,"CHECK",0),"")</f>
        <v>66.091812937277524</v>
      </c>
      <c r="S259" t="str">
        <f>_xlfn.XLOOKUP($A259,Master_Data!$C:$C,Master_Data!$I:$I,"CHECK",0)</f>
        <v>Muhammad Ali Sarkar</v>
      </c>
      <c r="T259">
        <f>_xlfn.XLOOKUP($A259,Master_Data!$C:$C,Master_Data!$K:$K,"CHECK",0)</f>
        <v>22100</v>
      </c>
      <c r="U259">
        <f>IFERROR(_xlfn.XLOOKUP($A259,Master_Data!$C:$C,Master_Data!$L:$L,"CHECK",0),"")</f>
        <v>33.908187062722476</v>
      </c>
      <c r="V259">
        <f>_xlfn.XLOOKUP($A259,Master_Data!$C:$C,Master_Data!$M:$M,"CHECK",0)</f>
        <v>20976</v>
      </c>
      <c r="W259">
        <f>IFERROR(_xlfn.XLOOKUP($A259,Master_Data!$C:$C,Master_Data!$N:$N,"CHECK",0),"")</f>
        <v>32.183625874555048</v>
      </c>
      <c r="X259" t="str">
        <f>IFERROR(_xlfn.XLOOKUP($A259,Master_Data!$C:$C,Master_Data!$O:$O,"CHECK",0),"No Result")</f>
        <v>Safe Seat</v>
      </c>
      <c r="Y259">
        <f>_xlfn.XLOOKUP($A259,Master_Data!$C:$C,Master_Data!$P:$P,"CHECK",0)</f>
        <v>0</v>
      </c>
      <c r="Z259">
        <f t="shared" ref="Z259:Z301" si="9">IF(OR(R259="",Y259="No Result",N259="Election postponed",N259="Result withheld"),0,1)</f>
        <v>1</v>
      </c>
    </row>
    <row r="260" spans="1:26">
      <c r="A260" t="str">
        <v>Rangpur-3</v>
      </c>
      <c r="B260" t="str" cm="1">
        <f t="array" ref="B2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Nawabganj","Chapainawabganj"),Final_Merged_Data!$B$2:$B$1000=$A260)))</f>
        <v>Rangpur</v>
      </c>
      <c r="C260" t="str" cm="1">
        <f t="array" ref="C260">_xlfn.TEXTJOIN(", ",TRUE,_xlfn._xlws.FILTER(Final_Merged_Data!$C$2:$C$1000,Final_Merged_Data!$B$2:$B$1000=$A260))</f>
        <v>Rangpur Sadar</v>
      </c>
      <c r="D260" cm="1">
        <f t="array" ref="D260">COUNTA(_xlfn._xlws.FILTER(Final_Merged_Data!$C$2:$C$1000,Final_Merged_Data!$B$2:$B$1000=$A260))</f>
        <v>1</v>
      </c>
      <c r="E260">
        <f>SUMIFS(Final_Merged_Data!$E:$E,Final_Merged_Data!$B:$B,$A260)</f>
        <v>236.44</v>
      </c>
      <c r="F260">
        <f>SUMIFS(Final_Merged_Data!$F:$F,Final_Merged_Data!$B:$B,$A260)</f>
        <v>178664</v>
      </c>
      <c r="G260">
        <f t="shared" si="8"/>
        <v>755.64202334630352</v>
      </c>
      <c r="H260" cm="1">
        <f t="array" ref="H260">SUMPRODUCT((Final_Merged_Data!$B$2:$B$1000=$A260)*Final_Merged_Data!$H$2:$H$1000*Final_Merged_Data!$F$2:$F$1000)/F260</f>
        <v>3.85</v>
      </c>
      <c r="I260" cm="1">
        <f t="array" ref="I260">SUMPRODUCT((Final_Merged_Data!$B$2:$B$1000=$A260)*Final_Merged_Data!$I$2:$I$1000*Final_Merged_Data!$F$2:$F$1000)/F260</f>
        <v>68.239999999999995</v>
      </c>
      <c r="J260" t="str" cm="1">
        <f t="array" ref="J260">_xlfn.TEXTJOIN(", ",TRUE,_xlfn.UNIQUE(_xlfn._xlws.FILTER(Final_Merged_Data!$J$2:$J$1000,Final_Merged_Data!$B$2:$B$1000=$A260)))</f>
        <v>Rangpur Range</v>
      </c>
      <c r="K260" cm="1">
        <f t="array" ref="K260">SUMPRODUCT((Final_Merged_Data!$B$2:$B$1000=$A260)*Final_Merged_Data!$K$2:$K$1000*Final_Merged_Data!$F$2:$F$1000)/F260</f>
        <v>101.90869513385242</v>
      </c>
      <c r="L260" cm="1">
        <f t="array" ref="L260">SUMPRODUCT((Final_Merged_Data!$B$2:$B$1000=$A260)*Final_Merged_Data!$L$2:$L$1000*Final_Merged_Data!$F$2:$F$1000)/F260</f>
        <v>15.175373179583827</v>
      </c>
      <c r="M260" t="str">
        <f>IF(COUNTIF(Master_Data!$C:$C,$A260)&gt;0,"Found","Missing")</f>
        <v>Found</v>
      </c>
      <c r="N260" t="str">
        <f>_xlfn.XLOOKUP($A260,Master_Data!$C:$C,Master_Data!$D:$D,"CHECK",0)</f>
        <v>Mahbubur Rahman Belal</v>
      </c>
      <c r="O260" t="str">
        <f>_xlfn.XLOOKUP($A260,Master_Data!$C:$C,Master_Data!$E:$E,"CHECK",0)</f>
        <v>Jamaat</v>
      </c>
      <c r="P260">
        <f>_xlfn.XLOOKUP($A260,Master_Data!$C:$C,Master_Data!$F:$F,"CHECK",0)</f>
        <v>2</v>
      </c>
      <c r="Q260">
        <f>_xlfn.XLOOKUP($A260,Master_Data!$C:$C,Master_Data!$G:$G,"CHECK",0)</f>
        <v>175827</v>
      </c>
      <c r="R260">
        <f>IFERROR(_xlfn.XLOOKUP($A260,Master_Data!$C:$C,Master_Data!$H:$H,"CHECK",0),"")</f>
        <v>67.520592922562926</v>
      </c>
      <c r="S260" t="str">
        <f>_xlfn.XLOOKUP($A260,Master_Data!$C:$C,Master_Data!$I:$I,"CHECK",0)</f>
        <v>Md. Samsuzzaman Samu</v>
      </c>
      <c r="T260">
        <f>_xlfn.XLOOKUP($A260,Master_Data!$C:$C,Master_Data!$K:$K,"CHECK",0)</f>
        <v>84578</v>
      </c>
      <c r="U260">
        <f>IFERROR(_xlfn.XLOOKUP($A260,Master_Data!$C:$C,Master_Data!$L:$L,"CHECK",0),"")</f>
        <v>32.479407077437067</v>
      </c>
      <c r="V260">
        <f>_xlfn.XLOOKUP($A260,Master_Data!$C:$C,Master_Data!$M:$M,"CHECK",0)</f>
        <v>91249</v>
      </c>
      <c r="W260">
        <f>IFERROR(_xlfn.XLOOKUP($A260,Master_Data!$C:$C,Master_Data!$N:$N,"CHECK",0),"")</f>
        <v>35.04118584512586</v>
      </c>
      <c r="X260" t="str">
        <f>IFERROR(_xlfn.XLOOKUP($A260,Master_Data!$C:$C,Master_Data!$O:$O,"CHECK",0),"No Result")</f>
        <v>Safe Seat</v>
      </c>
      <c r="Y260">
        <f>_xlfn.XLOOKUP($A260,Master_Data!$C:$C,Master_Data!$P:$P,"CHECK",0)</f>
        <v>1</v>
      </c>
      <c r="Z260">
        <f t="shared" si="9"/>
        <v>1</v>
      </c>
    </row>
    <row r="261" spans="1:26">
      <c r="A261" t="str">
        <v>Rangpur-4</v>
      </c>
      <c r="B261" t="str" cm="1">
        <f t="array" ref="B2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Nawabganj","Chapainawabganj"),Final_Merged_Data!$B$2:$B$1000=$A261)))</f>
        <v>Rangpur</v>
      </c>
      <c r="C261" t="str" cm="1">
        <f t="array" ref="C261">_xlfn.TEXTJOIN(", ",TRUE,_xlfn._xlws.FILTER(Final_Merged_Data!$C$2:$C$1000,Final_Merged_Data!$B$2:$B$1000=$A261))</f>
        <v>Pirgachha, Kaunia</v>
      </c>
      <c r="D261" cm="1">
        <f t="array" ref="D261">COUNTA(_xlfn._xlws.FILTER(Final_Merged_Data!$C$2:$C$1000,Final_Merged_Data!$B$2:$B$1000=$A261))</f>
        <v>2</v>
      </c>
      <c r="E261">
        <f>SUMIFS(Final_Merged_Data!$E:$E,Final_Merged_Data!$B:$B,$A261)</f>
        <v>584.19999999999993</v>
      </c>
      <c r="F261">
        <f>SUMIFS(Final_Merged_Data!$F:$F,Final_Merged_Data!$B:$B,$A261)</f>
        <v>566288</v>
      </c>
      <c r="G261">
        <f t="shared" si="8"/>
        <v>969.33926737418699</v>
      </c>
      <c r="H261" cm="1">
        <f t="array" ref="H261">SUMPRODUCT((Final_Merged_Data!$B$2:$B$1000=$A261)*Final_Merged_Data!$H$2:$H$1000*Final_Merged_Data!$F$2:$F$1000)/F261</f>
        <v>3.638882723984969</v>
      </c>
      <c r="I261" cm="1">
        <f t="array" ref="I261">SUMPRODUCT((Final_Merged_Data!$B$2:$B$1000=$A261)*Final_Merged_Data!$I$2:$I$1000*Final_Merged_Data!$F$2:$F$1000)/F261</f>
        <v>66.645430134489871</v>
      </c>
      <c r="J261" t="str" cm="1">
        <f t="array" ref="J261">_xlfn.TEXTJOIN(", ",TRUE,_xlfn.UNIQUE(_xlfn._xlws.FILTER(Final_Merged_Data!$J$2:$J$1000,Final_Merged_Data!$B$2:$B$1000=$A261)))</f>
        <v>Rangpur Range</v>
      </c>
      <c r="K261" cm="1">
        <f t="array" ref="K261">SUMPRODUCT((Final_Merged_Data!$B$2:$B$1000=$A261)*Final_Merged_Data!$K$2:$K$1000*Final_Merged_Data!$F$2:$F$1000)/F261</f>
        <v>101.90869513385242</v>
      </c>
      <c r="L261" cm="1">
        <f t="array" ref="L261">SUMPRODUCT((Final_Merged_Data!$B$2:$B$1000=$A261)*Final_Merged_Data!$L$2:$L$1000*Final_Merged_Data!$F$2:$F$1000)/F261</f>
        <v>15.175373179583827</v>
      </c>
      <c r="M261" t="str">
        <f>IF(COUNTIF(Master_Data!$C:$C,$A261)&gt;0,"Found","Missing")</f>
        <v>Found</v>
      </c>
      <c r="N261" t="str">
        <f>_xlfn.XLOOKUP($A261,Master_Data!$C:$C,Master_Data!$D:$D,"CHECK",0)</f>
        <v>Akhter Hossen</v>
      </c>
      <c r="O261" t="str">
        <f>_xlfn.XLOOKUP($A261,Master_Data!$C:$C,Master_Data!$E:$E,"CHECK",0)</f>
        <v>NCP</v>
      </c>
      <c r="P261">
        <f>_xlfn.XLOOKUP($A261,Master_Data!$C:$C,Master_Data!$F:$F,"CHECK",0)</f>
        <v>0</v>
      </c>
      <c r="Q261">
        <f>_xlfn.XLOOKUP($A261,Master_Data!$C:$C,Master_Data!$G:$G,"CHECK",0)</f>
        <v>147947</v>
      </c>
      <c r="R261">
        <f>IFERROR(_xlfn.XLOOKUP($A261,Master_Data!$C:$C,Master_Data!$H:$H,"CHECK",0),"")</f>
        <v>51.448552143356409</v>
      </c>
      <c r="S261" t="str">
        <f>_xlfn.XLOOKUP($A261,Master_Data!$C:$C,Master_Data!$I:$I,"CHECK",0)</f>
        <v>Mohammad Emdadul Haque Bharsa</v>
      </c>
      <c r="T261">
        <f>_xlfn.XLOOKUP($A261,Master_Data!$C:$C,Master_Data!$K:$K,"CHECK",0)</f>
        <v>139616</v>
      </c>
      <c r="U261">
        <f>IFERROR(_xlfn.XLOOKUP($A261,Master_Data!$C:$C,Master_Data!$L:$L,"CHECK",0),"")</f>
        <v>48.551447856643584</v>
      </c>
      <c r="V261">
        <f>_xlfn.XLOOKUP($A261,Master_Data!$C:$C,Master_Data!$M:$M,"CHECK",0)</f>
        <v>8331</v>
      </c>
      <c r="W261">
        <f>IFERROR(_xlfn.XLOOKUP($A261,Master_Data!$C:$C,Master_Data!$N:$N,"CHECK",0),"")</f>
        <v>2.8971042867128247</v>
      </c>
      <c r="X261" t="str">
        <f>IFERROR(_xlfn.XLOOKUP($A261,Master_Data!$C:$C,Master_Data!$O:$O,"CHECK",0),"No Result")</f>
        <v>Highly Competitive</v>
      </c>
      <c r="Y261">
        <f>_xlfn.XLOOKUP($A261,Master_Data!$C:$C,Master_Data!$P:$P,"CHECK",0)</f>
        <v>0</v>
      </c>
      <c r="Z261">
        <f t="shared" si="9"/>
        <v>1</v>
      </c>
    </row>
    <row r="262" spans="1:26">
      <c r="A262" t="str">
        <v>Rangpur-5</v>
      </c>
      <c r="B262" t="str" cm="1">
        <f t="array" ref="B2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Nawabganj","Chapainawabganj"),Final_Merged_Data!$B$2:$B$1000=$A262)))</f>
        <v>Rangpur</v>
      </c>
      <c r="C262" t="str" cm="1">
        <f t="array" ref="C262">_xlfn.TEXTJOIN(", ",TRUE,_xlfn._xlws.FILTER(Final_Merged_Data!$C$2:$C$1000,Final_Merged_Data!$B$2:$B$1000=$A262))</f>
        <v>Mithapukur</v>
      </c>
      <c r="D262" cm="1">
        <f t="array" ref="D262">COUNTA(_xlfn._xlws.FILTER(Final_Merged_Data!$C$2:$C$1000,Final_Merged_Data!$B$2:$B$1000=$A262))</f>
        <v>1</v>
      </c>
      <c r="E262">
        <f>SUMIFS(Final_Merged_Data!$E:$E,Final_Merged_Data!$B:$B,$A262)</f>
        <v>409.37</v>
      </c>
      <c r="F262">
        <f>SUMIFS(Final_Merged_Data!$F:$F,Final_Merged_Data!$B:$B,$A262)</f>
        <v>538686</v>
      </c>
      <c r="G262">
        <f t="shared" si="8"/>
        <v>1315.8902704155164</v>
      </c>
      <c r="H262" cm="1">
        <f t="array" ref="H262">SUMPRODUCT((Final_Merged_Data!$B$2:$B$1000=$A262)*Final_Merged_Data!$H$2:$H$1000*Final_Merged_Data!$F$2:$F$1000)/F262</f>
        <v>3.51</v>
      </c>
      <c r="I262" cm="1">
        <f t="array" ref="I262">SUMPRODUCT((Final_Merged_Data!$B$2:$B$1000=$A262)*Final_Merged_Data!$I$2:$I$1000*Final_Merged_Data!$F$2:$F$1000)/F262</f>
        <v>69.33</v>
      </c>
      <c r="J262" t="str" cm="1">
        <f t="array" ref="J262">_xlfn.TEXTJOIN(", ",TRUE,_xlfn.UNIQUE(_xlfn._xlws.FILTER(Final_Merged_Data!$J$2:$J$1000,Final_Merged_Data!$B$2:$B$1000=$A262)))</f>
        <v>Rangpur Range</v>
      </c>
      <c r="K262" cm="1">
        <f t="array" ref="K262">SUMPRODUCT((Final_Merged_Data!$B$2:$B$1000=$A262)*Final_Merged_Data!$K$2:$K$1000*Final_Merged_Data!$F$2:$F$1000)/F262</f>
        <v>101.90869513385242</v>
      </c>
      <c r="L262" cm="1">
        <f t="array" ref="L262">SUMPRODUCT((Final_Merged_Data!$B$2:$B$1000=$A262)*Final_Merged_Data!$L$2:$L$1000*Final_Merged_Data!$F$2:$F$1000)/F262</f>
        <v>15.175373179583827</v>
      </c>
      <c r="M262" t="str">
        <f>IF(COUNTIF(Master_Data!$C:$C,$A262)&gt;0,"Found","Missing")</f>
        <v>Found</v>
      </c>
      <c r="N262" t="str">
        <f>_xlfn.XLOOKUP($A262,Master_Data!$C:$C,Master_Data!$D:$D,"CHECK",0)</f>
        <v>Md. Golam Rabbani</v>
      </c>
      <c r="O262" t="str">
        <f>_xlfn.XLOOKUP($A262,Master_Data!$C:$C,Master_Data!$E:$E,"CHECK",0)</f>
        <v>Jamaat</v>
      </c>
      <c r="P262">
        <f>_xlfn.XLOOKUP($A262,Master_Data!$C:$C,Master_Data!$F:$F,"CHECK",0)</f>
        <v>2</v>
      </c>
      <c r="Q262">
        <f>_xlfn.XLOOKUP($A262,Master_Data!$C:$C,Master_Data!$G:$G,"CHECK",0)</f>
        <v>175208</v>
      </c>
      <c r="R262">
        <f>IFERROR(_xlfn.XLOOKUP($A262,Master_Data!$C:$C,Master_Data!$H:$H,"CHECK",0),"")</f>
        <v>60.552481605258698</v>
      </c>
      <c r="S262" t="str">
        <f>_xlfn.XLOOKUP($A262,Master_Data!$C:$C,Master_Data!$I:$I,"CHECK",0)</f>
        <v>Md. Golam Rabbani</v>
      </c>
      <c r="T262">
        <f>_xlfn.XLOOKUP($A262,Master_Data!$C:$C,Master_Data!$K:$K,"CHECK",0)</f>
        <v>114141</v>
      </c>
      <c r="U262">
        <f>IFERROR(_xlfn.XLOOKUP($A262,Master_Data!$C:$C,Master_Data!$L:$L,"CHECK",0),"")</f>
        <v>39.447518394741302</v>
      </c>
      <c r="V262">
        <f>_xlfn.XLOOKUP($A262,Master_Data!$C:$C,Master_Data!$M:$M,"CHECK",0)</f>
        <v>61067</v>
      </c>
      <c r="W262">
        <f>IFERROR(_xlfn.XLOOKUP($A262,Master_Data!$C:$C,Master_Data!$N:$N,"CHECK",0),"")</f>
        <v>21.104963210517404</v>
      </c>
      <c r="X262" t="str">
        <f>IFERROR(_xlfn.XLOOKUP($A262,Master_Data!$C:$C,Master_Data!$O:$O,"CHECK",0),"No Result")</f>
        <v>Safe Seat</v>
      </c>
      <c r="Y262">
        <f>_xlfn.XLOOKUP($A262,Master_Data!$C:$C,Master_Data!$P:$P,"CHECK",0)</f>
        <v>0</v>
      </c>
      <c r="Z262">
        <f t="shared" si="9"/>
        <v>1</v>
      </c>
    </row>
    <row r="263" spans="1:26">
      <c r="A263" t="str">
        <v>Rangpur-6</v>
      </c>
      <c r="B263" t="str" cm="1">
        <f t="array" ref="B2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Nawabganj","Chapainawabganj"),Final_Merged_Data!$B$2:$B$1000=$A263)))</f>
        <v>Rangpur</v>
      </c>
      <c r="C263" t="str" cm="1">
        <f t="array" ref="C263">_xlfn.TEXTJOIN(", ",TRUE,_xlfn._xlws.FILTER(Final_Merged_Data!$C$2:$C$1000,Final_Merged_Data!$B$2:$B$1000=$A263))</f>
        <v>Pirganj</v>
      </c>
      <c r="D263" cm="1">
        <f t="array" ref="D263">COUNTA(_xlfn._xlws.FILTER(Final_Merged_Data!$C$2:$C$1000,Final_Merged_Data!$B$2:$B$1000=$A263))</f>
        <v>1</v>
      </c>
      <c r="E263">
        <f>SUMIFS(Final_Merged_Data!$E:$E,Final_Merged_Data!$B:$B,$A263)</f>
        <v>280.43</v>
      </c>
      <c r="F263">
        <f>SUMIFS(Final_Merged_Data!$F:$F,Final_Merged_Data!$B:$B,$A263)</f>
        <v>414833</v>
      </c>
      <c r="G263">
        <f t="shared" si="8"/>
        <v>1479.2746853047106</v>
      </c>
      <c r="H263" cm="1">
        <f t="array" ref="H263">SUMPRODUCT((Final_Merged_Data!$B$2:$B$1000=$A263)*Final_Merged_Data!$H$2:$H$1000*Final_Merged_Data!$F$2:$F$1000)/F263</f>
        <v>3.5800000000000005</v>
      </c>
      <c r="I263" cm="1">
        <f t="array" ref="I263">SUMPRODUCT((Final_Merged_Data!$B$2:$B$1000=$A263)*Final_Merged_Data!$I$2:$I$1000*Final_Merged_Data!$F$2:$F$1000)/F263</f>
        <v>67.11</v>
      </c>
      <c r="J263" t="str" cm="1">
        <f t="array" ref="J263">_xlfn.TEXTJOIN(", ",TRUE,_xlfn.UNIQUE(_xlfn._xlws.FILTER(Final_Merged_Data!$J$2:$J$1000,Final_Merged_Data!$B$2:$B$1000=$A263)))</f>
        <v>Rangpur Range</v>
      </c>
      <c r="K263" cm="1">
        <f t="array" ref="K263">SUMPRODUCT((Final_Merged_Data!$B$2:$B$1000=$A263)*Final_Merged_Data!$K$2:$K$1000*Final_Merged_Data!$F$2:$F$1000)/F263</f>
        <v>101.90869513385242</v>
      </c>
      <c r="L263" cm="1">
        <f t="array" ref="L263">SUMPRODUCT((Final_Merged_Data!$B$2:$B$1000=$A263)*Final_Merged_Data!$L$2:$L$1000*Final_Merged_Data!$F$2:$F$1000)/F263</f>
        <v>15.175373179583827</v>
      </c>
      <c r="M263" t="str">
        <f>IF(COUNTIF(Master_Data!$C:$C,$A263)&gt;0,"Found","Missing")</f>
        <v>Found</v>
      </c>
      <c r="N263" t="str">
        <f>_xlfn.XLOOKUP($A263,Master_Data!$C:$C,Master_Data!$D:$D,"CHECK",0)</f>
        <v>Md. Nurul Amin</v>
      </c>
      <c r="O263" t="str">
        <f>_xlfn.XLOOKUP($A263,Master_Data!$C:$C,Master_Data!$E:$E,"CHECK",0)</f>
        <v>Jamaat</v>
      </c>
      <c r="P263">
        <f>_xlfn.XLOOKUP($A263,Master_Data!$C:$C,Master_Data!$F:$F,"CHECK",0)</f>
        <v>2</v>
      </c>
      <c r="Q263">
        <f>_xlfn.XLOOKUP($A263,Master_Data!$C:$C,Master_Data!$G:$G,"CHECK",0)</f>
        <v>118890</v>
      </c>
      <c r="R263">
        <f>IFERROR(_xlfn.XLOOKUP($A263,Master_Data!$C:$C,Master_Data!$H:$H,"CHECK",0),"")</f>
        <v>50.417922980038931</v>
      </c>
      <c r="S263" t="str">
        <f>_xlfn.XLOOKUP($A263,Master_Data!$C:$C,Master_Data!$I:$I,"CHECK",0)</f>
        <v>Md. Saiful Islam[disambiguation needed]</v>
      </c>
      <c r="T263">
        <f>_xlfn.XLOOKUP($A263,Master_Data!$C:$C,Master_Data!$K:$K,"CHECK",0)</f>
        <v>116919</v>
      </c>
      <c r="U263">
        <f>IFERROR(_xlfn.XLOOKUP($A263,Master_Data!$C:$C,Master_Data!$L:$L,"CHECK",0),"")</f>
        <v>49.582077019961069</v>
      </c>
      <c r="V263">
        <f>_xlfn.XLOOKUP($A263,Master_Data!$C:$C,Master_Data!$M:$M,"CHECK",0)</f>
        <v>1971</v>
      </c>
      <c r="W263">
        <f>IFERROR(_xlfn.XLOOKUP($A263,Master_Data!$C:$C,Master_Data!$N:$N,"CHECK",0),"")</f>
        <v>0.83584596007785961</v>
      </c>
      <c r="X263" t="str">
        <f>IFERROR(_xlfn.XLOOKUP($A263,Master_Data!$C:$C,Master_Data!$O:$O,"CHECK",0),"No Result")</f>
        <v>Highly Competitive</v>
      </c>
      <c r="Y263">
        <f>_xlfn.XLOOKUP($A263,Master_Data!$C:$C,Master_Data!$P:$P,"CHECK",0)</f>
        <v>0</v>
      </c>
      <c r="Z263">
        <f t="shared" si="9"/>
        <v>1</v>
      </c>
    </row>
    <row r="264" spans="1:26">
      <c r="A264" t="str">
        <v>Satkhira-1</v>
      </c>
      <c r="B264" t="str" cm="1">
        <f t="array" ref="B2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Nawabganj","Chapainawabganj"),Final_Merged_Data!$B$2:$B$1000=$A264)))</f>
        <v>Satkhira</v>
      </c>
      <c r="C264" t="str" cm="1">
        <f t="array" ref="C264">_xlfn.TEXTJOIN(", ",TRUE,_xlfn._xlws.FILTER(Final_Merged_Data!$C$2:$C$1000,Final_Merged_Data!$B$2:$B$1000=$A264))</f>
        <v>Tala, Kalaroa</v>
      </c>
      <c r="D264" cm="1">
        <f t="array" ref="D264">COUNTA(_xlfn._xlws.FILTER(Final_Merged_Data!$C$2:$C$1000,Final_Merged_Data!$B$2:$B$1000=$A264))</f>
        <v>2</v>
      </c>
      <c r="E264">
        <f>SUMIFS(Final_Merged_Data!$E:$E,Final_Merged_Data!$B:$B,$A264)</f>
        <v>539.88</v>
      </c>
      <c r="F264">
        <f>SUMIFS(Final_Merged_Data!$F:$F,Final_Merged_Data!$B:$B,$A264)</f>
        <v>587361</v>
      </c>
      <c r="G264">
        <f t="shared" si="8"/>
        <v>1087.9473216270283</v>
      </c>
      <c r="H264" cm="1">
        <f t="array" ref="H264">SUMPRODUCT((Final_Merged_Data!$B$2:$B$1000=$A264)*Final_Merged_Data!$H$2:$H$1000*Final_Merged_Data!$F$2:$F$1000)/F264</f>
        <v>3.7366236266963591</v>
      </c>
      <c r="I264" cm="1">
        <f t="array" ref="I264">SUMPRODUCT((Final_Merged_Data!$B$2:$B$1000=$A264)*Final_Merged_Data!$I$2:$I$1000*Final_Merged_Data!$F$2:$F$1000)/F264</f>
        <v>73.617243364813135</v>
      </c>
      <c r="J264" t="str" cm="1">
        <f t="array" ref="J264">_xlfn.TEXTJOIN(", ",TRUE,_xlfn.UNIQUE(_xlfn._xlws.FILTER(Final_Merged_Data!$J$2:$J$1000,Final_Merged_Data!$B$2:$B$1000=$A264)))</f>
        <v>Khulna Range</v>
      </c>
      <c r="K264" cm="1">
        <f t="array" ref="K264">SUMPRODUCT((Final_Merged_Data!$B$2:$B$1000=$A264)*Final_Merged_Data!$K$2:$K$1000*Final_Merged_Data!$F$2:$F$1000)/F264</f>
        <v>102.32166075410298</v>
      </c>
      <c r="L264" cm="1">
        <f t="array" ref="L264">SUMPRODUCT((Final_Merged_Data!$B$2:$B$1000=$A264)*Final_Merged_Data!$L$2:$L$1000*Final_Merged_Data!$F$2:$F$1000)/F264</f>
        <v>12.212237548443921</v>
      </c>
      <c r="M264" t="str">
        <f>IF(COUNTIF(Master_Data!$C:$C,$A264)&gt;0,"Found","Missing")</f>
        <v>Found</v>
      </c>
      <c r="N264" t="str">
        <f>_xlfn.XLOOKUP($A264,Master_Data!$C:$C,Master_Data!$D:$D,"CHECK",0)</f>
        <v>Md. Izzatullah</v>
      </c>
      <c r="O264" t="str">
        <f>_xlfn.XLOOKUP($A264,Master_Data!$C:$C,Master_Data!$E:$E,"CHECK",0)</f>
        <v>Jamaat</v>
      </c>
      <c r="P264">
        <f>_xlfn.XLOOKUP($A264,Master_Data!$C:$C,Master_Data!$F:$F,"CHECK",0)</f>
        <v>2</v>
      </c>
      <c r="Q264">
        <f>_xlfn.XLOOKUP($A264,Master_Data!$C:$C,Master_Data!$G:$G,"CHECK",0)</f>
        <v>193772</v>
      </c>
      <c r="R264">
        <f>IFERROR(_xlfn.XLOOKUP($A264,Master_Data!$C:$C,Master_Data!$H:$H,"CHECK",0),"")</f>
        <v>53.268163412294136</v>
      </c>
      <c r="S264" t="str">
        <f>_xlfn.XLOOKUP($A264,Master_Data!$C:$C,Master_Data!$I:$I,"CHECK",0)</f>
        <v>Md. Habibul Islam Habib</v>
      </c>
      <c r="T264">
        <f>_xlfn.XLOOKUP($A264,Master_Data!$C:$C,Master_Data!$K:$K,"CHECK",0)</f>
        <v>169995</v>
      </c>
      <c r="U264">
        <f>IFERROR(_xlfn.XLOOKUP($A264,Master_Data!$C:$C,Master_Data!$L:$L,"CHECK",0),"")</f>
        <v>46.731836587705864</v>
      </c>
      <c r="V264">
        <f>_xlfn.XLOOKUP($A264,Master_Data!$C:$C,Master_Data!$M:$M,"CHECK",0)</f>
        <v>23777</v>
      </c>
      <c r="W264">
        <f>IFERROR(_xlfn.XLOOKUP($A264,Master_Data!$C:$C,Master_Data!$N:$N,"CHECK",0),"")</f>
        <v>6.536326824588266</v>
      </c>
      <c r="X264" t="str">
        <f>IFERROR(_xlfn.XLOOKUP($A264,Master_Data!$C:$C,Master_Data!$O:$O,"CHECK",0),"No Result")</f>
        <v>Safe Seat</v>
      </c>
      <c r="Y264">
        <f>_xlfn.XLOOKUP($A264,Master_Data!$C:$C,Master_Data!$P:$P,"CHECK",0)</f>
        <v>0</v>
      </c>
      <c r="Z264">
        <f t="shared" si="9"/>
        <v>1</v>
      </c>
    </row>
    <row r="265" spans="1:26">
      <c r="A265" t="str">
        <v>Satkhira-2</v>
      </c>
      <c r="B265" t="str" cm="1">
        <f t="array" ref="B2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Nawabganj","Chapainawabganj"),Final_Merged_Data!$B$2:$B$1000=$A265)))</f>
        <v>Satkhira</v>
      </c>
      <c r="C265" t="str" cm="1">
        <f t="array" ref="C265">_xlfn.TEXTJOIN(", ",TRUE,_xlfn._xlws.FILTER(Final_Merged_Data!$C$2:$C$1000,Final_Merged_Data!$B$2:$B$1000=$A265))</f>
        <v>Satkhira Sadar</v>
      </c>
      <c r="D265" cm="1">
        <f t="array" ref="D265">COUNTA(_xlfn._xlws.FILTER(Final_Merged_Data!$C$2:$C$1000,Final_Merged_Data!$B$2:$B$1000=$A265))</f>
        <v>1</v>
      </c>
      <c r="E265">
        <f>SUMIFS(Final_Merged_Data!$E:$E,Final_Merged_Data!$B:$B,$A265)</f>
        <v>401.87</v>
      </c>
      <c r="F265">
        <f>SUMIFS(Final_Merged_Data!$F:$F,Final_Merged_Data!$B:$B,$A265)</f>
        <v>522934</v>
      </c>
      <c r="G265">
        <f t="shared" si="8"/>
        <v>1301.2516485430613</v>
      </c>
      <c r="H265" cm="1">
        <f t="array" ref="H265">SUMPRODUCT((Final_Merged_Data!$B$2:$B$1000=$A265)*Final_Merged_Data!$H$2:$H$1000*Final_Merged_Data!$F$2:$F$1000)/F265</f>
        <v>3.81</v>
      </c>
      <c r="I265" cm="1">
        <f t="array" ref="I265">SUMPRODUCT((Final_Merged_Data!$B$2:$B$1000=$A265)*Final_Merged_Data!$I$2:$I$1000*Final_Merged_Data!$F$2:$F$1000)/F265</f>
        <v>78.06</v>
      </c>
      <c r="J265" t="str" cm="1">
        <f t="array" ref="J265">_xlfn.TEXTJOIN(", ",TRUE,_xlfn.UNIQUE(_xlfn._xlws.FILTER(Final_Merged_Data!$J$2:$J$1000,Final_Merged_Data!$B$2:$B$1000=$A265)))</f>
        <v>Khulna Range</v>
      </c>
      <c r="K265" cm="1">
        <f t="array" ref="K265">SUMPRODUCT((Final_Merged_Data!$B$2:$B$1000=$A265)*Final_Merged_Data!$K$2:$K$1000*Final_Merged_Data!$F$2:$F$1000)/F265</f>
        <v>102.32166075410298</v>
      </c>
      <c r="L265" cm="1">
        <f t="array" ref="L265">SUMPRODUCT((Final_Merged_Data!$B$2:$B$1000=$A265)*Final_Merged_Data!$L$2:$L$1000*Final_Merged_Data!$F$2:$F$1000)/F265</f>
        <v>12.212237548443923</v>
      </c>
      <c r="M265" t="str">
        <f>IF(COUNTIF(Master_Data!$C:$C,$A265)&gt;0,"Found","Missing")</f>
        <v>Found</v>
      </c>
      <c r="N265" t="str">
        <f>_xlfn.XLOOKUP($A265,Master_Data!$C:$C,Master_Data!$D:$D,"CHECK",0)</f>
        <v>Muhammad Abdul Khaliq</v>
      </c>
      <c r="O265" t="str">
        <f>_xlfn.XLOOKUP($A265,Master_Data!$C:$C,Master_Data!$E:$E,"CHECK",0)</f>
        <v>Jamaat</v>
      </c>
      <c r="P265">
        <f>_xlfn.XLOOKUP($A265,Master_Data!$C:$C,Master_Data!$F:$F,"CHECK",0)</f>
        <v>2</v>
      </c>
      <c r="Q265">
        <f>_xlfn.XLOOKUP($A265,Master_Data!$C:$C,Master_Data!$G:$G,"CHECK",0)</f>
        <v>266959</v>
      </c>
      <c r="R265">
        <f>IFERROR(_xlfn.XLOOKUP($A265,Master_Data!$C:$C,Master_Data!$H:$H,"CHECK",0),"")</f>
        <v>69.656257501591639</v>
      </c>
      <c r="S265" t="str">
        <f>_xlfn.XLOOKUP($A265,Master_Data!$C:$C,Master_Data!$I:$I,"CHECK",0)</f>
        <v>Md. Abdur Rauf</v>
      </c>
      <c r="T265">
        <f>_xlfn.XLOOKUP($A265,Master_Data!$C:$C,Master_Data!$K:$K,"CHECK",0)</f>
        <v>116293</v>
      </c>
      <c r="U265">
        <f>IFERROR(_xlfn.XLOOKUP($A265,Master_Data!$C:$C,Master_Data!$L:$L,"CHECK",0),"")</f>
        <v>30.343742498408361</v>
      </c>
      <c r="V265">
        <f>_xlfn.XLOOKUP($A265,Master_Data!$C:$C,Master_Data!$M:$M,"CHECK",0)</f>
        <v>150666</v>
      </c>
      <c r="W265">
        <f>IFERROR(_xlfn.XLOOKUP($A265,Master_Data!$C:$C,Master_Data!$N:$N,"CHECK",0),"")</f>
        <v>39.312515003183286</v>
      </c>
      <c r="X265" t="str">
        <f>IFERROR(_xlfn.XLOOKUP($A265,Master_Data!$C:$C,Master_Data!$O:$O,"CHECK",0),"No Result")</f>
        <v>Safe Seat</v>
      </c>
      <c r="Y265">
        <f>_xlfn.XLOOKUP($A265,Master_Data!$C:$C,Master_Data!$P:$P,"CHECK",0)</f>
        <v>0</v>
      </c>
      <c r="Z265">
        <f t="shared" si="9"/>
        <v>1</v>
      </c>
    </row>
    <row r="266" spans="1:26">
      <c r="A266" t="str">
        <v>Satkhira-3</v>
      </c>
      <c r="B266" t="str" cm="1">
        <f t="array" ref="B2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Nawabganj","Chapainawabganj"),Final_Merged_Data!$B$2:$B$1000=$A266)))</f>
        <v>Satkhira</v>
      </c>
      <c r="C266" t="str" cm="1">
        <f t="array" ref="C266">_xlfn.TEXTJOIN(", ",TRUE,_xlfn._xlws.FILTER(Final_Merged_Data!$C$2:$C$1000,Final_Merged_Data!$B$2:$B$1000=$A266))</f>
        <v>Ashashuni, Debhata</v>
      </c>
      <c r="D266" cm="1">
        <f t="array" ref="D266">COUNTA(_xlfn._xlws.FILTER(Final_Merged_Data!$C$2:$C$1000,Final_Merged_Data!$B$2:$B$1000=$A266))</f>
        <v>2</v>
      </c>
      <c r="E266">
        <f>SUMIFS(Final_Merged_Data!$E:$E,Final_Merged_Data!$B:$B,$A266)</f>
        <v>525.52</v>
      </c>
      <c r="F266">
        <f>SUMIFS(Final_Merged_Data!$F:$F,Final_Merged_Data!$B:$B,$A266)</f>
        <v>414762</v>
      </c>
      <c r="G266">
        <f t="shared" si="8"/>
        <v>789.24113259247986</v>
      </c>
      <c r="H266" cm="1">
        <f t="array" ref="H266">SUMPRODUCT((Final_Merged_Data!$B$2:$B$1000=$A266)*Final_Merged_Data!$H$2:$H$1000*Final_Merged_Data!$F$2:$F$1000)/F266</f>
        <v>3.8971721131636943</v>
      </c>
      <c r="I266" cm="1">
        <f t="array" ref="I266">SUMPRODUCT((Final_Merged_Data!$B$2:$B$1000=$A266)*Final_Merged_Data!$I$2:$I$1000*Final_Merged_Data!$F$2:$F$1000)/F266</f>
        <v>74.464357318172816</v>
      </c>
      <c r="J266" t="str" cm="1">
        <f t="array" ref="J266">_xlfn.TEXTJOIN(", ",TRUE,_xlfn.UNIQUE(_xlfn._xlws.FILTER(Final_Merged_Data!$J$2:$J$1000,Final_Merged_Data!$B$2:$B$1000=$A266)))</f>
        <v>Khulna Range</v>
      </c>
      <c r="K266" cm="1">
        <f t="array" ref="K266">SUMPRODUCT((Final_Merged_Data!$B$2:$B$1000=$A266)*Final_Merged_Data!$K$2:$K$1000*Final_Merged_Data!$F$2:$F$1000)/F266</f>
        <v>102.32166075410298</v>
      </c>
      <c r="L266" cm="1">
        <f t="array" ref="L266">SUMPRODUCT((Final_Merged_Data!$B$2:$B$1000=$A266)*Final_Merged_Data!$L$2:$L$1000*Final_Merged_Data!$F$2:$F$1000)/F266</f>
        <v>12.212237548443923</v>
      </c>
      <c r="M266" t="str">
        <f>IF(COUNTIF(Master_Data!$C:$C,$A266)&gt;0,"Found","Missing")</f>
        <v>Found</v>
      </c>
      <c r="N266" t="str">
        <f>_xlfn.XLOOKUP($A266,Master_Data!$C:$C,Master_Data!$D:$D,"CHECK",0)</f>
        <v>Hafez Rabiul Bashar</v>
      </c>
      <c r="O266" t="str">
        <f>_xlfn.XLOOKUP($A266,Master_Data!$C:$C,Master_Data!$E:$E,"CHECK",0)</f>
        <v>Jamaat</v>
      </c>
      <c r="P266">
        <f>_xlfn.XLOOKUP($A266,Master_Data!$C:$C,Master_Data!$F:$F,"CHECK",0)</f>
        <v>2</v>
      </c>
      <c r="Q266">
        <f>_xlfn.XLOOKUP($A266,Master_Data!$C:$C,Master_Data!$G:$G,"CHECK",0)</f>
        <v>184233</v>
      </c>
      <c r="R266">
        <f>IFERROR(_xlfn.XLOOKUP($A266,Master_Data!$C:$C,Master_Data!$H:$H,"CHECK",0),"")</f>
        <v>63.613731475215118</v>
      </c>
      <c r="S266" t="str">
        <f>_xlfn.XLOOKUP($A266,Master_Data!$C:$C,Master_Data!$I:$I,"CHECK",0)</f>
        <v>Md. Shahidul Alam</v>
      </c>
      <c r="T266">
        <f>_xlfn.XLOOKUP($A266,Master_Data!$C:$C,Master_Data!$K:$K,"CHECK",0)</f>
        <v>105379</v>
      </c>
      <c r="U266">
        <f>IFERROR(_xlfn.XLOOKUP($A266,Master_Data!$C:$C,Master_Data!$L:$L,"CHECK",0),"")</f>
        <v>36.386268524784889</v>
      </c>
      <c r="V266">
        <f>_xlfn.XLOOKUP($A266,Master_Data!$C:$C,Master_Data!$M:$M,"CHECK",0)</f>
        <v>78854</v>
      </c>
      <c r="W266">
        <f>IFERROR(_xlfn.XLOOKUP($A266,Master_Data!$C:$C,Master_Data!$N:$N,"CHECK",0),"")</f>
        <v>27.22746295043023</v>
      </c>
      <c r="X266" t="str">
        <f>IFERROR(_xlfn.XLOOKUP($A266,Master_Data!$C:$C,Master_Data!$O:$O,"CHECK",0),"No Result")</f>
        <v>Safe Seat</v>
      </c>
      <c r="Y266">
        <f>_xlfn.XLOOKUP($A266,Master_Data!$C:$C,Master_Data!$P:$P,"CHECK",0)</f>
        <v>0</v>
      </c>
      <c r="Z266">
        <f t="shared" si="9"/>
        <v>1</v>
      </c>
    </row>
    <row r="267" spans="1:26">
      <c r="A267" t="str">
        <v>Satkhira-4</v>
      </c>
      <c r="B267" t="str" cm="1">
        <f t="array" ref="B2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Nawabganj","Chapainawabganj"),Final_Merged_Data!$B$2:$B$1000=$A267)))</f>
        <v>Satkhira</v>
      </c>
      <c r="C267" t="str" cm="1">
        <f t="array" ref="C267">_xlfn.TEXTJOIN(", ",TRUE,_xlfn._xlws.FILTER(Final_Merged_Data!$C$2:$C$1000,Final_Merged_Data!$B$2:$B$1000=$A267))</f>
        <v>Shyamnagar, Kaliganj</v>
      </c>
      <c r="D267" cm="1">
        <f t="array" ref="D267">COUNTA(_xlfn._xlws.FILTER(Final_Merged_Data!$C$2:$C$1000,Final_Merged_Data!$B$2:$B$1000=$A267))</f>
        <v>2</v>
      </c>
      <c r="E267">
        <f>SUMIFS(Final_Merged_Data!$E:$E,Final_Merged_Data!$B:$B,$A267)</f>
        <v>433.16999999999996</v>
      </c>
      <c r="F267">
        <f>SUMIFS(Final_Merged_Data!$F:$F,Final_Merged_Data!$B:$B,$A267)</f>
        <v>676896</v>
      </c>
      <c r="G267">
        <f t="shared" si="8"/>
        <v>1562.6566936768477</v>
      </c>
      <c r="H267" cm="1">
        <f t="array" ref="H267">SUMPRODUCT((Final_Merged_Data!$B$2:$B$1000=$A267)*Final_Merged_Data!$H$2:$H$1000*Final_Merged_Data!$F$2:$F$1000)/F267</f>
        <v>4.0024380407034457</v>
      </c>
      <c r="I267" cm="1">
        <f t="array" ref="I267">SUMPRODUCT((Final_Merged_Data!$B$2:$B$1000=$A267)*Final_Merged_Data!$I$2:$I$1000*Final_Merged_Data!$F$2:$F$1000)/F267</f>
        <v>77.006582104193242</v>
      </c>
      <c r="J267" t="str" cm="1">
        <f t="array" ref="J267">_xlfn.TEXTJOIN(", ",TRUE,_xlfn.UNIQUE(_xlfn._xlws.FILTER(Final_Merged_Data!$J$2:$J$1000,Final_Merged_Data!$B$2:$B$1000=$A267)))</f>
        <v>Khulna Range</v>
      </c>
      <c r="K267" cm="1">
        <f t="array" ref="K267">SUMPRODUCT((Final_Merged_Data!$B$2:$B$1000=$A267)*Final_Merged_Data!$K$2:$K$1000*Final_Merged_Data!$F$2:$F$1000)/F267</f>
        <v>102.32166075410298</v>
      </c>
      <c r="L267" cm="1">
        <f t="array" ref="L267">SUMPRODUCT((Final_Merged_Data!$B$2:$B$1000=$A267)*Final_Merged_Data!$L$2:$L$1000*Final_Merged_Data!$F$2:$F$1000)/F267</f>
        <v>12.212237548443923</v>
      </c>
      <c r="M267" t="str">
        <f>IF(COUNTIF(Master_Data!$C:$C,$A267)&gt;0,"Found","Missing")</f>
        <v>Found</v>
      </c>
      <c r="N267" t="str">
        <f>_xlfn.XLOOKUP($A267,Master_Data!$C:$C,Master_Data!$D:$D,"CHECK",0)</f>
        <v>Gazi Nazrul Islam</v>
      </c>
      <c r="O267" t="str">
        <f>_xlfn.XLOOKUP($A267,Master_Data!$C:$C,Master_Data!$E:$E,"CHECK",0)</f>
        <v>Jamaat</v>
      </c>
      <c r="P267">
        <f>_xlfn.XLOOKUP($A267,Master_Data!$C:$C,Master_Data!$F:$F,"CHECK",0)</f>
        <v>2</v>
      </c>
      <c r="Q267">
        <f>_xlfn.XLOOKUP($A267,Master_Data!$C:$C,Master_Data!$G:$G,"CHECK",0)</f>
        <v>106913</v>
      </c>
      <c r="R267">
        <f>IFERROR(_xlfn.XLOOKUP($A267,Master_Data!$C:$C,Master_Data!$H:$H,"CHECK",0),"")</f>
        <v>55.585710646306786</v>
      </c>
      <c r="S267" t="str">
        <f>_xlfn.XLOOKUP($A267,Master_Data!$C:$C,Master_Data!$I:$I,"CHECK",0)</f>
        <v>Md. Moniruzzaman</v>
      </c>
      <c r="T267">
        <f>_xlfn.XLOOKUP($A267,Master_Data!$C:$C,Master_Data!$K:$K,"CHECK",0)</f>
        <v>85426</v>
      </c>
      <c r="U267">
        <f>IFERROR(_xlfn.XLOOKUP($A267,Master_Data!$C:$C,Master_Data!$L:$L,"CHECK",0),"")</f>
        <v>44.414289353693221</v>
      </c>
      <c r="V267">
        <f>_xlfn.XLOOKUP($A267,Master_Data!$C:$C,Master_Data!$M:$M,"CHECK",0)</f>
        <v>21487</v>
      </c>
      <c r="W267">
        <f>IFERROR(_xlfn.XLOOKUP($A267,Master_Data!$C:$C,Master_Data!$N:$N,"CHECK",0),"")</f>
        <v>11.171421292613562</v>
      </c>
      <c r="X267" t="str">
        <f>IFERROR(_xlfn.XLOOKUP($A267,Master_Data!$C:$C,Master_Data!$O:$O,"CHECK",0),"No Result")</f>
        <v>Safe Seat</v>
      </c>
      <c r="Y267">
        <f>_xlfn.XLOOKUP($A267,Master_Data!$C:$C,Master_Data!$P:$P,"CHECK",0)</f>
        <v>0</v>
      </c>
      <c r="Z267">
        <f t="shared" si="9"/>
        <v>1</v>
      </c>
    </row>
    <row r="268" spans="1:26">
      <c r="A268" t="str">
        <v>Shariatpur-1</v>
      </c>
      <c r="B268" t="str" cm="1">
        <f t="array" ref="B2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Nawabganj","Chapainawabganj"),Final_Merged_Data!$B$2:$B$1000=$A268)))</f>
        <v>Shariatpur</v>
      </c>
      <c r="C268" t="str" cm="1">
        <f t="array" ref="C268">_xlfn.TEXTJOIN(", ",TRUE,_xlfn._xlws.FILTER(Final_Merged_Data!$C$2:$C$1000,Final_Merged_Data!$B$2:$B$1000=$A268))</f>
        <v>Shariatpur Sadar, Zajira</v>
      </c>
      <c r="D268" cm="1">
        <f t="array" ref="D268">COUNTA(_xlfn._xlws.FILTER(Final_Merged_Data!$C$2:$C$1000,Final_Merged_Data!$B$2:$B$1000=$A268))</f>
        <v>2</v>
      </c>
      <c r="E268">
        <f>SUMIFS(Final_Merged_Data!$E:$E,Final_Merged_Data!$B:$B,$A268)</f>
        <v>428.74</v>
      </c>
      <c r="F268">
        <f>SUMIFS(Final_Merged_Data!$F:$F,Final_Merged_Data!$B:$B,$A268)</f>
        <v>457336</v>
      </c>
      <c r="G268">
        <f t="shared" si="8"/>
        <v>1066.6977655455521</v>
      </c>
      <c r="H268" cm="1">
        <f t="array" ref="H268">SUMPRODUCT((Final_Merged_Data!$B$2:$B$1000=$A268)*Final_Merged_Data!$H$2:$H$1000*Final_Merged_Data!$F$2:$F$1000)/F268</f>
        <v>4.1599930904192979</v>
      </c>
      <c r="I268" cm="1">
        <f t="array" ref="I268">SUMPRODUCT((Final_Merged_Data!$B$2:$B$1000=$A268)*Final_Merged_Data!$I$2:$I$1000*Final_Merged_Data!$F$2:$F$1000)/F268</f>
        <v>72.643434673850294</v>
      </c>
      <c r="J268" t="str" cm="1">
        <f t="array" ref="J268">_xlfn.TEXTJOIN(", ",TRUE,_xlfn.UNIQUE(_xlfn._xlws.FILTER(Final_Merged_Data!$J$2:$J$1000,Final_Merged_Data!$B$2:$B$1000=$A268)))</f>
        <v>Dhaka Range</v>
      </c>
      <c r="K268" cm="1">
        <f t="array" ref="K268">SUMPRODUCT((Final_Merged_Data!$B$2:$B$1000=$A268)*Final_Merged_Data!$K$2:$K$1000*Final_Merged_Data!$F$2:$F$1000)/F268</f>
        <v>87.055167395391194</v>
      </c>
      <c r="L268" cm="1">
        <f t="array" ref="L268">SUMPRODUCT((Final_Merged_Data!$B$2:$B$1000=$A268)*Final_Merged_Data!$L$2:$L$1000*Final_Merged_Data!$F$2:$F$1000)/F268</f>
        <v>14.083489099923574</v>
      </c>
      <c r="M268" t="str">
        <f>IF(COUNTIF(Master_Data!$C:$C,$A268)&gt;0,"Found","Missing")</f>
        <v>Found</v>
      </c>
      <c r="N268" t="str">
        <f>_xlfn.XLOOKUP($A268,Master_Data!$C:$C,Master_Data!$D:$D,"CHECK",0)</f>
        <v>Sayeed Ahmed Aslam</v>
      </c>
      <c r="O268" t="str">
        <f>_xlfn.XLOOKUP($A268,Master_Data!$C:$C,Master_Data!$E:$E,"CHECK",0)</f>
        <v>BNP</v>
      </c>
      <c r="P268">
        <f>_xlfn.XLOOKUP($A268,Master_Data!$C:$C,Master_Data!$F:$F,"CHECK",0)</f>
        <v>1</v>
      </c>
      <c r="Q268">
        <f>_xlfn.XLOOKUP($A268,Master_Data!$C:$C,Master_Data!$G:$G,"CHECK",0)</f>
        <v>77398</v>
      </c>
      <c r="R268">
        <f>IFERROR(_xlfn.XLOOKUP($A268,Master_Data!$C:$C,Master_Data!$H:$H,"CHECK",0),"")</f>
        <v>55.238910894622272</v>
      </c>
      <c r="S268" t="str">
        <f>_xlfn.XLOOKUP($A268,Master_Data!$C:$C,Master_Data!$I:$I,"CHECK",0)</f>
        <v>Jalaluddin Ahmad</v>
      </c>
      <c r="T268">
        <f>_xlfn.XLOOKUP($A268,Master_Data!$C:$C,Master_Data!$K:$K,"CHECK",0)</f>
        <v>62717</v>
      </c>
      <c r="U268">
        <f>IFERROR(_xlfn.XLOOKUP($A268,Master_Data!$C:$C,Master_Data!$L:$L,"CHECK",0),"")</f>
        <v>44.761089105377728</v>
      </c>
      <c r="V268">
        <f>_xlfn.XLOOKUP($A268,Master_Data!$C:$C,Master_Data!$M:$M,"CHECK",0)</f>
        <v>14681</v>
      </c>
      <c r="W268">
        <f>IFERROR(_xlfn.XLOOKUP($A268,Master_Data!$C:$C,Master_Data!$N:$N,"CHECK",0),"")</f>
        <v>10.477821789244549</v>
      </c>
      <c r="X268" t="str">
        <f>IFERROR(_xlfn.XLOOKUP($A268,Master_Data!$C:$C,Master_Data!$O:$O,"CHECK",0),"No Result")</f>
        <v>Safe Seat</v>
      </c>
      <c r="Y268">
        <f>_xlfn.XLOOKUP($A268,Master_Data!$C:$C,Master_Data!$P:$P,"CHECK",0)</f>
        <v>0</v>
      </c>
      <c r="Z268">
        <f t="shared" si="9"/>
        <v>1</v>
      </c>
    </row>
    <row r="269" spans="1:26">
      <c r="A269" t="str">
        <v>Shariatpur-2</v>
      </c>
      <c r="B269" t="str" cm="1">
        <f t="array" ref="B2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Nawabganj","Chapainawabganj"),Final_Merged_Data!$B$2:$B$1000=$A269)))</f>
        <v>Shariatpur</v>
      </c>
      <c r="C269" t="str" cm="1">
        <f t="array" ref="C269">_xlfn.TEXTJOIN(", ",TRUE,_xlfn._xlws.FILTER(Final_Merged_Data!$C$2:$C$1000,Final_Merged_Data!$B$2:$B$1000=$A269))</f>
        <v>Naria, Sakhipur</v>
      </c>
      <c r="D269" cm="1">
        <f t="array" ref="D269">COUNTA(_xlfn._xlws.FILTER(Final_Merged_Data!$C$2:$C$1000,Final_Merged_Data!$B$2:$B$1000=$A269))</f>
        <v>2</v>
      </c>
      <c r="E269">
        <f>SUMIFS(Final_Merged_Data!$E:$E,Final_Merged_Data!$B:$B,$A269)</f>
        <v>460.66999999999996</v>
      </c>
      <c r="F269">
        <f>SUMIFS(Final_Merged_Data!$F:$F,Final_Merged_Data!$B:$B,$A269)</f>
        <v>582537</v>
      </c>
      <c r="G269">
        <f t="shared" si="8"/>
        <v>1264.5429483144117</v>
      </c>
      <c r="H269" cm="1">
        <f t="array" ref="H269">SUMPRODUCT((Final_Merged_Data!$B$2:$B$1000=$A269)*Final_Merged_Data!$H$2:$H$1000*Final_Merged_Data!$F$2:$F$1000)/F269</f>
        <v>3.8022935710521391</v>
      </c>
      <c r="I269" cm="1">
        <f t="array" ref="I269">SUMPRODUCT((Final_Merged_Data!$B$2:$B$1000=$A269)*Final_Merged_Data!$I$2:$I$1000*Final_Merged_Data!$F$2:$F$1000)/F269</f>
        <v>70.921735941236349</v>
      </c>
      <c r="J269" t="str" cm="1">
        <f t="array" ref="J269">_xlfn.TEXTJOIN(", ",TRUE,_xlfn.UNIQUE(_xlfn._xlws.FILTER(Final_Merged_Data!$J$2:$J$1000,Final_Merged_Data!$B$2:$B$1000=$A269)))</f>
        <v>Dhaka Range</v>
      </c>
      <c r="K269" cm="1">
        <f t="array" ref="K269">SUMPRODUCT((Final_Merged_Data!$B$2:$B$1000=$A269)*Final_Merged_Data!$K$2:$K$1000*Final_Merged_Data!$F$2:$F$1000)/F269</f>
        <v>87.05516739539118</v>
      </c>
      <c r="L269" cm="1">
        <f t="array" ref="L269">SUMPRODUCT((Final_Merged_Data!$B$2:$B$1000=$A269)*Final_Merged_Data!$L$2:$L$1000*Final_Merged_Data!$F$2:$F$1000)/F269</f>
        <v>14.083489099923572</v>
      </c>
      <c r="M269" t="str">
        <f>IF(COUNTIF(Master_Data!$C:$C,$A269)&gt;0,"Found","Missing")</f>
        <v>Found</v>
      </c>
      <c r="N269" t="str">
        <f>_xlfn.XLOOKUP($A269,Master_Data!$C:$C,Master_Data!$D:$D,"CHECK",0)</f>
        <v>Md. Safiqur Rahman Kiran</v>
      </c>
      <c r="O269" t="str">
        <f>_xlfn.XLOOKUP($A269,Master_Data!$C:$C,Master_Data!$E:$E,"CHECK",0)</f>
        <v>BNP</v>
      </c>
      <c r="P269">
        <f>_xlfn.XLOOKUP($A269,Master_Data!$C:$C,Master_Data!$F:$F,"CHECK",0)</f>
        <v>1</v>
      </c>
      <c r="Q269">
        <f>_xlfn.XLOOKUP($A269,Master_Data!$C:$C,Master_Data!$G:$G,"CHECK",0)</f>
        <v>129814</v>
      </c>
      <c r="R269">
        <f>IFERROR(_xlfn.XLOOKUP($A269,Master_Data!$C:$C,Master_Data!$H:$H,"CHECK",0),"")</f>
        <v>64.678684244616505</v>
      </c>
      <c r="S269" t="str">
        <f>_xlfn.XLOOKUP($A269,Master_Data!$C:$C,Master_Data!$I:$I,"CHECK",0)</f>
        <v>Mahmud Hossain</v>
      </c>
      <c r="T269">
        <f>_xlfn.XLOOKUP($A269,Master_Data!$C:$C,Master_Data!$K:$K,"CHECK",0)</f>
        <v>70892</v>
      </c>
      <c r="U269">
        <f>IFERROR(_xlfn.XLOOKUP($A269,Master_Data!$C:$C,Master_Data!$L:$L,"CHECK",0),"")</f>
        <v>35.321315755383495</v>
      </c>
      <c r="V269">
        <f>_xlfn.XLOOKUP($A269,Master_Data!$C:$C,Master_Data!$M:$M,"CHECK",0)</f>
        <v>58922</v>
      </c>
      <c r="W269">
        <f>IFERROR(_xlfn.XLOOKUP($A269,Master_Data!$C:$C,Master_Data!$N:$N,"CHECK",0),"")</f>
        <v>29.357368489233011</v>
      </c>
      <c r="X269" t="str">
        <f>IFERROR(_xlfn.XLOOKUP($A269,Master_Data!$C:$C,Master_Data!$O:$O,"CHECK",0),"No Result")</f>
        <v>Safe Seat</v>
      </c>
      <c r="Y269">
        <f>_xlfn.XLOOKUP($A269,Master_Data!$C:$C,Master_Data!$P:$P,"CHECK",0)</f>
        <v>0</v>
      </c>
      <c r="Z269">
        <f t="shared" si="9"/>
        <v>1</v>
      </c>
    </row>
    <row r="270" spans="1:26">
      <c r="A270" t="str">
        <v>Shariatpur-3</v>
      </c>
      <c r="B270" t="str" cm="1">
        <f t="array" ref="B2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Nawabganj","Chapainawabganj"),Final_Merged_Data!$B$2:$B$1000=$A270)))</f>
        <v>Shariatpur</v>
      </c>
      <c r="C270" t="str" cm="1">
        <f t="array" ref="C270">_xlfn.TEXTJOIN(", ",TRUE,_xlfn._xlws.FILTER(Final_Merged_Data!$C$2:$C$1000,Final_Merged_Data!$B$2:$B$1000=$A270))</f>
        <v>Damudya, Gosairhat</v>
      </c>
      <c r="D270" cm="1">
        <f t="array" ref="D270">COUNTA(_xlfn._xlws.FILTER(Final_Merged_Data!$C$2:$C$1000,Final_Merged_Data!$B$2:$B$1000=$A270))</f>
        <v>2</v>
      </c>
      <c r="E270">
        <f>SUMIFS(Final_Merged_Data!$E:$E,Final_Merged_Data!$B:$B,$A270)</f>
        <v>220.41</v>
      </c>
      <c r="F270">
        <f>SUMIFS(Final_Merged_Data!$F:$F,Final_Merged_Data!$B:$B,$A270)</f>
        <v>298652</v>
      </c>
      <c r="G270">
        <f t="shared" si="8"/>
        <v>1354.9838936527381</v>
      </c>
      <c r="H270" cm="1">
        <f t="array" ref="H270">SUMPRODUCT((Final_Merged_Data!$B$2:$B$1000=$A270)*Final_Merged_Data!$H$2:$H$1000*Final_Merged_Data!$F$2:$F$1000)/F270</f>
        <v>4.1654835728540238</v>
      </c>
      <c r="I270" cm="1">
        <f t="array" ref="I270">SUMPRODUCT((Final_Merged_Data!$B$2:$B$1000=$A270)*Final_Merged_Data!$I$2:$I$1000*Final_Merged_Data!$F$2:$F$1000)/F270</f>
        <v>72.180220055449155</v>
      </c>
      <c r="J270" t="str" cm="1">
        <f t="array" ref="J270">_xlfn.TEXTJOIN(", ",TRUE,_xlfn.UNIQUE(_xlfn._xlws.FILTER(Final_Merged_Data!$J$2:$J$1000,Final_Merged_Data!$B$2:$B$1000=$A270)))</f>
        <v>Dhaka Range</v>
      </c>
      <c r="K270" cm="1">
        <f t="array" ref="K270">SUMPRODUCT((Final_Merged_Data!$B$2:$B$1000=$A270)*Final_Merged_Data!$K$2:$K$1000*Final_Merged_Data!$F$2:$F$1000)/F270</f>
        <v>87.055167395391194</v>
      </c>
      <c r="L270" cm="1">
        <f t="array" ref="L270">SUMPRODUCT((Final_Merged_Data!$B$2:$B$1000=$A270)*Final_Merged_Data!$L$2:$L$1000*Final_Merged_Data!$F$2:$F$1000)/F270</f>
        <v>14.08348909992357</v>
      </c>
      <c r="M270" t="str">
        <f>IF(COUNTIF(Master_Data!$C:$C,$A270)&gt;0,"Found","Missing")</f>
        <v>Found</v>
      </c>
      <c r="N270" t="str">
        <f>_xlfn.XLOOKUP($A270,Master_Data!$C:$C,Master_Data!$D:$D,"CHECK",0)</f>
        <v>Mia Nuruddin Ahmed Apu</v>
      </c>
      <c r="O270" t="str">
        <f>_xlfn.XLOOKUP($A270,Master_Data!$C:$C,Master_Data!$E:$E,"CHECK",0)</f>
        <v>BNP</v>
      </c>
      <c r="P270">
        <f>_xlfn.XLOOKUP($A270,Master_Data!$C:$C,Master_Data!$F:$F,"CHECK",0)</f>
        <v>1</v>
      </c>
      <c r="Q270">
        <f>_xlfn.XLOOKUP($A270,Master_Data!$C:$C,Master_Data!$G:$G,"CHECK",0)</f>
        <v>107516</v>
      </c>
      <c r="R270">
        <f>IFERROR(_xlfn.XLOOKUP($A270,Master_Data!$C:$C,Master_Data!$H:$H,"CHECK",0),"")</f>
        <v>60.674943566591423</v>
      </c>
      <c r="S270" t="str">
        <f>_xlfn.XLOOKUP($A270,Master_Data!$C:$C,Master_Data!$I:$I,"CHECK",0)</f>
        <v>Muhammad Azharul Islam</v>
      </c>
      <c r="T270">
        <f>_xlfn.XLOOKUP($A270,Master_Data!$C:$C,Master_Data!$K:$K,"CHECK",0)</f>
        <v>69684</v>
      </c>
      <c r="U270">
        <f>IFERROR(_xlfn.XLOOKUP($A270,Master_Data!$C:$C,Master_Data!$L:$L,"CHECK",0),"")</f>
        <v>39.325056433408577</v>
      </c>
      <c r="V270">
        <f>_xlfn.XLOOKUP($A270,Master_Data!$C:$C,Master_Data!$M:$M,"CHECK",0)</f>
        <v>37832</v>
      </c>
      <c r="W270">
        <f>IFERROR(_xlfn.XLOOKUP($A270,Master_Data!$C:$C,Master_Data!$N:$N,"CHECK",0),"")</f>
        <v>21.349887133182843</v>
      </c>
      <c r="X270" t="str">
        <f>IFERROR(_xlfn.XLOOKUP($A270,Master_Data!$C:$C,Master_Data!$O:$O,"CHECK",0),"No Result")</f>
        <v>Safe Seat</v>
      </c>
      <c r="Y270">
        <f>_xlfn.XLOOKUP($A270,Master_Data!$C:$C,Master_Data!$P:$P,"CHECK",0)</f>
        <v>0</v>
      </c>
      <c r="Z270">
        <f t="shared" si="9"/>
        <v>1</v>
      </c>
    </row>
    <row r="271" spans="1:26">
      <c r="A271" t="str">
        <v>Sherpur-1</v>
      </c>
      <c r="B271" t="str" cm="1">
        <f t="array" ref="B2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Nawabganj","Chapainawabganj"),Final_Merged_Data!$B$2:$B$1000=$A271)))</f>
        <v>Sherpur</v>
      </c>
      <c r="C271" t="str" cm="1">
        <f t="array" ref="C271">_xlfn.TEXTJOIN(", ",TRUE,_xlfn._xlws.FILTER(Final_Merged_Data!$C$2:$C$1000,Final_Merged_Data!$B$2:$B$1000=$A271))</f>
        <v>Sherpur Sadar</v>
      </c>
      <c r="D271" cm="1">
        <f t="array" ref="D271">COUNTA(_xlfn._xlws.FILTER(Final_Merged_Data!$C$2:$C$1000,Final_Merged_Data!$B$2:$B$1000=$A271))</f>
        <v>1</v>
      </c>
      <c r="E271">
        <f>SUMIFS(Final_Merged_Data!$E:$E,Final_Merged_Data!$B:$B,$A271)</f>
        <v>366.52</v>
      </c>
      <c r="F271">
        <f>SUMIFS(Final_Merged_Data!$F:$F,Final_Merged_Data!$B:$B,$A271)</f>
        <v>563817</v>
      </c>
      <c r="G271">
        <f t="shared" si="8"/>
        <v>1538.2980464913239</v>
      </c>
      <c r="H271" cm="1">
        <f t="array" ref="H271">SUMPRODUCT((Final_Merged_Data!$B$2:$B$1000=$A271)*Final_Merged_Data!$H$2:$H$1000*Final_Merged_Data!$F$2:$F$1000)/F271</f>
        <v>3.8299999999999996</v>
      </c>
      <c r="I271" cm="1">
        <f t="array" ref="I271">SUMPRODUCT((Final_Merged_Data!$B$2:$B$1000=$A271)*Final_Merged_Data!$I$2:$I$1000*Final_Merged_Data!$F$2:$F$1000)/F271</f>
        <v>63.890000000000008</v>
      </c>
      <c r="J271" t="str" cm="1">
        <f t="array" ref="J271">_xlfn.TEXTJOIN(", ",TRUE,_xlfn.UNIQUE(_xlfn._xlws.FILTER(Final_Merged_Data!$J$2:$J$1000,Final_Merged_Data!$B$2:$B$1000=$A271)))</f>
        <v>Mymensingh Range</v>
      </c>
      <c r="K271" cm="1">
        <f t="array" ref="K271">SUMPRODUCT((Final_Merged_Data!$B$2:$B$1000=$A271)*Final_Merged_Data!$K$2:$K$1000*Final_Merged_Data!$F$2:$F$1000)/F271</f>
        <v>84.741263899591743</v>
      </c>
      <c r="L271" cm="1">
        <f t="array" ref="L271">SUMPRODUCT((Final_Merged_Data!$B$2:$B$1000=$A271)*Final_Merged_Data!$L$2:$L$1000*Final_Merged_Data!$F$2:$F$1000)/F271</f>
        <v>13.635491015503808</v>
      </c>
      <c r="M271" t="str">
        <f>IF(COUNTIF(Master_Data!$C:$C,$A271)&gt;0,"Found","Missing")</f>
        <v>Found</v>
      </c>
      <c r="N271" t="str">
        <f>_xlfn.XLOOKUP($A271,Master_Data!$C:$C,Master_Data!$D:$D,"CHECK",0)</f>
        <v>Md. Rashedul Islam Rashed</v>
      </c>
      <c r="O271" t="str">
        <f>_xlfn.XLOOKUP($A271,Master_Data!$C:$C,Master_Data!$E:$E,"CHECK",0)</f>
        <v>Jamaat</v>
      </c>
      <c r="P271">
        <f>_xlfn.XLOOKUP($A271,Master_Data!$C:$C,Master_Data!$F:$F,"CHECK",0)</f>
        <v>2</v>
      </c>
      <c r="Q271">
        <f>_xlfn.XLOOKUP($A271,Master_Data!$C:$C,Master_Data!$G:$G,"CHECK",0)</f>
        <v>127811</v>
      </c>
      <c r="R271">
        <f>IFERROR(_xlfn.XLOOKUP($A271,Master_Data!$C:$C,Master_Data!$H:$H,"CHECK",0),"")</f>
        <v>61.998127604255096</v>
      </c>
      <c r="S271" t="str">
        <f>_xlfn.XLOOKUP($A271,Master_Data!$C:$C,Master_Data!$I:$I,"CHECK",0)</f>
        <v>Sansila Zebrin</v>
      </c>
      <c r="T271">
        <f>_xlfn.XLOOKUP($A271,Master_Data!$C:$C,Master_Data!$K:$K,"CHECK",0)</f>
        <v>78342</v>
      </c>
      <c r="U271">
        <f>IFERROR(_xlfn.XLOOKUP($A271,Master_Data!$C:$C,Master_Data!$L:$L,"CHECK",0),"")</f>
        <v>38.001872395744904</v>
      </c>
      <c r="V271">
        <f>_xlfn.XLOOKUP($A271,Master_Data!$C:$C,Master_Data!$M:$M,"CHECK",0)</f>
        <v>49469</v>
      </c>
      <c r="W271">
        <f>IFERROR(_xlfn.XLOOKUP($A271,Master_Data!$C:$C,Master_Data!$N:$N,"CHECK",0),"")</f>
        <v>23.996255208510185</v>
      </c>
      <c r="X271" t="str">
        <f>IFERROR(_xlfn.XLOOKUP($A271,Master_Data!$C:$C,Master_Data!$O:$O,"CHECK",0),"No Result")</f>
        <v>Safe Seat</v>
      </c>
      <c r="Y271">
        <f>_xlfn.XLOOKUP($A271,Master_Data!$C:$C,Master_Data!$P:$P,"CHECK",0)</f>
        <v>0</v>
      </c>
      <c r="Z271">
        <f t="shared" si="9"/>
        <v>1</v>
      </c>
    </row>
    <row r="272" spans="1:26">
      <c r="A272" t="str">
        <v>Sherpur-2</v>
      </c>
      <c r="B272" t="str" cm="1">
        <f t="array" ref="B2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Nawabganj","Chapainawabganj"),Final_Merged_Data!$B$2:$B$1000=$A272)))</f>
        <v>Sherpur</v>
      </c>
      <c r="C272" t="str" cm="1">
        <f t="array" ref="C272">_xlfn.TEXTJOIN(", ",TRUE,_xlfn._xlws.FILTER(Final_Merged_Data!$C$2:$C$1000,Final_Merged_Data!$B$2:$B$1000=$A272))</f>
        <v>Nakla, Nalitabari</v>
      </c>
      <c r="D272" cm="1">
        <f t="array" ref="D272">COUNTA(_xlfn._xlws.FILTER(Final_Merged_Data!$C$2:$C$1000,Final_Merged_Data!$B$2:$B$1000=$A272))</f>
        <v>2</v>
      </c>
      <c r="E272">
        <f>SUMIFS(Final_Merged_Data!$E:$E,Final_Merged_Data!$B:$B,$A272)</f>
        <v>551.30999999999995</v>
      </c>
      <c r="F272">
        <f>SUMIFS(Final_Merged_Data!$F:$F,Final_Merged_Data!$B:$B,$A272)</f>
        <v>480658</v>
      </c>
      <c r="G272">
        <f t="shared" si="8"/>
        <v>871.84705519580643</v>
      </c>
      <c r="H272" cm="1">
        <f t="array" ref="H272">SUMPRODUCT((Final_Merged_Data!$B$2:$B$1000=$A272)*Final_Merged_Data!$H$2:$H$1000*Final_Merged_Data!$F$2:$F$1000)/F272</f>
        <v>3.7438321426045134</v>
      </c>
      <c r="I272" cm="1">
        <f t="array" ref="I272">SUMPRODUCT((Final_Merged_Data!$B$2:$B$1000=$A272)*Final_Merged_Data!$I$2:$I$1000*Final_Merged_Data!$F$2:$F$1000)/F272</f>
        <v>64.603430256024026</v>
      </c>
      <c r="J272" t="str" cm="1">
        <f t="array" ref="J272">_xlfn.TEXTJOIN(", ",TRUE,_xlfn.UNIQUE(_xlfn._xlws.FILTER(Final_Merged_Data!$J$2:$J$1000,Final_Merged_Data!$B$2:$B$1000=$A272)))</f>
        <v>Mymensingh Range</v>
      </c>
      <c r="K272" cm="1">
        <f t="array" ref="K272">SUMPRODUCT((Final_Merged_Data!$B$2:$B$1000=$A272)*Final_Merged_Data!$K$2:$K$1000*Final_Merged_Data!$F$2:$F$1000)/F272</f>
        <v>84.741263899591743</v>
      </c>
      <c r="L272" cm="1">
        <f t="array" ref="L272">SUMPRODUCT((Final_Merged_Data!$B$2:$B$1000=$A272)*Final_Merged_Data!$L$2:$L$1000*Final_Merged_Data!$F$2:$F$1000)/F272</f>
        <v>13.635491015503808</v>
      </c>
      <c r="M272" t="str">
        <f>IF(COUNTIF(Master_Data!$C:$C,$A272)&gt;0,"Found","Missing")</f>
        <v>Found</v>
      </c>
      <c r="N272" t="str">
        <f>_xlfn.XLOOKUP($A272,Master_Data!$C:$C,Master_Data!$D:$D,"CHECK",0)</f>
        <v>Mohammad Fahim Chowdhury</v>
      </c>
      <c r="O272" t="str">
        <f>_xlfn.XLOOKUP($A272,Master_Data!$C:$C,Master_Data!$E:$E,"CHECK",0)</f>
        <v>BNP</v>
      </c>
      <c r="P272">
        <f>_xlfn.XLOOKUP($A272,Master_Data!$C:$C,Master_Data!$F:$F,"CHECK",0)</f>
        <v>1</v>
      </c>
      <c r="Q272">
        <f>_xlfn.XLOOKUP($A272,Master_Data!$C:$C,Master_Data!$G:$G,"CHECK",0)</f>
        <v>118472</v>
      </c>
      <c r="R272">
        <f>IFERROR(_xlfn.XLOOKUP($A272,Master_Data!$C:$C,Master_Data!$H:$H,"CHECK",0),"")</f>
        <v>52.234719386967775</v>
      </c>
      <c r="S272" t="str">
        <f>_xlfn.XLOOKUP($A272,Master_Data!$C:$C,Master_Data!$I:$I,"CHECK",0)</f>
        <v>Md. Golam Kibria</v>
      </c>
      <c r="T272">
        <f>_xlfn.XLOOKUP($A272,Master_Data!$C:$C,Master_Data!$K:$K,"CHECK",0)</f>
        <v>108335</v>
      </c>
      <c r="U272">
        <f>IFERROR(_xlfn.XLOOKUP($A272,Master_Data!$C:$C,Master_Data!$L:$L,"CHECK",0),"")</f>
        <v>47.765280613032225</v>
      </c>
      <c r="V272">
        <f>_xlfn.XLOOKUP($A272,Master_Data!$C:$C,Master_Data!$M:$M,"CHECK",0)</f>
        <v>10137</v>
      </c>
      <c r="W272">
        <f>IFERROR(_xlfn.XLOOKUP($A272,Master_Data!$C:$C,Master_Data!$N:$N,"CHECK",0),"")</f>
        <v>4.4694387739355488</v>
      </c>
      <c r="X272" t="str">
        <f>IFERROR(_xlfn.XLOOKUP($A272,Master_Data!$C:$C,Master_Data!$O:$O,"CHECK",0),"No Result")</f>
        <v>Highly Competitive</v>
      </c>
      <c r="Y272">
        <f>_xlfn.XLOOKUP($A272,Master_Data!$C:$C,Master_Data!$P:$P,"CHECK",0)</f>
        <v>0</v>
      </c>
      <c r="Z272">
        <f t="shared" si="9"/>
        <v>1</v>
      </c>
    </row>
    <row r="273" spans="1:26">
      <c r="A273" t="str">
        <v>Sherpur-3</v>
      </c>
      <c r="B273" t="str" cm="1">
        <f t="array" ref="B2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Nawabganj","Chapainawabganj"),Final_Merged_Data!$B$2:$B$1000=$A273)))</f>
        <v>Sherpur</v>
      </c>
      <c r="C273" t="str" cm="1">
        <f t="array" ref="C273">_xlfn.TEXTJOIN(", ",TRUE,_xlfn._xlws.FILTER(Final_Merged_Data!$C$2:$C$1000,Final_Merged_Data!$B$2:$B$1000=$A273))</f>
        <v>Jhenaigati, Sreebardi</v>
      </c>
      <c r="D273" cm="1">
        <f t="array" ref="D273">COUNTA(_xlfn._xlws.FILTER(Final_Merged_Data!$C$2:$C$1000,Final_Merged_Data!$B$2:$B$1000=$A273))</f>
        <v>2</v>
      </c>
      <c r="E273">
        <f>SUMIFS(Final_Merged_Data!$E:$E,Final_Merged_Data!$B:$B,$A273)</f>
        <v>681.28</v>
      </c>
      <c r="F273">
        <f>SUMIFS(Final_Merged_Data!$F:$F,Final_Merged_Data!$B:$B,$A273)</f>
        <v>457276</v>
      </c>
      <c r="G273">
        <f t="shared" si="8"/>
        <v>671.20126820103337</v>
      </c>
      <c r="H273" cm="1">
        <f t="array" ref="H273">SUMPRODUCT((Final_Merged_Data!$B$2:$B$1000=$A273)*Final_Merged_Data!$H$2:$H$1000*Final_Merged_Data!$F$2:$F$1000)/F273</f>
        <v>3.7010438772207594</v>
      </c>
      <c r="I273" cm="1">
        <f t="array" ref="I273">SUMPRODUCT((Final_Merged_Data!$B$2:$B$1000=$A273)*Final_Merged_Data!$I$2:$I$1000*Final_Merged_Data!$F$2:$F$1000)/F273</f>
        <v>62.510332665611145</v>
      </c>
      <c r="J273" t="str" cm="1">
        <f t="array" ref="J273">_xlfn.TEXTJOIN(", ",TRUE,_xlfn.UNIQUE(_xlfn._xlws.FILTER(Final_Merged_Data!$J$2:$J$1000,Final_Merged_Data!$B$2:$B$1000=$A273)))</f>
        <v>Mymensingh Range</v>
      </c>
      <c r="K273" cm="1">
        <f t="array" ref="K273">SUMPRODUCT((Final_Merged_Data!$B$2:$B$1000=$A273)*Final_Merged_Data!$K$2:$K$1000*Final_Merged_Data!$F$2:$F$1000)/F273</f>
        <v>84.741263899591743</v>
      </c>
      <c r="L273" cm="1">
        <f t="array" ref="L273">SUMPRODUCT((Final_Merged_Data!$B$2:$B$1000=$A273)*Final_Merged_Data!$L$2:$L$1000*Final_Merged_Data!$F$2:$F$1000)/F273</f>
        <v>13.63549101550381</v>
      </c>
      <c r="M273" t="str">
        <f>IF(COUNTIF(Master_Data!$C:$C,$A273)&gt;0,"Found","Missing")</f>
        <v>Found</v>
      </c>
      <c r="N273" t="str">
        <f>_xlfn.XLOOKUP($A273,Master_Data!$C:$C,Master_Data!$D:$D,"CHECK",0)</f>
        <v>Election postponed</v>
      </c>
      <c r="O273" t="str">
        <f>_xlfn.XLOOKUP($A273,Master_Data!$C:$C,Master_Data!$E:$E,"CHECK",0)</f>
        <v>Election postponed</v>
      </c>
      <c r="P273">
        <f>_xlfn.XLOOKUP($A273,Master_Data!$C:$C,Master_Data!$F:$F,"CHECK",0)</f>
        <v>0</v>
      </c>
      <c r="Q273">
        <f>_xlfn.XLOOKUP($A273,Master_Data!$C:$C,Master_Data!$G:$G,"CHECK",0)</f>
        <v>0</v>
      </c>
      <c r="R273" t="str">
        <f>IFERROR(_xlfn.XLOOKUP($A273,Master_Data!$C:$C,Master_Data!$H:$H,"CHECK",0),"")</f>
        <v/>
      </c>
      <c r="S273" t="str">
        <f>_xlfn.XLOOKUP($A273,Master_Data!$C:$C,Master_Data!$I:$I,"CHECK",0)</f>
        <v>Election postponed</v>
      </c>
      <c r="T273">
        <f>_xlfn.XLOOKUP($A273,Master_Data!$C:$C,Master_Data!$K:$K,"CHECK",0)</f>
        <v>0</v>
      </c>
      <c r="U273" t="str">
        <f>IFERROR(_xlfn.XLOOKUP($A273,Master_Data!$C:$C,Master_Data!$L:$L,"CHECK",0),"")</f>
        <v/>
      </c>
      <c r="V273">
        <f>_xlfn.XLOOKUP($A273,Master_Data!$C:$C,Master_Data!$M:$M,"CHECK",0)</f>
        <v>0</v>
      </c>
      <c r="W273" t="str">
        <f>IFERROR(_xlfn.XLOOKUP($A273,Master_Data!$C:$C,Master_Data!$N:$N,"CHECK",0),"")</f>
        <v/>
      </c>
      <c r="X273" t="str">
        <f>IFERROR(_xlfn.XLOOKUP($A273,Master_Data!$C:$C,Master_Data!$O:$O,"CHECK",0),"No Result")</f>
        <v>No Result</v>
      </c>
      <c r="Y273">
        <f>_xlfn.XLOOKUP($A273,Master_Data!$C:$C,Master_Data!$P:$P,"CHECK",0)</f>
        <v>0</v>
      </c>
      <c r="Z273">
        <f t="shared" si="9"/>
        <v>0</v>
      </c>
    </row>
    <row r="274" spans="1:26">
      <c r="A274" t="str">
        <v>Sirajganj-1</v>
      </c>
      <c r="B274" t="str" cm="1">
        <f t="array" ref="B2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Nawabganj","Chapainawabganj"),Final_Merged_Data!$B$2:$B$1000=$A274)))</f>
        <v>Sirajganj</v>
      </c>
      <c r="C274" t="str" cm="1">
        <f t="array" ref="C274">_xlfn.TEXTJOIN(", ",TRUE,_xlfn._xlws.FILTER(Final_Merged_Data!$C$2:$C$1000,Final_Merged_Data!$B$2:$B$1000=$A274))</f>
        <v>Kazipur</v>
      </c>
      <c r="D274" cm="1">
        <f t="array" ref="D274">COUNTA(_xlfn._xlws.FILTER(Final_Merged_Data!$C$2:$C$1000,Final_Merged_Data!$B$2:$B$1000=$A274))</f>
        <v>1</v>
      </c>
      <c r="E274">
        <f>SUMIFS(Final_Merged_Data!$E:$E,Final_Merged_Data!$B:$B,$A274)</f>
        <v>368.63</v>
      </c>
      <c r="F274">
        <f>SUMIFS(Final_Merged_Data!$F:$F,Final_Merged_Data!$B:$B,$A274)</f>
        <v>281429</v>
      </c>
      <c r="G274">
        <f t="shared" si="8"/>
        <v>763.44573149228222</v>
      </c>
      <c r="H274" cm="1">
        <f t="array" ref="H274">SUMPRODUCT((Final_Merged_Data!$B$2:$B$1000=$A274)*Final_Merged_Data!$H$2:$H$1000*Final_Merged_Data!$F$2:$F$1000)/F274</f>
        <v>3.7299999999999995</v>
      </c>
      <c r="I274" cm="1">
        <f t="array" ref="I274">SUMPRODUCT((Final_Merged_Data!$B$2:$B$1000=$A274)*Final_Merged_Data!$I$2:$I$1000*Final_Merged_Data!$F$2:$F$1000)/F274</f>
        <v>63.95</v>
      </c>
      <c r="J274" t="str" cm="1">
        <f t="array" ref="J274">_xlfn.TEXTJOIN(", ",TRUE,_xlfn.UNIQUE(_xlfn._xlws.FILTER(Final_Merged_Data!$J$2:$J$1000,Final_Merged_Data!$B$2:$B$1000=$A274)))</f>
        <v>Rajshahi Range</v>
      </c>
      <c r="K274" cm="1">
        <f t="array" ref="K274">SUMPRODUCT((Final_Merged_Data!$B$2:$B$1000=$A274)*Final_Merged_Data!$K$2:$K$1000*Final_Merged_Data!$F$2:$F$1000)/F274</f>
        <v>112.81411131450233</v>
      </c>
      <c r="L274" cm="1">
        <f t="array" ref="L274">SUMPRODUCT((Final_Merged_Data!$B$2:$B$1000=$A274)*Final_Merged_Data!$L$2:$L$1000*Final_Merged_Data!$F$2:$F$1000)/F274</f>
        <v>14.272851259111949</v>
      </c>
      <c r="M274" t="str">
        <f>IF(COUNTIF(Master_Data!$C:$C,$A274)&gt;0,"Found","Missing")</f>
        <v>Found</v>
      </c>
      <c r="N274" t="str">
        <f>_xlfn.XLOOKUP($A274,Master_Data!$C:$C,Master_Data!$D:$D,"CHECK",0)</f>
        <v>Md. Salim Reza</v>
      </c>
      <c r="O274" t="str">
        <f>_xlfn.XLOOKUP($A274,Master_Data!$C:$C,Master_Data!$E:$E,"CHECK",0)</f>
        <v>BNP</v>
      </c>
      <c r="P274">
        <f>_xlfn.XLOOKUP($A274,Master_Data!$C:$C,Master_Data!$F:$F,"CHECK",0)</f>
        <v>1</v>
      </c>
      <c r="Q274">
        <f>_xlfn.XLOOKUP($A274,Master_Data!$C:$C,Master_Data!$G:$G,"CHECK",0)</f>
        <v>116613</v>
      </c>
      <c r="R274">
        <f>IFERROR(_xlfn.XLOOKUP($A274,Master_Data!$C:$C,Master_Data!$H:$H,"CHECK",0),"")</f>
        <v>51.72959880760154</v>
      </c>
      <c r="S274" t="str">
        <f>_xlfn.XLOOKUP($A274,Master_Data!$C:$C,Master_Data!$I:$I,"CHECK",0)</f>
        <v>Md. Shahinur Alam</v>
      </c>
      <c r="T274">
        <f>_xlfn.XLOOKUP($A274,Master_Data!$C:$C,Master_Data!$K:$K,"CHECK",0)</f>
        <v>108815</v>
      </c>
      <c r="U274">
        <f>IFERROR(_xlfn.XLOOKUP($A274,Master_Data!$C:$C,Master_Data!$L:$L,"CHECK",0),"")</f>
        <v>48.27040119239846</v>
      </c>
      <c r="V274">
        <f>_xlfn.XLOOKUP($A274,Master_Data!$C:$C,Master_Data!$M:$M,"CHECK",0)</f>
        <v>7798</v>
      </c>
      <c r="W274">
        <f>IFERROR(_xlfn.XLOOKUP($A274,Master_Data!$C:$C,Master_Data!$N:$N,"CHECK",0),"")</f>
        <v>3.4591976152030801</v>
      </c>
      <c r="X274" t="str">
        <f>IFERROR(_xlfn.XLOOKUP($A274,Master_Data!$C:$C,Master_Data!$O:$O,"CHECK",0),"No Result")</f>
        <v>Highly Competitive</v>
      </c>
      <c r="Y274">
        <f>_xlfn.XLOOKUP($A274,Master_Data!$C:$C,Master_Data!$P:$P,"CHECK",0)</f>
        <v>0</v>
      </c>
      <c r="Z274">
        <f t="shared" si="9"/>
        <v>1</v>
      </c>
    </row>
    <row r="275" spans="1:26">
      <c r="A275" t="str">
        <v>Sirajganj-2</v>
      </c>
      <c r="B275" t="str" cm="1">
        <f t="array" ref="B2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Nawabganj","Chapainawabganj"),Final_Merged_Data!$B$2:$B$1000=$A275)))</f>
        <v>Sirajganj</v>
      </c>
      <c r="C275" t="str" cm="1">
        <f t="array" ref="C275">_xlfn.TEXTJOIN(", ",TRUE,_xlfn._xlws.FILTER(Final_Merged_Data!$C$2:$C$1000,Final_Merged_Data!$B$2:$B$1000=$A275))</f>
        <v>Sirajganj Sadar, Kamarkhanda</v>
      </c>
      <c r="D275" cm="1">
        <f t="array" ref="D275">COUNTA(_xlfn._xlws.FILTER(Final_Merged_Data!$C$2:$C$1000,Final_Merged_Data!$B$2:$B$1000=$A275))</f>
        <v>2</v>
      </c>
      <c r="E275">
        <f>SUMIFS(Final_Merged_Data!$E:$E,Final_Merged_Data!$B:$B,$A275)</f>
        <v>564.53</v>
      </c>
      <c r="F275">
        <f>SUMIFS(Final_Merged_Data!$F:$F,Final_Merged_Data!$B:$B,$A275)</f>
        <v>786262</v>
      </c>
      <c r="G275">
        <f t="shared" si="8"/>
        <v>1392.772749012453</v>
      </c>
      <c r="H275" cm="1">
        <f t="array" ref="H275">SUMPRODUCT((Final_Merged_Data!$B$2:$B$1000=$A275)*Final_Merged_Data!$H$2:$H$1000*Final_Merged_Data!$F$2:$F$1000)/F275</f>
        <v>3.9580364687597771</v>
      </c>
      <c r="I275" cm="1">
        <f t="array" ref="I275">SUMPRODUCT((Final_Merged_Data!$B$2:$B$1000=$A275)*Final_Merged_Data!$I$2:$I$1000*Final_Merged_Data!$F$2:$F$1000)/F275</f>
        <v>73.539677562949763</v>
      </c>
      <c r="J275" t="str" cm="1">
        <f t="array" ref="J275">_xlfn.TEXTJOIN(", ",TRUE,_xlfn.UNIQUE(_xlfn._xlws.FILTER(Final_Merged_Data!$J$2:$J$1000,Final_Merged_Data!$B$2:$B$1000=$A275)))</f>
        <v>Rajshahi Range</v>
      </c>
      <c r="K275" cm="1">
        <f t="array" ref="K275">SUMPRODUCT((Final_Merged_Data!$B$2:$B$1000=$A275)*Final_Merged_Data!$K$2:$K$1000*Final_Merged_Data!$F$2:$F$1000)/F275</f>
        <v>112.81411131450234</v>
      </c>
      <c r="L275" cm="1">
        <f t="array" ref="L275">SUMPRODUCT((Final_Merged_Data!$B$2:$B$1000=$A275)*Final_Merged_Data!$L$2:$L$1000*Final_Merged_Data!$F$2:$F$1000)/F275</f>
        <v>14.272851259111949</v>
      </c>
      <c r="M275" t="str">
        <f>IF(COUNTIF(Master_Data!$C:$C,$A275)&gt;0,"Found","Missing")</f>
        <v>Found</v>
      </c>
      <c r="N275" t="str">
        <f>_xlfn.XLOOKUP($A275,Master_Data!$C:$C,Master_Data!$D:$D,"CHECK",0)</f>
        <v>Iqbal Hassan Mahmood</v>
      </c>
      <c r="O275" t="str">
        <f>_xlfn.XLOOKUP($A275,Master_Data!$C:$C,Master_Data!$E:$E,"CHECK",0)</f>
        <v>BNP</v>
      </c>
      <c r="P275">
        <f>_xlfn.XLOOKUP($A275,Master_Data!$C:$C,Master_Data!$F:$F,"CHECK",0)</f>
        <v>1</v>
      </c>
      <c r="Q275">
        <f>_xlfn.XLOOKUP($A275,Master_Data!$C:$C,Master_Data!$G:$G,"CHECK",0)</f>
        <v>176638</v>
      </c>
      <c r="R275">
        <f>IFERROR(_xlfn.XLOOKUP($A275,Master_Data!$C:$C,Master_Data!$H:$H,"CHECK",0),"")</f>
        <v>56.391887189408521</v>
      </c>
      <c r="S275" t="str">
        <f>_xlfn.XLOOKUP($A275,Master_Data!$C:$C,Master_Data!$I:$I,"CHECK",0)</f>
        <v>Muhammad Zahidul Islam</v>
      </c>
      <c r="T275">
        <f>_xlfn.XLOOKUP($A275,Master_Data!$C:$C,Master_Data!$K:$K,"CHECK",0)</f>
        <v>136595</v>
      </c>
      <c r="U275">
        <f>IFERROR(_xlfn.XLOOKUP($A275,Master_Data!$C:$C,Master_Data!$L:$L,"CHECK",0),"")</f>
        <v>43.608112810591479</v>
      </c>
      <c r="V275">
        <f>_xlfn.XLOOKUP($A275,Master_Data!$C:$C,Master_Data!$M:$M,"CHECK",0)</f>
        <v>40043</v>
      </c>
      <c r="W275">
        <f>IFERROR(_xlfn.XLOOKUP($A275,Master_Data!$C:$C,Master_Data!$N:$N,"CHECK",0),"")</f>
        <v>12.783774378817048</v>
      </c>
      <c r="X275" t="str">
        <f>IFERROR(_xlfn.XLOOKUP($A275,Master_Data!$C:$C,Master_Data!$O:$O,"CHECK",0),"No Result")</f>
        <v>Safe Seat</v>
      </c>
      <c r="Y275">
        <f>_xlfn.XLOOKUP($A275,Master_Data!$C:$C,Master_Data!$P:$P,"CHECK",0)</f>
        <v>0</v>
      </c>
      <c r="Z275">
        <f t="shared" si="9"/>
        <v>1</v>
      </c>
    </row>
    <row r="276" spans="1:26">
      <c r="A276" t="str">
        <v>Sirajganj-3</v>
      </c>
      <c r="B276" t="str" cm="1">
        <f t="array" ref="B2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Nawabganj","Chapainawabganj"),Final_Merged_Data!$B$2:$B$1000=$A276)))</f>
        <v>Sirajganj</v>
      </c>
      <c r="C276" t="str" cm="1">
        <f t="array" ref="C276">_xlfn.TEXTJOIN(", ",TRUE,_xlfn._xlws.FILTER(Final_Merged_Data!$C$2:$C$1000,Final_Merged_Data!$B$2:$B$1000=$A276))</f>
        <v>Rayganj, Tarash</v>
      </c>
      <c r="D276" cm="1">
        <f t="array" ref="D276">COUNTA(_xlfn._xlws.FILTER(Final_Merged_Data!$C$2:$C$1000,Final_Merged_Data!$B$2:$B$1000=$A276))</f>
        <v>2</v>
      </c>
      <c r="E276">
        <f>SUMIFS(Final_Merged_Data!$E:$E,Final_Merged_Data!$B:$B,$A276)</f>
        <v>740.7</v>
      </c>
      <c r="F276">
        <f>SUMIFS(Final_Merged_Data!$F:$F,Final_Merged_Data!$B:$B,$A276)</f>
        <v>559982</v>
      </c>
      <c r="G276">
        <f t="shared" si="8"/>
        <v>756.01728095045223</v>
      </c>
      <c r="H276" cm="1">
        <f t="array" ref="H276">SUMPRODUCT((Final_Merged_Data!$B$2:$B$1000=$A276)*Final_Merged_Data!$H$2:$H$1000*Final_Merged_Data!$F$2:$F$1000)/F276</f>
        <v>3.7659531913525792</v>
      </c>
      <c r="I276" cm="1">
        <f t="array" ref="I276">SUMPRODUCT((Final_Merged_Data!$B$2:$B$1000=$A276)*Final_Merged_Data!$I$2:$I$1000*Final_Merged_Data!$F$2:$F$1000)/F276</f>
        <v>69.818382983738758</v>
      </c>
      <c r="J276" t="str" cm="1">
        <f t="array" ref="J276">_xlfn.TEXTJOIN(", ",TRUE,_xlfn.UNIQUE(_xlfn._xlws.FILTER(Final_Merged_Data!$J$2:$J$1000,Final_Merged_Data!$B$2:$B$1000=$A276)))</f>
        <v>Rajshahi Range</v>
      </c>
      <c r="K276" cm="1">
        <f t="array" ref="K276">SUMPRODUCT((Final_Merged_Data!$B$2:$B$1000=$A276)*Final_Merged_Data!$K$2:$K$1000*Final_Merged_Data!$F$2:$F$1000)/F276</f>
        <v>112.81411131450233</v>
      </c>
      <c r="L276" cm="1">
        <f t="array" ref="L276">SUMPRODUCT((Final_Merged_Data!$B$2:$B$1000=$A276)*Final_Merged_Data!$L$2:$L$1000*Final_Merged_Data!$F$2:$F$1000)/F276</f>
        <v>14.272851259111949</v>
      </c>
      <c r="M276" t="str">
        <f>IF(COUNTIF(Master_Data!$C:$C,$A276)&gt;0,"Found","Missing")</f>
        <v>Found</v>
      </c>
      <c r="N276" t="str">
        <f>_xlfn.XLOOKUP($A276,Master_Data!$C:$C,Master_Data!$D:$D,"CHECK",0)</f>
        <v>Md. Ainul Haque</v>
      </c>
      <c r="O276" t="str">
        <f>_xlfn.XLOOKUP($A276,Master_Data!$C:$C,Master_Data!$E:$E,"CHECK",0)</f>
        <v>BNP</v>
      </c>
      <c r="P276">
        <f>_xlfn.XLOOKUP($A276,Master_Data!$C:$C,Master_Data!$F:$F,"CHECK",0)</f>
        <v>1</v>
      </c>
      <c r="Q276">
        <f>_xlfn.XLOOKUP($A276,Master_Data!$C:$C,Master_Data!$G:$G,"CHECK",0)</f>
        <v>174430</v>
      </c>
      <c r="R276">
        <f>IFERROR(_xlfn.XLOOKUP($A276,Master_Data!$C:$C,Master_Data!$H:$H,"CHECK",0),"")</f>
        <v>59.893830348313372</v>
      </c>
      <c r="S276" t="str">
        <f>_xlfn.XLOOKUP($A276,Master_Data!$C:$C,Master_Data!$I:$I,"CHECK",0)</f>
        <v>Muha: Abdur Rauf Sarkar</v>
      </c>
      <c r="T276">
        <f>_xlfn.XLOOKUP($A276,Master_Data!$C:$C,Master_Data!$K:$K,"CHECK",0)</f>
        <v>116802</v>
      </c>
      <c r="U276">
        <f>IFERROR(_xlfn.XLOOKUP($A276,Master_Data!$C:$C,Master_Data!$L:$L,"CHECK",0),"")</f>
        <v>40.106169651686628</v>
      </c>
      <c r="V276">
        <f>_xlfn.XLOOKUP($A276,Master_Data!$C:$C,Master_Data!$M:$M,"CHECK",0)</f>
        <v>57628</v>
      </c>
      <c r="W276">
        <f>IFERROR(_xlfn.XLOOKUP($A276,Master_Data!$C:$C,Master_Data!$N:$N,"CHECK",0),"")</f>
        <v>19.787660696626745</v>
      </c>
      <c r="X276" t="str">
        <f>IFERROR(_xlfn.XLOOKUP($A276,Master_Data!$C:$C,Master_Data!$O:$O,"CHECK",0),"No Result")</f>
        <v>Safe Seat</v>
      </c>
      <c r="Y276">
        <f>_xlfn.XLOOKUP($A276,Master_Data!$C:$C,Master_Data!$P:$P,"CHECK",0)</f>
        <v>0</v>
      </c>
      <c r="Z276">
        <f t="shared" si="9"/>
        <v>1</v>
      </c>
    </row>
    <row r="277" spans="1:26">
      <c r="A277" t="str">
        <v>Sirajganj-4</v>
      </c>
      <c r="B277" t="str" cm="1">
        <f t="array" ref="B2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Nawabganj","Chapainawabganj"),Final_Merged_Data!$B$2:$B$1000=$A277)))</f>
        <v>Sirajganj</v>
      </c>
      <c r="C277" t="str" cm="1">
        <f t="array" ref="C277">_xlfn.TEXTJOIN(", ",TRUE,_xlfn._xlws.FILTER(Final_Merged_Data!$C$2:$C$1000,Final_Merged_Data!$B$2:$B$1000=$A277))</f>
        <v>Ullapara</v>
      </c>
      <c r="D277" cm="1">
        <f t="array" ref="D277">COUNTA(_xlfn._xlws.FILTER(Final_Merged_Data!$C$2:$C$1000,Final_Merged_Data!$B$2:$B$1000=$A277))</f>
        <v>1</v>
      </c>
      <c r="E277">
        <f>SUMIFS(Final_Merged_Data!$E:$E,Final_Merged_Data!$B:$B,$A277)</f>
        <v>127.74</v>
      </c>
      <c r="F277">
        <f>SUMIFS(Final_Merged_Data!$F:$F,Final_Merged_Data!$B:$B,$A277)</f>
        <v>588977</v>
      </c>
      <c r="G277">
        <f t="shared" si="8"/>
        <v>4610.7483951777049</v>
      </c>
      <c r="H277" cm="1">
        <f t="array" ref="H277">SUMPRODUCT((Final_Merged_Data!$B$2:$B$1000=$A277)*Final_Merged_Data!$H$2:$H$1000*Final_Merged_Data!$F$2:$F$1000)/F277</f>
        <v>3.9299999999999997</v>
      </c>
      <c r="I277" cm="1">
        <f t="array" ref="I277">SUMPRODUCT((Final_Merged_Data!$B$2:$B$1000=$A277)*Final_Merged_Data!$I$2:$I$1000*Final_Merged_Data!$F$2:$F$1000)/F277</f>
        <v>70.010000000000005</v>
      </c>
      <c r="J277" t="str" cm="1">
        <f t="array" ref="J277">_xlfn.TEXTJOIN(", ",TRUE,_xlfn.UNIQUE(_xlfn._xlws.FILTER(Final_Merged_Data!$J$2:$J$1000,Final_Merged_Data!$B$2:$B$1000=$A277)))</f>
        <v>Rajshahi Range</v>
      </c>
      <c r="K277" cm="1">
        <f t="array" ref="K277">SUMPRODUCT((Final_Merged_Data!$B$2:$B$1000=$A277)*Final_Merged_Data!$K$2:$K$1000*Final_Merged_Data!$F$2:$F$1000)/F277</f>
        <v>112.81411131450233</v>
      </c>
      <c r="L277" cm="1">
        <f t="array" ref="L277">SUMPRODUCT((Final_Merged_Data!$B$2:$B$1000=$A277)*Final_Merged_Data!$L$2:$L$1000*Final_Merged_Data!$F$2:$F$1000)/F277</f>
        <v>14.272851259111949</v>
      </c>
      <c r="M277" t="str">
        <f>IF(COUNTIF(Master_Data!$C:$C,$A277)&gt;0,"Found","Missing")</f>
        <v>Found</v>
      </c>
      <c r="N277" t="str">
        <f>_xlfn.XLOOKUP($A277,Master_Data!$C:$C,Master_Data!$D:$D,"CHECK",0)</f>
        <v>Md. Rafiqul Islam Khan</v>
      </c>
      <c r="O277" t="str">
        <f>_xlfn.XLOOKUP($A277,Master_Data!$C:$C,Master_Data!$E:$E,"CHECK",0)</f>
        <v>Jamaat</v>
      </c>
      <c r="P277">
        <f>_xlfn.XLOOKUP($A277,Master_Data!$C:$C,Master_Data!$F:$F,"CHECK",0)</f>
        <v>2</v>
      </c>
      <c r="Q277">
        <f>_xlfn.XLOOKUP($A277,Master_Data!$C:$C,Master_Data!$G:$G,"CHECK",0)</f>
        <v>161872</v>
      </c>
      <c r="R277">
        <f>IFERROR(_xlfn.XLOOKUP($A277,Master_Data!$C:$C,Master_Data!$H:$H,"CHECK",0),"")</f>
        <v>50.091907782763421</v>
      </c>
      <c r="S277" t="str">
        <f>_xlfn.XLOOKUP($A277,Master_Data!$C:$C,Master_Data!$I:$I,"CHECK",0)</f>
        <v>M. Akbar Ali</v>
      </c>
      <c r="T277">
        <f>_xlfn.XLOOKUP($A277,Master_Data!$C:$C,Master_Data!$K:$K,"CHECK",0)</f>
        <v>161278</v>
      </c>
      <c r="U277">
        <f>IFERROR(_xlfn.XLOOKUP($A277,Master_Data!$C:$C,Master_Data!$L:$L,"CHECK",0),"")</f>
        <v>49.908092217236579</v>
      </c>
      <c r="V277">
        <f>_xlfn.XLOOKUP($A277,Master_Data!$C:$C,Master_Data!$M:$M,"CHECK",0)</f>
        <v>594</v>
      </c>
      <c r="W277">
        <f>IFERROR(_xlfn.XLOOKUP($A277,Master_Data!$C:$C,Master_Data!$N:$N,"CHECK",0),"")</f>
        <v>0.18381556552684511</v>
      </c>
      <c r="X277" t="str">
        <f>IFERROR(_xlfn.XLOOKUP($A277,Master_Data!$C:$C,Master_Data!$O:$O,"CHECK",0),"No Result")</f>
        <v>Highly Competitive</v>
      </c>
      <c r="Y277">
        <f>_xlfn.XLOOKUP($A277,Master_Data!$C:$C,Master_Data!$P:$P,"CHECK",0)</f>
        <v>0</v>
      </c>
      <c r="Z277">
        <f t="shared" si="9"/>
        <v>1</v>
      </c>
    </row>
    <row r="278" spans="1:26">
      <c r="A278" t="str">
        <v>Sirajganj-5</v>
      </c>
      <c r="B278" t="str" cm="1">
        <f t="array" ref="B2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Nawabganj","Chapainawabganj"),Final_Merged_Data!$B$2:$B$1000=$A278)))</f>
        <v>Sirajganj</v>
      </c>
      <c r="C278" t="str" cm="1">
        <f t="array" ref="C278">_xlfn.TEXTJOIN(", ",TRUE,_xlfn._xlws.FILTER(Final_Merged_Data!$C$2:$C$1000,Final_Merged_Data!$B$2:$B$1000=$A278))</f>
        <v>Belkuchi, Chouhali</v>
      </c>
      <c r="D278" cm="1">
        <f t="array" ref="D278">COUNTA(_xlfn._xlws.FILTER(Final_Merged_Data!$C$2:$C$1000,Final_Merged_Data!$B$2:$B$1000=$A278))</f>
        <v>2</v>
      </c>
      <c r="E278">
        <f>SUMIFS(Final_Merged_Data!$E:$E,Final_Merged_Data!$B:$B,$A278)</f>
        <v>277.78999999999996</v>
      </c>
      <c r="F278">
        <f>SUMIFS(Final_Merged_Data!$F:$F,Final_Merged_Data!$B:$B,$A278)</f>
        <v>539206</v>
      </c>
      <c r="G278">
        <f t="shared" si="8"/>
        <v>1941.056193527485</v>
      </c>
      <c r="H278" cm="1">
        <f t="array" ref="H278">SUMPRODUCT((Final_Merged_Data!$B$2:$B$1000=$A278)*Final_Merged_Data!$H$2:$H$1000*Final_Merged_Data!$F$2:$F$1000)/F278</f>
        <v>4.0692761579062546</v>
      </c>
      <c r="I278" cm="1">
        <f t="array" ref="I278">SUMPRODUCT((Final_Merged_Data!$B$2:$B$1000=$A278)*Final_Merged_Data!$I$2:$I$1000*Final_Merged_Data!$F$2:$F$1000)/F278</f>
        <v>70.129921106219143</v>
      </c>
      <c r="J278" t="str" cm="1">
        <f t="array" ref="J278">_xlfn.TEXTJOIN(", ",TRUE,_xlfn.UNIQUE(_xlfn._xlws.FILTER(Final_Merged_Data!$J$2:$J$1000,Final_Merged_Data!$B$2:$B$1000=$A278)))</f>
        <v>Rajshahi Range</v>
      </c>
      <c r="K278" cm="1">
        <f t="array" ref="K278">SUMPRODUCT((Final_Merged_Data!$B$2:$B$1000=$A278)*Final_Merged_Data!$K$2:$K$1000*Final_Merged_Data!$F$2:$F$1000)/F278</f>
        <v>112.81411131450234</v>
      </c>
      <c r="L278" cm="1">
        <f t="array" ref="L278">SUMPRODUCT((Final_Merged_Data!$B$2:$B$1000=$A278)*Final_Merged_Data!$L$2:$L$1000*Final_Merged_Data!$F$2:$F$1000)/F278</f>
        <v>14.272851259111949</v>
      </c>
      <c r="M278" t="str">
        <f>IF(COUNTIF(Master_Data!$C:$C,$A278)&gt;0,"Found","Missing")</f>
        <v>Found</v>
      </c>
      <c r="N278" t="str">
        <f>_xlfn.XLOOKUP($A278,Master_Data!$C:$C,Master_Data!$D:$D,"CHECK",0)</f>
        <v>Md. Amirul Islam Khan</v>
      </c>
      <c r="O278" t="str">
        <f>_xlfn.XLOOKUP($A278,Master_Data!$C:$C,Master_Data!$E:$E,"CHECK",0)</f>
        <v>BNP</v>
      </c>
      <c r="P278">
        <f>_xlfn.XLOOKUP($A278,Master_Data!$C:$C,Master_Data!$F:$F,"CHECK",0)</f>
        <v>1</v>
      </c>
      <c r="Q278">
        <f>_xlfn.XLOOKUP($A278,Master_Data!$C:$C,Master_Data!$G:$G,"CHECK",0)</f>
        <v>134197</v>
      </c>
      <c r="R278">
        <f>IFERROR(_xlfn.XLOOKUP($A278,Master_Data!$C:$C,Master_Data!$H:$H,"CHECK",0),"")</f>
        <v>56.059068028489669</v>
      </c>
      <c r="S278" t="str">
        <f>_xlfn.XLOOKUP($A278,Master_Data!$C:$C,Master_Data!$I:$I,"CHECK",0)</f>
        <v>Md. Ali Alam</v>
      </c>
      <c r="T278">
        <f>_xlfn.XLOOKUP($A278,Master_Data!$C:$C,Master_Data!$K:$K,"CHECK",0)</f>
        <v>105188</v>
      </c>
      <c r="U278">
        <f>IFERROR(_xlfn.XLOOKUP($A278,Master_Data!$C:$C,Master_Data!$L:$L,"CHECK",0),"")</f>
        <v>43.940931971510331</v>
      </c>
      <c r="V278">
        <f>_xlfn.XLOOKUP($A278,Master_Data!$C:$C,Master_Data!$M:$M,"CHECK",0)</f>
        <v>29009</v>
      </c>
      <c r="W278">
        <f>IFERROR(_xlfn.XLOOKUP($A278,Master_Data!$C:$C,Master_Data!$N:$N,"CHECK",0),"")</f>
        <v>12.118136056979342</v>
      </c>
      <c r="X278" t="str">
        <f>IFERROR(_xlfn.XLOOKUP($A278,Master_Data!$C:$C,Master_Data!$O:$O,"CHECK",0),"No Result")</f>
        <v>Safe Seat</v>
      </c>
      <c r="Y278">
        <f>_xlfn.XLOOKUP($A278,Master_Data!$C:$C,Master_Data!$P:$P,"CHECK",0)</f>
        <v>0</v>
      </c>
      <c r="Z278">
        <f t="shared" si="9"/>
        <v>1</v>
      </c>
    </row>
    <row r="279" spans="1:26">
      <c r="A279" t="str">
        <v>Sirajganj-6</v>
      </c>
      <c r="B279" t="str" cm="1">
        <f t="array" ref="B2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Nawabganj","Chapainawabganj"),Final_Merged_Data!$B$2:$B$1000=$A279)))</f>
        <v>Sirajganj</v>
      </c>
      <c r="C279" t="str" cm="1">
        <f t="array" ref="C279">_xlfn.TEXTJOIN(", ",TRUE,_xlfn._xlws.FILTER(Final_Merged_Data!$C$2:$C$1000,Final_Merged_Data!$B$2:$B$1000=$A279))</f>
        <v>Shahjadpur</v>
      </c>
      <c r="D279" cm="1">
        <f t="array" ref="D279">COUNTA(_xlfn._xlws.FILTER(Final_Merged_Data!$C$2:$C$1000,Final_Merged_Data!$B$2:$B$1000=$A279))</f>
        <v>1</v>
      </c>
      <c r="E279">
        <f>SUMIFS(Final_Merged_Data!$E:$E,Final_Merged_Data!$B:$B,$A279)</f>
        <v>356.67</v>
      </c>
      <c r="F279">
        <f>SUMIFS(Final_Merged_Data!$F:$F,Final_Merged_Data!$B:$B,$A279)</f>
        <v>601613</v>
      </c>
      <c r="G279">
        <f t="shared" si="8"/>
        <v>1686.7496565452659</v>
      </c>
      <c r="H279" cm="1">
        <f t="array" ref="H279">SUMPRODUCT((Final_Merged_Data!$B$2:$B$1000=$A279)*Final_Merged_Data!$H$2:$H$1000*Final_Merged_Data!$F$2:$F$1000)/F279</f>
        <v>4.04</v>
      </c>
      <c r="I279" cm="1">
        <f t="array" ref="I279">SUMPRODUCT((Final_Merged_Data!$B$2:$B$1000=$A279)*Final_Merged_Data!$I$2:$I$1000*Final_Merged_Data!$F$2:$F$1000)/F279</f>
        <v>65.3</v>
      </c>
      <c r="J279" t="str" cm="1">
        <f t="array" ref="J279">_xlfn.TEXTJOIN(", ",TRUE,_xlfn.UNIQUE(_xlfn._xlws.FILTER(Final_Merged_Data!$J$2:$J$1000,Final_Merged_Data!$B$2:$B$1000=$A279)))</f>
        <v>Rajshahi Range</v>
      </c>
      <c r="K279" cm="1">
        <f t="array" ref="K279">SUMPRODUCT((Final_Merged_Data!$B$2:$B$1000=$A279)*Final_Merged_Data!$K$2:$K$1000*Final_Merged_Data!$F$2:$F$1000)/F279</f>
        <v>112.81411131450231</v>
      </c>
      <c r="L279" cm="1">
        <f t="array" ref="L279">SUMPRODUCT((Final_Merged_Data!$B$2:$B$1000=$A279)*Final_Merged_Data!$L$2:$L$1000*Final_Merged_Data!$F$2:$F$1000)/F279</f>
        <v>14.272851259111949</v>
      </c>
      <c r="M279" t="str">
        <f>IF(COUNTIF(Master_Data!$C:$C,$A279)&gt;0,"Found","Missing")</f>
        <v>Found</v>
      </c>
      <c r="N279" t="str">
        <f>_xlfn.XLOOKUP($A279,Master_Data!$C:$C,Master_Data!$D:$D,"CHECK",0)</f>
        <v>M. A. Muhit</v>
      </c>
      <c r="O279" t="str">
        <f>_xlfn.XLOOKUP($A279,Master_Data!$C:$C,Master_Data!$E:$E,"CHECK",0)</f>
        <v>BNP</v>
      </c>
      <c r="P279">
        <f>_xlfn.XLOOKUP($A279,Master_Data!$C:$C,Master_Data!$F:$F,"CHECK",0)</f>
        <v>1</v>
      </c>
      <c r="Q279">
        <f>_xlfn.XLOOKUP($A279,Master_Data!$C:$C,Master_Data!$G:$G,"CHECK",0)</f>
        <v>171508</v>
      </c>
      <c r="R279">
        <f>IFERROR(_xlfn.XLOOKUP($A279,Master_Data!$C:$C,Master_Data!$H:$H,"CHECK",0),"")</f>
        <v>62.277771322333251</v>
      </c>
      <c r="S279" t="str">
        <f>_xlfn.XLOOKUP($A279,Master_Data!$C:$C,Master_Data!$I:$I,"CHECK",0)</f>
        <v>SM Saif Mostafiz</v>
      </c>
      <c r="T279">
        <f>_xlfn.XLOOKUP($A279,Master_Data!$C:$C,Master_Data!$K:$K,"CHECK",0)</f>
        <v>103884</v>
      </c>
      <c r="U279">
        <f>IFERROR(_xlfn.XLOOKUP($A279,Master_Data!$C:$C,Master_Data!$L:$L,"CHECK",0),"")</f>
        <v>37.722228677666742</v>
      </c>
      <c r="V279">
        <f>_xlfn.XLOOKUP($A279,Master_Data!$C:$C,Master_Data!$M:$M,"CHECK",0)</f>
        <v>67624</v>
      </c>
      <c r="W279">
        <f>IFERROR(_xlfn.XLOOKUP($A279,Master_Data!$C:$C,Master_Data!$N:$N,"CHECK",0),"")</f>
        <v>24.555542644666513</v>
      </c>
      <c r="X279" t="str">
        <f>IFERROR(_xlfn.XLOOKUP($A279,Master_Data!$C:$C,Master_Data!$O:$O,"CHECK",0),"No Result")</f>
        <v>Safe Seat</v>
      </c>
      <c r="Y279">
        <f>_xlfn.XLOOKUP($A279,Master_Data!$C:$C,Master_Data!$P:$P,"CHECK",0)</f>
        <v>0</v>
      </c>
      <c r="Z279">
        <f t="shared" si="9"/>
        <v>1</v>
      </c>
    </row>
    <row r="280" spans="1:26">
      <c r="A280" t="str">
        <v>Sunamganj-1</v>
      </c>
      <c r="B280" t="str" cm="1">
        <f t="array" ref="B2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Nawabganj","Chapainawabganj"),Final_Merged_Data!$B$2:$B$1000=$A280)))</f>
        <v>Sunamganj</v>
      </c>
      <c r="C280" t="str" cm="1">
        <f t="array" ref="C280">_xlfn.TEXTJOIN(", ",TRUE,_xlfn._xlws.FILTER(Final_Merged_Data!$C$2:$C$1000,Final_Merged_Data!$B$2:$B$1000=$A280))</f>
        <v>Tahirpur, Jamalganj, Dharmapasha</v>
      </c>
      <c r="D280" cm="1">
        <f t="array" ref="D280">COUNTA(_xlfn._xlws.FILTER(Final_Merged_Data!$C$2:$C$1000,Final_Merged_Data!$B$2:$B$1000=$A280))</f>
        <v>3</v>
      </c>
      <c r="E280">
        <f>SUMIFS(Final_Merged_Data!$E:$E,Final_Merged_Data!$B:$B,$A280)</f>
        <v>857.64</v>
      </c>
      <c r="F280">
        <f>SUMIFS(Final_Merged_Data!$F:$F,Final_Merged_Data!$B:$B,$A280)</f>
        <v>543923</v>
      </c>
      <c r="G280">
        <f t="shared" si="8"/>
        <v>634.20899211790493</v>
      </c>
      <c r="H280" cm="1">
        <f t="array" ref="H280">SUMPRODUCT((Final_Merged_Data!$B$2:$B$1000=$A280)*Final_Merged_Data!$H$2:$H$1000*Final_Merged_Data!$F$2:$F$1000)/F280</f>
        <v>5.0490581019739924</v>
      </c>
      <c r="I280" cm="1">
        <f t="array" ref="I280">SUMPRODUCT((Final_Merged_Data!$B$2:$B$1000=$A280)*Final_Merged_Data!$I$2:$I$1000*Final_Merged_Data!$F$2:$F$1000)/F280</f>
        <v>58.983348985058555</v>
      </c>
      <c r="J280" t="str" cm="1">
        <f t="array" ref="J280">_xlfn.TEXTJOIN(", ",TRUE,_xlfn.UNIQUE(_xlfn._xlws.FILTER(Final_Merged_Data!$J$2:$J$1000,Final_Merged_Data!$B$2:$B$1000=$A280)))</f>
        <v>Sylhet Range</v>
      </c>
      <c r="K280" cm="1">
        <f t="array" ref="K280">SUMPRODUCT((Final_Merged_Data!$B$2:$B$1000=$A280)*Final_Merged_Data!$K$2:$K$1000*Final_Merged_Data!$F$2:$F$1000)/F280</f>
        <v>74.251724391082064</v>
      </c>
      <c r="L280" cm="1">
        <f t="array" ref="L280">SUMPRODUCT((Final_Merged_Data!$B$2:$B$1000=$A280)*Final_Merged_Data!$L$2:$L$1000*Final_Merged_Data!$F$2:$F$1000)/F280</f>
        <v>9.6171122896887518</v>
      </c>
      <c r="M280" t="str">
        <f>IF(COUNTIF(Master_Data!$C:$C,$A280)&gt;0,"Found","Missing")</f>
        <v>Found</v>
      </c>
      <c r="N280" t="str">
        <f>_xlfn.XLOOKUP($A280,Master_Data!$C:$C,Master_Data!$D:$D,"CHECK",0)</f>
        <v>Kamruzzaman Kamrul</v>
      </c>
      <c r="O280" t="str">
        <f>_xlfn.XLOOKUP($A280,Master_Data!$C:$C,Master_Data!$E:$E,"CHECK",0)</f>
        <v>BNP</v>
      </c>
      <c r="P280">
        <f>_xlfn.XLOOKUP($A280,Master_Data!$C:$C,Master_Data!$F:$F,"CHECK",0)</f>
        <v>1</v>
      </c>
      <c r="Q280">
        <f>_xlfn.XLOOKUP($A280,Master_Data!$C:$C,Master_Data!$G:$G,"CHECK",0)</f>
        <v>161774</v>
      </c>
      <c r="R280">
        <f>IFERROR(_xlfn.XLOOKUP($A280,Master_Data!$C:$C,Master_Data!$H:$H,"CHECK",0),"")</f>
        <v>63.505535055350549</v>
      </c>
      <c r="S280" t="str">
        <f>_xlfn.XLOOKUP($A280,Master_Data!$C:$C,Master_Data!$I:$I,"CHECK",0)</f>
        <v>Tofail Ahmed</v>
      </c>
      <c r="T280">
        <f>_xlfn.XLOOKUP($A280,Master_Data!$C:$C,Master_Data!$K:$K,"CHECK",0)</f>
        <v>92966</v>
      </c>
      <c r="U280">
        <f>IFERROR(_xlfn.XLOOKUP($A280,Master_Data!$C:$C,Master_Data!$L:$L,"CHECK",0),"")</f>
        <v>36.494464944649444</v>
      </c>
      <c r="V280">
        <f>_xlfn.XLOOKUP($A280,Master_Data!$C:$C,Master_Data!$M:$M,"CHECK",0)</f>
        <v>68808</v>
      </c>
      <c r="W280">
        <f>IFERROR(_xlfn.XLOOKUP($A280,Master_Data!$C:$C,Master_Data!$N:$N,"CHECK",0),"")</f>
        <v>27.011070110701109</v>
      </c>
      <c r="X280" t="str">
        <f>IFERROR(_xlfn.XLOOKUP($A280,Master_Data!$C:$C,Master_Data!$O:$O,"CHECK",0),"No Result")</f>
        <v>Safe Seat</v>
      </c>
      <c r="Y280">
        <f>_xlfn.XLOOKUP($A280,Master_Data!$C:$C,Master_Data!$P:$P,"CHECK",0)</f>
        <v>0</v>
      </c>
      <c r="Z280">
        <f t="shared" si="9"/>
        <v>1</v>
      </c>
    </row>
    <row r="281" spans="1:26">
      <c r="A281" t="str">
        <v>Sunamganj-2</v>
      </c>
      <c r="B281" t="str" cm="1">
        <f t="array" ref="B2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Nawabganj","Chapainawabganj"),Final_Merged_Data!$B$2:$B$1000=$A281)))</f>
        <v>Sunamganj</v>
      </c>
      <c r="C281" t="str" cm="1">
        <f t="array" ref="C281">_xlfn.TEXTJOIN(", ",TRUE,_xlfn._xlws.FILTER(Final_Merged_Data!$C$2:$C$1000,Final_Merged_Data!$B$2:$B$1000=$A281))</f>
        <v>Dirai, Shalla</v>
      </c>
      <c r="D281" cm="1">
        <f t="array" ref="D281">COUNTA(_xlfn._xlws.FILTER(Final_Merged_Data!$C$2:$C$1000,Final_Merged_Data!$B$2:$B$1000=$A281))</f>
        <v>2</v>
      </c>
      <c r="E281">
        <f>SUMIFS(Final_Merged_Data!$E:$E,Final_Merged_Data!$B:$B,$A281)</f>
        <v>658.17</v>
      </c>
      <c r="F281">
        <f>SUMIFS(Final_Merged_Data!$F:$F,Final_Merged_Data!$B:$B,$A281)</f>
        <v>371318</v>
      </c>
      <c r="G281">
        <f t="shared" si="8"/>
        <v>564.16731239649334</v>
      </c>
      <c r="H281" cm="1">
        <f t="array" ref="H281">SUMPRODUCT((Final_Merged_Data!$B$2:$B$1000=$A281)*Final_Merged_Data!$H$2:$H$1000*Final_Merged_Data!$F$2:$F$1000)/F281</f>
        <v>5.0995033906247471</v>
      </c>
      <c r="I281" cm="1">
        <f t="array" ref="I281">SUMPRODUCT((Final_Merged_Data!$B$2:$B$1000=$A281)*Final_Merged_Data!$I$2:$I$1000*Final_Merged_Data!$F$2:$F$1000)/F281</f>
        <v>66.464062609407577</v>
      </c>
      <c r="J281" t="str" cm="1">
        <f t="array" ref="J281">_xlfn.TEXTJOIN(", ",TRUE,_xlfn.UNIQUE(_xlfn._xlws.FILTER(Final_Merged_Data!$J$2:$J$1000,Final_Merged_Data!$B$2:$B$1000=$A281)))</f>
        <v>Sylhet Range</v>
      </c>
      <c r="K281" cm="1">
        <f t="array" ref="K281">SUMPRODUCT((Final_Merged_Data!$B$2:$B$1000=$A281)*Final_Merged_Data!$K$2:$K$1000*Final_Merged_Data!$F$2:$F$1000)/F281</f>
        <v>74.251724391082064</v>
      </c>
      <c r="L281" cm="1">
        <f t="array" ref="L281">SUMPRODUCT((Final_Merged_Data!$B$2:$B$1000=$A281)*Final_Merged_Data!$L$2:$L$1000*Final_Merged_Data!$F$2:$F$1000)/F281</f>
        <v>9.6171122896887518</v>
      </c>
      <c r="M281" t="str">
        <f>IF(COUNTIF(Master_Data!$C:$C,$A281)&gt;0,"Found","Missing")</f>
        <v>Found</v>
      </c>
      <c r="N281" t="str">
        <f>_xlfn.XLOOKUP($A281,Master_Data!$C:$C,Master_Data!$D:$D,"CHECK",0)</f>
        <v>Md. Nasir Chowdhury</v>
      </c>
      <c r="O281" t="str">
        <f>_xlfn.XLOOKUP($A281,Master_Data!$C:$C,Master_Data!$E:$E,"CHECK",0)</f>
        <v>BNP</v>
      </c>
      <c r="P281">
        <f>_xlfn.XLOOKUP($A281,Master_Data!$C:$C,Master_Data!$F:$F,"CHECK",0)</f>
        <v>1</v>
      </c>
      <c r="Q281">
        <f>_xlfn.XLOOKUP($A281,Master_Data!$C:$C,Master_Data!$G:$G,"CHECK",0)</f>
        <v>99522</v>
      </c>
      <c r="R281">
        <f>IFERROR(_xlfn.XLOOKUP($A281,Master_Data!$C:$C,Master_Data!$H:$H,"CHECK",0),"")</f>
        <v>61.153236411006375</v>
      </c>
      <c r="S281" t="str">
        <f>_xlfn.XLOOKUP($A281,Master_Data!$C:$C,Master_Data!$I:$I,"CHECK",0)</f>
        <v>Mohammad Shishir Monir</v>
      </c>
      <c r="T281">
        <f>_xlfn.XLOOKUP($A281,Master_Data!$C:$C,Master_Data!$K:$K,"CHECK",0)</f>
        <v>63220</v>
      </c>
      <c r="U281">
        <f>IFERROR(_xlfn.XLOOKUP($A281,Master_Data!$C:$C,Master_Data!$L:$L,"CHECK",0),"")</f>
        <v>38.846763588993625</v>
      </c>
      <c r="V281">
        <f>_xlfn.XLOOKUP($A281,Master_Data!$C:$C,Master_Data!$M:$M,"CHECK",0)</f>
        <v>36302</v>
      </c>
      <c r="W281">
        <f>IFERROR(_xlfn.XLOOKUP($A281,Master_Data!$C:$C,Master_Data!$N:$N,"CHECK",0),"")</f>
        <v>22.306472822012758</v>
      </c>
      <c r="X281" t="str">
        <f>IFERROR(_xlfn.XLOOKUP($A281,Master_Data!$C:$C,Master_Data!$O:$O,"CHECK",0),"No Result")</f>
        <v>Safe Seat</v>
      </c>
      <c r="Y281">
        <f>_xlfn.XLOOKUP($A281,Master_Data!$C:$C,Master_Data!$P:$P,"CHECK",0)</f>
        <v>0</v>
      </c>
      <c r="Z281">
        <f t="shared" si="9"/>
        <v>1</v>
      </c>
    </row>
    <row r="282" spans="1:26">
      <c r="A282" t="str">
        <v>Sunamganj-3</v>
      </c>
      <c r="B282" t="str" cm="1">
        <f t="array" ref="B2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Nawabganj","Chapainawabganj"),Final_Merged_Data!$B$2:$B$1000=$A282)))</f>
        <v>Sunamganj</v>
      </c>
      <c r="C282" t="str" cm="1">
        <f t="array" ref="C282">_xlfn.TEXTJOIN(", ",TRUE,_xlfn._xlws.FILTER(Final_Merged_Data!$C$2:$C$1000,Final_Merged_Data!$B$2:$B$1000=$A282))</f>
        <v>Sunamganj Sadar, Bishwambharpur</v>
      </c>
      <c r="D282" cm="1">
        <f t="array" ref="D282">COUNTA(_xlfn._xlws.FILTER(Final_Merged_Data!$C$2:$C$1000,Final_Merged_Data!$B$2:$B$1000=$A282))</f>
        <v>2</v>
      </c>
      <c r="E282">
        <f>SUMIFS(Final_Merged_Data!$E:$E,Final_Merged_Data!$B:$B,$A282)</f>
        <v>774.12</v>
      </c>
      <c r="F282">
        <f>SUMIFS(Final_Merged_Data!$F:$F,Final_Merged_Data!$B:$B,$A282)</f>
        <v>508396</v>
      </c>
      <c r="G282">
        <f t="shared" si="8"/>
        <v>656.74055701958355</v>
      </c>
      <c r="H282" cm="1">
        <f t="array" ref="H282">SUMPRODUCT((Final_Merged_Data!$B$2:$B$1000=$A282)*Final_Merged_Data!$H$2:$H$1000*Final_Merged_Data!$F$2:$F$1000)/F282</f>
        <v>5.0112313236138757</v>
      </c>
      <c r="I282" cm="1">
        <f t="array" ref="I282">SUMPRODUCT((Final_Merged_Data!$B$2:$B$1000=$A282)*Final_Merged_Data!$I$2:$I$1000*Final_Merged_Data!$F$2:$F$1000)/F282</f>
        <v>66.559878126499811</v>
      </c>
      <c r="J282" t="str" cm="1">
        <f t="array" ref="J282">_xlfn.TEXTJOIN(", ",TRUE,_xlfn.UNIQUE(_xlfn._xlws.FILTER(Final_Merged_Data!$J$2:$J$1000,Final_Merged_Data!$B$2:$B$1000=$A282)))</f>
        <v>Sylhet Range</v>
      </c>
      <c r="K282" cm="1">
        <f t="array" ref="K282">SUMPRODUCT((Final_Merged_Data!$B$2:$B$1000=$A282)*Final_Merged_Data!$K$2:$K$1000*Final_Merged_Data!$F$2:$F$1000)/F282</f>
        <v>74.251724391082064</v>
      </c>
      <c r="L282" cm="1">
        <f t="array" ref="L282">SUMPRODUCT((Final_Merged_Data!$B$2:$B$1000=$A282)*Final_Merged_Data!$L$2:$L$1000*Final_Merged_Data!$F$2:$F$1000)/F282</f>
        <v>9.6171122896887518</v>
      </c>
      <c r="M282" t="str">
        <f>IF(COUNTIF(Master_Data!$C:$C,$A282)&gt;0,"Found","Missing")</f>
        <v>Found</v>
      </c>
      <c r="N282" t="str">
        <f>_xlfn.XLOOKUP($A282,Master_Data!$C:$C,Master_Data!$D:$D,"CHECK",0)</f>
        <v>Mohammad Kaisar Ahmed</v>
      </c>
      <c r="O282" t="str">
        <f>_xlfn.XLOOKUP($A282,Master_Data!$C:$C,Master_Data!$E:$E,"CHECK",0)</f>
        <v>BNP</v>
      </c>
      <c r="P282">
        <f>_xlfn.XLOOKUP($A282,Master_Data!$C:$C,Master_Data!$F:$F,"CHECK",0)</f>
        <v>1</v>
      </c>
      <c r="Q282">
        <f>_xlfn.XLOOKUP($A282,Master_Data!$C:$C,Master_Data!$G:$G,"CHECK",0)</f>
        <v>97313</v>
      </c>
      <c r="R282">
        <f>IFERROR(_xlfn.XLOOKUP($A282,Master_Data!$C:$C,Master_Data!$H:$H,"CHECK",0),"")</f>
        <v>69.738926035015297</v>
      </c>
      <c r="S282" t="str">
        <f>_xlfn.XLOOKUP($A282,Master_Data!$C:$C,Master_Data!$I:$I,"CHECK",0)</f>
        <v>Md. Anwar Hossain</v>
      </c>
      <c r="T282">
        <f>_xlfn.XLOOKUP($A282,Master_Data!$C:$C,Master_Data!$K:$K,"CHECK",0)</f>
        <v>42226</v>
      </c>
      <c r="U282">
        <f>IFERROR(_xlfn.XLOOKUP($A282,Master_Data!$C:$C,Master_Data!$L:$L,"CHECK",0),"")</f>
        <v>30.261073964984696</v>
      </c>
      <c r="V282">
        <f>_xlfn.XLOOKUP($A282,Master_Data!$C:$C,Master_Data!$M:$M,"CHECK",0)</f>
        <v>55087</v>
      </c>
      <c r="W282">
        <f>IFERROR(_xlfn.XLOOKUP($A282,Master_Data!$C:$C,Master_Data!$N:$N,"CHECK",0),"")</f>
        <v>39.4778520700306</v>
      </c>
      <c r="X282" t="str">
        <f>IFERROR(_xlfn.XLOOKUP($A282,Master_Data!$C:$C,Master_Data!$O:$O,"CHECK",0),"No Result")</f>
        <v>Safe Seat</v>
      </c>
      <c r="Y282">
        <f>_xlfn.XLOOKUP($A282,Master_Data!$C:$C,Master_Data!$P:$P,"CHECK",0)</f>
        <v>0</v>
      </c>
      <c r="Z282">
        <f t="shared" si="9"/>
        <v>1</v>
      </c>
    </row>
    <row r="283" spans="1:26">
      <c r="A283" t="str">
        <v>Sunamganj-4</v>
      </c>
      <c r="B283" t="str" cm="1">
        <f t="array" ref="B2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Nawabganj","Chapainawabganj"),Final_Merged_Data!$B$2:$B$1000=$A283)))</f>
        <v>Sunamganj</v>
      </c>
      <c r="C283" t="str" cm="1">
        <f t="array" ref="C283">_xlfn.TEXTJOIN(", ",TRUE,_xlfn._xlws.FILTER(Final_Merged_Data!$C$2:$C$1000,Final_Merged_Data!$B$2:$B$1000=$A283))</f>
        <v>Chhatak, Dowarabazar</v>
      </c>
      <c r="D283" cm="1">
        <f t="array" ref="D283">COUNTA(_xlfn._xlws.FILTER(Final_Merged_Data!$C$2:$C$1000,Final_Merged_Data!$B$2:$B$1000=$A283))</f>
        <v>2</v>
      </c>
      <c r="E283">
        <f>SUMIFS(Final_Merged_Data!$E:$E,Final_Merged_Data!$B:$B,$A283)</f>
        <v>561.85</v>
      </c>
      <c r="F283">
        <f>SUMIFS(Final_Merged_Data!$F:$F,Final_Merged_Data!$B:$B,$A283)</f>
        <v>706265</v>
      </c>
      <c r="G283">
        <f t="shared" si="8"/>
        <v>1257.034795763994</v>
      </c>
      <c r="H283" cm="1">
        <f t="array" ref="H283">SUMPRODUCT((Final_Merged_Data!$B$2:$B$1000=$A283)*Final_Merged_Data!$H$2:$H$1000*Final_Merged_Data!$F$2:$F$1000)/F283</f>
        <v>5.1399211485773746</v>
      </c>
      <c r="I283" cm="1">
        <f t="array" ref="I283">SUMPRODUCT((Final_Merged_Data!$B$2:$B$1000=$A283)*Final_Merged_Data!$I$2:$I$1000*Final_Merged_Data!$F$2:$F$1000)/F283</f>
        <v>66.869152641005854</v>
      </c>
      <c r="J283" t="str" cm="1">
        <f t="array" ref="J283">_xlfn.TEXTJOIN(", ",TRUE,_xlfn.UNIQUE(_xlfn._xlws.FILTER(Final_Merged_Data!$J$2:$J$1000,Final_Merged_Data!$B$2:$B$1000=$A283)))</f>
        <v>Sylhet Range</v>
      </c>
      <c r="K283" cm="1">
        <f t="array" ref="K283">SUMPRODUCT((Final_Merged_Data!$B$2:$B$1000=$A283)*Final_Merged_Data!$K$2:$K$1000*Final_Merged_Data!$F$2:$F$1000)/F283</f>
        <v>74.251724391082064</v>
      </c>
      <c r="L283" cm="1">
        <f t="array" ref="L283">SUMPRODUCT((Final_Merged_Data!$B$2:$B$1000=$A283)*Final_Merged_Data!$L$2:$L$1000*Final_Merged_Data!$F$2:$F$1000)/F283</f>
        <v>9.6171122896887518</v>
      </c>
      <c r="M283" t="str">
        <f>IF(COUNTIF(Master_Data!$C:$C,$A283)&gt;0,"Found","Missing")</f>
        <v>Found</v>
      </c>
      <c r="N283" t="str">
        <f>_xlfn.XLOOKUP($A283,Master_Data!$C:$C,Master_Data!$D:$D,"CHECK",0)</f>
        <v>Nurul Islam</v>
      </c>
      <c r="O283" t="str">
        <f>_xlfn.XLOOKUP($A283,Master_Data!$C:$C,Master_Data!$E:$E,"CHECK",0)</f>
        <v>BNP</v>
      </c>
      <c r="P283">
        <f>_xlfn.XLOOKUP($A283,Master_Data!$C:$C,Master_Data!$F:$F,"CHECK",0)</f>
        <v>1</v>
      </c>
      <c r="Q283">
        <f>_xlfn.XLOOKUP($A283,Master_Data!$C:$C,Master_Data!$G:$G,"CHECK",0)</f>
        <v>98092</v>
      </c>
      <c r="R283">
        <f>IFERROR(_xlfn.XLOOKUP($A283,Master_Data!$C:$C,Master_Data!$H:$H,"CHECK",0),"")</f>
        <v>56.430819147773356</v>
      </c>
      <c r="S283" t="str">
        <f>_xlfn.XLOOKUP($A283,Master_Data!$C:$C,Master_Data!$I:$I,"CHECK",0)</f>
        <v>Md. Shams Uddin</v>
      </c>
      <c r="T283">
        <f>_xlfn.XLOOKUP($A283,Master_Data!$C:$C,Master_Data!$K:$K,"CHECK",0)</f>
        <v>75735</v>
      </c>
      <c r="U283">
        <f>IFERROR(_xlfn.XLOOKUP($A283,Master_Data!$C:$C,Master_Data!$L:$L,"CHECK",0),"")</f>
        <v>43.569180852226644</v>
      </c>
      <c r="V283">
        <f>_xlfn.XLOOKUP($A283,Master_Data!$C:$C,Master_Data!$M:$M,"CHECK",0)</f>
        <v>22357</v>
      </c>
      <c r="W283">
        <f>IFERROR(_xlfn.XLOOKUP($A283,Master_Data!$C:$C,Master_Data!$N:$N,"CHECK",0),"")</f>
        <v>12.861638295546721</v>
      </c>
      <c r="X283" t="str">
        <f>IFERROR(_xlfn.XLOOKUP($A283,Master_Data!$C:$C,Master_Data!$O:$O,"CHECK",0),"No Result")</f>
        <v>Safe Seat</v>
      </c>
      <c r="Y283">
        <f>_xlfn.XLOOKUP($A283,Master_Data!$C:$C,Master_Data!$P:$P,"CHECK",0)</f>
        <v>0</v>
      </c>
      <c r="Z283">
        <f t="shared" si="9"/>
        <v>1</v>
      </c>
    </row>
    <row r="284" spans="1:26">
      <c r="A284" t="str">
        <v>Sunamganj-5</v>
      </c>
      <c r="B284" t="str" cm="1">
        <f t="array" ref="B2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Nawabganj","Chapainawabganj"),Final_Merged_Data!$B$2:$B$1000=$A284)))</f>
        <v>Sunamganj</v>
      </c>
      <c r="C284" t="str" cm="1">
        <f t="array" ref="C284">_xlfn.TEXTJOIN(", ",TRUE,_xlfn._xlws.FILTER(Final_Merged_Data!$C$2:$C$1000,Final_Merged_Data!$B$2:$B$1000=$A284))</f>
        <v>Jagannathpur, Shantiganj</v>
      </c>
      <c r="D284" cm="1">
        <f t="array" ref="D284">COUNTA(_xlfn._xlws.FILTER(Final_Merged_Data!$C$2:$C$1000,Final_Merged_Data!$B$2:$B$1000=$A284))</f>
        <v>2</v>
      </c>
      <c r="E284">
        <f>SUMIFS(Final_Merged_Data!$E:$E,Final_Merged_Data!$B:$B,$A284)</f>
        <v>594.86</v>
      </c>
      <c r="F284">
        <f>SUMIFS(Final_Merged_Data!$F:$F,Final_Merged_Data!$B:$B,$A284)</f>
        <v>469155</v>
      </c>
      <c r="G284">
        <f t="shared" si="8"/>
        <v>788.68137040648219</v>
      </c>
      <c r="H284" cm="1">
        <f t="array" ref="H284">SUMPRODUCT((Final_Merged_Data!$B$2:$B$1000=$A284)*Final_Merged_Data!$H$2:$H$1000*Final_Merged_Data!$F$2:$F$1000)/F284</f>
        <v>5.2919388475024256</v>
      </c>
      <c r="I284" cm="1">
        <f t="array" ref="I284">SUMPRODUCT((Final_Merged_Data!$B$2:$B$1000=$A284)*Final_Merged_Data!$I$2:$I$1000*Final_Merged_Data!$F$2:$F$1000)/F284</f>
        <v>67.135150707122392</v>
      </c>
      <c r="J284" t="str" cm="1">
        <f t="array" ref="J284">_xlfn.TEXTJOIN(", ",TRUE,_xlfn.UNIQUE(_xlfn._xlws.FILTER(Final_Merged_Data!$J$2:$J$1000,Final_Merged_Data!$B$2:$B$1000=$A284)))</f>
        <v>Sylhet Range</v>
      </c>
      <c r="K284" cm="1">
        <f t="array" ref="K284">SUMPRODUCT((Final_Merged_Data!$B$2:$B$1000=$A284)*Final_Merged_Data!$K$2:$K$1000*Final_Merged_Data!$F$2:$F$1000)/F284</f>
        <v>74.251724391082078</v>
      </c>
      <c r="L284" cm="1">
        <f t="array" ref="L284">SUMPRODUCT((Final_Merged_Data!$B$2:$B$1000=$A284)*Final_Merged_Data!$L$2:$L$1000*Final_Merged_Data!$F$2:$F$1000)/F284</f>
        <v>9.6171122896887518</v>
      </c>
      <c r="M284" t="str">
        <f>IF(COUNTIF(Master_Data!$C:$C,$A284)&gt;0,"Found","Missing")</f>
        <v>Found</v>
      </c>
      <c r="N284" t="str">
        <f>_xlfn.XLOOKUP($A284,Master_Data!$C:$C,Master_Data!$D:$D,"CHECK",0)</f>
        <v>Kalim Uddin Ahmed</v>
      </c>
      <c r="O284" t="str">
        <f>_xlfn.XLOOKUP($A284,Master_Data!$C:$C,Master_Data!$E:$E,"CHECK",0)</f>
        <v>BNP</v>
      </c>
      <c r="P284">
        <f>_xlfn.XLOOKUP($A284,Master_Data!$C:$C,Master_Data!$F:$F,"CHECK",0)</f>
        <v>1</v>
      </c>
      <c r="Q284">
        <f>_xlfn.XLOOKUP($A284,Master_Data!$C:$C,Master_Data!$G:$G,"CHECK",0)</f>
        <v>151915</v>
      </c>
      <c r="R284">
        <f>IFERROR(_xlfn.XLOOKUP($A284,Master_Data!$C:$C,Master_Data!$H:$H,"CHECK",0),"")</f>
        <v>59.80057944543293</v>
      </c>
      <c r="S284" t="str">
        <f>_xlfn.XLOOKUP($A284,Master_Data!$C:$C,Master_Data!$I:$I,"CHECK",0)</f>
        <v>Abu Tahir Muhammad Abdus Salam</v>
      </c>
      <c r="T284">
        <f>_xlfn.XLOOKUP($A284,Master_Data!$C:$C,Master_Data!$K:$K,"CHECK",0)</f>
        <v>102121</v>
      </c>
      <c r="U284">
        <f>IFERROR(_xlfn.XLOOKUP($A284,Master_Data!$C:$C,Master_Data!$L:$L,"CHECK",0),"")</f>
        <v>40.19942055456707</v>
      </c>
      <c r="V284">
        <f>_xlfn.XLOOKUP($A284,Master_Data!$C:$C,Master_Data!$M:$M,"CHECK",0)</f>
        <v>49794</v>
      </c>
      <c r="W284">
        <f>IFERROR(_xlfn.XLOOKUP($A284,Master_Data!$C:$C,Master_Data!$N:$N,"CHECK",0),"")</f>
        <v>19.601158890865861</v>
      </c>
      <c r="X284" t="str">
        <f>IFERROR(_xlfn.XLOOKUP($A284,Master_Data!$C:$C,Master_Data!$O:$O,"CHECK",0),"No Result")</f>
        <v>Safe Seat</v>
      </c>
      <c r="Y284">
        <f>_xlfn.XLOOKUP($A284,Master_Data!$C:$C,Master_Data!$P:$P,"CHECK",0)</f>
        <v>0</v>
      </c>
      <c r="Z284">
        <f t="shared" si="9"/>
        <v>1</v>
      </c>
    </row>
    <row r="285" spans="1:26">
      <c r="A285" t="str">
        <v>Sylhet-1</v>
      </c>
      <c r="B285" t="str" cm="1">
        <f t="array" ref="B2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Nawabganj","Chapainawabganj"),Final_Merged_Data!$B$2:$B$1000=$A285)))</f>
        <v>Sylhet</v>
      </c>
      <c r="C285" t="str" cm="1">
        <f t="array" ref="C285">_xlfn.TEXTJOIN(", ",TRUE,_xlfn._xlws.FILTER(Final_Merged_Data!$C$2:$C$1000,Final_Merged_Data!$B$2:$B$1000=$A285))</f>
        <v>Sylhet City Corporation</v>
      </c>
      <c r="D285" cm="1">
        <f t="array" ref="D285">COUNTA(_xlfn._xlws.FILTER(Final_Merged_Data!$C$2:$C$1000,Final_Merged_Data!$B$2:$B$1000=$A285))</f>
        <v>1</v>
      </c>
      <c r="E285">
        <f>SUMIFS(Final_Merged_Data!$E:$E,Final_Merged_Data!$B:$B,$A285)</f>
        <v>79.5</v>
      </c>
      <c r="F285">
        <f>SUMIFS(Final_Merged_Data!$F:$F,Final_Merged_Data!$B:$B,$A285)</f>
        <v>532839</v>
      </c>
      <c r="G285">
        <f t="shared" si="8"/>
        <v>6702.3773584905657</v>
      </c>
      <c r="H285" cm="1">
        <f t="array" ref="H285">SUMPRODUCT((Final_Merged_Data!$B$2:$B$1000=$A285)*Final_Merged_Data!$H$2:$H$1000*Final_Merged_Data!$F$2:$F$1000)/F285</f>
        <v>4.53</v>
      </c>
      <c r="I285" cm="1">
        <f t="array" ref="I285">SUMPRODUCT((Final_Merged_Data!$B$2:$B$1000=$A285)*Final_Merged_Data!$I$2:$I$1000*Final_Merged_Data!$F$2:$F$1000)/F285</f>
        <v>84.57</v>
      </c>
      <c r="J285" t="str" cm="1">
        <f t="array" ref="J285">_xlfn.TEXTJOIN(", ",TRUE,_xlfn.UNIQUE(_xlfn._xlws.FILTER(Final_Merged_Data!$J$2:$J$1000,Final_Merged_Data!$B$2:$B$1000=$A285)))</f>
        <v>Sylhet Range</v>
      </c>
      <c r="K285" cm="1">
        <f t="array" ref="K285">SUMPRODUCT((Final_Merged_Data!$B$2:$B$1000=$A285)*Final_Merged_Data!$K$2:$K$1000*Final_Merged_Data!$F$2:$F$1000)/F285</f>
        <v>74.251724391082064</v>
      </c>
      <c r="L285" cm="1">
        <f t="array" ref="L285">SUMPRODUCT((Final_Merged_Data!$B$2:$B$1000=$A285)*Final_Merged_Data!$L$2:$L$1000*Final_Merged_Data!$F$2:$F$1000)/F285</f>
        <v>9.6171122896887518</v>
      </c>
      <c r="M285" t="str">
        <f>IF(COUNTIF(Master_Data!$C:$C,$A285)&gt;0,"Found","Missing")</f>
        <v>Found</v>
      </c>
      <c r="N285" t="str">
        <f>_xlfn.XLOOKUP($A285,Master_Data!$C:$C,Master_Data!$D:$D,"CHECK",0)</f>
        <v>Khandakar Abdul Muktadir</v>
      </c>
      <c r="O285" t="str">
        <f>_xlfn.XLOOKUP($A285,Master_Data!$C:$C,Master_Data!$E:$E,"CHECK",0)</f>
        <v>BNP</v>
      </c>
      <c r="P285">
        <f>_xlfn.XLOOKUP($A285,Master_Data!$C:$C,Master_Data!$F:$F,"CHECK",0)</f>
        <v>1</v>
      </c>
      <c r="Q285">
        <f>_xlfn.XLOOKUP($A285,Master_Data!$C:$C,Master_Data!$G:$G,"CHECK",0)</f>
        <v>176936</v>
      </c>
      <c r="R285">
        <f>IFERROR(_xlfn.XLOOKUP($A285,Master_Data!$C:$C,Master_Data!$H:$H,"CHECK",0),"")</f>
        <v>56.724983088558247</v>
      </c>
      <c r="S285" t="str">
        <f>_xlfn.XLOOKUP($A285,Master_Data!$C:$C,Master_Data!$I:$I,"CHECK",0)</f>
        <v>Maulana Habibur Rahman</v>
      </c>
      <c r="T285">
        <f>_xlfn.XLOOKUP($A285,Master_Data!$C:$C,Master_Data!$K:$K,"CHECK",0)</f>
        <v>134983</v>
      </c>
      <c r="U285">
        <f>IFERROR(_xlfn.XLOOKUP($A285,Master_Data!$C:$C,Master_Data!$L:$L,"CHECK",0),"")</f>
        <v>43.275016911441753</v>
      </c>
      <c r="V285">
        <f>_xlfn.XLOOKUP($A285,Master_Data!$C:$C,Master_Data!$M:$M,"CHECK",0)</f>
        <v>41953</v>
      </c>
      <c r="W285">
        <f>IFERROR(_xlfn.XLOOKUP($A285,Master_Data!$C:$C,Master_Data!$N:$N,"CHECK",0),"")</f>
        <v>13.449966177116496</v>
      </c>
      <c r="X285" t="str">
        <f>IFERROR(_xlfn.XLOOKUP($A285,Master_Data!$C:$C,Master_Data!$O:$O,"CHECK",0),"No Result")</f>
        <v>Safe Seat</v>
      </c>
      <c r="Y285">
        <f>_xlfn.XLOOKUP($A285,Master_Data!$C:$C,Master_Data!$P:$P,"CHECK",0)</f>
        <v>1</v>
      </c>
      <c r="Z285">
        <f t="shared" si="9"/>
        <v>1</v>
      </c>
    </row>
    <row r="286" spans="1:26">
      <c r="A286" t="str">
        <v>Sylhet-2</v>
      </c>
      <c r="B286" t="str" cm="1">
        <f t="array" ref="B2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Nawabganj","Chapainawabganj"),Final_Merged_Data!$B$2:$B$1000=$A286)))</f>
        <v>Sylhet</v>
      </c>
      <c r="C286" t="str" cm="1">
        <f t="array" ref="C286">_xlfn.TEXTJOIN(", ",TRUE,_xlfn._xlws.FILTER(Final_Merged_Data!$C$2:$C$1000,Final_Merged_Data!$B$2:$B$1000=$A286))</f>
        <v>Balaganj, Osmaninagar</v>
      </c>
      <c r="D286" cm="1">
        <f t="array" ref="D286">COUNTA(_xlfn._xlws.FILTER(Final_Merged_Data!$C$2:$C$1000,Final_Merged_Data!$B$2:$B$1000=$A286))</f>
        <v>2</v>
      </c>
      <c r="E286">
        <f>SUMIFS(Final_Merged_Data!$E:$E,Final_Merged_Data!$B:$B,$A286)</f>
        <v>567.20000000000005</v>
      </c>
      <c r="F286">
        <f>SUMIFS(Final_Merged_Data!$F:$F,Final_Merged_Data!$B:$B,$A286)</f>
        <v>339758</v>
      </c>
      <c r="G286">
        <f t="shared" si="8"/>
        <v>599.00916784203093</v>
      </c>
      <c r="H286" cm="1">
        <f t="array" ref="H286">SUMPRODUCT((Final_Merged_Data!$B$2:$B$1000=$A286)*Final_Merged_Data!$H$2:$H$1000*Final_Merged_Data!$F$2:$F$1000)/F286</f>
        <v>5.2945223364865592</v>
      </c>
      <c r="I286" cm="1">
        <f t="array" ref="I286">SUMPRODUCT((Final_Merged_Data!$B$2:$B$1000=$A286)*Final_Merged_Data!$I$2:$I$1000*Final_Merged_Data!$F$2:$F$1000)/F286</f>
        <v>76.700063574661968</v>
      </c>
      <c r="J286" t="str" cm="1">
        <f t="array" ref="J286">_xlfn.TEXTJOIN(", ",TRUE,_xlfn.UNIQUE(_xlfn._xlws.FILTER(Final_Merged_Data!$J$2:$J$1000,Final_Merged_Data!$B$2:$B$1000=$A286)))</f>
        <v>Sylhet Range</v>
      </c>
      <c r="K286" cm="1">
        <f t="array" ref="K286">SUMPRODUCT((Final_Merged_Data!$B$2:$B$1000=$A286)*Final_Merged_Data!$K$2:$K$1000*Final_Merged_Data!$F$2:$F$1000)/F286</f>
        <v>74.251724391082078</v>
      </c>
      <c r="L286" cm="1">
        <f t="array" ref="L286">SUMPRODUCT((Final_Merged_Data!$B$2:$B$1000=$A286)*Final_Merged_Data!$L$2:$L$1000*Final_Merged_Data!$F$2:$F$1000)/F286</f>
        <v>9.6171122896887518</v>
      </c>
      <c r="M286" t="str">
        <f>IF(COUNTIF(Master_Data!$C:$C,$A286)&gt;0,"Found","Missing")</f>
        <v>Found</v>
      </c>
      <c r="N286" t="str">
        <f>_xlfn.XLOOKUP($A286,Master_Data!$C:$C,Master_Data!$D:$D,"CHECK",0)</f>
        <v>Tahsina Rushdir Luna</v>
      </c>
      <c r="O286" t="str">
        <f>_xlfn.XLOOKUP($A286,Master_Data!$C:$C,Master_Data!$E:$E,"CHECK",0)</f>
        <v>BNP</v>
      </c>
      <c r="P286">
        <f>_xlfn.XLOOKUP($A286,Master_Data!$C:$C,Master_Data!$F:$F,"CHECK",0)</f>
        <v>1</v>
      </c>
      <c r="Q286">
        <f>_xlfn.XLOOKUP($A286,Master_Data!$C:$C,Master_Data!$G:$G,"CHECK",0)</f>
        <v>116697</v>
      </c>
      <c r="R286">
        <f>IFERROR(_xlfn.XLOOKUP($A286,Master_Data!$C:$C,Master_Data!$H:$H,"CHECK",0),"")</f>
        <v>75.706973394834662</v>
      </c>
      <c r="S286" t="str">
        <f>_xlfn.XLOOKUP($A286,Master_Data!$C:$C,Master_Data!$I:$I,"CHECK",0)</f>
        <v>Muhammad Muntasir Ali</v>
      </c>
      <c r="T286">
        <f>_xlfn.XLOOKUP($A286,Master_Data!$C:$C,Master_Data!$K:$K,"CHECK",0)</f>
        <v>37446</v>
      </c>
      <c r="U286">
        <f>IFERROR(_xlfn.XLOOKUP($A286,Master_Data!$C:$C,Master_Data!$L:$L,"CHECK",0),"")</f>
        <v>24.293026605165334</v>
      </c>
      <c r="V286">
        <f>_xlfn.XLOOKUP($A286,Master_Data!$C:$C,Master_Data!$M:$M,"CHECK",0)</f>
        <v>79251</v>
      </c>
      <c r="W286">
        <f>IFERROR(_xlfn.XLOOKUP($A286,Master_Data!$C:$C,Master_Data!$N:$N,"CHECK",0),"")</f>
        <v>51.413946789669332</v>
      </c>
      <c r="X286" t="str">
        <f>IFERROR(_xlfn.XLOOKUP($A286,Master_Data!$C:$C,Master_Data!$O:$O,"CHECK",0),"No Result")</f>
        <v>Safe Seat</v>
      </c>
      <c r="Y286">
        <f>_xlfn.XLOOKUP($A286,Master_Data!$C:$C,Master_Data!$P:$P,"CHECK",0)</f>
        <v>0</v>
      </c>
      <c r="Z286">
        <f t="shared" si="9"/>
        <v>1</v>
      </c>
    </row>
    <row r="287" spans="1:26">
      <c r="A287" t="str">
        <v>Sylhet-3</v>
      </c>
      <c r="B287" t="str" cm="1">
        <f t="array" ref="B2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Nawabganj","Chapainawabganj"),Final_Merged_Data!$B$2:$B$1000=$A287)))</f>
        <v>Sylhet</v>
      </c>
      <c r="C287" t="str" cm="1">
        <f t="array" ref="C287">_xlfn.TEXTJOIN(", ",TRUE,_xlfn._xlws.FILTER(Final_Merged_Data!$C$2:$C$1000,Final_Merged_Data!$B$2:$B$1000=$A287))</f>
        <v>Sylhet Sadar, Fenchuganj</v>
      </c>
      <c r="D287" cm="1">
        <f t="array" ref="D287">COUNTA(_xlfn._xlws.FILTER(Final_Merged_Data!$C$2:$C$1000,Final_Merged_Data!$B$2:$B$1000=$A287))</f>
        <v>2</v>
      </c>
      <c r="E287">
        <f>SUMIFS(Final_Merged_Data!$E:$E,Final_Merged_Data!$B:$B,$A287)</f>
        <v>477.3</v>
      </c>
      <c r="F287">
        <f>SUMIFS(Final_Merged_Data!$F:$F,Final_Merged_Data!$B:$B,$A287)</f>
        <v>559198</v>
      </c>
      <c r="G287">
        <f t="shared" si="8"/>
        <v>1171.5860046092605</v>
      </c>
      <c r="H287" cm="1">
        <f t="array" ref="H287">SUMPRODUCT((Final_Merged_Data!$B$2:$B$1000=$A287)*Final_Merged_Data!$H$2:$H$1000*Final_Merged_Data!$F$2:$F$1000)/F287</f>
        <v>5.0581749934727949</v>
      </c>
      <c r="I287" cm="1">
        <f t="array" ref="I287">SUMPRODUCT((Final_Merged_Data!$B$2:$B$1000=$A287)*Final_Merged_Data!$I$2:$I$1000*Final_Merged_Data!$F$2:$F$1000)/F287</f>
        <v>78.15115583389067</v>
      </c>
      <c r="J287" t="str" cm="1">
        <f t="array" ref="J287">_xlfn.TEXTJOIN(", ",TRUE,_xlfn.UNIQUE(_xlfn._xlws.FILTER(Final_Merged_Data!$J$2:$J$1000,Final_Merged_Data!$B$2:$B$1000=$A287)))</f>
        <v>Sylhet Range</v>
      </c>
      <c r="K287" cm="1">
        <f t="array" ref="K287">SUMPRODUCT((Final_Merged_Data!$B$2:$B$1000=$A287)*Final_Merged_Data!$K$2:$K$1000*Final_Merged_Data!$F$2:$F$1000)/F287</f>
        <v>74.251724391082064</v>
      </c>
      <c r="L287" cm="1">
        <f t="array" ref="L287">SUMPRODUCT((Final_Merged_Data!$B$2:$B$1000=$A287)*Final_Merged_Data!$L$2:$L$1000*Final_Merged_Data!$F$2:$F$1000)/F287</f>
        <v>9.6171122896887518</v>
      </c>
      <c r="M287" t="str">
        <f>IF(COUNTIF(Master_Data!$C:$C,$A287)&gt;0,"Found","Missing")</f>
        <v>Found</v>
      </c>
      <c r="N287" t="str">
        <f>_xlfn.XLOOKUP($A287,Master_Data!$C:$C,Master_Data!$D:$D,"CHECK",0)</f>
        <v>Mohammad Abdul Malik</v>
      </c>
      <c r="O287" t="str">
        <f>_xlfn.XLOOKUP($A287,Master_Data!$C:$C,Master_Data!$E:$E,"CHECK",0)</f>
        <v>BNP</v>
      </c>
      <c r="P287">
        <f>_xlfn.XLOOKUP($A287,Master_Data!$C:$C,Master_Data!$F:$F,"CHECK",0)</f>
        <v>1</v>
      </c>
      <c r="Q287">
        <f>_xlfn.XLOOKUP($A287,Master_Data!$C:$C,Master_Data!$G:$G,"CHECK",0)</f>
        <v>114255</v>
      </c>
      <c r="R287">
        <f>IFERROR(_xlfn.XLOOKUP($A287,Master_Data!$C:$C,Master_Data!$H:$H,"CHECK",0),"")</f>
        <v>60.816313495041761</v>
      </c>
      <c r="S287" t="str">
        <f>_xlfn.XLOOKUP($A287,Master_Data!$C:$C,Master_Data!$I:$I,"CHECK",0)</f>
        <v>Musleh Uddin Raju</v>
      </c>
      <c r="T287">
        <f>_xlfn.XLOOKUP($A287,Master_Data!$C:$C,Master_Data!$K:$K,"CHECK",0)</f>
        <v>73614</v>
      </c>
      <c r="U287">
        <f>IFERROR(_xlfn.XLOOKUP($A287,Master_Data!$C:$C,Master_Data!$L:$L,"CHECK",0),"")</f>
        <v>39.183686504958246</v>
      </c>
      <c r="V287">
        <f>_xlfn.XLOOKUP($A287,Master_Data!$C:$C,Master_Data!$M:$M,"CHECK",0)</f>
        <v>40641</v>
      </c>
      <c r="W287">
        <f>IFERROR(_xlfn.XLOOKUP($A287,Master_Data!$C:$C,Master_Data!$N:$N,"CHECK",0),"")</f>
        <v>21.632626990083516</v>
      </c>
      <c r="X287" t="str">
        <f>IFERROR(_xlfn.XLOOKUP($A287,Master_Data!$C:$C,Master_Data!$O:$O,"CHECK",0),"No Result")</f>
        <v>Safe Seat</v>
      </c>
      <c r="Y287">
        <f>_xlfn.XLOOKUP($A287,Master_Data!$C:$C,Master_Data!$P:$P,"CHECK",0)</f>
        <v>1</v>
      </c>
      <c r="Z287">
        <f t="shared" si="9"/>
        <v>1</v>
      </c>
    </row>
    <row r="288" spans="1:26">
      <c r="A288" t="str">
        <v>Sylhet-4</v>
      </c>
      <c r="B288" t="str" cm="1">
        <f t="array" ref="B2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Nawabganj","Chapainawabganj"),Final_Merged_Data!$B$2:$B$1000=$A288)))</f>
        <v>Sylhet</v>
      </c>
      <c r="C288" t="str" cm="1">
        <f t="array" ref="C288">_xlfn.TEXTJOIN(", ",TRUE,_xlfn._xlws.FILTER(Final_Merged_Data!$C$2:$C$1000,Final_Merged_Data!$B$2:$B$1000=$A288))</f>
        <v>Gowainghat, Jaintapur, Companiganj</v>
      </c>
      <c r="D288" cm="1">
        <f t="array" ref="D288">COUNTA(_xlfn._xlws.FILTER(Final_Merged_Data!$C$2:$C$1000,Final_Merged_Data!$B$2:$B$1000=$A288))</f>
        <v>3</v>
      </c>
      <c r="E288">
        <f>SUMIFS(Final_Merged_Data!$E:$E,Final_Merged_Data!$B:$B,$A288)</f>
        <v>2176.7600000000002</v>
      </c>
      <c r="F288">
        <f>SUMIFS(Final_Merged_Data!$F:$F,Final_Merged_Data!$B:$B,$A288)</f>
        <v>857392</v>
      </c>
      <c r="G288">
        <f t="shared" si="8"/>
        <v>393.88448887337137</v>
      </c>
      <c r="H288" cm="1">
        <f t="array" ref="H288">SUMPRODUCT((Final_Merged_Data!$B$2:$B$1000=$A288)*Final_Merged_Data!$H$2:$H$1000*Final_Merged_Data!$F$2:$F$1000)/F288</f>
        <v>5.0918706029447431</v>
      </c>
      <c r="I288" cm="1">
        <f t="array" ref="I288">SUMPRODUCT((Final_Merged_Data!$B$2:$B$1000=$A288)*Final_Merged_Data!$I$2:$I$1000*Final_Merged_Data!$F$2:$F$1000)/F288</f>
        <v>70.637948837871136</v>
      </c>
      <c r="J288" t="str" cm="1">
        <f t="array" ref="J288">_xlfn.TEXTJOIN(", ",TRUE,_xlfn.UNIQUE(_xlfn._xlws.FILTER(Final_Merged_Data!$J$2:$J$1000,Final_Merged_Data!$B$2:$B$1000=$A288)))</f>
        <v>Sylhet Range</v>
      </c>
      <c r="K288" cm="1">
        <f t="array" ref="K288">SUMPRODUCT((Final_Merged_Data!$B$2:$B$1000=$A288)*Final_Merged_Data!$K$2:$K$1000*Final_Merged_Data!$F$2:$F$1000)/F288</f>
        <v>74.251724391082064</v>
      </c>
      <c r="L288" cm="1">
        <f t="array" ref="L288">SUMPRODUCT((Final_Merged_Data!$B$2:$B$1000=$A288)*Final_Merged_Data!$L$2:$L$1000*Final_Merged_Data!$F$2:$F$1000)/F288</f>
        <v>9.6171122896887518</v>
      </c>
      <c r="M288" t="str">
        <f>IF(COUNTIF(Master_Data!$C:$C,$A288)&gt;0,"Found","Missing")</f>
        <v>Found</v>
      </c>
      <c r="N288" t="str">
        <f>_xlfn.XLOOKUP($A288,Master_Data!$C:$C,Master_Data!$D:$D,"CHECK",0)</f>
        <v>Ariful Haque Chowdhury</v>
      </c>
      <c r="O288" t="str">
        <f>_xlfn.XLOOKUP($A288,Master_Data!$C:$C,Master_Data!$E:$E,"CHECK",0)</f>
        <v>BNP</v>
      </c>
      <c r="P288">
        <f>_xlfn.XLOOKUP($A288,Master_Data!$C:$C,Master_Data!$F:$F,"CHECK",0)</f>
        <v>1</v>
      </c>
      <c r="Q288">
        <f>_xlfn.XLOOKUP($A288,Master_Data!$C:$C,Master_Data!$G:$G,"CHECK",0)</f>
        <v>186846</v>
      </c>
      <c r="R288">
        <f>IFERROR(_xlfn.XLOOKUP($A288,Master_Data!$C:$C,Master_Data!$H:$H,"CHECK",0),"")</f>
        <v>72.354465084399209</v>
      </c>
      <c r="S288" t="str">
        <f>_xlfn.XLOOKUP($A288,Master_Data!$C:$C,Master_Data!$I:$I,"CHECK",0)</f>
        <v>Md Zainal Abedin</v>
      </c>
      <c r="T288">
        <f>_xlfn.XLOOKUP($A288,Master_Data!$C:$C,Master_Data!$K:$K,"CHECK",0)</f>
        <v>71391</v>
      </c>
      <c r="U288">
        <f>IFERROR(_xlfn.XLOOKUP($A288,Master_Data!$C:$C,Master_Data!$L:$L,"CHECK",0),"")</f>
        <v>27.645534915600784</v>
      </c>
      <c r="V288">
        <f>_xlfn.XLOOKUP($A288,Master_Data!$C:$C,Master_Data!$M:$M,"CHECK",0)</f>
        <v>115455</v>
      </c>
      <c r="W288">
        <f>IFERROR(_xlfn.XLOOKUP($A288,Master_Data!$C:$C,Master_Data!$N:$N,"CHECK",0),"")</f>
        <v>44.708930168798425</v>
      </c>
      <c r="X288" t="str">
        <f>IFERROR(_xlfn.XLOOKUP($A288,Master_Data!$C:$C,Master_Data!$O:$O,"CHECK",0),"No Result")</f>
        <v>Safe Seat</v>
      </c>
      <c r="Y288">
        <f>_xlfn.XLOOKUP($A288,Master_Data!$C:$C,Master_Data!$P:$P,"CHECK",0)</f>
        <v>0</v>
      </c>
      <c r="Z288">
        <f t="shared" si="9"/>
        <v>1</v>
      </c>
    </row>
    <row r="289" spans="1:26">
      <c r="A289" t="str">
        <v>Sylhet-5</v>
      </c>
      <c r="B289" t="str" cm="1">
        <f t="array" ref="B2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Nawabganj","Chapainawabganj"),Final_Merged_Data!$B$2:$B$1000=$A289)))</f>
        <v>Sylhet</v>
      </c>
      <c r="C289" t="str" cm="1">
        <f t="array" ref="C289">_xlfn.TEXTJOIN(", ",TRUE,_xlfn._xlws.FILTER(Final_Merged_Data!$C$2:$C$1000,Final_Merged_Data!$B$2:$B$1000=$A289))</f>
        <v>Kanaighat, Zakiganj</v>
      </c>
      <c r="D289" cm="1">
        <f t="array" ref="D289">COUNTA(_xlfn._xlws.FILTER(Final_Merged_Data!$C$2:$C$1000,Final_Merged_Data!$B$2:$B$1000=$A289))</f>
        <v>2</v>
      </c>
      <c r="E289">
        <f>SUMIFS(Final_Merged_Data!$E:$E,Final_Merged_Data!$B:$B,$A289)</f>
        <v>720.87999999999988</v>
      </c>
      <c r="F289">
        <f>SUMIFS(Final_Merged_Data!$F:$F,Final_Merged_Data!$B:$B,$A289)</f>
        <v>584883</v>
      </c>
      <c r="G289">
        <f t="shared" si="8"/>
        <v>811.34585506603059</v>
      </c>
      <c r="H289" cm="1">
        <f t="array" ref="H289">SUMPRODUCT((Final_Merged_Data!$B$2:$B$1000=$A289)*Final_Merged_Data!$H$2:$H$1000*Final_Merged_Data!$F$2:$F$1000)/F289</f>
        <v>5.2094138827765555</v>
      </c>
      <c r="I289" cm="1">
        <f t="array" ref="I289">SUMPRODUCT((Final_Merged_Data!$B$2:$B$1000=$A289)*Final_Merged_Data!$I$2:$I$1000*Final_Merged_Data!$F$2:$F$1000)/F289</f>
        <v>73.703470078631113</v>
      </c>
      <c r="J289" t="str" cm="1">
        <f t="array" ref="J289">_xlfn.TEXTJOIN(", ",TRUE,_xlfn.UNIQUE(_xlfn._xlws.FILTER(Final_Merged_Data!$J$2:$J$1000,Final_Merged_Data!$B$2:$B$1000=$A289)))</f>
        <v>Sylhet Range</v>
      </c>
      <c r="K289" cm="1">
        <f t="array" ref="K289">SUMPRODUCT((Final_Merged_Data!$B$2:$B$1000=$A289)*Final_Merged_Data!$K$2:$K$1000*Final_Merged_Data!$F$2:$F$1000)/F289</f>
        <v>74.251724391082064</v>
      </c>
      <c r="L289" cm="1">
        <f t="array" ref="L289">SUMPRODUCT((Final_Merged_Data!$B$2:$B$1000=$A289)*Final_Merged_Data!$L$2:$L$1000*Final_Merged_Data!$F$2:$F$1000)/F289</f>
        <v>9.6171122896887518</v>
      </c>
      <c r="M289" t="str">
        <f>IF(COUNTIF(Master_Data!$C:$C,$A289)&gt;0,"Found","Missing")</f>
        <v>Found</v>
      </c>
      <c r="N289" t="str">
        <f>_xlfn.XLOOKUP($A289,Master_Data!$C:$C,Master_Data!$D:$D,"CHECK",0)</f>
        <v>Mohammad Abul Hasan</v>
      </c>
      <c r="O289" t="str">
        <f>_xlfn.XLOOKUP($A289,Master_Data!$C:$C,Master_Data!$E:$E,"CHECK",0)</f>
        <v>KM</v>
      </c>
      <c r="P289">
        <f>_xlfn.XLOOKUP($A289,Master_Data!$C:$C,Master_Data!$F:$F,"CHECK",0)</f>
        <v>0</v>
      </c>
      <c r="Q289">
        <f>_xlfn.XLOOKUP($A289,Master_Data!$C:$C,Master_Data!$G:$G,"CHECK",0)</f>
        <v>79355</v>
      </c>
      <c r="R289">
        <f>IFERROR(_xlfn.XLOOKUP($A289,Master_Data!$C:$C,Master_Data!$H:$H,"CHECK",0),"")</f>
        <v>53.212319535435761</v>
      </c>
      <c r="S289" t="str">
        <f>_xlfn.XLOOKUP($A289,Master_Data!$C:$C,Master_Data!$I:$I,"CHECK",0)</f>
        <v>Ubaidullah Faruk</v>
      </c>
      <c r="T289">
        <f>_xlfn.XLOOKUP($A289,Master_Data!$C:$C,Master_Data!$K:$K,"CHECK",0)</f>
        <v>69774</v>
      </c>
      <c r="U289">
        <f>IFERROR(_xlfn.XLOOKUP($A289,Master_Data!$C:$C,Master_Data!$L:$L,"CHECK",0),"")</f>
        <v>46.787680464564232</v>
      </c>
      <c r="V289">
        <f>_xlfn.XLOOKUP($A289,Master_Data!$C:$C,Master_Data!$M:$M,"CHECK",0)</f>
        <v>9581</v>
      </c>
      <c r="W289">
        <f>IFERROR(_xlfn.XLOOKUP($A289,Master_Data!$C:$C,Master_Data!$N:$N,"CHECK",0),"")</f>
        <v>6.4246390708715264</v>
      </c>
      <c r="X289" t="str">
        <f>IFERROR(_xlfn.XLOOKUP($A289,Master_Data!$C:$C,Master_Data!$O:$O,"CHECK",0),"No Result")</f>
        <v>Safe Seat</v>
      </c>
      <c r="Y289">
        <f>_xlfn.XLOOKUP($A289,Master_Data!$C:$C,Master_Data!$P:$P,"CHECK",0)</f>
        <v>0</v>
      </c>
      <c r="Z289">
        <f t="shared" si="9"/>
        <v>1</v>
      </c>
    </row>
    <row r="290" spans="1:26">
      <c r="A290" t="str">
        <v>Sylhet-6</v>
      </c>
      <c r="B290" t="str" cm="1">
        <f t="array" ref="B2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Nawabganj","Chapainawabganj"),Final_Merged_Data!$B$2:$B$1000=$A290)))</f>
        <v>Sylhet</v>
      </c>
      <c r="C290" t="str" cm="1">
        <f t="array" ref="C290">_xlfn.TEXTJOIN(", ",TRUE,_xlfn._xlws.FILTER(Final_Merged_Data!$C$2:$C$1000,Final_Merged_Data!$B$2:$B$1000=$A290))</f>
        <v>Beanibazar</v>
      </c>
      <c r="D290" cm="1">
        <f t="array" ref="D290">COUNTA(_xlfn._xlws.FILTER(Final_Merged_Data!$C$2:$C$1000,Final_Merged_Data!$B$2:$B$1000=$A290))</f>
        <v>1</v>
      </c>
      <c r="E290">
        <f>SUMIFS(Final_Merged_Data!$E:$E,Final_Merged_Data!$B:$B,$A290)</f>
        <v>253.22</v>
      </c>
      <c r="F290">
        <f>SUMIFS(Final_Merged_Data!$F:$F,Final_Merged_Data!$B:$B,$A290)</f>
        <v>260597</v>
      </c>
      <c r="G290">
        <f t="shared" si="8"/>
        <v>1029.1327699233868</v>
      </c>
      <c r="H290" cm="1">
        <f t="array" ref="H290">SUMPRODUCT((Final_Merged_Data!$B$2:$B$1000=$A290)*Final_Merged_Data!$H$2:$H$1000*Final_Merged_Data!$F$2:$F$1000)/F290</f>
        <v>5.17</v>
      </c>
      <c r="I290" cm="1">
        <f t="array" ref="I290">SUMPRODUCT((Final_Merged_Data!$B$2:$B$1000=$A290)*Final_Merged_Data!$I$2:$I$1000*Final_Merged_Data!$F$2:$F$1000)/F290</f>
        <v>80.58</v>
      </c>
      <c r="J290" t="str" cm="1">
        <f t="array" ref="J290">_xlfn.TEXTJOIN(", ",TRUE,_xlfn.UNIQUE(_xlfn._xlws.FILTER(Final_Merged_Data!$J$2:$J$1000,Final_Merged_Data!$B$2:$B$1000=$A290)))</f>
        <v>Sylhet Range</v>
      </c>
      <c r="K290" cm="1">
        <f t="array" ref="K290">SUMPRODUCT((Final_Merged_Data!$B$2:$B$1000=$A290)*Final_Merged_Data!$K$2:$K$1000*Final_Merged_Data!$F$2:$F$1000)/F290</f>
        <v>74.251724391082064</v>
      </c>
      <c r="L290" cm="1">
        <f t="array" ref="L290">SUMPRODUCT((Final_Merged_Data!$B$2:$B$1000=$A290)*Final_Merged_Data!$L$2:$L$1000*Final_Merged_Data!$F$2:$F$1000)/F290</f>
        <v>9.6171122896887518</v>
      </c>
      <c r="M290" t="str">
        <f>IF(COUNTIF(Master_Data!$C:$C,$A290)&gt;0,"Found","Missing")</f>
        <v>Found</v>
      </c>
      <c r="N290" t="str">
        <f>_xlfn.XLOOKUP($A290,Master_Data!$C:$C,Master_Data!$D:$D,"CHECK",0)</f>
        <v>Emran Ahmed Chowdhury</v>
      </c>
      <c r="O290" t="str">
        <f>_xlfn.XLOOKUP($A290,Master_Data!$C:$C,Master_Data!$E:$E,"CHECK",0)</f>
        <v>BNP</v>
      </c>
      <c r="P290">
        <f>_xlfn.XLOOKUP($A290,Master_Data!$C:$C,Master_Data!$F:$F,"CHECK",0)</f>
        <v>1</v>
      </c>
      <c r="Q290">
        <f>_xlfn.XLOOKUP($A290,Master_Data!$C:$C,Master_Data!$G:$G,"CHECK",0)</f>
        <v>70794</v>
      </c>
      <c r="R290">
        <f>IFERROR(_xlfn.XLOOKUP($A290,Master_Data!$C:$C,Master_Data!$H:$H,"CHECK",0),"")</f>
        <v>55.867799900565828</v>
      </c>
      <c r="S290" t="str">
        <f>_xlfn.XLOOKUP($A290,Master_Data!$C:$C,Master_Data!$I:$I,"CHECK",0)</f>
        <v>Mohammad Selim Uddin</v>
      </c>
      <c r="T290">
        <f>_xlfn.XLOOKUP($A290,Master_Data!$C:$C,Master_Data!$K:$K,"CHECK",0)</f>
        <v>55923</v>
      </c>
      <c r="U290">
        <f>IFERROR(_xlfn.XLOOKUP($A290,Master_Data!$C:$C,Master_Data!$L:$L,"CHECK",0),"")</f>
        <v>44.132200099434172</v>
      </c>
      <c r="V290">
        <f>_xlfn.XLOOKUP($A290,Master_Data!$C:$C,Master_Data!$M:$M,"CHECK",0)</f>
        <v>14871</v>
      </c>
      <c r="W290">
        <f>IFERROR(_xlfn.XLOOKUP($A290,Master_Data!$C:$C,Master_Data!$N:$N,"CHECK",0),"")</f>
        <v>11.735599801131656</v>
      </c>
      <c r="X290" t="str">
        <f>IFERROR(_xlfn.XLOOKUP($A290,Master_Data!$C:$C,Master_Data!$O:$O,"CHECK",0),"No Result")</f>
        <v>Safe Seat</v>
      </c>
      <c r="Y290">
        <f>_xlfn.XLOOKUP($A290,Master_Data!$C:$C,Master_Data!$P:$P,"CHECK",0)</f>
        <v>0</v>
      </c>
      <c r="Z290">
        <f t="shared" si="9"/>
        <v>1</v>
      </c>
    </row>
    <row r="291" spans="1:26">
      <c r="A291" t="str">
        <v>Tangail-1</v>
      </c>
      <c r="B291" t="str" cm="1">
        <f t="array" ref="B2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Nawabganj","Chapainawabganj"),Final_Merged_Data!$B$2:$B$1000=$A291)))</f>
        <v>Tangail</v>
      </c>
      <c r="C291" t="str" cm="1">
        <f t="array" ref="C291">_xlfn.TEXTJOIN(", ",TRUE,_xlfn._xlws.FILTER(Final_Merged_Data!$C$2:$C$1000,Final_Merged_Data!$B$2:$B$1000=$A291))</f>
        <v>Madhupur, Dhanbari</v>
      </c>
      <c r="D291" cm="1">
        <f t="array" ref="D291">COUNTA(_xlfn._xlws.FILTER(Final_Merged_Data!$C$2:$C$1000,Final_Merged_Data!$B$2:$B$1000=$A291))</f>
        <v>2</v>
      </c>
      <c r="E291">
        <f>SUMIFS(Final_Merged_Data!$E:$E,Final_Merged_Data!$B:$B,$A291)</f>
        <v>651.57999999999993</v>
      </c>
      <c r="F291">
        <f>SUMIFS(Final_Merged_Data!$F:$F,Final_Merged_Data!$B:$B,$A291)</f>
        <v>526477</v>
      </c>
      <c r="G291">
        <f t="shared" si="8"/>
        <v>808.00055250314631</v>
      </c>
      <c r="H291" cm="1">
        <f t="array" ref="H291">SUMPRODUCT((Final_Merged_Data!$B$2:$B$1000=$A291)*Final_Merged_Data!$H$2:$H$1000*Final_Merged_Data!$F$2:$F$1000)/F291</f>
        <v>3.7017525551923449</v>
      </c>
      <c r="I291" cm="1">
        <f t="array" ref="I291">SUMPRODUCT((Final_Merged_Data!$B$2:$B$1000=$A291)*Final_Merged_Data!$I$2:$I$1000*Final_Merged_Data!$F$2:$F$1000)/F291</f>
        <v>66.608882477297215</v>
      </c>
      <c r="J291" t="str" cm="1">
        <f t="array" ref="J291">_xlfn.TEXTJOIN(", ",TRUE,_xlfn.UNIQUE(_xlfn._xlws.FILTER(Final_Merged_Data!$J$2:$J$1000,Final_Merged_Data!$B$2:$B$1000=$A291)))</f>
        <v>Dhaka Range</v>
      </c>
      <c r="K291" cm="1">
        <f t="array" ref="K291">SUMPRODUCT((Final_Merged_Data!$B$2:$B$1000=$A291)*Final_Merged_Data!$K$2:$K$1000*Final_Merged_Data!$F$2:$F$1000)/F291</f>
        <v>87.055167395391194</v>
      </c>
      <c r="L291" cm="1">
        <f t="array" ref="L291">SUMPRODUCT((Final_Merged_Data!$B$2:$B$1000=$A291)*Final_Merged_Data!$L$2:$L$1000*Final_Merged_Data!$F$2:$F$1000)/F291</f>
        <v>14.083489099923572</v>
      </c>
      <c r="M291" t="str">
        <f>IF(COUNTIF(Master_Data!$C:$C,$A291)&gt;0,"Found","Missing")</f>
        <v>Found</v>
      </c>
      <c r="N291" t="str">
        <f>_xlfn.XLOOKUP($A291,Master_Data!$C:$C,Master_Data!$D:$D,"CHECK",0)</f>
        <v>Fakir Mahbub Anam</v>
      </c>
      <c r="O291" t="str">
        <f>_xlfn.XLOOKUP($A291,Master_Data!$C:$C,Master_Data!$E:$E,"CHECK",0)</f>
        <v>BNP</v>
      </c>
      <c r="P291">
        <f>_xlfn.XLOOKUP($A291,Master_Data!$C:$C,Master_Data!$F:$F,"CHECK",0)</f>
        <v>1</v>
      </c>
      <c r="Q291">
        <f>_xlfn.XLOOKUP($A291,Master_Data!$C:$C,Master_Data!$G:$G,"CHECK",0)</f>
        <v>153932</v>
      </c>
      <c r="R291">
        <f>IFERROR(_xlfn.XLOOKUP($A291,Master_Data!$C:$C,Master_Data!$H:$H,"CHECK",0),"")</f>
        <v>61.97090106846381</v>
      </c>
      <c r="S291" t="str">
        <f>_xlfn.XLOOKUP($A291,Master_Data!$C:$C,Master_Data!$I:$I,"CHECK",0)</f>
        <v>Muhammad Abdullah Kafi</v>
      </c>
      <c r="T291">
        <f>_xlfn.XLOOKUP($A291,Master_Data!$C:$C,Master_Data!$K:$K,"CHECK",0)</f>
        <v>94462</v>
      </c>
      <c r="U291">
        <f>IFERROR(_xlfn.XLOOKUP($A291,Master_Data!$C:$C,Master_Data!$L:$L,"CHECK",0),"")</f>
        <v>38.02909893153619</v>
      </c>
      <c r="V291">
        <f>_xlfn.XLOOKUP($A291,Master_Data!$C:$C,Master_Data!$M:$M,"CHECK",0)</f>
        <v>59470</v>
      </c>
      <c r="W291">
        <f>IFERROR(_xlfn.XLOOKUP($A291,Master_Data!$C:$C,Master_Data!$N:$N,"CHECK",0),"")</f>
        <v>23.941802136927624</v>
      </c>
      <c r="X291" t="str">
        <f>IFERROR(_xlfn.XLOOKUP($A291,Master_Data!$C:$C,Master_Data!$O:$O,"CHECK",0),"No Result")</f>
        <v>Safe Seat</v>
      </c>
      <c r="Y291">
        <f>_xlfn.XLOOKUP($A291,Master_Data!$C:$C,Master_Data!$P:$P,"CHECK",0)</f>
        <v>0</v>
      </c>
      <c r="Z291">
        <f t="shared" si="9"/>
        <v>1</v>
      </c>
    </row>
    <row r="292" spans="1:26">
      <c r="A292" t="str">
        <v>Tangail-2</v>
      </c>
      <c r="B292" t="str" cm="1">
        <f t="array" ref="B2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Nawabganj","Chapainawabganj"),Final_Merged_Data!$B$2:$B$1000=$A292)))</f>
        <v>Tangail</v>
      </c>
      <c r="C292" t="str" cm="1">
        <f t="array" ref="C292">_xlfn.TEXTJOIN(", ",TRUE,_xlfn._xlws.FILTER(Final_Merged_Data!$C$2:$C$1000,Final_Merged_Data!$B$2:$B$1000=$A292))</f>
        <v>Gopalpur, Bhuapur</v>
      </c>
      <c r="D292" cm="1">
        <f t="array" ref="D292">COUNTA(_xlfn._xlws.FILTER(Final_Merged_Data!$C$2:$C$1000,Final_Merged_Data!$B$2:$B$1000=$A292))</f>
        <v>2</v>
      </c>
      <c r="E292">
        <f>SUMIFS(Final_Merged_Data!$E:$E,Final_Merged_Data!$B:$B,$A292)</f>
        <v>553.41999999999996</v>
      </c>
      <c r="F292">
        <f>SUMIFS(Final_Merged_Data!$F:$F,Final_Merged_Data!$B:$B,$A292)</f>
        <v>487642</v>
      </c>
      <c r="G292">
        <f t="shared" si="8"/>
        <v>881.1427125871852</v>
      </c>
      <c r="H292" cm="1">
        <f t="array" ref="H292">SUMPRODUCT((Final_Merged_Data!$B$2:$B$1000=$A292)*Final_Merged_Data!$H$2:$H$1000*Final_Merged_Data!$F$2:$F$1000)/F292</f>
        <v>3.6957616653200502</v>
      </c>
      <c r="I292" cm="1">
        <f t="array" ref="I292">SUMPRODUCT((Final_Merged_Data!$B$2:$B$1000=$A292)*Final_Merged_Data!$I$2:$I$1000*Final_Merged_Data!$F$2:$F$1000)/F292</f>
        <v>67.860344576554112</v>
      </c>
      <c r="J292" t="str" cm="1">
        <f t="array" ref="J292">_xlfn.TEXTJOIN(", ",TRUE,_xlfn.UNIQUE(_xlfn._xlws.FILTER(Final_Merged_Data!$J$2:$J$1000,Final_Merged_Data!$B$2:$B$1000=$A292)))</f>
        <v>Dhaka Range</v>
      </c>
      <c r="K292" cm="1">
        <f t="array" ref="K292">SUMPRODUCT((Final_Merged_Data!$B$2:$B$1000=$A292)*Final_Merged_Data!$K$2:$K$1000*Final_Merged_Data!$F$2:$F$1000)/F292</f>
        <v>87.055167395391194</v>
      </c>
      <c r="L292" cm="1">
        <f t="array" ref="L292">SUMPRODUCT((Final_Merged_Data!$B$2:$B$1000=$A292)*Final_Merged_Data!$L$2:$L$1000*Final_Merged_Data!$F$2:$F$1000)/F292</f>
        <v>14.083489099923572</v>
      </c>
      <c r="M292" t="str">
        <f>IF(COUNTIF(Master_Data!$C:$C,$A292)&gt;0,"Found","Missing")</f>
        <v>Found</v>
      </c>
      <c r="N292" t="str">
        <f>_xlfn.XLOOKUP($A292,Master_Data!$C:$C,Master_Data!$D:$D,"CHECK",0)</f>
        <v>Abdus Salam Pintu</v>
      </c>
      <c r="O292" t="str">
        <f>_xlfn.XLOOKUP($A292,Master_Data!$C:$C,Master_Data!$E:$E,"CHECK",0)</f>
        <v>BNP</v>
      </c>
      <c r="P292">
        <f>_xlfn.XLOOKUP($A292,Master_Data!$C:$C,Master_Data!$F:$F,"CHECK",0)</f>
        <v>1</v>
      </c>
      <c r="Q292">
        <f>_xlfn.XLOOKUP($A292,Master_Data!$C:$C,Master_Data!$G:$G,"CHECK",0)</f>
        <v>198213</v>
      </c>
      <c r="R292">
        <f>IFERROR(_xlfn.XLOOKUP($A292,Master_Data!$C:$C,Master_Data!$H:$H,"CHECK",0),"")</f>
        <v>76.505303299316054</v>
      </c>
      <c r="S292" t="str">
        <f>_xlfn.XLOOKUP($A292,Master_Data!$C:$C,Master_Data!$I:$I,"CHECK",0)</f>
        <v>Md. Humayun Kabir</v>
      </c>
      <c r="T292">
        <f>_xlfn.XLOOKUP($A292,Master_Data!$C:$C,Master_Data!$K:$K,"CHECK",0)</f>
        <v>60871</v>
      </c>
      <c r="U292">
        <f>IFERROR(_xlfn.XLOOKUP($A292,Master_Data!$C:$C,Master_Data!$L:$L,"CHECK",0),"")</f>
        <v>23.494696700683949</v>
      </c>
      <c r="V292">
        <f>_xlfn.XLOOKUP($A292,Master_Data!$C:$C,Master_Data!$M:$M,"CHECK",0)</f>
        <v>137342</v>
      </c>
      <c r="W292">
        <f>IFERROR(_xlfn.XLOOKUP($A292,Master_Data!$C:$C,Master_Data!$N:$N,"CHECK",0),"")</f>
        <v>53.010606598632101</v>
      </c>
      <c r="X292" t="str">
        <f>IFERROR(_xlfn.XLOOKUP($A292,Master_Data!$C:$C,Master_Data!$O:$O,"CHECK",0),"No Result")</f>
        <v>Safe Seat</v>
      </c>
      <c r="Y292">
        <f>_xlfn.XLOOKUP($A292,Master_Data!$C:$C,Master_Data!$P:$P,"CHECK",0)</f>
        <v>0</v>
      </c>
      <c r="Z292">
        <f t="shared" si="9"/>
        <v>1</v>
      </c>
    </row>
    <row r="293" spans="1:26">
      <c r="A293" t="str">
        <v>Tangail-3</v>
      </c>
      <c r="B293" t="str" cm="1">
        <f t="array" ref="B2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Nawabganj","Chapainawabganj"),Final_Merged_Data!$B$2:$B$1000=$A293)))</f>
        <v>Tangail</v>
      </c>
      <c r="C293" t="str" cm="1">
        <f t="array" ref="C293">_xlfn.TEXTJOIN(", ",TRUE,_xlfn._xlws.FILTER(Final_Merged_Data!$C$2:$C$1000,Final_Merged_Data!$B$2:$B$1000=$A293))</f>
        <v>Ghatail</v>
      </c>
      <c r="D293" cm="1">
        <f t="array" ref="D293">COUNTA(_xlfn._xlws.FILTER(Final_Merged_Data!$C$2:$C$1000,Final_Merged_Data!$B$2:$B$1000=$A293))</f>
        <v>1</v>
      </c>
      <c r="E293">
        <f>SUMIFS(Final_Merged_Data!$E:$E,Final_Merged_Data!$B:$B,$A293)</f>
        <v>451.63</v>
      </c>
      <c r="F293">
        <f>SUMIFS(Final_Merged_Data!$F:$F,Final_Merged_Data!$B:$B,$A293)</f>
        <v>448724</v>
      </c>
      <c r="G293">
        <f t="shared" si="8"/>
        <v>993.56552930496207</v>
      </c>
      <c r="H293" cm="1">
        <f t="array" ref="H293">SUMPRODUCT((Final_Merged_Data!$B$2:$B$1000=$A293)*Final_Merged_Data!$H$2:$H$1000*Final_Merged_Data!$F$2:$F$1000)/F293</f>
        <v>3.6700000000000004</v>
      </c>
      <c r="I293" cm="1">
        <f t="array" ref="I293">SUMPRODUCT((Final_Merged_Data!$B$2:$B$1000=$A293)*Final_Merged_Data!$I$2:$I$1000*Final_Merged_Data!$F$2:$F$1000)/F293</f>
        <v>66.89</v>
      </c>
      <c r="J293" t="str" cm="1">
        <f t="array" ref="J293">_xlfn.TEXTJOIN(", ",TRUE,_xlfn.UNIQUE(_xlfn._xlws.FILTER(Final_Merged_Data!$J$2:$J$1000,Final_Merged_Data!$B$2:$B$1000=$A293)))</f>
        <v>Dhaka Range</v>
      </c>
      <c r="K293" cm="1">
        <f t="array" ref="K293">SUMPRODUCT((Final_Merged_Data!$B$2:$B$1000=$A293)*Final_Merged_Data!$K$2:$K$1000*Final_Merged_Data!$F$2:$F$1000)/F293</f>
        <v>87.055167395391194</v>
      </c>
      <c r="L293" cm="1">
        <f t="array" ref="L293">SUMPRODUCT((Final_Merged_Data!$B$2:$B$1000=$A293)*Final_Merged_Data!$L$2:$L$1000*Final_Merged_Data!$F$2:$F$1000)/F293</f>
        <v>14.083489099923572</v>
      </c>
      <c r="M293" t="str">
        <f>IF(COUNTIF(Master_Data!$C:$C,$A293)&gt;0,"Found","Missing")</f>
        <v>Found</v>
      </c>
      <c r="N293" t="str">
        <f>_xlfn.XLOOKUP($A293,Master_Data!$C:$C,Master_Data!$D:$D,"CHECK",0)</f>
        <v>Md. Lutfar Rahman Khan Azad</v>
      </c>
      <c r="O293" t="str">
        <f>_xlfn.XLOOKUP($A293,Master_Data!$C:$C,Master_Data!$E:$E,"CHECK",0)</f>
        <v>IND</v>
      </c>
      <c r="P293">
        <f>_xlfn.XLOOKUP($A293,Master_Data!$C:$C,Master_Data!$F:$F,"CHECK",0)</f>
        <v>5</v>
      </c>
      <c r="Q293">
        <f>_xlfn.XLOOKUP($A293,Master_Data!$C:$C,Master_Data!$G:$G,"CHECK",0)</f>
        <v>107901</v>
      </c>
      <c r="R293">
        <f>IFERROR(_xlfn.XLOOKUP($A293,Master_Data!$C:$C,Master_Data!$H:$H,"CHECK",0),"")</f>
        <v>56.59044422300309</v>
      </c>
      <c r="S293" t="str">
        <f>_xlfn.XLOOKUP($A293,Master_Data!$C:$C,Master_Data!$I:$I,"CHECK",0)</f>
        <v>SM Obaidul Haque</v>
      </c>
      <c r="T293">
        <f>_xlfn.XLOOKUP($A293,Master_Data!$C:$C,Master_Data!$K:$K,"CHECK",0)</f>
        <v>82769</v>
      </c>
      <c r="U293">
        <f>IFERROR(_xlfn.XLOOKUP($A293,Master_Data!$C:$C,Master_Data!$L:$L,"CHECK",0),"")</f>
        <v>43.409555776996903</v>
      </c>
      <c r="V293">
        <f>_xlfn.XLOOKUP($A293,Master_Data!$C:$C,Master_Data!$M:$M,"CHECK",0)</f>
        <v>25132</v>
      </c>
      <c r="W293">
        <f>IFERROR(_xlfn.XLOOKUP($A293,Master_Data!$C:$C,Master_Data!$N:$N,"CHECK",0),"")</f>
        <v>13.18088844600619</v>
      </c>
      <c r="X293" t="str">
        <f>IFERROR(_xlfn.XLOOKUP($A293,Master_Data!$C:$C,Master_Data!$O:$O,"CHECK",0),"No Result")</f>
        <v>Safe Seat</v>
      </c>
      <c r="Y293">
        <f>_xlfn.XLOOKUP($A293,Master_Data!$C:$C,Master_Data!$P:$P,"CHECK",0)</f>
        <v>0</v>
      </c>
      <c r="Z293">
        <f t="shared" si="9"/>
        <v>1</v>
      </c>
    </row>
    <row r="294" spans="1:26">
      <c r="A294" t="str">
        <v>Tangail-4</v>
      </c>
      <c r="B294" t="str" cm="1">
        <f t="array" ref="B2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Nawabganj","Chapainawabganj"),Final_Merged_Data!$B$2:$B$1000=$A294)))</f>
        <v>Tangail</v>
      </c>
      <c r="C294" t="str" cm="1">
        <f t="array" ref="C294">_xlfn.TEXTJOIN(", ",TRUE,_xlfn._xlws.FILTER(Final_Merged_Data!$C$2:$C$1000,Final_Merged_Data!$B$2:$B$1000=$A294))</f>
        <v>Kalihati</v>
      </c>
      <c r="D294" cm="1">
        <f t="array" ref="D294">COUNTA(_xlfn._xlws.FILTER(Final_Merged_Data!$C$2:$C$1000,Final_Merged_Data!$B$2:$B$1000=$A294))</f>
        <v>1</v>
      </c>
      <c r="E294">
        <f>SUMIFS(Final_Merged_Data!$E:$E,Final_Merged_Data!$B:$B,$A294)</f>
        <v>301.22000000000003</v>
      </c>
      <c r="F294">
        <f>SUMIFS(Final_Merged_Data!$F:$F,Final_Merged_Data!$B:$B,$A294)</f>
        <v>449451</v>
      </c>
      <c r="G294">
        <f t="shared" si="8"/>
        <v>1492.10211805325</v>
      </c>
      <c r="H294" cm="1">
        <f t="array" ref="H294">SUMPRODUCT((Final_Merged_Data!$B$2:$B$1000=$A294)*Final_Merged_Data!$H$2:$H$1000*Final_Merged_Data!$F$2:$F$1000)/F294</f>
        <v>3.79</v>
      </c>
      <c r="I294" cm="1">
        <f t="array" ref="I294">SUMPRODUCT((Final_Merged_Data!$B$2:$B$1000=$A294)*Final_Merged_Data!$I$2:$I$1000*Final_Merged_Data!$F$2:$F$1000)/F294</f>
        <v>67.930000000000007</v>
      </c>
      <c r="J294" t="str" cm="1">
        <f t="array" ref="J294">_xlfn.TEXTJOIN(", ",TRUE,_xlfn.UNIQUE(_xlfn._xlws.FILTER(Final_Merged_Data!$J$2:$J$1000,Final_Merged_Data!$B$2:$B$1000=$A294)))</f>
        <v>Dhaka Range</v>
      </c>
      <c r="K294" cm="1">
        <f t="array" ref="K294">SUMPRODUCT((Final_Merged_Data!$B$2:$B$1000=$A294)*Final_Merged_Data!$K$2:$K$1000*Final_Merged_Data!$F$2:$F$1000)/F294</f>
        <v>87.055167395391194</v>
      </c>
      <c r="L294" cm="1">
        <f t="array" ref="L294">SUMPRODUCT((Final_Merged_Data!$B$2:$B$1000=$A294)*Final_Merged_Data!$L$2:$L$1000*Final_Merged_Data!$F$2:$F$1000)/F294</f>
        <v>14.083489099923572</v>
      </c>
      <c r="M294" t="str">
        <f>IF(COUNTIF(Master_Data!$C:$C,$A294)&gt;0,"Found","Missing")</f>
        <v>Found</v>
      </c>
      <c r="N294" t="str">
        <f>_xlfn.XLOOKUP($A294,Master_Data!$C:$C,Master_Data!$D:$D,"CHECK",0)</f>
        <v>Md. Lutfar Rahman</v>
      </c>
      <c r="O294" t="str">
        <f>_xlfn.XLOOKUP($A294,Master_Data!$C:$C,Master_Data!$E:$E,"CHECK",0)</f>
        <v>BNP</v>
      </c>
      <c r="P294">
        <f>_xlfn.XLOOKUP($A294,Master_Data!$C:$C,Master_Data!$F:$F,"CHECK",0)</f>
        <v>1</v>
      </c>
      <c r="Q294">
        <f>_xlfn.XLOOKUP($A294,Master_Data!$C:$C,Master_Data!$G:$G,"CHECK",0)</f>
        <v>105342</v>
      </c>
      <c r="R294">
        <f>IFERROR(_xlfn.XLOOKUP($A294,Master_Data!$C:$C,Master_Data!$H:$H,"CHECK",0),"")</f>
        <v>62.75923289107601</v>
      </c>
      <c r="S294" t="str">
        <f>_xlfn.XLOOKUP($A294,Master_Data!$C:$C,Master_Data!$I:$I,"CHECK",0)</f>
        <v>Abdul Latif Siddiqui</v>
      </c>
      <c r="T294">
        <f>_xlfn.XLOOKUP($A294,Master_Data!$C:$C,Master_Data!$K:$K,"CHECK",0)</f>
        <v>62509</v>
      </c>
      <c r="U294">
        <f>IFERROR(_xlfn.XLOOKUP($A294,Master_Data!$C:$C,Master_Data!$L:$L,"CHECK",0),"")</f>
        <v>37.24076710892399</v>
      </c>
      <c r="V294">
        <f>_xlfn.XLOOKUP($A294,Master_Data!$C:$C,Master_Data!$M:$M,"CHECK",0)</f>
        <v>42833</v>
      </c>
      <c r="W294">
        <f>IFERROR(_xlfn.XLOOKUP($A294,Master_Data!$C:$C,Master_Data!$N:$N,"CHECK",0),"")</f>
        <v>25.518465782152028</v>
      </c>
      <c r="X294" t="str">
        <f>IFERROR(_xlfn.XLOOKUP($A294,Master_Data!$C:$C,Master_Data!$O:$O,"CHECK",0),"No Result")</f>
        <v>Safe Seat</v>
      </c>
      <c r="Y294">
        <f>_xlfn.XLOOKUP($A294,Master_Data!$C:$C,Master_Data!$P:$P,"CHECK",0)</f>
        <v>0</v>
      </c>
      <c r="Z294">
        <f t="shared" si="9"/>
        <v>1</v>
      </c>
    </row>
    <row r="295" spans="1:26">
      <c r="A295" t="str">
        <v>Tangail-5</v>
      </c>
      <c r="B295" t="str" cm="1">
        <f t="array" ref="B2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Nawabganj","Chapainawabganj"),Final_Merged_Data!$B$2:$B$1000=$A295)))</f>
        <v>Tangail</v>
      </c>
      <c r="C295" t="str" cm="1">
        <f t="array" ref="C295">_xlfn.TEXTJOIN(", ",TRUE,_xlfn._xlws.FILTER(Final_Merged_Data!$C$2:$C$1000,Final_Merged_Data!$B$2:$B$1000=$A295))</f>
        <v>Tangail Sadar</v>
      </c>
      <c r="D295" cm="1">
        <f t="array" ref="D295">COUNTA(_xlfn._xlws.FILTER(Final_Merged_Data!$C$2:$C$1000,Final_Merged_Data!$B$2:$B$1000=$A295))</f>
        <v>1</v>
      </c>
      <c r="E295">
        <f>SUMIFS(Final_Merged_Data!$E:$E,Final_Merged_Data!$B:$B,$A295)</f>
        <v>497.01</v>
      </c>
      <c r="F295">
        <f>SUMIFS(Final_Merged_Data!$F:$F,Final_Merged_Data!$B:$B,$A295)</f>
        <v>601185</v>
      </c>
      <c r="G295">
        <f t="shared" si="8"/>
        <v>1209.6034285024446</v>
      </c>
      <c r="H295" cm="1">
        <f t="array" ref="H295">SUMPRODUCT((Final_Merged_Data!$B$2:$B$1000=$A295)*Final_Merged_Data!$H$2:$H$1000*Final_Merged_Data!$F$2:$F$1000)/F295</f>
        <v>3.9799999999999995</v>
      </c>
      <c r="I295" cm="1">
        <f t="array" ref="I295">SUMPRODUCT((Final_Merged_Data!$B$2:$B$1000=$A295)*Final_Merged_Data!$I$2:$I$1000*Final_Merged_Data!$F$2:$F$1000)/F295</f>
        <v>74.430000000000007</v>
      </c>
      <c r="J295" t="str" cm="1">
        <f t="array" ref="J295">_xlfn.TEXTJOIN(", ",TRUE,_xlfn.UNIQUE(_xlfn._xlws.FILTER(Final_Merged_Data!$J$2:$J$1000,Final_Merged_Data!$B$2:$B$1000=$A295)))</f>
        <v>Dhaka Range</v>
      </c>
      <c r="K295" cm="1">
        <f t="array" ref="K295">SUMPRODUCT((Final_Merged_Data!$B$2:$B$1000=$A295)*Final_Merged_Data!$K$2:$K$1000*Final_Merged_Data!$F$2:$F$1000)/F295</f>
        <v>87.055167395391194</v>
      </c>
      <c r="L295" cm="1">
        <f t="array" ref="L295">SUMPRODUCT((Final_Merged_Data!$B$2:$B$1000=$A295)*Final_Merged_Data!$L$2:$L$1000*Final_Merged_Data!$F$2:$F$1000)/F295</f>
        <v>14.083489099923574</v>
      </c>
      <c r="M295" t="str">
        <f>IF(COUNTIF(Master_Data!$C:$C,$A295)&gt;0,"Found","Missing")</f>
        <v>Found</v>
      </c>
      <c r="N295" t="str">
        <f>_xlfn.XLOOKUP($A295,Master_Data!$C:$C,Master_Data!$D:$D,"CHECK",0)</f>
        <v>Sultan Saladin Tuku</v>
      </c>
      <c r="O295" t="str">
        <f>_xlfn.XLOOKUP($A295,Master_Data!$C:$C,Master_Data!$E:$E,"CHECK",0)</f>
        <v>BNP</v>
      </c>
      <c r="P295">
        <f>_xlfn.XLOOKUP($A295,Master_Data!$C:$C,Master_Data!$F:$F,"CHECK",0)</f>
        <v>1</v>
      </c>
      <c r="Q295">
        <f>_xlfn.XLOOKUP($A295,Master_Data!$C:$C,Master_Data!$G:$G,"CHECK",0)</f>
        <v>131279</v>
      </c>
      <c r="R295">
        <f>IFERROR(_xlfn.XLOOKUP($A295,Master_Data!$C:$C,Master_Data!$H:$H,"CHECK",0),"")</f>
        <v>62.052258912281033</v>
      </c>
      <c r="S295" t="str">
        <f>_xlfn.XLOOKUP($A295,Master_Data!$C:$C,Master_Data!$I:$I,"CHECK",0)</f>
        <v>Ahsan Habib</v>
      </c>
      <c r="T295">
        <f>_xlfn.XLOOKUP($A295,Master_Data!$C:$C,Master_Data!$K:$K,"CHECK",0)</f>
        <v>80283</v>
      </c>
      <c r="U295">
        <f>IFERROR(_xlfn.XLOOKUP($A295,Master_Data!$C:$C,Master_Data!$L:$L,"CHECK",0),"")</f>
        <v>37.947741087718967</v>
      </c>
      <c r="V295">
        <f>_xlfn.XLOOKUP($A295,Master_Data!$C:$C,Master_Data!$M:$M,"CHECK",0)</f>
        <v>50996</v>
      </c>
      <c r="W295">
        <f>IFERROR(_xlfn.XLOOKUP($A295,Master_Data!$C:$C,Master_Data!$N:$N,"CHECK",0),"")</f>
        <v>24.104517824562066</v>
      </c>
      <c r="X295" t="str">
        <f>IFERROR(_xlfn.XLOOKUP($A295,Master_Data!$C:$C,Master_Data!$O:$O,"CHECK",0),"No Result")</f>
        <v>Safe Seat</v>
      </c>
      <c r="Y295">
        <f>_xlfn.XLOOKUP($A295,Master_Data!$C:$C,Master_Data!$P:$P,"CHECK",0)</f>
        <v>0</v>
      </c>
      <c r="Z295">
        <f t="shared" si="9"/>
        <v>1</v>
      </c>
    </row>
    <row r="296" spans="1:26">
      <c r="A296" t="str">
        <v>Tangail-6</v>
      </c>
      <c r="B296" t="str" cm="1">
        <f t="array" ref="B2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Nawabganj","Chapainawabganj"),Final_Merged_Data!$B$2:$B$1000=$A296)))</f>
        <v>Tangail</v>
      </c>
      <c r="C296" t="str" cm="1">
        <f t="array" ref="C296">_xlfn.TEXTJOIN(", ",TRUE,_xlfn._xlws.FILTER(Final_Merged_Data!$C$2:$C$1000,Final_Merged_Data!$B$2:$B$1000=$A296))</f>
        <v>Delduar, Nagarpur</v>
      </c>
      <c r="D296" cm="1">
        <f t="array" ref="D296">COUNTA(_xlfn._xlws.FILTER(Final_Merged_Data!$C$2:$C$1000,Final_Merged_Data!$B$2:$B$1000=$A296))</f>
        <v>2</v>
      </c>
      <c r="E296">
        <f>SUMIFS(Final_Merged_Data!$E:$E,Final_Merged_Data!$B:$B,$A296)</f>
        <v>610.91999999999996</v>
      </c>
      <c r="F296">
        <f>SUMIFS(Final_Merged_Data!$F:$F,Final_Merged_Data!$B:$B,$A296)</f>
        <v>537980</v>
      </c>
      <c r="G296">
        <f t="shared" si="8"/>
        <v>880.60629869704712</v>
      </c>
      <c r="H296" cm="1">
        <f t="array" ref="H296">SUMPRODUCT((Final_Merged_Data!$B$2:$B$1000=$A296)*Final_Merged_Data!$H$2:$H$1000*Final_Merged_Data!$F$2:$F$1000)/F296</f>
        <v>3.7940653927655306</v>
      </c>
      <c r="I296" cm="1">
        <f t="array" ref="I296">SUMPRODUCT((Final_Merged_Data!$B$2:$B$1000=$A296)*Final_Merged_Data!$I$2:$I$1000*Final_Merged_Data!$F$2:$F$1000)/F296</f>
        <v>68.711481095951513</v>
      </c>
      <c r="J296" t="str" cm="1">
        <f t="array" ref="J296">_xlfn.TEXTJOIN(", ",TRUE,_xlfn.UNIQUE(_xlfn._xlws.FILTER(Final_Merged_Data!$J$2:$J$1000,Final_Merged_Data!$B$2:$B$1000=$A296)))</f>
        <v>Dhaka Range</v>
      </c>
      <c r="K296" cm="1">
        <f t="array" ref="K296">SUMPRODUCT((Final_Merged_Data!$B$2:$B$1000=$A296)*Final_Merged_Data!$K$2:$K$1000*Final_Merged_Data!$F$2:$F$1000)/F296</f>
        <v>87.055167395391194</v>
      </c>
      <c r="L296" cm="1">
        <f t="array" ref="L296">SUMPRODUCT((Final_Merged_Data!$B$2:$B$1000=$A296)*Final_Merged_Data!$L$2:$L$1000*Final_Merged_Data!$F$2:$F$1000)/F296</f>
        <v>14.083489099923572</v>
      </c>
      <c r="M296" t="str">
        <f>IF(COUNTIF(Master_Data!$C:$C,$A296)&gt;0,"Found","Missing")</f>
        <v>Found</v>
      </c>
      <c r="N296" t="str">
        <f>_xlfn.XLOOKUP($A296,Master_Data!$C:$C,Master_Data!$D:$D,"CHECK",0)</f>
        <v>Md Rabiul Awal</v>
      </c>
      <c r="O296" t="str">
        <f>_xlfn.XLOOKUP($A296,Master_Data!$C:$C,Master_Data!$E:$E,"CHECK",0)</f>
        <v>BNP</v>
      </c>
      <c r="P296">
        <f>_xlfn.XLOOKUP($A296,Master_Data!$C:$C,Master_Data!$F:$F,"CHECK",0)</f>
        <v>1</v>
      </c>
      <c r="Q296">
        <f>_xlfn.XLOOKUP($A296,Master_Data!$C:$C,Master_Data!$G:$G,"CHECK",0)</f>
        <v>150952</v>
      </c>
      <c r="R296">
        <f>IFERROR(_xlfn.XLOOKUP($A296,Master_Data!$C:$C,Master_Data!$H:$H,"CHECK",0),"")</f>
        <v>62.154439073398507</v>
      </c>
      <c r="S296" t="str">
        <f>_xlfn.XLOOKUP($A296,Master_Data!$C:$C,Master_Data!$I:$I,"CHECK",0)</f>
        <v>AKM Abdul Hamid</v>
      </c>
      <c r="T296">
        <f>_xlfn.XLOOKUP($A296,Master_Data!$C:$C,Master_Data!$K:$K,"CHECK",0)</f>
        <v>91914</v>
      </c>
      <c r="U296">
        <f>IFERROR(_xlfn.XLOOKUP($A296,Master_Data!$C:$C,Master_Data!$L:$L,"CHECK",0),"")</f>
        <v>37.8455609266015</v>
      </c>
      <c r="V296">
        <f>_xlfn.XLOOKUP($A296,Master_Data!$C:$C,Master_Data!$M:$M,"CHECK",0)</f>
        <v>59038</v>
      </c>
      <c r="W296">
        <f>IFERROR(_xlfn.XLOOKUP($A296,Master_Data!$C:$C,Master_Data!$N:$N,"CHECK",0),"")</f>
        <v>24.308878146796999</v>
      </c>
      <c r="X296" t="str">
        <f>IFERROR(_xlfn.XLOOKUP($A296,Master_Data!$C:$C,Master_Data!$O:$O,"CHECK",0),"No Result")</f>
        <v>Safe Seat</v>
      </c>
      <c r="Y296">
        <f>_xlfn.XLOOKUP($A296,Master_Data!$C:$C,Master_Data!$P:$P,"CHECK",0)</f>
        <v>0</v>
      </c>
      <c r="Z296">
        <f t="shared" si="9"/>
        <v>1</v>
      </c>
    </row>
    <row r="297" spans="1:26">
      <c r="A297" t="str">
        <v>Tangail-7</v>
      </c>
      <c r="B297" t="str" cm="1">
        <f t="array" ref="B2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Nawabganj","Chapainawabganj"),Final_Merged_Data!$B$2:$B$1000=$A297)))</f>
        <v>Tangail</v>
      </c>
      <c r="C297" t="str" cm="1">
        <f t="array" ref="C297">_xlfn.TEXTJOIN(", ",TRUE,_xlfn._xlws.FILTER(Final_Merged_Data!$C$2:$C$1000,Final_Merged_Data!$B$2:$B$1000=$A297))</f>
        <v>Mirzapur</v>
      </c>
      <c r="D297" cm="1">
        <f t="array" ref="D297">COUNTA(_xlfn._xlws.FILTER(Final_Merged_Data!$C$2:$C$1000,Final_Merged_Data!$B$2:$B$1000=$A297))</f>
        <v>1</v>
      </c>
      <c r="E297">
        <f>SUMIFS(Final_Merged_Data!$E:$E,Final_Merged_Data!$B:$B,$A297)</f>
        <v>489.1</v>
      </c>
      <c r="F297">
        <f>SUMIFS(Final_Merged_Data!$F:$F,Final_Merged_Data!$B:$B,$A297)</f>
        <v>474634</v>
      </c>
      <c r="G297">
        <f t="shared" si="8"/>
        <v>970.42322633408298</v>
      </c>
      <c r="H297" cm="1">
        <f t="array" ref="H297">SUMPRODUCT((Final_Merged_Data!$B$2:$B$1000=$A297)*Final_Merged_Data!$H$2:$H$1000*Final_Merged_Data!$F$2:$F$1000)/F297</f>
        <v>3.73</v>
      </c>
      <c r="I297" cm="1">
        <f t="array" ref="I297">SUMPRODUCT((Final_Merged_Data!$B$2:$B$1000=$A297)*Final_Merged_Data!$I$2:$I$1000*Final_Merged_Data!$F$2:$F$1000)/F297</f>
        <v>74.98</v>
      </c>
      <c r="J297" t="str" cm="1">
        <f t="array" ref="J297">_xlfn.TEXTJOIN(", ",TRUE,_xlfn.UNIQUE(_xlfn._xlws.FILTER(Final_Merged_Data!$J$2:$J$1000,Final_Merged_Data!$B$2:$B$1000=$A297)))</f>
        <v>Dhaka Range</v>
      </c>
      <c r="K297" cm="1">
        <f t="array" ref="K297">SUMPRODUCT((Final_Merged_Data!$B$2:$B$1000=$A297)*Final_Merged_Data!$K$2:$K$1000*Final_Merged_Data!$F$2:$F$1000)/F297</f>
        <v>87.055167395391194</v>
      </c>
      <c r="L297" cm="1">
        <f t="array" ref="L297">SUMPRODUCT((Final_Merged_Data!$B$2:$B$1000=$A297)*Final_Merged_Data!$L$2:$L$1000*Final_Merged_Data!$F$2:$F$1000)/F297</f>
        <v>14.083489099923572</v>
      </c>
      <c r="M297" t="str">
        <f>IF(COUNTIF(Master_Data!$C:$C,$A297)&gt;0,"Found","Missing")</f>
        <v>Found</v>
      </c>
      <c r="N297" t="str">
        <f>_xlfn.XLOOKUP($A297,Master_Data!$C:$C,Master_Data!$D:$D,"CHECK",0)</f>
        <v>Abul Kalam Azad Siddiqui</v>
      </c>
      <c r="O297" t="str">
        <f>_xlfn.XLOOKUP($A297,Master_Data!$C:$C,Master_Data!$E:$E,"CHECK",0)</f>
        <v>BNP</v>
      </c>
      <c r="P297">
        <f>_xlfn.XLOOKUP($A297,Master_Data!$C:$C,Master_Data!$F:$F,"CHECK",0)</f>
        <v>1</v>
      </c>
      <c r="Q297">
        <f>_xlfn.XLOOKUP($A297,Master_Data!$C:$C,Master_Data!$G:$G,"CHECK",0)</f>
        <v>141253</v>
      </c>
      <c r="R297">
        <f>IFERROR(_xlfn.XLOOKUP($A297,Master_Data!$C:$C,Master_Data!$H:$H,"CHECK",0),"")</f>
        <v>66.536814685364092</v>
      </c>
      <c r="S297" t="str">
        <f>_xlfn.XLOOKUP($A297,Master_Data!$C:$C,Master_Data!$I:$I,"CHECK",0)</f>
        <v>Md Abdullah ibn Abul Hossain</v>
      </c>
      <c r="T297">
        <f>_xlfn.XLOOKUP($A297,Master_Data!$C:$C,Master_Data!$K:$K,"CHECK",0)</f>
        <v>71040</v>
      </c>
      <c r="U297">
        <f>IFERROR(_xlfn.XLOOKUP($A297,Master_Data!$C:$C,Master_Data!$L:$L,"CHECK",0),"")</f>
        <v>33.463185314635901</v>
      </c>
      <c r="V297">
        <f>_xlfn.XLOOKUP($A297,Master_Data!$C:$C,Master_Data!$M:$M,"CHECK",0)</f>
        <v>70213</v>
      </c>
      <c r="W297">
        <f>IFERROR(_xlfn.XLOOKUP($A297,Master_Data!$C:$C,Master_Data!$N:$N,"CHECK",0),"")</f>
        <v>33.073629370728192</v>
      </c>
      <c r="X297" t="str">
        <f>IFERROR(_xlfn.XLOOKUP($A297,Master_Data!$C:$C,Master_Data!$O:$O,"CHECK",0),"No Result")</f>
        <v>Safe Seat</v>
      </c>
      <c r="Y297">
        <f>_xlfn.XLOOKUP($A297,Master_Data!$C:$C,Master_Data!$P:$P,"CHECK",0)</f>
        <v>0</v>
      </c>
      <c r="Z297">
        <f t="shared" si="9"/>
        <v>1</v>
      </c>
    </row>
    <row r="298" spans="1:26">
      <c r="A298" t="str">
        <v>Tangail-8</v>
      </c>
      <c r="B298" t="str" cm="1">
        <f t="array" ref="B2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Nawabganj","Chapainawabganj"),Final_Merged_Data!$B$2:$B$1000=$A298)))</f>
        <v>Tangail</v>
      </c>
      <c r="C298" t="str" cm="1">
        <f t="array" ref="C298">_xlfn.TEXTJOIN(", ",TRUE,_xlfn._xlws.FILTER(Final_Merged_Data!$C$2:$C$1000,Final_Merged_Data!$B$2:$B$1000=$A298))</f>
        <v>Sakhipur</v>
      </c>
      <c r="D298" cm="1">
        <f t="array" ref="D298">COUNTA(_xlfn._xlws.FILTER(Final_Merged_Data!$C$2:$C$1000,Final_Merged_Data!$B$2:$B$1000=$A298))</f>
        <v>1</v>
      </c>
      <c r="E298">
        <f>SUMIFS(Final_Merged_Data!$E:$E,Final_Merged_Data!$B:$B,$A298)</f>
        <v>266.83999999999997</v>
      </c>
      <c r="F298">
        <f>SUMIFS(Final_Merged_Data!$F:$F,Final_Merged_Data!$B:$B,$A298)</f>
        <v>322307</v>
      </c>
      <c r="G298">
        <f t="shared" si="8"/>
        <v>1207.866137010943</v>
      </c>
      <c r="H298" cm="1">
        <f t="array" ref="H298">SUMPRODUCT((Final_Merged_Data!$B$2:$B$1000=$A298)*Final_Merged_Data!$H$2:$H$1000*Final_Merged_Data!$F$2:$F$1000)/F298</f>
        <v>3.57</v>
      </c>
      <c r="I298" cm="1">
        <f t="array" ref="I298">SUMPRODUCT((Final_Merged_Data!$B$2:$B$1000=$A298)*Final_Merged_Data!$I$2:$I$1000*Final_Merged_Data!$F$2:$F$1000)/F298</f>
        <v>66.87</v>
      </c>
      <c r="J298" t="str" cm="1">
        <f t="array" ref="J298">_xlfn.TEXTJOIN(", ",TRUE,_xlfn.UNIQUE(_xlfn._xlws.FILTER(Final_Merged_Data!$J$2:$J$1000,Final_Merged_Data!$B$2:$B$1000=$A298)))</f>
        <v>Dhaka Range</v>
      </c>
      <c r="K298" cm="1">
        <f t="array" ref="K298">SUMPRODUCT((Final_Merged_Data!$B$2:$B$1000=$A298)*Final_Merged_Data!$K$2:$K$1000*Final_Merged_Data!$F$2:$F$1000)/F298</f>
        <v>87.055167395391194</v>
      </c>
      <c r="L298" cm="1">
        <f t="array" ref="L298">SUMPRODUCT((Final_Merged_Data!$B$2:$B$1000=$A298)*Final_Merged_Data!$L$2:$L$1000*Final_Merged_Data!$F$2:$F$1000)/F298</f>
        <v>14.08348909992357</v>
      </c>
      <c r="M298" t="str">
        <f>IF(COUNTIF(Master_Data!$C:$C,$A298)&gt;0,"Found","Missing")</f>
        <v>Found</v>
      </c>
      <c r="N298" t="str">
        <f>_xlfn.XLOOKUP($A298,Master_Data!$C:$C,Master_Data!$D:$D,"CHECK",0)</f>
        <v>Ahmed Azam Khan</v>
      </c>
      <c r="O298" t="str">
        <f>_xlfn.XLOOKUP($A298,Master_Data!$C:$C,Master_Data!$E:$E,"CHECK",0)</f>
        <v>BNP</v>
      </c>
      <c r="P298">
        <f>_xlfn.XLOOKUP($A298,Master_Data!$C:$C,Master_Data!$F:$F,"CHECK",0)</f>
        <v>1</v>
      </c>
      <c r="Q298">
        <f>_xlfn.XLOOKUP($A298,Master_Data!$C:$C,Master_Data!$G:$G,"CHECK",0)</f>
        <v>114217</v>
      </c>
      <c r="R298">
        <f>IFERROR(_xlfn.XLOOKUP($A298,Master_Data!$C:$C,Master_Data!$H:$H,"CHECK",0),"")</f>
        <v>59.691032522067246</v>
      </c>
      <c r="S298" t="str">
        <f>_xlfn.XLOOKUP($A298,Master_Data!$C:$C,Master_Data!$I:$I,"CHECK",0)</f>
        <v>Salahuddin Alamgir</v>
      </c>
      <c r="T298">
        <f>_xlfn.XLOOKUP($A298,Master_Data!$C:$C,Master_Data!$K:$K,"CHECK",0)</f>
        <v>77130</v>
      </c>
      <c r="U298">
        <f>IFERROR(_xlfn.XLOOKUP($A298,Master_Data!$C:$C,Master_Data!$L:$L,"CHECK",0),"")</f>
        <v>40.308967477932761</v>
      </c>
      <c r="V298">
        <f>_xlfn.XLOOKUP($A298,Master_Data!$C:$C,Master_Data!$M:$M,"CHECK",0)</f>
        <v>37087</v>
      </c>
      <c r="W298">
        <f>IFERROR(_xlfn.XLOOKUP($A298,Master_Data!$C:$C,Master_Data!$N:$N,"CHECK",0),"")</f>
        <v>19.382065044134478</v>
      </c>
      <c r="X298" t="str">
        <f>IFERROR(_xlfn.XLOOKUP($A298,Master_Data!$C:$C,Master_Data!$O:$O,"CHECK",0),"No Result")</f>
        <v>Safe Seat</v>
      </c>
      <c r="Y298">
        <f>_xlfn.XLOOKUP($A298,Master_Data!$C:$C,Master_Data!$P:$P,"CHECK",0)</f>
        <v>0</v>
      </c>
      <c r="Z298">
        <f t="shared" si="9"/>
        <v>1</v>
      </c>
    </row>
    <row r="299" spans="1:26">
      <c r="A299" t="str">
        <v>Thakurgaon-1</v>
      </c>
      <c r="B299" t="str" cm="1">
        <f t="array" ref="B2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Nawabganj","Chapainawabganj"),Final_Merged_Data!$B$2:$B$1000=$A299)))</f>
        <v>Thakurgaon</v>
      </c>
      <c r="C299" t="str" cm="1">
        <f t="array" ref="C299">_xlfn.TEXTJOIN(", ",TRUE,_xlfn._xlws.FILTER(Final_Merged_Data!$C$2:$C$1000,Final_Merged_Data!$B$2:$B$1000=$A299))</f>
        <v>Thakurgaon Sadar</v>
      </c>
      <c r="D299" cm="1">
        <f t="array" ref="D299">COUNTA(_xlfn._xlws.FILTER(Final_Merged_Data!$C$2:$C$1000,Final_Merged_Data!$B$2:$B$1000=$A299))</f>
        <v>1</v>
      </c>
      <c r="E299">
        <f>SUMIFS(Final_Merged_Data!$E:$E,Final_Merged_Data!$B:$B,$A299)</f>
        <v>172.65</v>
      </c>
      <c r="F299">
        <f>SUMIFS(Final_Merged_Data!$F:$F,Final_Merged_Data!$B:$B,$A299)</f>
        <v>656770</v>
      </c>
      <c r="G299">
        <f t="shared" si="8"/>
        <v>3804.0544454097885</v>
      </c>
      <c r="H299" cm="1">
        <f t="array" ref="H299">SUMPRODUCT((Final_Merged_Data!$B$2:$B$1000=$A299)*Final_Merged_Data!$H$2:$H$1000*Final_Merged_Data!$F$2:$F$1000)/F299</f>
        <v>3.99</v>
      </c>
      <c r="I299" cm="1">
        <f t="array" ref="I299">SUMPRODUCT((Final_Merged_Data!$B$2:$B$1000=$A299)*Final_Merged_Data!$I$2:$I$1000*Final_Merged_Data!$F$2:$F$1000)/F299</f>
        <v>76.849999999999994</v>
      </c>
      <c r="J299" t="str" cm="1">
        <f t="array" ref="J299">_xlfn.TEXTJOIN(", ",TRUE,_xlfn.UNIQUE(_xlfn._xlws.FILTER(Final_Merged_Data!$J$2:$J$1000,Final_Merged_Data!$B$2:$B$1000=$A299)))</f>
        <v>Rangpur Range</v>
      </c>
      <c r="K299" cm="1">
        <f t="array" ref="K299">SUMPRODUCT((Final_Merged_Data!$B$2:$B$1000=$A299)*Final_Merged_Data!$K$2:$K$1000*Final_Merged_Data!$F$2:$F$1000)/F299</f>
        <v>101.90869513385242</v>
      </c>
      <c r="L299" cm="1">
        <f t="array" ref="L299">SUMPRODUCT((Final_Merged_Data!$B$2:$B$1000=$A299)*Final_Merged_Data!$L$2:$L$1000*Final_Merged_Data!$F$2:$F$1000)/F299</f>
        <v>15.175373179583827</v>
      </c>
      <c r="M299" t="str">
        <f>IF(COUNTIF(Master_Data!$C:$C,$A299)&gt;0,"Found","Missing")</f>
        <v>Found</v>
      </c>
      <c r="N299" t="str">
        <f>_xlfn.XLOOKUP($A299,Master_Data!$C:$C,Master_Data!$D:$D,"CHECK",0)</f>
        <v>Mirza Fakhrul Islam Alamgir</v>
      </c>
      <c r="O299" t="str">
        <f>_xlfn.XLOOKUP($A299,Master_Data!$C:$C,Master_Data!$E:$E,"CHECK",0)</f>
        <v>BNP</v>
      </c>
      <c r="P299">
        <f>_xlfn.XLOOKUP($A299,Master_Data!$C:$C,Master_Data!$F:$F,"CHECK",0)</f>
        <v>1</v>
      </c>
      <c r="Q299">
        <f>_xlfn.XLOOKUP($A299,Master_Data!$C:$C,Master_Data!$G:$G,"CHECK",0)</f>
        <v>238836</v>
      </c>
      <c r="R299">
        <f>IFERROR(_xlfn.XLOOKUP($A299,Master_Data!$C:$C,Master_Data!$H:$H,"CHECK",0),"")</f>
        <v>62.87590199366597</v>
      </c>
      <c r="S299" t="str">
        <f>_xlfn.XLOOKUP($A299,Master_Data!$C:$C,Master_Data!$I:$I,"CHECK",0)</f>
        <v>Delawar Hossain</v>
      </c>
      <c r="T299">
        <f>_xlfn.XLOOKUP($A299,Master_Data!$C:$C,Master_Data!$K:$K,"CHECK",0)</f>
        <v>141017</v>
      </c>
      <c r="U299">
        <f>IFERROR(_xlfn.XLOOKUP($A299,Master_Data!$C:$C,Master_Data!$L:$L,"CHECK",0),"")</f>
        <v>37.12409800633403</v>
      </c>
      <c r="V299">
        <f>_xlfn.XLOOKUP($A299,Master_Data!$C:$C,Master_Data!$M:$M,"CHECK",0)</f>
        <v>97819</v>
      </c>
      <c r="W299">
        <f>IFERROR(_xlfn.XLOOKUP($A299,Master_Data!$C:$C,Master_Data!$N:$N,"CHECK",0),"")</f>
        <v>25.75180398733194</v>
      </c>
      <c r="X299" t="str">
        <f>IFERROR(_xlfn.XLOOKUP($A299,Master_Data!$C:$C,Master_Data!$O:$O,"CHECK",0),"No Result")</f>
        <v>Safe Seat</v>
      </c>
      <c r="Y299">
        <f>_xlfn.XLOOKUP($A299,Master_Data!$C:$C,Master_Data!$P:$P,"CHECK",0)</f>
        <v>0</v>
      </c>
      <c r="Z299">
        <f t="shared" si="9"/>
        <v>1</v>
      </c>
    </row>
    <row r="300" spans="1:26">
      <c r="A300" t="str">
        <v>Thakurgaon-2</v>
      </c>
      <c r="B300" t="str" cm="1">
        <f t="array" ref="B3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Nawabganj","Chapainawabganj"),Final_Merged_Data!$B$2:$B$1000=$A300)))</f>
        <v>Thakurgaon</v>
      </c>
      <c r="C300" t="str" cm="1">
        <f t="array" ref="C300">_xlfn.TEXTJOIN(", ",TRUE,_xlfn._xlws.FILTER(Final_Merged_Data!$C$2:$C$1000,Final_Merged_Data!$B$2:$B$1000=$A300))</f>
        <v>Baliadangi, Haripur, Ranishankail</v>
      </c>
      <c r="D300" cm="1">
        <f t="array" ref="D300">COUNTA(_xlfn._xlws.FILTER(Final_Merged_Data!$C$2:$C$1000,Final_Merged_Data!$B$2:$B$1000=$A300))</f>
        <v>3</v>
      </c>
      <c r="E300">
        <f>SUMIFS(Final_Merged_Data!$E:$E,Final_Merged_Data!$B:$B,$A300)</f>
        <v>851.31</v>
      </c>
      <c r="F300">
        <f>SUMIFS(Final_Merged_Data!$F:$F,Final_Merged_Data!$B:$B,$A300)</f>
        <v>611930</v>
      </c>
      <c r="G300">
        <f t="shared" si="8"/>
        <v>718.80983425544161</v>
      </c>
      <c r="H300" cm="1">
        <f t="array" ref="H300">SUMPRODUCT((Final_Merged_Data!$B$2:$B$1000=$A300)*Final_Merged_Data!$H$2:$H$1000*Final_Merged_Data!$F$2:$F$1000)/F300</f>
        <v>3.9606961907407707</v>
      </c>
      <c r="I300" cm="1">
        <f t="array" ref="I300">SUMPRODUCT((Final_Merged_Data!$B$2:$B$1000=$A300)*Final_Merged_Data!$I$2:$I$1000*Final_Merged_Data!$F$2:$F$1000)/F300</f>
        <v>71.533349075874682</v>
      </c>
      <c r="J300" t="str" cm="1">
        <f t="array" ref="J300">_xlfn.TEXTJOIN(", ",TRUE,_xlfn.UNIQUE(_xlfn._xlws.FILTER(Final_Merged_Data!$J$2:$J$1000,Final_Merged_Data!$B$2:$B$1000=$A300)))</f>
        <v>Rangpur Range</v>
      </c>
      <c r="K300" cm="1">
        <f t="array" ref="K300">SUMPRODUCT((Final_Merged_Data!$B$2:$B$1000=$A300)*Final_Merged_Data!$K$2:$K$1000*Final_Merged_Data!$F$2:$F$1000)/F300</f>
        <v>101.90869513385242</v>
      </c>
      <c r="L300" cm="1">
        <f t="array" ref="L300">SUMPRODUCT((Final_Merged_Data!$B$2:$B$1000=$A300)*Final_Merged_Data!$L$2:$L$1000*Final_Merged_Data!$F$2:$F$1000)/F300</f>
        <v>15.175373179583827</v>
      </c>
      <c r="M300" t="str">
        <f>IF(COUNTIF(Master_Data!$C:$C,$A300)&gt;0,"Found","Missing")</f>
        <v>Found</v>
      </c>
      <c r="N300" t="str">
        <f>_xlfn.XLOOKUP($A300,Master_Data!$C:$C,Master_Data!$D:$D,"CHECK",0)</f>
        <v>Abdus Salam</v>
      </c>
      <c r="O300" t="str">
        <f>_xlfn.XLOOKUP($A300,Master_Data!$C:$C,Master_Data!$E:$E,"CHECK",0)</f>
        <v>BNP</v>
      </c>
      <c r="P300">
        <f>_xlfn.XLOOKUP($A300,Master_Data!$C:$C,Master_Data!$F:$F,"CHECK",0)</f>
        <v>1</v>
      </c>
      <c r="Q300">
        <f>_xlfn.XLOOKUP($A300,Master_Data!$C:$C,Master_Data!$G:$G,"CHECK",0)</f>
        <v>121017</v>
      </c>
      <c r="R300">
        <f>IFERROR(_xlfn.XLOOKUP($A300,Master_Data!$C:$C,Master_Data!$H:$H,"CHECK",0),"")</f>
        <v>51.121559284229733</v>
      </c>
      <c r="S300" t="str">
        <f>_xlfn.XLOOKUP($A300,Master_Data!$C:$C,Master_Data!$I:$I,"CHECK",0)</f>
        <v>Md. Abdul Hakim</v>
      </c>
      <c r="T300">
        <f>_xlfn.XLOOKUP($A300,Master_Data!$C:$C,Master_Data!$K:$K,"CHECK",0)</f>
        <v>115707</v>
      </c>
      <c r="U300">
        <f>IFERROR(_xlfn.XLOOKUP($A300,Master_Data!$C:$C,Master_Data!$L:$L,"CHECK",0),"")</f>
        <v>48.878440715770267</v>
      </c>
      <c r="V300">
        <f>_xlfn.XLOOKUP($A300,Master_Data!$C:$C,Master_Data!$M:$M,"CHECK",0)</f>
        <v>5310</v>
      </c>
      <c r="W300">
        <f>IFERROR(_xlfn.XLOOKUP($A300,Master_Data!$C:$C,Master_Data!$N:$N,"CHECK",0),"")</f>
        <v>2.2431185684594719</v>
      </c>
      <c r="X300" t="str">
        <f>IFERROR(_xlfn.XLOOKUP($A300,Master_Data!$C:$C,Master_Data!$O:$O,"CHECK",0),"No Result")</f>
        <v>Highly Competitive</v>
      </c>
      <c r="Y300">
        <f>_xlfn.XLOOKUP($A300,Master_Data!$C:$C,Master_Data!$P:$P,"CHECK",0)</f>
        <v>0</v>
      </c>
      <c r="Z300">
        <f t="shared" si="9"/>
        <v>1</v>
      </c>
    </row>
    <row r="301" spans="1:26">
      <c r="A301" t="str">
        <v>Thakurgaon-3</v>
      </c>
      <c r="B301" t="str" cm="1">
        <f t="array" ref="B3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Nawabganj","Chapainawabganj"),Final_Merged_Data!$B$2:$B$1000=$A301)))</f>
        <v>Thakurgaon</v>
      </c>
      <c r="C301" t="str" cm="1">
        <f t="array" ref="C301">_xlfn.TEXTJOIN(", ",TRUE,_xlfn._xlws.FILTER(Final_Merged_Data!$C$2:$C$1000,Final_Merged_Data!$B$2:$B$1000=$A301))</f>
        <v>Pirganj, Ranishankail</v>
      </c>
      <c r="D301" cm="1">
        <f t="array" ref="D301">COUNTA(_xlfn._xlws.FILTER(Final_Merged_Data!$C$2:$C$1000,Final_Merged_Data!$B$2:$B$1000=$A301))</f>
        <v>2</v>
      </c>
      <c r="E301">
        <f>SUMIFS(Final_Merged_Data!$E:$E,Final_Merged_Data!$B:$B,$A301)</f>
        <v>615.1</v>
      </c>
      <c r="F301">
        <f>SUMIFS(Final_Merged_Data!$F:$F,Final_Merged_Data!$B:$B,$A301)</f>
        <v>658907</v>
      </c>
      <c r="G301">
        <f t="shared" si="8"/>
        <v>1071.2193139326939</v>
      </c>
      <c r="H301" cm="1">
        <f t="array" ref="H301">SUMPRODUCT((Final_Merged_Data!$B$2:$B$1000=$A301)*Final_Merged_Data!$H$2:$H$1000*Final_Merged_Data!$F$2:$F$1000)/F301</f>
        <v>3.7059436612450622</v>
      </c>
      <c r="I301" cm="1">
        <f t="array" ref="I301">SUMPRODUCT((Final_Merged_Data!$B$2:$B$1000=$A301)*Final_Merged_Data!$I$2:$I$1000*Final_Merged_Data!$F$2:$F$1000)/F301</f>
        <v>69.551084492955752</v>
      </c>
      <c r="J301" t="str" cm="1">
        <f t="array" ref="J301">_xlfn.TEXTJOIN(", ",TRUE,_xlfn.UNIQUE(_xlfn._xlws.FILTER(Final_Merged_Data!$J$2:$J$1000,Final_Merged_Data!$B$2:$B$1000=$A301)))</f>
        <v>Rangpur Range</v>
      </c>
      <c r="K301" cm="1">
        <f t="array" ref="K301">SUMPRODUCT((Final_Merged_Data!$B$2:$B$1000=$A301)*Final_Merged_Data!$K$2:$K$1000*Final_Merged_Data!$F$2:$F$1000)/F301</f>
        <v>101.9086951338524</v>
      </c>
      <c r="L301" cm="1">
        <f t="array" ref="L301">SUMPRODUCT((Final_Merged_Data!$B$2:$B$1000=$A301)*Final_Merged_Data!$L$2:$L$1000*Final_Merged_Data!$F$2:$F$1000)/F301</f>
        <v>15.175373179583827</v>
      </c>
      <c r="M301" t="str">
        <f>IF(COUNTIF(Master_Data!$C:$C,$A301)&gt;0,"Found","Missing")</f>
        <v>Found</v>
      </c>
      <c r="N301" t="str">
        <f>_xlfn.XLOOKUP($A301,Master_Data!$C:$C,Master_Data!$D:$D,"CHECK",0)</f>
        <v>Jahidur Rahman</v>
      </c>
      <c r="O301" t="str">
        <f>_xlfn.XLOOKUP($A301,Master_Data!$C:$C,Master_Data!$E:$E,"CHECK",0)</f>
        <v>BNP</v>
      </c>
      <c r="P301">
        <f>_xlfn.XLOOKUP($A301,Master_Data!$C:$C,Master_Data!$F:$F,"CHECK",0)</f>
        <v>1</v>
      </c>
      <c r="Q301">
        <f>_xlfn.XLOOKUP($A301,Master_Data!$C:$C,Master_Data!$G:$G,"CHECK",0)</f>
        <v>132797</v>
      </c>
      <c r="R301">
        <f>IFERROR(_xlfn.XLOOKUP($A301,Master_Data!$C:$C,Master_Data!$H:$H,"CHECK",0),"")</f>
        <v>59.091536103163335</v>
      </c>
      <c r="S301" t="str">
        <f>_xlfn.XLOOKUP($A301,Master_Data!$C:$C,Master_Data!$I:$I,"CHECK",0)</f>
        <v>Md. Mizanur Rahman</v>
      </c>
      <c r="T301">
        <f>_xlfn.XLOOKUP($A301,Master_Data!$C:$C,Master_Data!$K:$K,"CHECK",0)</f>
        <v>91934</v>
      </c>
      <c r="U301">
        <f>IFERROR(_xlfn.XLOOKUP($A301,Master_Data!$C:$C,Master_Data!$L:$L,"CHECK",0),"")</f>
        <v>40.908463896836658</v>
      </c>
      <c r="V301">
        <f>_xlfn.XLOOKUP($A301,Master_Data!$C:$C,Master_Data!$M:$M,"CHECK",0)</f>
        <v>40863</v>
      </c>
      <c r="W301">
        <f>IFERROR(_xlfn.XLOOKUP($A301,Master_Data!$C:$C,Master_Data!$N:$N,"CHECK",0),"")</f>
        <v>18.183072206326674</v>
      </c>
      <c r="X301" t="str">
        <f>IFERROR(_xlfn.XLOOKUP($A301,Master_Data!$C:$C,Master_Data!$O:$O,"CHECK",0),"No Result")</f>
        <v>Safe Seat</v>
      </c>
      <c r="Y301">
        <f>_xlfn.XLOOKUP($A301,Master_Data!$C:$C,Master_Data!$P:$P,"CHECK",0)</f>
        <v>0</v>
      </c>
      <c r="Z301">
        <f t="shared" si="9"/>
        <v>1</v>
      </c>
    </row>
    <row r="302" spans="1:26">
      <c r="C302" t="str" cm="1">
        <f t="array" ref="C302">_xlfn.TEXTJOIN(", ",TRUE,_xlfn._xlws.FILTER(Final_Merged_Data!$C$2:$C$1000,Final_Merged_Data!$B$2:$B$1000=$A302))</f>
        <v/>
      </c>
    </row>
    <row r="303" spans="1:26">
      <c r="M30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8988-49AE-4A95-9AF2-ADB0989E2E4B}">
  <dimension ref="A1:Q301"/>
  <sheetViews>
    <sheetView topLeftCell="A76" workbookViewId="0">
      <selection activeCell="C91" sqref="C91"/>
    </sheetView>
  </sheetViews>
  <sheetFormatPr defaultRowHeight="15"/>
  <cols>
    <col min="1" max="1" width="9.42578125" customWidth="1"/>
    <col min="2" max="2" width="10.42578125" customWidth="1"/>
    <col min="3" max="3" width="11.85546875" customWidth="1"/>
    <col min="4" max="4" width="16" customWidth="1"/>
    <col min="5" max="5" width="9.140625" customWidth="1"/>
    <col min="6" max="6" width="6.85546875" customWidth="1"/>
    <col min="7" max="7" width="8.42578125" customWidth="1"/>
    <col min="8" max="8" width="13.140625" customWidth="1"/>
    <col min="9" max="9" width="9.7109375" customWidth="1"/>
    <col min="10" max="10" width="9.85546875" customWidth="1"/>
    <col min="11" max="11" width="11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912</v>
      </c>
      <c r="G1" t="s">
        <v>5</v>
      </c>
      <c r="H1" t="s">
        <v>1458</v>
      </c>
      <c r="I1" t="s">
        <v>6</v>
      </c>
      <c r="J1" t="s">
        <v>7</v>
      </c>
      <c r="K1" t="s">
        <v>8</v>
      </c>
      <c r="L1" t="s">
        <v>1459</v>
      </c>
      <c r="M1" t="s">
        <v>9</v>
      </c>
      <c r="N1" t="s">
        <v>1460</v>
      </c>
      <c r="O1" t="s">
        <v>1461</v>
      </c>
      <c r="P1" t="s">
        <v>1462</v>
      </c>
      <c r="Q1" t="s">
        <v>1463</v>
      </c>
    </row>
    <row r="2" spans="1:17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f>IF(E2="BNP",1,
IF(E2="Jamaat",2,
IF(E2="AL",3,
IF(E2="JP",4,
IF(E2="IND",5,0)))))</f>
        <v>1</v>
      </c>
      <c r="G2">
        <v>176169</v>
      </c>
      <c r="H2">
        <f t="shared" ref="H2:H65" si="0">G2/(G2+K2)*100</f>
        <v>51.179485093748731</v>
      </c>
      <c r="I2" t="s">
        <v>15</v>
      </c>
      <c r="J2" t="s">
        <v>16</v>
      </c>
      <c r="K2">
        <v>168049</v>
      </c>
      <c r="L2">
        <f t="shared" ref="L2:L65" si="1">K2/(G2+K2)*100</f>
        <v>48.820514906251269</v>
      </c>
      <c r="M2">
        <v>8120</v>
      </c>
      <c r="N2">
        <f>(G2-K2)/(G2+K2)*100</f>
        <v>2.3589701874974578</v>
      </c>
      <c r="O2" t="str">
        <f t="shared" ref="O2:O65" si="2">IF(N2&lt;5,"Highly Competitive",
IF(N2&lt;0.1,"Competitive",
IF(N2&lt;0.2,"Moderate","Safe Seat")))</f>
        <v>Highly Competitive</v>
      </c>
      <c r="P2">
        <v>0</v>
      </c>
      <c r="Q2">
        <v>2026</v>
      </c>
    </row>
    <row r="3" spans="1:17">
      <c r="A3">
        <v>2</v>
      </c>
      <c r="C3" t="s">
        <v>17</v>
      </c>
      <c r="D3" t="s">
        <v>18</v>
      </c>
      <c r="E3" t="s">
        <v>14</v>
      </c>
      <c r="F3">
        <f t="shared" ref="F3:F66" si="3">IF(E3="BNP",1,
IF(E3="Jamaat",2,
IF(E3="AL",3,
IF(E3="JP",4,
IF(E3="IND",5,0)))))</f>
        <v>1</v>
      </c>
      <c r="G3">
        <v>174650</v>
      </c>
      <c r="H3">
        <f t="shared" si="0"/>
        <v>57.543029600147612</v>
      </c>
      <c r="I3" t="s">
        <v>19</v>
      </c>
      <c r="J3" t="s">
        <v>20</v>
      </c>
      <c r="K3">
        <v>128862</v>
      </c>
      <c r="L3">
        <f t="shared" si="1"/>
        <v>42.456970399852395</v>
      </c>
      <c r="M3">
        <v>45788</v>
      </c>
      <c r="N3">
        <f t="shared" ref="N3:N66" si="4">(G3-K3)/(G3+K3)*100</f>
        <v>15.08605920029521</v>
      </c>
      <c r="O3" t="str">
        <f t="shared" si="2"/>
        <v>Safe Seat</v>
      </c>
      <c r="P3">
        <v>0</v>
      </c>
      <c r="Q3">
        <v>2026</v>
      </c>
    </row>
    <row r="4" spans="1:17">
      <c r="A4">
        <v>3</v>
      </c>
      <c r="C4" t="s">
        <v>21</v>
      </c>
      <c r="D4" t="s">
        <v>22</v>
      </c>
      <c r="E4" t="s">
        <v>14</v>
      </c>
      <c r="F4">
        <f t="shared" si="3"/>
        <v>1</v>
      </c>
      <c r="G4">
        <v>238836</v>
      </c>
      <c r="H4">
        <f t="shared" si="0"/>
        <v>62.87590199366597</v>
      </c>
      <c r="I4" t="s">
        <v>23</v>
      </c>
      <c r="J4" t="s">
        <v>20</v>
      </c>
      <c r="K4">
        <v>141017</v>
      </c>
      <c r="L4">
        <f t="shared" si="1"/>
        <v>37.12409800633403</v>
      </c>
      <c r="M4">
        <v>97819</v>
      </c>
      <c r="N4">
        <f t="shared" si="4"/>
        <v>25.75180398733194</v>
      </c>
      <c r="O4" t="str">
        <f t="shared" si="2"/>
        <v>Safe Seat</v>
      </c>
      <c r="P4">
        <v>0</v>
      </c>
      <c r="Q4">
        <v>2026</v>
      </c>
    </row>
    <row r="5" spans="1:17">
      <c r="A5">
        <v>4</v>
      </c>
      <c r="C5" t="s">
        <v>24</v>
      </c>
      <c r="D5" t="s">
        <v>25</v>
      </c>
      <c r="E5" t="s">
        <v>14</v>
      </c>
      <c r="F5">
        <f t="shared" si="3"/>
        <v>1</v>
      </c>
      <c r="G5">
        <v>121017</v>
      </c>
      <c r="H5">
        <f t="shared" si="0"/>
        <v>51.121559284229733</v>
      </c>
      <c r="I5" t="s">
        <v>26</v>
      </c>
      <c r="J5" t="s">
        <v>20</v>
      </c>
      <c r="K5">
        <v>115707</v>
      </c>
      <c r="L5">
        <f t="shared" si="1"/>
        <v>48.878440715770267</v>
      </c>
      <c r="M5">
        <v>5310</v>
      </c>
      <c r="N5">
        <f t="shared" si="4"/>
        <v>2.2431185684594719</v>
      </c>
      <c r="O5" t="str">
        <f t="shared" si="2"/>
        <v>Highly Competitive</v>
      </c>
      <c r="P5">
        <v>0</v>
      </c>
      <c r="Q5">
        <v>2026</v>
      </c>
    </row>
    <row r="6" spans="1:17">
      <c r="A6">
        <v>5</v>
      </c>
      <c r="C6" t="s">
        <v>27</v>
      </c>
      <c r="D6" t="s">
        <v>28</v>
      </c>
      <c r="E6" t="s">
        <v>14</v>
      </c>
      <c r="F6">
        <f t="shared" si="3"/>
        <v>1</v>
      </c>
      <c r="G6">
        <v>132797</v>
      </c>
      <c r="H6">
        <f t="shared" si="0"/>
        <v>59.091536103163335</v>
      </c>
      <c r="I6" t="s">
        <v>29</v>
      </c>
      <c r="J6" t="s">
        <v>20</v>
      </c>
      <c r="K6">
        <v>91934</v>
      </c>
      <c r="L6">
        <f t="shared" si="1"/>
        <v>40.908463896836658</v>
      </c>
      <c r="M6">
        <v>40863</v>
      </c>
      <c r="N6">
        <f t="shared" si="4"/>
        <v>18.183072206326674</v>
      </c>
      <c r="O6" t="str">
        <f t="shared" si="2"/>
        <v>Safe Seat</v>
      </c>
      <c r="P6">
        <v>0</v>
      </c>
      <c r="Q6">
        <v>2026</v>
      </c>
    </row>
    <row r="7" spans="1:17">
      <c r="A7">
        <v>6</v>
      </c>
      <c r="C7" t="s">
        <v>30</v>
      </c>
      <c r="D7" t="s">
        <v>31</v>
      </c>
      <c r="E7" t="s">
        <v>14</v>
      </c>
      <c r="F7">
        <f t="shared" si="3"/>
        <v>1</v>
      </c>
      <c r="G7">
        <v>179314</v>
      </c>
      <c r="H7">
        <f t="shared" si="0"/>
        <v>60.416785997068679</v>
      </c>
      <c r="I7" t="s">
        <v>32</v>
      </c>
      <c r="J7" t="s">
        <v>20</v>
      </c>
      <c r="K7">
        <v>117481</v>
      </c>
      <c r="L7">
        <f t="shared" si="1"/>
        <v>39.583214002931314</v>
      </c>
      <c r="M7">
        <v>61833</v>
      </c>
      <c r="N7">
        <f t="shared" si="4"/>
        <v>20.833571994137369</v>
      </c>
      <c r="O7" t="str">
        <f t="shared" si="2"/>
        <v>Safe Seat</v>
      </c>
      <c r="P7">
        <v>0</v>
      </c>
      <c r="Q7">
        <v>2026</v>
      </c>
    </row>
    <row r="8" spans="1:17">
      <c r="A8">
        <v>7</v>
      </c>
      <c r="C8" t="s">
        <v>33</v>
      </c>
      <c r="D8" t="s">
        <v>34</v>
      </c>
      <c r="E8" t="s">
        <v>14</v>
      </c>
      <c r="F8">
        <f t="shared" si="3"/>
        <v>1</v>
      </c>
      <c r="G8">
        <v>144317</v>
      </c>
      <c r="H8">
        <f t="shared" si="0"/>
        <v>58.630173716625769</v>
      </c>
      <c r="I8" t="s">
        <v>35</v>
      </c>
      <c r="J8" t="s">
        <v>20</v>
      </c>
      <c r="K8">
        <v>101831</v>
      </c>
      <c r="L8">
        <f t="shared" si="1"/>
        <v>41.369826283374231</v>
      </c>
      <c r="M8">
        <v>42486</v>
      </c>
      <c r="N8">
        <f t="shared" si="4"/>
        <v>17.260347433251543</v>
      </c>
      <c r="O8" t="str">
        <f t="shared" si="2"/>
        <v>Safe Seat</v>
      </c>
      <c r="P8">
        <v>0</v>
      </c>
      <c r="Q8">
        <v>2026</v>
      </c>
    </row>
    <row r="9" spans="1:17">
      <c r="A9">
        <v>8</v>
      </c>
      <c r="C9" t="s">
        <v>36</v>
      </c>
      <c r="D9" t="s">
        <v>37</v>
      </c>
      <c r="E9" t="s">
        <v>14</v>
      </c>
      <c r="F9">
        <f t="shared" si="3"/>
        <v>1</v>
      </c>
      <c r="G9">
        <v>139207</v>
      </c>
      <c r="H9">
        <f t="shared" si="0"/>
        <v>50.837943942298914</v>
      </c>
      <c r="I9" t="s">
        <v>38</v>
      </c>
      <c r="J9" t="s">
        <v>20</v>
      </c>
      <c r="K9">
        <v>134618</v>
      </c>
      <c r="L9">
        <f t="shared" si="1"/>
        <v>49.162056057701086</v>
      </c>
      <c r="M9">
        <v>4589</v>
      </c>
      <c r="N9">
        <f t="shared" si="4"/>
        <v>1.6758878845978271</v>
      </c>
      <c r="O9" t="str">
        <f t="shared" si="2"/>
        <v>Highly Competitive</v>
      </c>
      <c r="P9">
        <v>0</v>
      </c>
      <c r="Q9">
        <v>2026</v>
      </c>
    </row>
    <row r="10" spans="1:17">
      <c r="A10">
        <v>9</v>
      </c>
      <c r="C10" t="s">
        <v>39</v>
      </c>
      <c r="D10" t="s">
        <v>40</v>
      </c>
      <c r="E10" t="s">
        <v>14</v>
      </c>
      <c r="F10">
        <f t="shared" si="3"/>
        <v>1</v>
      </c>
      <c r="G10">
        <v>165577</v>
      </c>
      <c r="H10">
        <f t="shared" si="0"/>
        <v>56.464092919524077</v>
      </c>
      <c r="I10" t="s">
        <v>41</v>
      </c>
      <c r="J10" t="s">
        <v>20</v>
      </c>
      <c r="K10">
        <v>127666</v>
      </c>
      <c r="L10">
        <f t="shared" si="1"/>
        <v>43.535907080475923</v>
      </c>
      <c r="M10">
        <v>37911</v>
      </c>
      <c r="N10">
        <f t="shared" si="4"/>
        <v>12.928185839048162</v>
      </c>
      <c r="O10" t="str">
        <f t="shared" si="2"/>
        <v>Safe Seat</v>
      </c>
      <c r="P10">
        <v>0</v>
      </c>
      <c r="Q10">
        <v>2026</v>
      </c>
    </row>
    <row r="11" spans="1:17">
      <c r="A11">
        <v>10</v>
      </c>
      <c r="C11" t="s">
        <v>42</v>
      </c>
      <c r="D11" t="s">
        <v>43</v>
      </c>
      <c r="E11" t="s">
        <v>44</v>
      </c>
      <c r="F11">
        <f t="shared" si="3"/>
        <v>5</v>
      </c>
      <c r="G11">
        <v>113650</v>
      </c>
      <c r="H11">
        <f t="shared" si="0"/>
        <v>51.056164026630967</v>
      </c>
      <c r="I11" t="s">
        <v>45</v>
      </c>
      <c r="J11" t="s">
        <v>16</v>
      </c>
      <c r="K11">
        <v>108948</v>
      </c>
      <c r="L11">
        <f t="shared" si="1"/>
        <v>48.943835973369033</v>
      </c>
      <c r="M11">
        <v>4702</v>
      </c>
      <c r="N11">
        <f t="shared" si="4"/>
        <v>2.1123280532619342</v>
      </c>
      <c r="O11" t="str">
        <f t="shared" si="2"/>
        <v>Highly Competitive</v>
      </c>
      <c r="P11">
        <v>0</v>
      </c>
      <c r="Q11">
        <v>2026</v>
      </c>
    </row>
    <row r="12" spans="1:17">
      <c r="A12">
        <v>11</v>
      </c>
      <c r="C12" t="s">
        <v>46</v>
      </c>
      <c r="D12" t="s">
        <v>47</v>
      </c>
      <c r="E12" t="s">
        <v>14</v>
      </c>
      <c r="F12">
        <f t="shared" si="3"/>
        <v>1</v>
      </c>
      <c r="G12">
        <v>203887</v>
      </c>
      <c r="H12">
        <f t="shared" si="0"/>
        <v>51.93170761526823</v>
      </c>
      <c r="I12" t="s">
        <v>48</v>
      </c>
      <c r="J12" t="s">
        <v>20</v>
      </c>
      <c r="K12">
        <v>188719</v>
      </c>
      <c r="L12">
        <f t="shared" si="1"/>
        <v>48.068292384731762</v>
      </c>
      <c r="M12">
        <v>15168</v>
      </c>
      <c r="N12">
        <f t="shared" si="4"/>
        <v>3.8634152305364671</v>
      </c>
      <c r="O12" t="str">
        <f t="shared" si="2"/>
        <v>Highly Competitive</v>
      </c>
      <c r="P12">
        <v>0</v>
      </c>
      <c r="Q12">
        <v>2026</v>
      </c>
    </row>
    <row r="13" spans="1:17">
      <c r="A13">
        <v>12</v>
      </c>
      <c r="C13" t="s">
        <v>49</v>
      </c>
      <c r="D13" t="s">
        <v>50</v>
      </c>
      <c r="E13" t="s">
        <v>20</v>
      </c>
      <c r="F13">
        <f t="shared" si="3"/>
        <v>2</v>
      </c>
      <c r="G13">
        <v>149224</v>
      </c>
      <c r="H13">
        <f t="shared" si="0"/>
        <v>55.808874128594077</v>
      </c>
      <c r="I13" t="s">
        <v>31</v>
      </c>
      <c r="J13" t="s">
        <v>51</v>
      </c>
      <c r="K13">
        <v>118160</v>
      </c>
      <c r="L13">
        <f t="shared" si="1"/>
        <v>44.191125871405916</v>
      </c>
      <c r="M13">
        <v>31064</v>
      </c>
      <c r="N13">
        <f t="shared" si="4"/>
        <v>11.617748257188163</v>
      </c>
      <c r="O13" t="str">
        <f t="shared" si="2"/>
        <v>Safe Seat</v>
      </c>
      <c r="P13">
        <v>0</v>
      </c>
      <c r="Q13">
        <v>2026</v>
      </c>
    </row>
    <row r="14" spans="1:17">
      <c r="A14">
        <v>13</v>
      </c>
      <c r="C14" t="s">
        <v>52</v>
      </c>
      <c r="D14" t="s">
        <v>53</v>
      </c>
      <c r="E14" t="s">
        <v>20</v>
      </c>
      <c r="F14">
        <f t="shared" si="3"/>
        <v>2</v>
      </c>
      <c r="G14">
        <v>145202</v>
      </c>
      <c r="H14">
        <f t="shared" si="0"/>
        <v>51.898449144152039</v>
      </c>
      <c r="I14" t="s">
        <v>54</v>
      </c>
      <c r="J14" t="s">
        <v>14</v>
      </c>
      <c r="K14">
        <v>134579</v>
      </c>
      <c r="L14">
        <f t="shared" si="1"/>
        <v>48.101550855847968</v>
      </c>
      <c r="M14">
        <v>10623</v>
      </c>
      <c r="N14">
        <f t="shared" si="4"/>
        <v>3.7968982883040665</v>
      </c>
      <c r="O14" t="str">
        <f t="shared" si="2"/>
        <v>Highly Competitive</v>
      </c>
      <c r="P14">
        <v>0</v>
      </c>
      <c r="Q14">
        <v>2026</v>
      </c>
    </row>
    <row r="15" spans="1:17">
      <c r="A15">
        <v>14</v>
      </c>
      <c r="C15" t="s">
        <v>55</v>
      </c>
      <c r="D15" t="s">
        <v>56</v>
      </c>
      <c r="E15" t="s">
        <v>20</v>
      </c>
      <c r="F15">
        <f t="shared" si="3"/>
        <v>2</v>
      </c>
      <c r="G15">
        <v>108560</v>
      </c>
      <c r="H15">
        <f t="shared" si="0"/>
        <v>54.922038631603442</v>
      </c>
      <c r="I15" t="s">
        <v>57</v>
      </c>
      <c r="J15" t="s">
        <v>14</v>
      </c>
      <c r="K15">
        <v>89102</v>
      </c>
      <c r="L15">
        <f t="shared" si="1"/>
        <v>45.077961368396558</v>
      </c>
      <c r="M15">
        <v>19458</v>
      </c>
      <c r="N15">
        <f t="shared" si="4"/>
        <v>9.8440772632068878</v>
      </c>
      <c r="O15" t="str">
        <f t="shared" si="2"/>
        <v>Safe Seat</v>
      </c>
      <c r="P15">
        <v>0</v>
      </c>
      <c r="Q15">
        <v>2026</v>
      </c>
    </row>
    <row r="16" spans="1:17">
      <c r="A16">
        <v>15</v>
      </c>
      <c r="C16" t="s">
        <v>58</v>
      </c>
      <c r="D16" t="s">
        <v>59</v>
      </c>
      <c r="E16" t="s">
        <v>20</v>
      </c>
      <c r="F16">
        <f t="shared" si="3"/>
        <v>2</v>
      </c>
      <c r="G16">
        <v>124865</v>
      </c>
      <c r="H16">
        <f t="shared" si="0"/>
        <v>60.499246575674327</v>
      </c>
      <c r="I16" t="s">
        <v>60</v>
      </c>
      <c r="J16" t="s">
        <v>14</v>
      </c>
      <c r="K16">
        <v>81526</v>
      </c>
      <c r="L16">
        <f t="shared" si="1"/>
        <v>39.500753424325673</v>
      </c>
      <c r="M16">
        <v>43339</v>
      </c>
      <c r="N16">
        <f t="shared" si="4"/>
        <v>20.998493151348654</v>
      </c>
      <c r="O16" t="str">
        <f t="shared" si="2"/>
        <v>Safe Seat</v>
      </c>
      <c r="P16">
        <v>0</v>
      </c>
      <c r="Q16">
        <v>2026</v>
      </c>
    </row>
    <row r="17" spans="1:17">
      <c r="A17">
        <v>16</v>
      </c>
      <c r="C17" t="s">
        <v>61</v>
      </c>
      <c r="D17" t="s">
        <v>62</v>
      </c>
      <c r="E17" t="s">
        <v>14</v>
      </c>
      <c r="F17">
        <f t="shared" si="3"/>
        <v>1</v>
      </c>
      <c r="G17">
        <v>138686</v>
      </c>
      <c r="H17">
        <f t="shared" si="0"/>
        <v>51.698737782284219</v>
      </c>
      <c r="I17" t="s">
        <v>63</v>
      </c>
      <c r="J17" t="s">
        <v>20</v>
      </c>
      <c r="K17">
        <v>129572</v>
      </c>
      <c r="L17">
        <f t="shared" si="1"/>
        <v>48.301262217715781</v>
      </c>
      <c r="M17">
        <v>9114</v>
      </c>
      <c r="N17">
        <f t="shared" si="4"/>
        <v>3.3974755645684378</v>
      </c>
      <c r="O17" t="str">
        <f t="shared" si="2"/>
        <v>Highly Competitive</v>
      </c>
      <c r="P17">
        <v>0</v>
      </c>
      <c r="Q17">
        <v>2026</v>
      </c>
    </row>
    <row r="18" spans="1:17">
      <c r="A18">
        <v>17</v>
      </c>
      <c r="C18" t="s">
        <v>64</v>
      </c>
      <c r="D18" t="s">
        <v>65</v>
      </c>
      <c r="E18" t="s">
        <v>14</v>
      </c>
      <c r="F18">
        <f t="shared" si="3"/>
        <v>1</v>
      </c>
      <c r="G18">
        <v>123946</v>
      </c>
      <c r="H18">
        <f t="shared" si="0"/>
        <v>64.944197013361276</v>
      </c>
      <c r="I18" t="s">
        <v>66</v>
      </c>
      <c r="J18" t="s">
        <v>20</v>
      </c>
      <c r="K18">
        <v>66904</v>
      </c>
      <c r="L18">
        <f t="shared" si="1"/>
        <v>35.055802986638724</v>
      </c>
      <c r="M18">
        <v>57042</v>
      </c>
      <c r="N18">
        <f t="shared" si="4"/>
        <v>29.888394026722558</v>
      </c>
      <c r="O18" t="str">
        <f t="shared" si="2"/>
        <v>Safe Seat</v>
      </c>
      <c r="P18">
        <v>0</v>
      </c>
      <c r="Q18">
        <v>2026</v>
      </c>
    </row>
    <row r="19" spans="1:17">
      <c r="A19">
        <v>18</v>
      </c>
      <c r="C19" t="s">
        <v>67</v>
      </c>
      <c r="D19" t="s">
        <v>68</v>
      </c>
      <c r="E19" t="s">
        <v>14</v>
      </c>
      <c r="F19">
        <f t="shared" si="3"/>
        <v>1</v>
      </c>
      <c r="G19">
        <v>139657</v>
      </c>
      <c r="H19">
        <f t="shared" si="0"/>
        <v>71.289579940888515</v>
      </c>
      <c r="I19" t="s">
        <v>69</v>
      </c>
      <c r="J19" t="s">
        <v>20</v>
      </c>
      <c r="K19">
        <v>56244</v>
      </c>
      <c r="L19">
        <f t="shared" si="1"/>
        <v>28.710420059111492</v>
      </c>
      <c r="M19">
        <v>83413</v>
      </c>
      <c r="N19">
        <f t="shared" si="4"/>
        <v>42.579159881777016</v>
      </c>
      <c r="O19" t="str">
        <f t="shared" si="2"/>
        <v>Safe Seat</v>
      </c>
      <c r="P19">
        <v>0</v>
      </c>
      <c r="Q19">
        <v>2026</v>
      </c>
    </row>
    <row r="20" spans="1:17">
      <c r="A20">
        <v>19</v>
      </c>
      <c r="C20" t="s">
        <v>70</v>
      </c>
      <c r="D20" t="s">
        <v>71</v>
      </c>
      <c r="E20" t="s">
        <v>20</v>
      </c>
      <c r="F20">
        <f t="shared" si="3"/>
        <v>2</v>
      </c>
      <c r="G20">
        <v>145088</v>
      </c>
      <c r="H20">
        <f t="shared" si="0"/>
        <v>67.641669968996936</v>
      </c>
      <c r="I20" t="s">
        <v>72</v>
      </c>
      <c r="J20" t="s">
        <v>14</v>
      </c>
      <c r="K20">
        <v>69407</v>
      </c>
      <c r="L20">
        <f t="shared" si="1"/>
        <v>32.358330031003049</v>
      </c>
      <c r="M20">
        <v>75681</v>
      </c>
      <c r="N20">
        <f t="shared" si="4"/>
        <v>35.283339937993894</v>
      </c>
      <c r="O20" t="str">
        <f t="shared" si="2"/>
        <v>Safe Seat</v>
      </c>
      <c r="P20">
        <v>0</v>
      </c>
      <c r="Q20">
        <v>2026</v>
      </c>
    </row>
    <row r="21" spans="1:17">
      <c r="A21">
        <v>20</v>
      </c>
      <c r="C21" t="s">
        <v>73</v>
      </c>
      <c r="D21" t="s">
        <v>74</v>
      </c>
      <c r="E21" t="s">
        <v>20</v>
      </c>
      <c r="F21">
        <f t="shared" si="3"/>
        <v>2</v>
      </c>
      <c r="G21">
        <v>43076</v>
      </c>
      <c r="H21">
        <f t="shared" si="0"/>
        <v>66.091812937277524</v>
      </c>
      <c r="I21" t="s">
        <v>75</v>
      </c>
      <c r="J21" t="s">
        <v>14</v>
      </c>
      <c r="K21">
        <v>22100</v>
      </c>
      <c r="L21">
        <f t="shared" si="1"/>
        <v>33.908187062722476</v>
      </c>
      <c r="M21">
        <v>20976</v>
      </c>
      <c r="N21">
        <f t="shared" si="4"/>
        <v>32.183625874555048</v>
      </c>
      <c r="O21" t="str">
        <f t="shared" si="2"/>
        <v>Safe Seat</v>
      </c>
      <c r="P21">
        <v>0</v>
      </c>
      <c r="Q21">
        <v>2026</v>
      </c>
    </row>
    <row r="22" spans="1:17">
      <c r="A22">
        <v>21</v>
      </c>
      <c r="C22" t="s">
        <v>76</v>
      </c>
      <c r="D22" t="s">
        <v>77</v>
      </c>
      <c r="E22" t="s">
        <v>20</v>
      </c>
      <c r="F22">
        <f t="shared" si="3"/>
        <v>2</v>
      </c>
      <c r="G22">
        <v>175827</v>
      </c>
      <c r="H22">
        <f t="shared" si="0"/>
        <v>67.520592922562926</v>
      </c>
      <c r="I22" t="s">
        <v>78</v>
      </c>
      <c r="J22" t="s">
        <v>14</v>
      </c>
      <c r="K22">
        <v>84578</v>
      </c>
      <c r="L22">
        <f t="shared" si="1"/>
        <v>32.479407077437067</v>
      </c>
      <c r="M22">
        <v>91249</v>
      </c>
      <c r="N22">
        <f t="shared" si="4"/>
        <v>35.04118584512586</v>
      </c>
      <c r="O22" t="str">
        <f t="shared" si="2"/>
        <v>Safe Seat</v>
      </c>
      <c r="P22">
        <v>1</v>
      </c>
      <c r="Q22">
        <v>2026</v>
      </c>
    </row>
    <row r="23" spans="1:17">
      <c r="A23">
        <v>22</v>
      </c>
      <c r="C23" t="s">
        <v>79</v>
      </c>
      <c r="D23" t="s">
        <v>80</v>
      </c>
      <c r="E23" t="s">
        <v>16</v>
      </c>
      <c r="F23">
        <f t="shared" si="3"/>
        <v>0</v>
      </c>
      <c r="G23">
        <v>147947</v>
      </c>
      <c r="H23">
        <f t="shared" si="0"/>
        <v>51.448552143356409</v>
      </c>
      <c r="I23" t="s">
        <v>81</v>
      </c>
      <c r="J23" t="s">
        <v>14</v>
      </c>
      <c r="K23">
        <v>139616</v>
      </c>
      <c r="L23">
        <f t="shared" si="1"/>
        <v>48.551447856643584</v>
      </c>
      <c r="M23">
        <v>8331</v>
      </c>
      <c r="N23">
        <f t="shared" si="4"/>
        <v>2.8971042867128247</v>
      </c>
      <c r="O23" t="str">
        <f t="shared" si="2"/>
        <v>Highly Competitive</v>
      </c>
      <c r="P23">
        <v>0</v>
      </c>
      <c r="Q23">
        <v>2026</v>
      </c>
    </row>
    <row r="24" spans="1:17">
      <c r="A24">
        <v>23</v>
      </c>
      <c r="C24" t="s">
        <v>82</v>
      </c>
      <c r="D24" t="s">
        <v>83</v>
      </c>
      <c r="E24" t="s">
        <v>20</v>
      </c>
      <c r="F24">
        <f t="shared" si="3"/>
        <v>2</v>
      </c>
      <c r="G24">
        <v>175208</v>
      </c>
      <c r="H24">
        <f t="shared" si="0"/>
        <v>60.552481605258698</v>
      </c>
      <c r="I24" t="s">
        <v>83</v>
      </c>
      <c r="J24" t="s">
        <v>14</v>
      </c>
      <c r="K24">
        <v>114141</v>
      </c>
      <c r="L24">
        <f t="shared" si="1"/>
        <v>39.447518394741302</v>
      </c>
      <c r="M24">
        <v>61067</v>
      </c>
      <c r="N24">
        <f t="shared" si="4"/>
        <v>21.104963210517404</v>
      </c>
      <c r="O24" t="str">
        <f t="shared" si="2"/>
        <v>Safe Seat</v>
      </c>
      <c r="P24">
        <v>0</v>
      </c>
      <c r="Q24">
        <v>2026</v>
      </c>
    </row>
    <row r="25" spans="1:17">
      <c r="A25">
        <v>24</v>
      </c>
      <c r="C25" t="s">
        <v>84</v>
      </c>
      <c r="D25" t="s">
        <v>85</v>
      </c>
      <c r="E25" t="s">
        <v>20</v>
      </c>
      <c r="F25">
        <f t="shared" si="3"/>
        <v>2</v>
      </c>
      <c r="G25">
        <v>118890</v>
      </c>
      <c r="H25">
        <f t="shared" si="0"/>
        <v>50.417922980038931</v>
      </c>
      <c r="I25" t="s">
        <v>86</v>
      </c>
      <c r="J25" t="s">
        <v>14</v>
      </c>
      <c r="K25">
        <v>116919</v>
      </c>
      <c r="L25">
        <f t="shared" si="1"/>
        <v>49.582077019961069</v>
      </c>
      <c r="M25">
        <v>1971</v>
      </c>
      <c r="N25">
        <f t="shared" si="4"/>
        <v>0.83584596007785961</v>
      </c>
      <c r="O25" t="str">
        <f t="shared" si="2"/>
        <v>Highly Competitive</v>
      </c>
      <c r="P25">
        <v>0</v>
      </c>
      <c r="Q25">
        <v>2026</v>
      </c>
    </row>
    <row r="26" spans="1:17">
      <c r="A26">
        <v>25</v>
      </c>
      <c r="C26" t="s">
        <v>87</v>
      </c>
      <c r="D26" t="s">
        <v>48</v>
      </c>
      <c r="E26" t="s">
        <v>20</v>
      </c>
      <c r="F26">
        <f t="shared" si="3"/>
        <v>2</v>
      </c>
      <c r="G26">
        <v>141090</v>
      </c>
      <c r="H26">
        <f t="shared" si="0"/>
        <v>53.419911780853035</v>
      </c>
      <c r="I26" t="s">
        <v>88</v>
      </c>
      <c r="J26" t="s">
        <v>14</v>
      </c>
      <c r="K26">
        <v>123025</v>
      </c>
      <c r="L26">
        <f t="shared" si="1"/>
        <v>46.580088219146965</v>
      </c>
      <c r="M26">
        <v>18065</v>
      </c>
      <c r="N26">
        <f t="shared" si="4"/>
        <v>6.8398235617060754</v>
      </c>
      <c r="O26" t="str">
        <f t="shared" si="2"/>
        <v>Safe Seat</v>
      </c>
      <c r="P26">
        <v>0</v>
      </c>
      <c r="Q26">
        <v>2026</v>
      </c>
    </row>
    <row r="27" spans="1:17">
      <c r="A27">
        <v>26</v>
      </c>
      <c r="C27" t="s">
        <v>89</v>
      </c>
      <c r="D27" t="s">
        <v>90</v>
      </c>
      <c r="E27" t="s">
        <v>16</v>
      </c>
      <c r="F27">
        <f t="shared" si="3"/>
        <v>0</v>
      </c>
      <c r="G27">
        <v>178869</v>
      </c>
      <c r="H27">
        <f t="shared" si="0"/>
        <v>51.221921856565224</v>
      </c>
      <c r="I27" t="s">
        <v>91</v>
      </c>
      <c r="J27" t="s">
        <v>14</v>
      </c>
      <c r="K27">
        <v>170335</v>
      </c>
      <c r="L27">
        <f t="shared" si="1"/>
        <v>48.778078143434783</v>
      </c>
      <c r="M27">
        <v>8534</v>
      </c>
      <c r="N27">
        <f t="shared" si="4"/>
        <v>2.443843713130434</v>
      </c>
      <c r="O27" t="str">
        <f t="shared" si="2"/>
        <v>Highly Competitive</v>
      </c>
      <c r="P27">
        <v>0</v>
      </c>
      <c r="Q27">
        <v>2026</v>
      </c>
    </row>
    <row r="28" spans="1:17">
      <c r="A28">
        <v>27</v>
      </c>
      <c r="C28" t="s">
        <v>92</v>
      </c>
      <c r="D28" t="s">
        <v>93</v>
      </c>
      <c r="E28" t="s">
        <v>20</v>
      </c>
      <c r="F28">
        <f t="shared" si="3"/>
        <v>2</v>
      </c>
      <c r="G28">
        <v>107930</v>
      </c>
      <c r="H28">
        <f t="shared" si="0"/>
        <v>57.629670763874799</v>
      </c>
      <c r="I28" t="s">
        <v>94</v>
      </c>
      <c r="J28" t="s">
        <v>14</v>
      </c>
      <c r="K28">
        <v>79352</v>
      </c>
      <c r="L28">
        <f t="shared" si="1"/>
        <v>42.370329236125201</v>
      </c>
      <c r="M28">
        <v>28578</v>
      </c>
      <c r="N28">
        <f t="shared" si="4"/>
        <v>15.259341527749598</v>
      </c>
      <c r="O28" t="str">
        <f t="shared" si="2"/>
        <v>Safe Seat</v>
      </c>
      <c r="P28">
        <v>0</v>
      </c>
      <c r="Q28">
        <v>2026</v>
      </c>
    </row>
    <row r="29" spans="1:17">
      <c r="A29">
        <v>28</v>
      </c>
      <c r="C29" t="s">
        <v>95</v>
      </c>
      <c r="D29" t="s">
        <v>96</v>
      </c>
      <c r="E29" t="s">
        <v>20</v>
      </c>
      <c r="F29">
        <f t="shared" si="3"/>
        <v>2</v>
      </c>
      <c r="G29">
        <v>108210</v>
      </c>
      <c r="H29">
        <f t="shared" si="0"/>
        <v>56.174175764277145</v>
      </c>
      <c r="I29" t="s">
        <v>97</v>
      </c>
      <c r="J29" t="s">
        <v>14</v>
      </c>
      <c r="K29">
        <v>84423</v>
      </c>
      <c r="L29">
        <f t="shared" si="1"/>
        <v>43.825824235722848</v>
      </c>
      <c r="M29">
        <v>23787</v>
      </c>
      <c r="N29">
        <f t="shared" si="4"/>
        <v>12.348351528554298</v>
      </c>
      <c r="O29" t="str">
        <f t="shared" si="2"/>
        <v>Safe Seat</v>
      </c>
      <c r="P29">
        <v>0</v>
      </c>
      <c r="Q29">
        <v>2026</v>
      </c>
    </row>
    <row r="30" spans="1:17">
      <c r="A30">
        <v>29</v>
      </c>
      <c r="C30" t="s">
        <v>98</v>
      </c>
      <c r="D30" t="s">
        <v>99</v>
      </c>
      <c r="E30" t="s">
        <v>20</v>
      </c>
      <c r="F30">
        <f t="shared" si="3"/>
        <v>2</v>
      </c>
      <c r="G30">
        <v>140726</v>
      </c>
      <c r="H30">
        <f t="shared" si="0"/>
        <v>78.739725720808167</v>
      </c>
      <c r="I30" t="s">
        <v>100</v>
      </c>
      <c r="J30" t="s">
        <v>14</v>
      </c>
      <c r="K30">
        <v>37997</v>
      </c>
      <c r="L30">
        <f t="shared" si="1"/>
        <v>21.260274279191822</v>
      </c>
      <c r="M30">
        <v>102729</v>
      </c>
      <c r="N30">
        <f t="shared" si="4"/>
        <v>57.479451441616355</v>
      </c>
      <c r="O30" t="str">
        <f t="shared" si="2"/>
        <v>Safe Seat</v>
      </c>
      <c r="P30">
        <v>0</v>
      </c>
      <c r="Q30">
        <v>2026</v>
      </c>
    </row>
    <row r="31" spans="1:17">
      <c r="A31">
        <v>30</v>
      </c>
      <c r="C31" t="s">
        <v>101</v>
      </c>
      <c r="D31" t="s">
        <v>102</v>
      </c>
      <c r="E31" t="s">
        <v>20</v>
      </c>
      <c r="F31">
        <f t="shared" si="3"/>
        <v>2</v>
      </c>
      <c r="G31">
        <v>122630</v>
      </c>
      <c r="H31">
        <f t="shared" si="0"/>
        <v>56.899591685226426</v>
      </c>
      <c r="I31" t="s">
        <v>103</v>
      </c>
      <c r="J31" t="s">
        <v>14</v>
      </c>
      <c r="K31">
        <v>92890</v>
      </c>
      <c r="L31">
        <f t="shared" si="1"/>
        <v>43.100408314773567</v>
      </c>
      <c r="M31">
        <v>29740</v>
      </c>
      <c r="N31">
        <f t="shared" si="4"/>
        <v>13.799183370452859</v>
      </c>
      <c r="O31" t="str">
        <f t="shared" si="2"/>
        <v>Safe Seat</v>
      </c>
      <c r="P31">
        <v>0</v>
      </c>
      <c r="Q31">
        <v>2026</v>
      </c>
    </row>
    <row r="32" spans="1:17">
      <c r="A32">
        <v>31</v>
      </c>
      <c r="C32" t="s">
        <v>104</v>
      </c>
      <c r="D32" t="s">
        <v>105</v>
      </c>
      <c r="E32" t="s">
        <v>20</v>
      </c>
      <c r="F32">
        <f t="shared" si="3"/>
        <v>2</v>
      </c>
      <c r="G32">
        <v>162457</v>
      </c>
      <c r="H32">
        <f t="shared" si="0"/>
        <v>53.736591239113395</v>
      </c>
      <c r="I32" t="s">
        <v>106</v>
      </c>
      <c r="J32" t="s">
        <v>14</v>
      </c>
      <c r="K32">
        <v>139864</v>
      </c>
      <c r="L32">
        <f t="shared" si="1"/>
        <v>46.263408760886612</v>
      </c>
      <c r="M32">
        <v>22593</v>
      </c>
      <c r="N32">
        <f t="shared" si="4"/>
        <v>7.4731824782267848</v>
      </c>
      <c r="O32" t="str">
        <f t="shared" si="2"/>
        <v>Safe Seat</v>
      </c>
      <c r="P32">
        <v>0</v>
      </c>
      <c r="Q32">
        <v>2026</v>
      </c>
    </row>
    <row r="33" spans="1:17">
      <c r="A33">
        <v>32</v>
      </c>
      <c r="C33" t="s">
        <v>107</v>
      </c>
      <c r="D33" t="s">
        <v>108</v>
      </c>
      <c r="E33" t="s">
        <v>14</v>
      </c>
      <c r="F33">
        <f t="shared" si="3"/>
        <v>1</v>
      </c>
      <c r="G33">
        <v>142772</v>
      </c>
      <c r="H33">
        <f t="shared" si="0"/>
        <v>50.536972142579032</v>
      </c>
      <c r="I33" t="s">
        <v>109</v>
      </c>
      <c r="J33" t="s">
        <v>20</v>
      </c>
      <c r="K33">
        <v>139738</v>
      </c>
      <c r="L33">
        <f t="shared" si="1"/>
        <v>49.463027857420975</v>
      </c>
      <c r="M33">
        <v>3034</v>
      </c>
      <c r="N33">
        <f t="shared" si="4"/>
        <v>1.0739442851580474</v>
      </c>
      <c r="O33" t="str">
        <f t="shared" si="2"/>
        <v>Highly Competitive</v>
      </c>
      <c r="P33">
        <v>0</v>
      </c>
      <c r="Q33">
        <v>2026</v>
      </c>
    </row>
    <row r="34" spans="1:17">
      <c r="A34">
        <v>33</v>
      </c>
      <c r="C34" t="s">
        <v>110</v>
      </c>
      <c r="D34" t="s">
        <v>111</v>
      </c>
      <c r="E34" t="s">
        <v>20</v>
      </c>
      <c r="F34">
        <f t="shared" si="3"/>
        <v>2</v>
      </c>
      <c r="G34">
        <v>89274</v>
      </c>
      <c r="H34">
        <f t="shared" si="0"/>
        <v>54.851097034228943</v>
      </c>
      <c r="I34" t="s">
        <v>112</v>
      </c>
      <c r="J34" t="s">
        <v>14</v>
      </c>
      <c r="K34">
        <v>73483</v>
      </c>
      <c r="L34">
        <f t="shared" si="1"/>
        <v>45.148902965771057</v>
      </c>
      <c r="M34">
        <v>15791</v>
      </c>
      <c r="N34">
        <f t="shared" si="4"/>
        <v>9.7021940684578851</v>
      </c>
      <c r="O34" t="str">
        <f t="shared" si="2"/>
        <v>Safe Seat</v>
      </c>
      <c r="P34">
        <v>0</v>
      </c>
      <c r="Q34">
        <v>2026</v>
      </c>
    </row>
    <row r="35" spans="1:17">
      <c r="A35">
        <v>34</v>
      </c>
      <c r="B35" t="s">
        <v>113</v>
      </c>
      <c r="C35" t="s">
        <v>114</v>
      </c>
      <c r="D35" t="s">
        <v>115</v>
      </c>
      <c r="E35" t="s">
        <v>20</v>
      </c>
      <c r="F35">
        <f t="shared" si="3"/>
        <v>2</v>
      </c>
      <c r="G35">
        <v>165192</v>
      </c>
      <c r="H35">
        <f t="shared" si="0"/>
        <v>51.54180486176331</v>
      </c>
      <c r="I35" t="s">
        <v>116</v>
      </c>
      <c r="J35" t="s">
        <v>14</v>
      </c>
      <c r="K35">
        <v>155309</v>
      </c>
      <c r="L35">
        <f t="shared" si="1"/>
        <v>48.458195138236697</v>
      </c>
      <c r="M35">
        <v>9883</v>
      </c>
      <c r="N35">
        <f t="shared" si="4"/>
        <v>3.0836097235266036</v>
      </c>
      <c r="O35" t="str">
        <f t="shared" si="2"/>
        <v>Highly Competitive</v>
      </c>
      <c r="P35">
        <v>0</v>
      </c>
      <c r="Q35">
        <v>2026</v>
      </c>
    </row>
    <row r="36" spans="1:17">
      <c r="A36">
        <v>35</v>
      </c>
      <c r="C36" t="s">
        <v>117</v>
      </c>
      <c r="D36" t="s">
        <v>118</v>
      </c>
      <c r="E36" t="s">
        <v>14</v>
      </c>
      <c r="F36">
        <f t="shared" si="3"/>
        <v>1</v>
      </c>
      <c r="G36">
        <v>158065</v>
      </c>
      <c r="H36">
        <f t="shared" si="0"/>
        <v>63.079151734761474</v>
      </c>
      <c r="I36" t="s">
        <v>119</v>
      </c>
      <c r="J36" t="s">
        <v>20</v>
      </c>
      <c r="K36">
        <v>92517</v>
      </c>
      <c r="L36">
        <f t="shared" si="1"/>
        <v>36.920848265238526</v>
      </c>
      <c r="M36">
        <v>65548</v>
      </c>
      <c r="N36">
        <f t="shared" si="4"/>
        <v>26.158303469522952</v>
      </c>
      <c r="O36" t="str">
        <f t="shared" si="2"/>
        <v>Safe Seat</v>
      </c>
      <c r="P36">
        <v>0</v>
      </c>
      <c r="Q36">
        <v>2026</v>
      </c>
    </row>
    <row r="37" spans="1:17">
      <c r="A37">
        <v>36</v>
      </c>
      <c r="C37" t="s">
        <v>986</v>
      </c>
      <c r="D37" t="s">
        <v>121</v>
      </c>
      <c r="E37" t="s">
        <v>14</v>
      </c>
      <c r="F37">
        <f t="shared" si="3"/>
        <v>1</v>
      </c>
      <c r="G37">
        <v>171440</v>
      </c>
      <c r="H37">
        <f t="shared" si="0"/>
        <v>74.734414709741543</v>
      </c>
      <c r="I37" t="s">
        <v>122</v>
      </c>
      <c r="J37" t="s">
        <v>20</v>
      </c>
      <c r="K37">
        <v>57959</v>
      </c>
      <c r="L37">
        <f t="shared" si="1"/>
        <v>25.265585290258457</v>
      </c>
      <c r="M37">
        <v>113481</v>
      </c>
      <c r="N37">
        <f t="shared" si="4"/>
        <v>49.468829419483086</v>
      </c>
      <c r="O37" t="str">
        <f t="shared" si="2"/>
        <v>Safe Seat</v>
      </c>
      <c r="P37">
        <v>0</v>
      </c>
      <c r="Q37">
        <v>2026</v>
      </c>
    </row>
    <row r="38" spans="1:17">
      <c r="A38">
        <v>37</v>
      </c>
      <c r="C38" t="s">
        <v>990</v>
      </c>
      <c r="D38" t="s">
        <v>124</v>
      </c>
      <c r="E38" t="s">
        <v>14</v>
      </c>
      <c r="F38">
        <f t="shared" si="3"/>
        <v>1</v>
      </c>
      <c r="G38">
        <v>145024</v>
      </c>
      <c r="H38">
        <f t="shared" si="0"/>
        <v>60.788357393155948</v>
      </c>
      <c r="I38" t="s">
        <v>125</v>
      </c>
      <c r="J38" t="s">
        <v>20</v>
      </c>
      <c r="K38">
        <v>93548</v>
      </c>
      <c r="L38">
        <f t="shared" si="1"/>
        <v>39.211642606844052</v>
      </c>
      <c r="M38">
        <v>51476</v>
      </c>
      <c r="N38">
        <f t="shared" si="4"/>
        <v>21.576714786311889</v>
      </c>
      <c r="O38" t="str">
        <f t="shared" si="2"/>
        <v>Safe Seat</v>
      </c>
      <c r="P38">
        <v>0</v>
      </c>
      <c r="Q38">
        <v>2026</v>
      </c>
    </row>
    <row r="39" spans="1:17">
      <c r="A39">
        <v>38</v>
      </c>
      <c r="C39" t="s">
        <v>992</v>
      </c>
      <c r="D39" t="s">
        <v>127</v>
      </c>
      <c r="E39" t="s">
        <v>14</v>
      </c>
      <c r="F39">
        <f t="shared" si="3"/>
        <v>1</v>
      </c>
      <c r="G39">
        <v>127406</v>
      </c>
      <c r="H39">
        <f t="shared" si="0"/>
        <v>53.434941618574683</v>
      </c>
      <c r="I39" t="s">
        <v>128</v>
      </c>
      <c r="J39" t="s">
        <v>20</v>
      </c>
      <c r="K39">
        <v>111026</v>
      </c>
      <c r="L39">
        <f t="shared" si="1"/>
        <v>46.56505838142531</v>
      </c>
      <c r="M39">
        <v>16380</v>
      </c>
      <c r="N39">
        <f t="shared" si="4"/>
        <v>6.8698832371493754</v>
      </c>
      <c r="O39" t="str">
        <f t="shared" si="2"/>
        <v>Safe Seat</v>
      </c>
      <c r="P39">
        <v>0</v>
      </c>
      <c r="Q39">
        <v>2026</v>
      </c>
    </row>
    <row r="40" spans="1:17">
      <c r="A40">
        <v>39</v>
      </c>
      <c r="C40" t="s">
        <v>994</v>
      </c>
      <c r="D40" t="s">
        <v>130</v>
      </c>
      <c r="E40" t="s">
        <v>14</v>
      </c>
      <c r="F40">
        <f t="shared" si="3"/>
        <v>1</v>
      </c>
      <c r="G40">
        <v>155339</v>
      </c>
      <c r="H40">
        <f t="shared" si="0"/>
        <v>58.76996182614058</v>
      </c>
      <c r="I40" t="s">
        <v>131</v>
      </c>
      <c r="J40" t="s">
        <v>20</v>
      </c>
      <c r="K40">
        <v>108978</v>
      </c>
      <c r="L40">
        <f t="shared" si="1"/>
        <v>41.23003817385942</v>
      </c>
      <c r="M40">
        <v>46361</v>
      </c>
      <c r="N40">
        <f t="shared" si="4"/>
        <v>17.539923652281161</v>
      </c>
      <c r="O40" t="str">
        <f t="shared" si="2"/>
        <v>Safe Seat</v>
      </c>
      <c r="P40">
        <v>0</v>
      </c>
      <c r="Q40">
        <v>2026</v>
      </c>
    </row>
    <row r="41" spans="1:17">
      <c r="A41">
        <v>40</v>
      </c>
      <c r="C41" t="s">
        <v>997</v>
      </c>
      <c r="D41" t="s">
        <v>133</v>
      </c>
      <c r="E41" t="s">
        <v>14</v>
      </c>
      <c r="F41">
        <f t="shared" si="3"/>
        <v>1</v>
      </c>
      <c r="G41">
        <v>248841</v>
      </c>
      <c r="H41">
        <f t="shared" si="0"/>
        <v>63.452329346966877</v>
      </c>
      <c r="I41" t="s">
        <v>134</v>
      </c>
      <c r="J41" t="s">
        <v>20</v>
      </c>
      <c r="K41">
        <v>143329</v>
      </c>
      <c r="L41">
        <f t="shared" si="1"/>
        <v>36.547670653033123</v>
      </c>
      <c r="M41">
        <v>105512</v>
      </c>
      <c r="N41">
        <f t="shared" si="4"/>
        <v>26.904658693933754</v>
      </c>
      <c r="O41" t="str">
        <f t="shared" si="2"/>
        <v>Safe Seat</v>
      </c>
      <c r="P41">
        <v>0</v>
      </c>
      <c r="Q41">
        <v>2026</v>
      </c>
    </row>
    <row r="42" spans="1:17">
      <c r="A42">
        <v>41</v>
      </c>
      <c r="C42" t="s">
        <v>1000</v>
      </c>
      <c r="D42" t="s">
        <v>136</v>
      </c>
      <c r="E42" t="s">
        <v>14</v>
      </c>
      <c r="F42">
        <f t="shared" si="3"/>
        <v>1</v>
      </c>
      <c r="G42">
        <v>216284</v>
      </c>
      <c r="H42">
        <f t="shared" si="0"/>
        <v>68.90000318562646</v>
      </c>
      <c r="I42" t="s">
        <v>137</v>
      </c>
      <c r="J42" t="s">
        <v>20</v>
      </c>
      <c r="K42">
        <v>97626</v>
      </c>
      <c r="L42">
        <f t="shared" si="1"/>
        <v>31.099996814373547</v>
      </c>
      <c r="M42">
        <v>118658</v>
      </c>
      <c r="N42">
        <f t="shared" si="4"/>
        <v>37.800006371252906</v>
      </c>
      <c r="O42" t="str">
        <f t="shared" si="2"/>
        <v>Safe Seat</v>
      </c>
      <c r="P42">
        <v>0</v>
      </c>
      <c r="Q42">
        <v>2026</v>
      </c>
    </row>
    <row r="43" spans="1:17">
      <c r="A43">
        <v>42</v>
      </c>
      <c r="C43" t="s">
        <v>1002</v>
      </c>
      <c r="D43" t="s">
        <v>139</v>
      </c>
      <c r="E43" t="s">
        <v>14</v>
      </c>
      <c r="F43">
        <f t="shared" si="3"/>
        <v>1</v>
      </c>
      <c r="G43">
        <v>264212</v>
      </c>
      <c r="H43">
        <f t="shared" si="0"/>
        <v>69.369376465368077</v>
      </c>
      <c r="I43" t="s">
        <v>83</v>
      </c>
      <c r="J43" t="s">
        <v>20</v>
      </c>
      <c r="K43">
        <v>116665</v>
      </c>
      <c r="L43">
        <f t="shared" si="1"/>
        <v>30.630623534631919</v>
      </c>
      <c r="M43">
        <v>147547</v>
      </c>
      <c r="N43">
        <f t="shared" si="4"/>
        <v>38.738752930736169</v>
      </c>
      <c r="O43" t="str">
        <f t="shared" si="2"/>
        <v>Safe Seat</v>
      </c>
      <c r="P43">
        <v>0</v>
      </c>
      <c r="Q43">
        <v>2026</v>
      </c>
    </row>
    <row r="44" spans="1:17">
      <c r="A44">
        <v>43</v>
      </c>
      <c r="C44" t="s">
        <v>1004</v>
      </c>
      <c r="D44" t="s">
        <v>141</v>
      </c>
      <c r="E44" t="s">
        <v>20</v>
      </c>
      <c r="F44">
        <f t="shared" si="3"/>
        <v>2</v>
      </c>
      <c r="G44">
        <v>206893</v>
      </c>
      <c r="H44">
        <f t="shared" si="0"/>
        <v>56.00663764726265</v>
      </c>
      <c r="I44" t="s">
        <v>142</v>
      </c>
      <c r="J44" t="s">
        <v>14</v>
      </c>
      <c r="K44">
        <v>162515</v>
      </c>
      <c r="L44">
        <f t="shared" si="1"/>
        <v>43.99336235273735</v>
      </c>
      <c r="M44">
        <v>44378</v>
      </c>
      <c r="N44">
        <f t="shared" si="4"/>
        <v>12.013275294525293</v>
      </c>
      <c r="O44" t="str">
        <f t="shared" si="2"/>
        <v>Safe Seat</v>
      </c>
      <c r="P44">
        <v>0</v>
      </c>
      <c r="Q44">
        <v>2026</v>
      </c>
    </row>
    <row r="45" spans="1:17">
      <c r="A45">
        <v>44</v>
      </c>
      <c r="C45" t="s">
        <v>1006</v>
      </c>
      <c r="D45" t="s">
        <v>29</v>
      </c>
      <c r="E45" t="s">
        <v>20</v>
      </c>
      <c r="F45">
        <f t="shared" si="3"/>
        <v>2</v>
      </c>
      <c r="G45">
        <v>171227</v>
      </c>
      <c r="H45">
        <f t="shared" si="0"/>
        <v>52.46793280751104</v>
      </c>
      <c r="I45" t="s">
        <v>144</v>
      </c>
      <c r="J45" t="s">
        <v>14</v>
      </c>
      <c r="K45">
        <v>155119</v>
      </c>
      <c r="L45">
        <f t="shared" si="1"/>
        <v>47.532067192488952</v>
      </c>
      <c r="M45">
        <v>16108</v>
      </c>
      <c r="N45">
        <f t="shared" si="4"/>
        <v>4.9358656150220934</v>
      </c>
      <c r="O45" t="str">
        <f t="shared" si="2"/>
        <v>Highly Competitive</v>
      </c>
      <c r="P45">
        <v>0</v>
      </c>
      <c r="Q45">
        <v>2026</v>
      </c>
    </row>
    <row r="46" spans="1:17">
      <c r="A46">
        <v>45</v>
      </c>
      <c r="C46" t="s">
        <v>1010</v>
      </c>
      <c r="D46" t="s">
        <v>146</v>
      </c>
      <c r="E46" t="s">
        <v>20</v>
      </c>
      <c r="F46">
        <f t="shared" si="3"/>
        <v>2</v>
      </c>
      <c r="G46">
        <v>189640</v>
      </c>
      <c r="H46">
        <f t="shared" si="0"/>
        <v>59.884361668198196</v>
      </c>
      <c r="I46" t="s">
        <v>147</v>
      </c>
      <c r="J46" t="s">
        <v>14</v>
      </c>
      <c r="K46">
        <v>127037</v>
      </c>
      <c r="L46">
        <f t="shared" si="1"/>
        <v>40.115638331801804</v>
      </c>
      <c r="M46">
        <v>62603</v>
      </c>
      <c r="N46">
        <f t="shared" si="4"/>
        <v>19.768723336396391</v>
      </c>
      <c r="O46" t="str">
        <f t="shared" si="2"/>
        <v>Safe Seat</v>
      </c>
      <c r="P46">
        <v>0</v>
      </c>
      <c r="Q46">
        <v>2026</v>
      </c>
    </row>
    <row r="47" spans="1:17">
      <c r="A47">
        <v>46</v>
      </c>
      <c r="C47" t="s">
        <v>148</v>
      </c>
      <c r="D47" t="s">
        <v>96</v>
      </c>
      <c r="E47" t="s">
        <v>14</v>
      </c>
      <c r="F47">
        <f t="shared" si="3"/>
        <v>1</v>
      </c>
      <c r="G47">
        <v>173864</v>
      </c>
      <c r="H47">
        <f t="shared" si="0"/>
        <v>53.059082031250007</v>
      </c>
      <c r="I47" t="s">
        <v>93</v>
      </c>
      <c r="J47" t="s">
        <v>20</v>
      </c>
      <c r="K47">
        <v>153816</v>
      </c>
      <c r="L47">
        <f t="shared" si="1"/>
        <v>46.94091796875</v>
      </c>
      <c r="M47">
        <v>20048</v>
      </c>
      <c r="N47">
        <f t="shared" si="4"/>
        <v>6.1181640625</v>
      </c>
      <c r="O47" t="str">
        <f t="shared" si="2"/>
        <v>Safe Seat</v>
      </c>
      <c r="P47">
        <v>0</v>
      </c>
      <c r="Q47">
        <v>2026</v>
      </c>
    </row>
    <row r="48" spans="1:17">
      <c r="A48">
        <v>47</v>
      </c>
      <c r="C48" t="s">
        <v>149</v>
      </c>
      <c r="D48" t="s">
        <v>150</v>
      </c>
      <c r="E48" t="s">
        <v>20</v>
      </c>
      <c r="F48">
        <f t="shared" si="3"/>
        <v>2</v>
      </c>
      <c r="G48">
        <v>141526</v>
      </c>
      <c r="H48">
        <f t="shared" si="0"/>
        <v>51.26657707229252</v>
      </c>
      <c r="I48" t="s">
        <v>151</v>
      </c>
      <c r="J48" t="s">
        <v>14</v>
      </c>
      <c r="K48">
        <v>134533</v>
      </c>
      <c r="L48">
        <f t="shared" si="1"/>
        <v>48.73342292770748</v>
      </c>
      <c r="M48">
        <v>6993</v>
      </c>
      <c r="N48">
        <f t="shared" si="4"/>
        <v>2.5331541445850347</v>
      </c>
      <c r="O48" t="str">
        <f t="shared" si="2"/>
        <v>Highly Competitive</v>
      </c>
      <c r="P48">
        <v>0</v>
      </c>
      <c r="Q48">
        <v>2026</v>
      </c>
    </row>
    <row r="49" spans="1:17">
      <c r="A49">
        <v>48</v>
      </c>
      <c r="C49" t="s">
        <v>152</v>
      </c>
      <c r="D49" t="s">
        <v>153</v>
      </c>
      <c r="E49" t="s">
        <v>14</v>
      </c>
      <c r="F49">
        <f t="shared" si="3"/>
        <v>1</v>
      </c>
      <c r="G49">
        <v>166889</v>
      </c>
      <c r="H49">
        <f t="shared" si="0"/>
        <v>58.289616150326573</v>
      </c>
      <c r="I49" t="s">
        <v>154</v>
      </c>
      <c r="J49" t="s">
        <v>20</v>
      </c>
      <c r="K49">
        <v>119421</v>
      </c>
      <c r="L49">
        <f t="shared" si="1"/>
        <v>41.710383849673434</v>
      </c>
      <c r="M49">
        <v>47468</v>
      </c>
      <c r="N49">
        <f t="shared" si="4"/>
        <v>16.579232300653139</v>
      </c>
      <c r="O49" t="str">
        <f t="shared" si="2"/>
        <v>Safe Seat</v>
      </c>
      <c r="P49">
        <v>0</v>
      </c>
      <c r="Q49">
        <v>2026</v>
      </c>
    </row>
    <row r="50" spans="1:17">
      <c r="A50">
        <v>49</v>
      </c>
      <c r="C50" t="s">
        <v>155</v>
      </c>
      <c r="D50" t="s">
        <v>156</v>
      </c>
      <c r="E50" t="s">
        <v>14</v>
      </c>
      <c r="F50">
        <f t="shared" si="3"/>
        <v>1</v>
      </c>
      <c r="G50">
        <v>133924</v>
      </c>
      <c r="H50">
        <f t="shared" si="0"/>
        <v>57.848290995166494</v>
      </c>
      <c r="I50" t="s">
        <v>157</v>
      </c>
      <c r="J50" t="s">
        <v>20</v>
      </c>
      <c r="K50">
        <v>97585</v>
      </c>
      <c r="L50">
        <f t="shared" si="1"/>
        <v>42.151709004833506</v>
      </c>
      <c r="M50">
        <v>36339</v>
      </c>
      <c r="N50">
        <f t="shared" si="4"/>
        <v>15.696581990332989</v>
      </c>
      <c r="O50" t="str">
        <f t="shared" si="2"/>
        <v>Safe Seat</v>
      </c>
      <c r="P50">
        <v>0</v>
      </c>
      <c r="Q50">
        <v>2026</v>
      </c>
    </row>
    <row r="51" spans="1:17">
      <c r="A51">
        <v>50</v>
      </c>
      <c r="C51" t="s">
        <v>158</v>
      </c>
      <c r="D51" t="s">
        <v>159</v>
      </c>
      <c r="E51" t="s">
        <v>14</v>
      </c>
      <c r="F51">
        <f t="shared" si="3"/>
        <v>1</v>
      </c>
      <c r="G51">
        <v>129385</v>
      </c>
      <c r="H51">
        <f t="shared" si="0"/>
        <v>55.261561853996888</v>
      </c>
      <c r="I51" t="s">
        <v>160</v>
      </c>
      <c r="J51" t="s">
        <v>20</v>
      </c>
      <c r="K51">
        <v>104747</v>
      </c>
      <c r="L51">
        <f t="shared" si="1"/>
        <v>44.738438146003105</v>
      </c>
      <c r="M51">
        <v>24638</v>
      </c>
      <c r="N51">
        <f t="shared" si="4"/>
        <v>10.523123707993781</v>
      </c>
      <c r="O51" t="str">
        <f t="shared" si="2"/>
        <v>Safe Seat</v>
      </c>
      <c r="P51">
        <v>0</v>
      </c>
      <c r="Q51">
        <v>2026</v>
      </c>
    </row>
    <row r="52" spans="1:17">
      <c r="A52">
        <v>51</v>
      </c>
      <c r="C52" t="s">
        <v>161</v>
      </c>
      <c r="D52" t="s">
        <v>162</v>
      </c>
      <c r="E52" t="s">
        <v>14</v>
      </c>
      <c r="F52">
        <f t="shared" si="3"/>
        <v>1</v>
      </c>
      <c r="G52">
        <v>108866</v>
      </c>
      <c r="H52">
        <f t="shared" si="0"/>
        <v>52.720889125644689</v>
      </c>
      <c r="I52" t="s">
        <v>163</v>
      </c>
      <c r="J52" t="s">
        <v>20</v>
      </c>
      <c r="K52">
        <v>97629</v>
      </c>
      <c r="L52">
        <f t="shared" si="1"/>
        <v>47.279110874355311</v>
      </c>
      <c r="M52">
        <v>11237</v>
      </c>
      <c r="N52">
        <f t="shared" si="4"/>
        <v>5.4417782512893771</v>
      </c>
      <c r="O52" t="str">
        <f t="shared" si="2"/>
        <v>Safe Seat</v>
      </c>
      <c r="P52">
        <v>0</v>
      </c>
      <c r="Q52">
        <v>2026</v>
      </c>
    </row>
    <row r="53" spans="1:17">
      <c r="A53">
        <v>52</v>
      </c>
      <c r="C53" t="s">
        <v>164</v>
      </c>
      <c r="D53" t="s">
        <v>165</v>
      </c>
      <c r="E53" t="s">
        <v>20</v>
      </c>
      <c r="F53">
        <f t="shared" si="3"/>
        <v>2</v>
      </c>
      <c r="G53">
        <v>171786</v>
      </c>
      <c r="H53">
        <f t="shared" si="0"/>
        <v>50.275690103252089</v>
      </c>
      <c r="I53" t="s">
        <v>166</v>
      </c>
      <c r="J53" t="s">
        <v>14</v>
      </c>
      <c r="K53">
        <v>169902</v>
      </c>
      <c r="L53">
        <f t="shared" si="1"/>
        <v>49.724309896747911</v>
      </c>
      <c r="M53">
        <v>1884</v>
      </c>
      <c r="N53">
        <f t="shared" si="4"/>
        <v>0.55138020650417918</v>
      </c>
      <c r="O53" t="str">
        <f t="shared" si="2"/>
        <v>Highly Competitive</v>
      </c>
      <c r="P53">
        <v>0</v>
      </c>
      <c r="Q53">
        <v>2026</v>
      </c>
    </row>
    <row r="54" spans="1:17">
      <c r="A54">
        <v>53</v>
      </c>
      <c r="C54" t="s">
        <v>167</v>
      </c>
      <c r="D54" t="s">
        <v>168</v>
      </c>
      <c r="E54" t="s">
        <v>14</v>
      </c>
      <c r="F54">
        <f t="shared" si="3"/>
        <v>1</v>
      </c>
      <c r="G54">
        <v>128546</v>
      </c>
      <c r="H54">
        <f t="shared" si="0"/>
        <v>56.154222509566829</v>
      </c>
      <c r="I54" t="s">
        <v>169</v>
      </c>
      <c r="J54" t="s">
        <v>20</v>
      </c>
      <c r="K54">
        <v>100370</v>
      </c>
      <c r="L54">
        <f t="shared" si="1"/>
        <v>43.845777490433171</v>
      </c>
      <c r="M54">
        <v>28176</v>
      </c>
      <c r="N54">
        <f t="shared" si="4"/>
        <v>12.308445019133655</v>
      </c>
      <c r="O54" t="str">
        <f t="shared" si="2"/>
        <v>Safe Seat</v>
      </c>
      <c r="P54">
        <v>1</v>
      </c>
      <c r="Q54">
        <v>2026</v>
      </c>
    </row>
    <row r="55" spans="1:17">
      <c r="A55">
        <v>54</v>
      </c>
      <c r="C55" t="s">
        <v>170</v>
      </c>
      <c r="D55" t="s">
        <v>171</v>
      </c>
      <c r="E55" t="s">
        <v>14</v>
      </c>
      <c r="F55">
        <f t="shared" si="3"/>
        <v>1</v>
      </c>
      <c r="G55">
        <v>176318</v>
      </c>
      <c r="H55">
        <f t="shared" si="0"/>
        <v>56.108450412894392</v>
      </c>
      <c r="I55" t="s">
        <v>172</v>
      </c>
      <c r="J55" t="s">
        <v>20</v>
      </c>
      <c r="K55">
        <v>137927</v>
      </c>
      <c r="L55">
        <f t="shared" si="1"/>
        <v>43.891549587105608</v>
      </c>
      <c r="M55">
        <v>38391</v>
      </c>
      <c r="N55">
        <f t="shared" si="4"/>
        <v>12.216900825788796</v>
      </c>
      <c r="O55" t="str">
        <f t="shared" si="2"/>
        <v>Safe Seat</v>
      </c>
      <c r="P55">
        <v>0</v>
      </c>
      <c r="Q55">
        <v>2026</v>
      </c>
    </row>
    <row r="56" spans="1:17">
      <c r="A56">
        <v>55</v>
      </c>
      <c r="C56" t="s">
        <v>173</v>
      </c>
      <c r="D56" t="s">
        <v>118</v>
      </c>
      <c r="E56" t="s">
        <v>20</v>
      </c>
      <c r="F56">
        <f t="shared" si="3"/>
        <v>2</v>
      </c>
      <c r="G56">
        <v>115226</v>
      </c>
      <c r="H56">
        <f t="shared" si="0"/>
        <v>51.282895761659553</v>
      </c>
      <c r="I56" t="s">
        <v>174</v>
      </c>
      <c r="J56" t="s">
        <v>14</v>
      </c>
      <c r="K56">
        <v>109461</v>
      </c>
      <c r="L56">
        <f t="shared" si="1"/>
        <v>48.717104238340447</v>
      </c>
      <c r="M56">
        <v>5765</v>
      </c>
      <c r="N56">
        <f t="shared" si="4"/>
        <v>2.5657915233191062</v>
      </c>
      <c r="O56" t="str">
        <f t="shared" si="2"/>
        <v>Highly Competitive</v>
      </c>
      <c r="P56">
        <v>0</v>
      </c>
      <c r="Q56">
        <v>2026</v>
      </c>
    </row>
    <row r="57" spans="1:17">
      <c r="A57">
        <v>56</v>
      </c>
      <c r="C57" t="s">
        <v>175</v>
      </c>
      <c r="D57" t="s">
        <v>176</v>
      </c>
      <c r="E57" t="s">
        <v>14</v>
      </c>
      <c r="F57">
        <f t="shared" si="3"/>
        <v>1</v>
      </c>
      <c r="G57">
        <v>153425</v>
      </c>
      <c r="H57">
        <f t="shared" si="0"/>
        <v>67.626834751179089</v>
      </c>
      <c r="I57" t="s">
        <v>177</v>
      </c>
      <c r="J57" t="s">
        <v>20</v>
      </c>
      <c r="K57">
        <v>73445</v>
      </c>
      <c r="L57">
        <f t="shared" si="1"/>
        <v>32.373165248820911</v>
      </c>
      <c r="M57">
        <v>79980</v>
      </c>
      <c r="N57">
        <f t="shared" si="4"/>
        <v>35.253669502358179</v>
      </c>
      <c r="O57" t="str">
        <f t="shared" si="2"/>
        <v>Safe Seat</v>
      </c>
      <c r="P57">
        <v>0</v>
      </c>
      <c r="Q57">
        <v>2026</v>
      </c>
    </row>
    <row r="58" spans="1:17">
      <c r="A58">
        <v>57</v>
      </c>
      <c r="C58" t="s">
        <v>178</v>
      </c>
      <c r="D58" t="s">
        <v>179</v>
      </c>
      <c r="E58" t="s">
        <v>14</v>
      </c>
      <c r="F58">
        <f t="shared" si="3"/>
        <v>1</v>
      </c>
      <c r="G58">
        <v>148672</v>
      </c>
      <c r="H58">
        <f t="shared" si="0"/>
        <v>61.527001245670156</v>
      </c>
      <c r="I58" t="s">
        <v>180</v>
      </c>
      <c r="J58" t="s">
        <v>20</v>
      </c>
      <c r="K58">
        <v>92965</v>
      </c>
      <c r="L58">
        <f t="shared" si="1"/>
        <v>38.472998754329844</v>
      </c>
      <c r="M58">
        <v>55707</v>
      </c>
      <c r="N58">
        <f t="shared" si="4"/>
        <v>23.054002491340317</v>
      </c>
      <c r="O58" t="str">
        <f t="shared" si="2"/>
        <v>Safe Seat</v>
      </c>
      <c r="P58">
        <v>0</v>
      </c>
      <c r="Q58">
        <v>2026</v>
      </c>
    </row>
    <row r="59" spans="1:17">
      <c r="A59">
        <v>58</v>
      </c>
      <c r="C59" t="s">
        <v>181</v>
      </c>
      <c r="D59" t="s">
        <v>182</v>
      </c>
      <c r="E59" t="s">
        <v>14</v>
      </c>
      <c r="F59">
        <f t="shared" si="3"/>
        <v>1</v>
      </c>
      <c r="G59">
        <v>102726</v>
      </c>
      <c r="H59">
        <f t="shared" si="0"/>
        <v>53.144950179519277</v>
      </c>
      <c r="I59" t="s">
        <v>172</v>
      </c>
      <c r="J59" t="s">
        <v>20</v>
      </c>
      <c r="K59">
        <v>90568</v>
      </c>
      <c r="L59">
        <f t="shared" si="1"/>
        <v>46.855049820480723</v>
      </c>
      <c r="M59">
        <v>12158</v>
      </c>
      <c r="N59">
        <f t="shared" si="4"/>
        <v>6.2899003590385627</v>
      </c>
      <c r="O59" t="str">
        <f t="shared" si="2"/>
        <v>Safe Seat</v>
      </c>
      <c r="P59">
        <v>0</v>
      </c>
      <c r="Q59">
        <v>2026</v>
      </c>
    </row>
    <row r="60" spans="1:17">
      <c r="A60">
        <v>59</v>
      </c>
      <c r="C60" t="s">
        <v>183</v>
      </c>
      <c r="D60" t="s">
        <v>184</v>
      </c>
      <c r="E60" t="s">
        <v>14</v>
      </c>
      <c r="F60">
        <f t="shared" si="3"/>
        <v>1</v>
      </c>
      <c r="G60">
        <v>162841</v>
      </c>
      <c r="H60">
        <f t="shared" si="0"/>
        <v>55.594779230267633</v>
      </c>
      <c r="I60" t="s">
        <v>185</v>
      </c>
      <c r="J60" t="s">
        <v>20</v>
      </c>
      <c r="K60">
        <v>130066</v>
      </c>
      <c r="L60">
        <f t="shared" si="1"/>
        <v>44.405220769732374</v>
      </c>
      <c r="M60">
        <v>32775</v>
      </c>
      <c r="N60">
        <f t="shared" si="4"/>
        <v>11.189558460535256</v>
      </c>
      <c r="O60" t="str">
        <f t="shared" si="2"/>
        <v>Safe Seat</v>
      </c>
      <c r="P60">
        <v>0</v>
      </c>
      <c r="Q60">
        <v>2026</v>
      </c>
    </row>
    <row r="61" spans="1:17">
      <c r="A61">
        <v>60</v>
      </c>
      <c r="C61" t="s">
        <v>186</v>
      </c>
      <c r="D61" t="s">
        <v>48</v>
      </c>
      <c r="E61" t="s">
        <v>14</v>
      </c>
      <c r="F61">
        <f t="shared" si="3"/>
        <v>1</v>
      </c>
      <c r="G61">
        <v>119768</v>
      </c>
      <c r="H61">
        <f t="shared" si="0"/>
        <v>64.301514012670452</v>
      </c>
      <c r="I61" t="s">
        <v>187</v>
      </c>
      <c r="J61" t="s">
        <v>44</v>
      </c>
      <c r="K61">
        <v>66492</v>
      </c>
      <c r="L61">
        <f t="shared" si="1"/>
        <v>35.698485987329533</v>
      </c>
      <c r="M61">
        <v>53276</v>
      </c>
      <c r="N61">
        <f t="shared" si="4"/>
        <v>28.603028025340922</v>
      </c>
      <c r="O61" t="str">
        <f t="shared" si="2"/>
        <v>Safe Seat</v>
      </c>
      <c r="P61">
        <v>0</v>
      </c>
      <c r="Q61">
        <v>2026</v>
      </c>
    </row>
    <row r="62" spans="1:17">
      <c r="A62">
        <v>61</v>
      </c>
      <c r="C62" t="s">
        <v>188</v>
      </c>
      <c r="D62" t="s">
        <v>189</v>
      </c>
      <c r="E62" t="s">
        <v>14</v>
      </c>
      <c r="F62">
        <f t="shared" si="3"/>
        <v>1</v>
      </c>
      <c r="G62">
        <v>170551</v>
      </c>
      <c r="H62">
        <f t="shared" si="0"/>
        <v>55.747098258791837</v>
      </c>
      <c r="I62" t="s">
        <v>26</v>
      </c>
      <c r="J62" t="s">
        <v>20</v>
      </c>
      <c r="K62">
        <v>135386</v>
      </c>
      <c r="L62">
        <f t="shared" si="1"/>
        <v>44.252901741208156</v>
      </c>
      <c r="M62">
        <v>35165</v>
      </c>
      <c r="N62">
        <f t="shared" si="4"/>
        <v>11.494196517583685</v>
      </c>
      <c r="O62" t="str">
        <f t="shared" si="2"/>
        <v>Safe Seat</v>
      </c>
      <c r="P62">
        <v>0</v>
      </c>
      <c r="Q62">
        <v>2026</v>
      </c>
    </row>
    <row r="63" spans="1:17">
      <c r="A63">
        <v>62</v>
      </c>
      <c r="C63" t="s">
        <v>190</v>
      </c>
      <c r="D63" t="s">
        <v>191</v>
      </c>
      <c r="E63" t="s">
        <v>14</v>
      </c>
      <c r="F63">
        <f t="shared" si="3"/>
        <v>1</v>
      </c>
      <c r="G63">
        <v>116613</v>
      </c>
      <c r="H63">
        <f t="shared" si="0"/>
        <v>51.72959880760154</v>
      </c>
      <c r="I63" t="s">
        <v>192</v>
      </c>
      <c r="J63" t="s">
        <v>20</v>
      </c>
      <c r="K63">
        <v>108815</v>
      </c>
      <c r="L63">
        <f t="shared" si="1"/>
        <v>48.27040119239846</v>
      </c>
      <c r="M63">
        <v>7798</v>
      </c>
      <c r="N63">
        <f t="shared" si="4"/>
        <v>3.4591976152030801</v>
      </c>
      <c r="O63" t="str">
        <f t="shared" si="2"/>
        <v>Highly Competitive</v>
      </c>
      <c r="P63">
        <v>0</v>
      </c>
      <c r="Q63">
        <v>2026</v>
      </c>
    </row>
    <row r="64" spans="1:17">
      <c r="A64">
        <v>63</v>
      </c>
      <c r="C64" t="s">
        <v>193</v>
      </c>
      <c r="D64" t="s">
        <v>194</v>
      </c>
      <c r="E64" t="s">
        <v>14</v>
      </c>
      <c r="F64">
        <f t="shared" si="3"/>
        <v>1</v>
      </c>
      <c r="G64">
        <v>176638</v>
      </c>
      <c r="H64">
        <f t="shared" si="0"/>
        <v>56.391887189408521</v>
      </c>
      <c r="I64" t="s">
        <v>195</v>
      </c>
      <c r="J64" t="s">
        <v>20</v>
      </c>
      <c r="K64">
        <v>136595</v>
      </c>
      <c r="L64">
        <f t="shared" si="1"/>
        <v>43.608112810591479</v>
      </c>
      <c r="M64">
        <v>40043</v>
      </c>
      <c r="N64">
        <f t="shared" si="4"/>
        <v>12.783774378817048</v>
      </c>
      <c r="O64" t="str">
        <f t="shared" si="2"/>
        <v>Safe Seat</v>
      </c>
      <c r="P64">
        <v>0</v>
      </c>
      <c r="Q64">
        <v>2026</v>
      </c>
    </row>
    <row r="65" spans="1:17">
      <c r="A65">
        <v>64</v>
      </c>
      <c r="C65" t="s">
        <v>196</v>
      </c>
      <c r="D65" t="s">
        <v>197</v>
      </c>
      <c r="E65" t="s">
        <v>14</v>
      </c>
      <c r="F65">
        <f t="shared" si="3"/>
        <v>1</v>
      </c>
      <c r="G65">
        <v>174430</v>
      </c>
      <c r="H65">
        <f t="shared" si="0"/>
        <v>59.893830348313372</v>
      </c>
      <c r="I65" t="s">
        <v>198</v>
      </c>
      <c r="J65" t="s">
        <v>199</v>
      </c>
      <c r="K65">
        <v>116802</v>
      </c>
      <c r="L65">
        <f t="shared" si="1"/>
        <v>40.106169651686628</v>
      </c>
      <c r="M65">
        <v>57628</v>
      </c>
      <c r="N65">
        <f t="shared" si="4"/>
        <v>19.787660696626745</v>
      </c>
      <c r="O65" t="str">
        <f t="shared" si="2"/>
        <v>Safe Seat</v>
      </c>
      <c r="P65">
        <v>0</v>
      </c>
      <c r="Q65">
        <v>2026</v>
      </c>
    </row>
    <row r="66" spans="1:17">
      <c r="A66">
        <v>65</v>
      </c>
      <c r="C66" t="s">
        <v>200</v>
      </c>
      <c r="D66" t="s">
        <v>201</v>
      </c>
      <c r="E66" t="s">
        <v>20</v>
      </c>
      <c r="F66">
        <f t="shared" si="3"/>
        <v>2</v>
      </c>
      <c r="G66">
        <v>161872</v>
      </c>
      <c r="H66">
        <f t="shared" ref="H66:H129" si="5">G66/(G66+K66)*100</f>
        <v>50.091907782763421</v>
      </c>
      <c r="I66" t="s">
        <v>202</v>
      </c>
      <c r="J66" t="s">
        <v>14</v>
      </c>
      <c r="K66">
        <v>161278</v>
      </c>
      <c r="L66">
        <f t="shared" ref="L66:L129" si="6">K66/(G66+K66)*100</f>
        <v>49.908092217236579</v>
      </c>
      <c r="M66">
        <v>594</v>
      </c>
      <c r="N66">
        <f t="shared" si="4"/>
        <v>0.18381556552684511</v>
      </c>
      <c r="O66" t="str">
        <f t="shared" ref="O66:O129" si="7">IF(N66&lt;5,"Highly Competitive",
IF(N66&lt;0.1,"Competitive",
IF(N66&lt;0.2,"Moderate","Safe Seat")))</f>
        <v>Highly Competitive</v>
      </c>
      <c r="P66">
        <v>0</v>
      </c>
      <c r="Q66">
        <v>2026</v>
      </c>
    </row>
    <row r="67" spans="1:17">
      <c r="A67">
        <v>66</v>
      </c>
      <c r="C67" t="s">
        <v>203</v>
      </c>
      <c r="D67" t="s">
        <v>204</v>
      </c>
      <c r="E67" t="s">
        <v>14</v>
      </c>
      <c r="F67">
        <f t="shared" ref="F67:F130" si="8">IF(E67="BNP",1,
IF(E67="Jamaat",2,
IF(E67="AL",3,
IF(E67="JP",4,
IF(E67="IND",5,0)))))</f>
        <v>1</v>
      </c>
      <c r="G67">
        <v>134197</v>
      </c>
      <c r="H67">
        <f t="shared" si="5"/>
        <v>56.059068028489669</v>
      </c>
      <c r="I67" t="s">
        <v>205</v>
      </c>
      <c r="J67" t="s">
        <v>20</v>
      </c>
      <c r="K67">
        <v>105188</v>
      </c>
      <c r="L67">
        <f t="shared" si="6"/>
        <v>43.940931971510331</v>
      </c>
      <c r="M67">
        <v>29009</v>
      </c>
      <c r="N67">
        <f t="shared" ref="N67:N130" si="9">(G67-K67)/(G67+K67)*100</f>
        <v>12.118136056979342</v>
      </c>
      <c r="O67" t="str">
        <f t="shared" si="7"/>
        <v>Safe Seat</v>
      </c>
      <c r="P67">
        <v>0</v>
      </c>
      <c r="Q67">
        <v>2026</v>
      </c>
    </row>
    <row r="68" spans="1:17">
      <c r="A68">
        <v>67</v>
      </c>
      <c r="C68" t="s">
        <v>206</v>
      </c>
      <c r="D68" t="s">
        <v>207</v>
      </c>
      <c r="E68" t="s">
        <v>14</v>
      </c>
      <c r="F68">
        <f t="shared" si="8"/>
        <v>1</v>
      </c>
      <c r="G68">
        <v>171508</v>
      </c>
      <c r="H68">
        <f t="shared" si="5"/>
        <v>62.277771322333251</v>
      </c>
      <c r="I68" t="s">
        <v>208</v>
      </c>
      <c r="J68" t="s">
        <v>16</v>
      </c>
      <c r="K68">
        <v>103884</v>
      </c>
      <c r="L68">
        <f t="shared" si="6"/>
        <v>37.722228677666742</v>
      </c>
      <c r="M68">
        <v>67624</v>
      </c>
      <c r="N68">
        <f t="shared" si="9"/>
        <v>24.555542644666513</v>
      </c>
      <c r="O68" t="str">
        <f t="shared" si="7"/>
        <v>Safe Seat</v>
      </c>
      <c r="P68">
        <v>0</v>
      </c>
      <c r="Q68">
        <v>2026</v>
      </c>
    </row>
    <row r="69" spans="1:17">
      <c r="A69">
        <v>68</v>
      </c>
      <c r="C69" t="s">
        <v>209</v>
      </c>
      <c r="D69" t="s">
        <v>210</v>
      </c>
      <c r="E69" t="s">
        <v>20</v>
      </c>
      <c r="F69">
        <f t="shared" si="8"/>
        <v>2</v>
      </c>
      <c r="G69">
        <v>129974</v>
      </c>
      <c r="H69">
        <f t="shared" si="5"/>
        <v>55.492509147421856</v>
      </c>
      <c r="I69" t="s">
        <v>211</v>
      </c>
      <c r="J69" t="s">
        <v>14</v>
      </c>
      <c r="K69">
        <v>104245</v>
      </c>
      <c r="L69">
        <f t="shared" si="6"/>
        <v>44.507490852578144</v>
      </c>
      <c r="M69">
        <v>25729</v>
      </c>
      <c r="N69">
        <f t="shared" si="9"/>
        <v>10.985018294843716</v>
      </c>
      <c r="O69" t="str">
        <f t="shared" si="7"/>
        <v>Safe Seat</v>
      </c>
      <c r="P69">
        <v>0</v>
      </c>
      <c r="Q69">
        <v>2026</v>
      </c>
    </row>
    <row r="70" spans="1:17">
      <c r="A70">
        <v>69</v>
      </c>
      <c r="C70" t="s">
        <v>212</v>
      </c>
      <c r="D70" t="s">
        <v>213</v>
      </c>
      <c r="E70" t="s">
        <v>14</v>
      </c>
      <c r="F70">
        <f t="shared" si="8"/>
        <v>1</v>
      </c>
      <c r="G70">
        <v>213950</v>
      </c>
      <c r="H70">
        <f t="shared" si="5"/>
        <v>73.944915444619937</v>
      </c>
      <c r="I70" t="s">
        <v>214</v>
      </c>
      <c r="J70" t="s">
        <v>20</v>
      </c>
      <c r="K70">
        <v>75387</v>
      </c>
      <c r="L70">
        <f t="shared" si="6"/>
        <v>26.055084555380059</v>
      </c>
      <c r="M70">
        <v>138563</v>
      </c>
      <c r="N70">
        <f t="shared" si="9"/>
        <v>47.889830889239882</v>
      </c>
      <c r="O70" t="str">
        <f t="shared" si="7"/>
        <v>Safe Seat</v>
      </c>
      <c r="P70">
        <v>0</v>
      </c>
      <c r="Q70">
        <v>2026</v>
      </c>
    </row>
    <row r="71" spans="1:17">
      <c r="A71">
        <v>70</v>
      </c>
      <c r="C71" t="s">
        <v>215</v>
      </c>
      <c r="D71" t="s">
        <v>216</v>
      </c>
      <c r="E71" t="s">
        <v>20</v>
      </c>
      <c r="F71">
        <f t="shared" si="8"/>
        <v>2</v>
      </c>
      <c r="G71">
        <v>147475</v>
      </c>
      <c r="H71">
        <f t="shared" si="5"/>
        <v>50.560372461696169</v>
      </c>
      <c r="I71" t="s">
        <v>217</v>
      </c>
      <c r="J71" t="s">
        <v>14</v>
      </c>
      <c r="K71">
        <v>144206</v>
      </c>
      <c r="L71">
        <f t="shared" si="6"/>
        <v>49.439627538303831</v>
      </c>
      <c r="M71">
        <v>3269</v>
      </c>
      <c r="N71">
        <f t="shared" si="9"/>
        <v>1.1207449233923361</v>
      </c>
      <c r="O71" t="str">
        <f t="shared" si="7"/>
        <v>Highly Competitive</v>
      </c>
      <c r="P71">
        <v>0</v>
      </c>
      <c r="Q71">
        <v>2026</v>
      </c>
    </row>
    <row r="72" spans="1:17">
      <c r="A72">
        <v>71</v>
      </c>
      <c r="C72" t="s">
        <v>218</v>
      </c>
      <c r="D72" t="s">
        <v>219</v>
      </c>
      <c r="E72" t="s">
        <v>20</v>
      </c>
      <c r="F72">
        <f t="shared" si="8"/>
        <v>2</v>
      </c>
      <c r="G72">
        <v>137675</v>
      </c>
      <c r="H72">
        <f t="shared" si="5"/>
        <v>50.699873687621754</v>
      </c>
      <c r="I72" t="s">
        <v>220</v>
      </c>
      <c r="J72" t="s">
        <v>14</v>
      </c>
      <c r="K72">
        <v>133874</v>
      </c>
      <c r="L72">
        <f t="shared" si="6"/>
        <v>49.300126312378246</v>
      </c>
      <c r="M72">
        <v>3801</v>
      </c>
      <c r="N72">
        <f t="shared" si="9"/>
        <v>1.3997473752435103</v>
      </c>
      <c r="O72" t="str">
        <f t="shared" si="7"/>
        <v>Highly Competitive</v>
      </c>
      <c r="P72">
        <v>0</v>
      </c>
      <c r="Q72">
        <v>2026</v>
      </c>
    </row>
    <row r="73" spans="1:17">
      <c r="A73">
        <v>72</v>
      </c>
      <c r="C73" t="s">
        <v>221</v>
      </c>
      <c r="D73" t="s">
        <v>222</v>
      </c>
      <c r="E73" t="s">
        <v>14</v>
      </c>
      <c r="F73">
        <f t="shared" si="8"/>
        <v>1</v>
      </c>
      <c r="G73">
        <v>181925</v>
      </c>
      <c r="H73">
        <f t="shared" si="5"/>
        <v>52.440194973466426</v>
      </c>
      <c r="I73" t="s">
        <v>223</v>
      </c>
      <c r="J73" t="s">
        <v>20</v>
      </c>
      <c r="K73">
        <v>164994</v>
      </c>
      <c r="L73">
        <f t="shared" si="6"/>
        <v>47.559805026533567</v>
      </c>
      <c r="M73">
        <v>16931</v>
      </c>
      <c r="N73">
        <f t="shared" si="9"/>
        <v>4.8803899469328575</v>
      </c>
      <c r="O73" t="str">
        <f t="shared" si="7"/>
        <v>Highly Competitive</v>
      </c>
      <c r="P73">
        <v>0</v>
      </c>
      <c r="Q73">
        <v>2026</v>
      </c>
    </row>
    <row r="74" spans="1:17">
      <c r="A74">
        <v>73</v>
      </c>
      <c r="B74" t="s">
        <v>224</v>
      </c>
      <c r="C74" t="s">
        <v>225</v>
      </c>
      <c r="D74" t="s">
        <v>226</v>
      </c>
      <c r="E74" t="s">
        <v>20</v>
      </c>
      <c r="F74">
        <f t="shared" si="8"/>
        <v>2</v>
      </c>
      <c r="G74">
        <v>123271</v>
      </c>
      <c r="H74">
        <f t="shared" si="5"/>
        <v>53.897915282101508</v>
      </c>
      <c r="I74" t="s">
        <v>227</v>
      </c>
      <c r="J74" t="s">
        <v>14</v>
      </c>
      <c r="K74">
        <v>105441</v>
      </c>
      <c r="L74">
        <f t="shared" si="6"/>
        <v>46.102084717898492</v>
      </c>
      <c r="M74">
        <v>17830</v>
      </c>
      <c r="N74">
        <f t="shared" si="9"/>
        <v>7.7958305642030155</v>
      </c>
      <c r="O74" t="str">
        <f t="shared" si="7"/>
        <v>Safe Seat</v>
      </c>
      <c r="P74">
        <v>0</v>
      </c>
      <c r="Q74">
        <v>2026</v>
      </c>
    </row>
    <row r="75" spans="1:17">
      <c r="A75">
        <v>74</v>
      </c>
      <c r="C75" t="s">
        <v>228</v>
      </c>
      <c r="D75" t="s">
        <v>229</v>
      </c>
      <c r="E75" t="s">
        <v>20</v>
      </c>
      <c r="F75">
        <f t="shared" si="8"/>
        <v>2</v>
      </c>
      <c r="G75">
        <v>96306</v>
      </c>
      <c r="H75">
        <f t="shared" si="5"/>
        <v>52.83004377543967</v>
      </c>
      <c r="I75" t="s">
        <v>230</v>
      </c>
      <c r="J75" t="s">
        <v>14</v>
      </c>
      <c r="K75">
        <v>85988</v>
      </c>
      <c r="L75">
        <f t="shared" si="6"/>
        <v>47.16995622456033</v>
      </c>
      <c r="M75">
        <v>10318</v>
      </c>
      <c r="N75">
        <f t="shared" si="9"/>
        <v>5.6600875508793491</v>
      </c>
      <c r="O75" t="str">
        <f t="shared" si="7"/>
        <v>Safe Seat</v>
      </c>
      <c r="P75">
        <v>0</v>
      </c>
      <c r="Q75">
        <v>2026</v>
      </c>
    </row>
    <row r="76" spans="1:17">
      <c r="A76">
        <v>75</v>
      </c>
      <c r="C76" t="s">
        <v>231</v>
      </c>
      <c r="D76" t="s">
        <v>232</v>
      </c>
      <c r="E76" t="s">
        <v>14</v>
      </c>
      <c r="F76">
        <f t="shared" si="8"/>
        <v>1</v>
      </c>
      <c r="G76">
        <v>165909</v>
      </c>
      <c r="H76">
        <f t="shared" si="5"/>
        <v>65.682862809838824</v>
      </c>
      <c r="I76" t="s">
        <v>233</v>
      </c>
      <c r="J76" t="s">
        <v>20</v>
      </c>
      <c r="K76">
        <v>86682</v>
      </c>
      <c r="L76">
        <f t="shared" si="6"/>
        <v>34.317137190161169</v>
      </c>
      <c r="M76">
        <v>79227</v>
      </c>
      <c r="N76">
        <f t="shared" si="9"/>
        <v>31.365725619677658</v>
      </c>
      <c r="O76" t="str">
        <f t="shared" si="7"/>
        <v>Safe Seat</v>
      </c>
      <c r="P76">
        <v>0</v>
      </c>
      <c r="Q76">
        <v>2026</v>
      </c>
    </row>
    <row r="77" spans="1:17">
      <c r="A77">
        <v>76</v>
      </c>
      <c r="C77" t="s">
        <v>234</v>
      </c>
      <c r="D77" t="s">
        <v>235</v>
      </c>
      <c r="E77" t="s">
        <v>20</v>
      </c>
      <c r="F77">
        <f t="shared" si="8"/>
        <v>2</v>
      </c>
      <c r="G77">
        <v>192083</v>
      </c>
      <c r="H77">
        <f t="shared" si="5"/>
        <v>57.183897780318183</v>
      </c>
      <c r="I77" t="s">
        <v>236</v>
      </c>
      <c r="J77" t="s">
        <v>14</v>
      </c>
      <c r="K77">
        <v>143821</v>
      </c>
      <c r="L77">
        <f t="shared" si="6"/>
        <v>42.81610221968181</v>
      </c>
      <c r="M77">
        <v>48262</v>
      </c>
      <c r="N77">
        <f t="shared" si="9"/>
        <v>14.367795560636374</v>
      </c>
      <c r="O77" t="str">
        <f t="shared" si="7"/>
        <v>Safe Seat</v>
      </c>
      <c r="P77">
        <v>0</v>
      </c>
      <c r="Q77">
        <v>2026</v>
      </c>
    </row>
    <row r="78" spans="1:17">
      <c r="A78">
        <v>77</v>
      </c>
      <c r="C78" t="s">
        <v>237</v>
      </c>
      <c r="D78" t="s">
        <v>238</v>
      </c>
      <c r="E78" t="s">
        <v>20</v>
      </c>
      <c r="F78">
        <f t="shared" si="8"/>
        <v>2</v>
      </c>
      <c r="G78">
        <v>180690</v>
      </c>
      <c r="H78">
        <f t="shared" si="5"/>
        <v>58.742063530765712</v>
      </c>
      <c r="I78" t="s">
        <v>239</v>
      </c>
      <c r="J78" t="s">
        <v>14</v>
      </c>
      <c r="K78">
        <v>126909</v>
      </c>
      <c r="L78">
        <f t="shared" si="6"/>
        <v>41.257936469234295</v>
      </c>
      <c r="M78">
        <v>53781</v>
      </c>
      <c r="N78">
        <f t="shared" si="9"/>
        <v>17.48412706153141</v>
      </c>
      <c r="O78" t="str">
        <f t="shared" si="7"/>
        <v>Safe Seat</v>
      </c>
      <c r="P78">
        <v>0</v>
      </c>
      <c r="Q78">
        <v>2026</v>
      </c>
    </row>
    <row r="79" spans="1:17">
      <c r="A79">
        <v>78</v>
      </c>
      <c r="C79" t="s">
        <v>240</v>
      </c>
      <c r="D79" t="s">
        <v>241</v>
      </c>
      <c r="E79" t="s">
        <v>20</v>
      </c>
      <c r="F79">
        <f t="shared" si="8"/>
        <v>2</v>
      </c>
      <c r="G79">
        <v>148201</v>
      </c>
      <c r="H79">
        <f t="shared" si="5"/>
        <v>51.493724896109846</v>
      </c>
      <c r="I79" t="s">
        <v>242</v>
      </c>
      <c r="J79" t="s">
        <v>14</v>
      </c>
      <c r="K79">
        <v>139603</v>
      </c>
      <c r="L79">
        <f t="shared" si="6"/>
        <v>48.506275103890147</v>
      </c>
      <c r="M79">
        <v>8598</v>
      </c>
      <c r="N79">
        <f t="shared" si="9"/>
        <v>2.9874497922197052</v>
      </c>
      <c r="O79" t="str">
        <f t="shared" si="7"/>
        <v>Highly Competitive</v>
      </c>
      <c r="P79">
        <v>0</v>
      </c>
      <c r="Q79">
        <v>2026</v>
      </c>
    </row>
    <row r="80" spans="1:17">
      <c r="A80">
        <v>79</v>
      </c>
      <c r="C80" t="s">
        <v>243</v>
      </c>
      <c r="D80" t="s">
        <v>244</v>
      </c>
      <c r="E80" t="s">
        <v>20</v>
      </c>
      <c r="F80">
        <f t="shared" si="8"/>
        <v>2</v>
      </c>
      <c r="G80">
        <v>211041</v>
      </c>
      <c r="H80">
        <f t="shared" si="5"/>
        <v>57.941048886155599</v>
      </c>
      <c r="I80" t="s">
        <v>245</v>
      </c>
      <c r="J80" t="s">
        <v>14</v>
      </c>
      <c r="K80">
        <v>153193</v>
      </c>
      <c r="L80">
        <f t="shared" si="6"/>
        <v>42.058951113844394</v>
      </c>
      <c r="M80">
        <v>57848</v>
      </c>
      <c r="N80">
        <f t="shared" si="9"/>
        <v>15.882097772311207</v>
      </c>
      <c r="O80" t="str">
        <f t="shared" si="7"/>
        <v>Safe Seat</v>
      </c>
      <c r="P80">
        <v>0</v>
      </c>
      <c r="Q80">
        <v>2026</v>
      </c>
    </row>
    <row r="81" spans="1:17">
      <c r="A81">
        <v>80</v>
      </c>
      <c r="C81" t="s">
        <v>246</v>
      </c>
      <c r="D81" t="s">
        <v>247</v>
      </c>
      <c r="E81" t="s">
        <v>20</v>
      </c>
      <c r="F81">
        <f t="shared" si="8"/>
        <v>2</v>
      </c>
      <c r="G81">
        <v>208011</v>
      </c>
      <c r="H81">
        <f t="shared" si="5"/>
        <v>55.933775760444007</v>
      </c>
      <c r="I81" t="s">
        <v>248</v>
      </c>
      <c r="J81" t="s">
        <v>14</v>
      </c>
      <c r="K81">
        <v>163877</v>
      </c>
      <c r="L81">
        <f t="shared" si="6"/>
        <v>44.066224239555993</v>
      </c>
      <c r="M81">
        <v>44134</v>
      </c>
      <c r="N81">
        <f t="shared" si="9"/>
        <v>11.867551520888009</v>
      </c>
      <c r="O81" t="str">
        <f t="shared" si="7"/>
        <v>Safe Seat</v>
      </c>
      <c r="P81">
        <v>0</v>
      </c>
      <c r="Q81">
        <v>2026</v>
      </c>
    </row>
    <row r="82" spans="1:17">
      <c r="A82">
        <v>81</v>
      </c>
      <c r="C82" t="s">
        <v>249</v>
      </c>
      <c r="D82" t="s">
        <v>250</v>
      </c>
      <c r="E82" t="s">
        <v>14</v>
      </c>
      <c r="F82">
        <f t="shared" si="8"/>
        <v>1</v>
      </c>
      <c r="G82">
        <v>173381</v>
      </c>
      <c r="H82">
        <f t="shared" si="5"/>
        <v>75.240413824228852</v>
      </c>
      <c r="I82" t="s">
        <v>251</v>
      </c>
      <c r="J82" t="s">
        <v>20</v>
      </c>
      <c r="K82">
        <v>57055</v>
      </c>
      <c r="L82">
        <f t="shared" si="6"/>
        <v>24.759586175771148</v>
      </c>
      <c r="M82">
        <v>116326</v>
      </c>
      <c r="N82">
        <f t="shared" si="9"/>
        <v>50.480827648457705</v>
      </c>
      <c r="O82" t="str">
        <f t="shared" si="7"/>
        <v>Safe Seat</v>
      </c>
      <c r="P82">
        <v>0</v>
      </c>
      <c r="Q82">
        <v>2026</v>
      </c>
    </row>
    <row r="83" spans="1:17">
      <c r="A83">
        <v>82</v>
      </c>
      <c r="C83" t="s">
        <v>252</v>
      </c>
      <c r="D83" t="s">
        <v>253</v>
      </c>
      <c r="E83" t="s">
        <v>20</v>
      </c>
      <c r="F83">
        <f t="shared" si="8"/>
        <v>2</v>
      </c>
      <c r="G83">
        <v>195702</v>
      </c>
      <c r="H83">
        <f t="shared" si="5"/>
        <v>52.652507761928078</v>
      </c>
      <c r="I83" t="s">
        <v>254</v>
      </c>
      <c r="J83" t="s">
        <v>14</v>
      </c>
      <c r="K83">
        <v>175984</v>
      </c>
      <c r="L83">
        <f t="shared" si="6"/>
        <v>47.347492238071922</v>
      </c>
      <c r="M83">
        <v>19718</v>
      </c>
      <c r="N83">
        <f t="shared" si="9"/>
        <v>5.3050155238561585</v>
      </c>
      <c r="O83" t="str">
        <f t="shared" si="7"/>
        <v>Safe Seat</v>
      </c>
      <c r="P83">
        <v>0</v>
      </c>
      <c r="Q83">
        <v>2026</v>
      </c>
    </row>
    <row r="84" spans="1:17">
      <c r="A84">
        <v>83</v>
      </c>
      <c r="C84" t="s">
        <v>255</v>
      </c>
      <c r="D84" t="s">
        <v>256</v>
      </c>
      <c r="E84" t="s">
        <v>20</v>
      </c>
      <c r="F84">
        <f t="shared" si="8"/>
        <v>2</v>
      </c>
      <c r="G84">
        <v>175857</v>
      </c>
      <c r="H84">
        <f t="shared" si="5"/>
        <v>53.997199688035423</v>
      </c>
      <c r="I84" t="s">
        <v>257</v>
      </c>
      <c r="J84" t="s">
        <v>14</v>
      </c>
      <c r="K84">
        <v>149821</v>
      </c>
      <c r="L84">
        <f t="shared" si="6"/>
        <v>46.002800311964585</v>
      </c>
      <c r="M84">
        <v>26036</v>
      </c>
      <c r="N84">
        <f t="shared" si="9"/>
        <v>7.9943993760708434</v>
      </c>
      <c r="O84" t="str">
        <f t="shared" si="7"/>
        <v>Safe Seat</v>
      </c>
      <c r="P84">
        <v>0</v>
      </c>
      <c r="Q84">
        <v>2026</v>
      </c>
    </row>
    <row r="85" spans="1:17">
      <c r="A85">
        <v>84</v>
      </c>
      <c r="C85" t="s">
        <v>258</v>
      </c>
      <c r="D85" t="s">
        <v>259</v>
      </c>
      <c r="E85" t="s">
        <v>20</v>
      </c>
      <c r="F85">
        <f t="shared" si="8"/>
        <v>2</v>
      </c>
      <c r="G85">
        <v>105999</v>
      </c>
      <c r="H85">
        <f t="shared" si="5"/>
        <v>57.890367716531131</v>
      </c>
      <c r="I85" t="s">
        <v>260</v>
      </c>
      <c r="J85" t="s">
        <v>44</v>
      </c>
      <c r="K85">
        <v>77104</v>
      </c>
      <c r="L85">
        <f t="shared" si="6"/>
        <v>42.109632283468869</v>
      </c>
      <c r="M85">
        <v>28895</v>
      </c>
      <c r="N85">
        <f t="shared" si="9"/>
        <v>15.780735433062265</v>
      </c>
      <c r="O85" t="str">
        <f t="shared" si="7"/>
        <v>Safe Seat</v>
      </c>
      <c r="P85">
        <v>0</v>
      </c>
      <c r="Q85">
        <v>2026</v>
      </c>
    </row>
    <row r="86" spans="1:17">
      <c r="A86">
        <v>85</v>
      </c>
      <c r="C86" t="s">
        <v>1593</v>
      </c>
      <c r="D86" t="s">
        <v>262</v>
      </c>
      <c r="E86" t="s">
        <v>20</v>
      </c>
      <c r="F86">
        <f t="shared" si="8"/>
        <v>2</v>
      </c>
      <c r="G86">
        <v>119093</v>
      </c>
      <c r="H86">
        <f t="shared" si="5"/>
        <v>56.008183036659062</v>
      </c>
      <c r="I86" t="s">
        <v>263</v>
      </c>
      <c r="J86" t="s">
        <v>14</v>
      </c>
      <c r="K86">
        <v>93542</v>
      </c>
      <c r="L86">
        <f t="shared" si="6"/>
        <v>43.991816963340938</v>
      </c>
      <c r="M86">
        <v>25551</v>
      </c>
      <c r="N86">
        <f t="shared" si="9"/>
        <v>12.016366073318126</v>
      </c>
      <c r="O86" t="str">
        <f t="shared" si="7"/>
        <v>Safe Seat</v>
      </c>
      <c r="P86">
        <v>0</v>
      </c>
      <c r="Q86">
        <v>2026</v>
      </c>
    </row>
    <row r="87" spans="1:17">
      <c r="A87">
        <v>86</v>
      </c>
      <c r="C87" t="s">
        <v>1594</v>
      </c>
      <c r="D87" t="s">
        <v>265</v>
      </c>
      <c r="E87" t="s">
        <v>20</v>
      </c>
      <c r="F87">
        <f t="shared" si="8"/>
        <v>2</v>
      </c>
      <c r="G87">
        <v>180965</v>
      </c>
      <c r="H87">
        <f t="shared" si="5"/>
        <v>55.271340085274822</v>
      </c>
      <c r="I87" t="s">
        <v>266</v>
      </c>
      <c r="J87" t="s">
        <v>14</v>
      </c>
      <c r="K87">
        <v>146447</v>
      </c>
      <c r="L87">
        <f t="shared" si="6"/>
        <v>44.728659914725178</v>
      </c>
      <c r="M87">
        <v>34518</v>
      </c>
      <c r="N87">
        <f t="shared" si="9"/>
        <v>10.542680170549644</v>
      </c>
      <c r="O87" t="str">
        <f t="shared" si="7"/>
        <v>Safe Seat</v>
      </c>
      <c r="P87">
        <v>0</v>
      </c>
      <c r="Q87">
        <v>2026</v>
      </c>
    </row>
    <row r="88" spans="1:17">
      <c r="A88">
        <v>87</v>
      </c>
      <c r="C88" t="s">
        <v>1595</v>
      </c>
      <c r="D88" t="s">
        <v>268</v>
      </c>
      <c r="E88" t="s">
        <v>14</v>
      </c>
      <c r="F88">
        <f t="shared" si="8"/>
        <v>1</v>
      </c>
      <c r="G88">
        <v>201339</v>
      </c>
      <c r="H88">
        <f t="shared" si="5"/>
        <v>51.784455841276532</v>
      </c>
      <c r="I88" t="s">
        <v>269</v>
      </c>
      <c r="J88" t="s">
        <v>20</v>
      </c>
      <c r="K88">
        <v>187463</v>
      </c>
      <c r="L88">
        <f t="shared" si="6"/>
        <v>48.215544158723461</v>
      </c>
      <c r="M88">
        <v>13876</v>
      </c>
      <c r="N88">
        <f t="shared" si="9"/>
        <v>3.5689116825530736</v>
      </c>
      <c r="O88" t="str">
        <f t="shared" si="7"/>
        <v>Highly Competitive</v>
      </c>
      <c r="P88">
        <v>0</v>
      </c>
      <c r="Q88">
        <v>2026</v>
      </c>
    </row>
    <row r="89" spans="1:17">
      <c r="A89">
        <v>88</v>
      </c>
      <c r="C89" t="s">
        <v>1596</v>
      </c>
      <c r="D89" t="s">
        <v>271</v>
      </c>
      <c r="E89" t="s">
        <v>20</v>
      </c>
      <c r="F89">
        <f t="shared" si="8"/>
        <v>2</v>
      </c>
      <c r="G89">
        <v>176912</v>
      </c>
      <c r="H89">
        <f t="shared" si="5"/>
        <v>57.284775717306346</v>
      </c>
      <c r="I89" t="s">
        <v>272</v>
      </c>
      <c r="J89" t="s">
        <v>14</v>
      </c>
      <c r="K89">
        <v>131917</v>
      </c>
      <c r="L89">
        <f t="shared" si="6"/>
        <v>42.715224282693661</v>
      </c>
      <c r="M89">
        <v>44995</v>
      </c>
      <c r="N89">
        <f t="shared" si="9"/>
        <v>14.569551434612682</v>
      </c>
      <c r="O89" t="str">
        <f t="shared" si="7"/>
        <v>Safe Seat</v>
      </c>
      <c r="P89">
        <v>0</v>
      </c>
      <c r="Q89">
        <v>2026</v>
      </c>
    </row>
    <row r="90" spans="1:17">
      <c r="A90">
        <v>89</v>
      </c>
      <c r="C90" t="s">
        <v>1597</v>
      </c>
      <c r="D90" t="s">
        <v>274</v>
      </c>
      <c r="E90" t="s">
        <v>20</v>
      </c>
      <c r="F90">
        <f t="shared" si="8"/>
        <v>2</v>
      </c>
      <c r="G90">
        <v>132876</v>
      </c>
      <c r="H90">
        <f t="shared" si="5"/>
        <v>60.974389801808911</v>
      </c>
      <c r="I90" t="s">
        <v>275</v>
      </c>
      <c r="J90" t="s">
        <v>44</v>
      </c>
      <c r="K90">
        <v>85045</v>
      </c>
      <c r="L90">
        <f t="shared" si="6"/>
        <v>39.025610198191089</v>
      </c>
      <c r="M90">
        <v>47831</v>
      </c>
      <c r="N90">
        <f t="shared" si="9"/>
        <v>21.948779603617822</v>
      </c>
      <c r="O90" t="str">
        <f t="shared" si="7"/>
        <v>Safe Seat</v>
      </c>
      <c r="P90">
        <v>0</v>
      </c>
      <c r="Q90">
        <v>2026</v>
      </c>
    </row>
    <row r="91" spans="1:17">
      <c r="A91">
        <v>90</v>
      </c>
      <c r="C91" t="s">
        <v>1598</v>
      </c>
      <c r="D91" t="s">
        <v>277</v>
      </c>
      <c r="E91" t="s">
        <v>20</v>
      </c>
      <c r="F91">
        <f t="shared" si="8"/>
        <v>2</v>
      </c>
      <c r="G91">
        <v>92234</v>
      </c>
      <c r="H91">
        <f t="shared" si="5"/>
        <v>53.507759245830314</v>
      </c>
      <c r="I91" t="s">
        <v>278</v>
      </c>
      <c r="J91" t="s">
        <v>14</v>
      </c>
      <c r="K91">
        <v>80141</v>
      </c>
      <c r="L91">
        <f t="shared" si="6"/>
        <v>46.492240754169686</v>
      </c>
      <c r="M91">
        <v>12093</v>
      </c>
      <c r="N91">
        <f t="shared" si="9"/>
        <v>7.0155184916606235</v>
      </c>
      <c r="O91" t="str">
        <f t="shared" si="7"/>
        <v>Safe Seat</v>
      </c>
      <c r="P91">
        <v>0</v>
      </c>
      <c r="Q91">
        <v>2026</v>
      </c>
    </row>
    <row r="92" spans="1:17">
      <c r="A92">
        <v>91</v>
      </c>
      <c r="C92" t="s">
        <v>279</v>
      </c>
      <c r="D92" t="s">
        <v>280</v>
      </c>
      <c r="E92" t="s">
        <v>14</v>
      </c>
      <c r="F92">
        <f t="shared" si="8"/>
        <v>1</v>
      </c>
      <c r="G92">
        <v>185338</v>
      </c>
      <c r="H92">
        <f t="shared" si="5"/>
        <v>67.388529936843028</v>
      </c>
      <c r="I92" t="s">
        <v>281</v>
      </c>
      <c r="J92" t="s">
        <v>20</v>
      </c>
      <c r="K92">
        <v>89691</v>
      </c>
      <c r="L92">
        <f t="shared" si="6"/>
        <v>32.611470063156979</v>
      </c>
      <c r="M92">
        <v>95647</v>
      </c>
      <c r="N92">
        <f t="shared" si="9"/>
        <v>34.777059873686049</v>
      </c>
      <c r="O92" t="str">
        <f t="shared" si="7"/>
        <v>Safe Seat</v>
      </c>
      <c r="P92">
        <v>0</v>
      </c>
      <c r="Q92">
        <v>2026</v>
      </c>
    </row>
    <row r="93" spans="1:17">
      <c r="A93">
        <v>92</v>
      </c>
      <c r="C93" t="s">
        <v>282</v>
      </c>
      <c r="D93" t="s">
        <v>283</v>
      </c>
      <c r="E93" t="s">
        <v>14</v>
      </c>
      <c r="F93">
        <f t="shared" si="8"/>
        <v>1</v>
      </c>
      <c r="G93">
        <v>147896</v>
      </c>
      <c r="H93">
        <f t="shared" si="5"/>
        <v>55.827929063771641</v>
      </c>
      <c r="I93" t="s">
        <v>284</v>
      </c>
      <c r="J93" t="s">
        <v>20</v>
      </c>
      <c r="K93">
        <v>117018</v>
      </c>
      <c r="L93">
        <f t="shared" si="6"/>
        <v>44.172070936228366</v>
      </c>
      <c r="M93">
        <v>30878</v>
      </c>
      <c r="N93">
        <f t="shared" si="9"/>
        <v>11.655858127543278</v>
      </c>
      <c r="O93" t="str">
        <f t="shared" si="7"/>
        <v>Safe Seat</v>
      </c>
      <c r="P93">
        <v>0</v>
      </c>
      <c r="Q93">
        <v>2026</v>
      </c>
    </row>
    <row r="94" spans="1:17">
      <c r="A94">
        <v>93</v>
      </c>
      <c r="C94" t="s">
        <v>285</v>
      </c>
      <c r="D94" t="s">
        <v>286</v>
      </c>
      <c r="E94" t="s">
        <v>14</v>
      </c>
      <c r="F94">
        <f t="shared" si="8"/>
        <v>1</v>
      </c>
      <c r="G94">
        <v>99975</v>
      </c>
      <c r="H94">
        <f t="shared" si="5"/>
        <v>57.063356164383563</v>
      </c>
      <c r="I94" t="s">
        <v>287</v>
      </c>
      <c r="J94" t="s">
        <v>20</v>
      </c>
      <c r="K94">
        <v>75225</v>
      </c>
      <c r="L94">
        <f t="shared" si="6"/>
        <v>42.936643835616437</v>
      </c>
      <c r="M94">
        <v>24750</v>
      </c>
      <c r="N94">
        <f t="shared" si="9"/>
        <v>14.126712328767125</v>
      </c>
      <c r="O94" t="str">
        <f t="shared" si="7"/>
        <v>Safe Seat</v>
      </c>
      <c r="P94">
        <v>0</v>
      </c>
      <c r="Q94">
        <v>2026</v>
      </c>
    </row>
    <row r="95" spans="1:17">
      <c r="A95">
        <v>94</v>
      </c>
      <c r="C95" t="s">
        <v>288</v>
      </c>
      <c r="D95" t="s">
        <v>289</v>
      </c>
      <c r="E95" t="s">
        <v>20</v>
      </c>
      <c r="F95">
        <f t="shared" si="8"/>
        <v>2</v>
      </c>
      <c r="G95">
        <v>118142</v>
      </c>
      <c r="H95">
        <f t="shared" si="5"/>
        <v>60.092879414442599</v>
      </c>
      <c r="I95" t="s">
        <v>290</v>
      </c>
      <c r="J95" t="s">
        <v>44</v>
      </c>
      <c r="K95">
        <v>78457</v>
      </c>
      <c r="L95">
        <f t="shared" si="6"/>
        <v>39.907120585557401</v>
      </c>
      <c r="M95">
        <v>39685</v>
      </c>
      <c r="N95">
        <f t="shared" si="9"/>
        <v>20.185758828885191</v>
      </c>
      <c r="O95" t="str">
        <f t="shared" si="7"/>
        <v>Safe Seat</v>
      </c>
      <c r="P95">
        <v>0</v>
      </c>
      <c r="Q95">
        <v>2026</v>
      </c>
    </row>
    <row r="96" spans="1:17">
      <c r="A96">
        <v>95</v>
      </c>
      <c r="C96" t="s">
        <v>291</v>
      </c>
      <c r="D96" t="s">
        <v>292</v>
      </c>
      <c r="E96" t="s">
        <v>20</v>
      </c>
      <c r="F96">
        <f t="shared" si="8"/>
        <v>2</v>
      </c>
      <c r="G96">
        <v>117527</v>
      </c>
      <c r="H96">
        <f t="shared" si="5"/>
        <v>50.690963985335344</v>
      </c>
      <c r="I96" t="s">
        <v>293</v>
      </c>
      <c r="J96" t="s">
        <v>14</v>
      </c>
      <c r="K96">
        <v>114323</v>
      </c>
      <c r="L96">
        <f t="shared" si="6"/>
        <v>49.309036014664656</v>
      </c>
      <c r="M96">
        <v>3204</v>
      </c>
      <c r="N96">
        <f t="shared" si="9"/>
        <v>1.3819279706706922</v>
      </c>
      <c r="O96" t="str">
        <f t="shared" si="7"/>
        <v>Highly Competitive</v>
      </c>
      <c r="P96">
        <v>0</v>
      </c>
      <c r="Q96">
        <v>2026</v>
      </c>
    </row>
    <row r="97" spans="1:17">
      <c r="A97">
        <v>96</v>
      </c>
      <c r="C97" t="s">
        <v>294</v>
      </c>
      <c r="D97" t="s">
        <v>295</v>
      </c>
      <c r="E97" t="s">
        <v>20</v>
      </c>
      <c r="F97">
        <f t="shared" si="8"/>
        <v>2</v>
      </c>
      <c r="G97">
        <v>117709</v>
      </c>
      <c r="H97">
        <f t="shared" si="5"/>
        <v>63.931283198818143</v>
      </c>
      <c r="I97" t="s">
        <v>296</v>
      </c>
      <c r="J97" t="s">
        <v>14</v>
      </c>
      <c r="K97">
        <v>66409</v>
      </c>
      <c r="L97">
        <f t="shared" si="6"/>
        <v>36.06871680118185</v>
      </c>
      <c r="M97">
        <v>51300</v>
      </c>
      <c r="N97">
        <f t="shared" si="9"/>
        <v>27.862566397636297</v>
      </c>
      <c r="O97" t="str">
        <f t="shared" si="7"/>
        <v>Safe Seat</v>
      </c>
      <c r="P97">
        <v>0</v>
      </c>
      <c r="Q97">
        <v>2026</v>
      </c>
    </row>
    <row r="98" spans="1:17">
      <c r="A98">
        <v>97</v>
      </c>
      <c r="C98" t="s">
        <v>297</v>
      </c>
      <c r="D98" t="s">
        <v>298</v>
      </c>
      <c r="E98" t="s">
        <v>14</v>
      </c>
      <c r="F98">
        <f t="shared" si="8"/>
        <v>1</v>
      </c>
      <c r="G98">
        <v>102661</v>
      </c>
      <c r="H98">
        <f t="shared" si="5"/>
        <v>55.131544323375095</v>
      </c>
      <c r="I98" t="s">
        <v>299</v>
      </c>
      <c r="J98" t="s">
        <v>20</v>
      </c>
      <c r="K98">
        <v>83550</v>
      </c>
      <c r="L98">
        <f t="shared" si="6"/>
        <v>44.868455676624905</v>
      </c>
      <c r="M98">
        <v>19111</v>
      </c>
      <c r="N98">
        <f t="shared" si="9"/>
        <v>10.263088646750191</v>
      </c>
      <c r="O98" t="str">
        <f t="shared" si="7"/>
        <v>Safe Seat</v>
      </c>
      <c r="P98">
        <v>0</v>
      </c>
      <c r="Q98">
        <v>2026</v>
      </c>
    </row>
    <row r="99" spans="1:17">
      <c r="A99">
        <v>98</v>
      </c>
      <c r="C99" t="s">
        <v>300</v>
      </c>
      <c r="D99" t="s">
        <v>301</v>
      </c>
      <c r="E99" t="s">
        <v>20</v>
      </c>
      <c r="F99">
        <f t="shared" si="8"/>
        <v>2</v>
      </c>
      <c r="G99">
        <v>116067</v>
      </c>
      <c r="H99">
        <f t="shared" si="5"/>
        <v>54.137495160756174</v>
      </c>
      <c r="I99" t="s">
        <v>302</v>
      </c>
      <c r="J99" t="s">
        <v>14</v>
      </c>
      <c r="K99">
        <v>98326</v>
      </c>
      <c r="L99">
        <f t="shared" si="6"/>
        <v>45.862504839243819</v>
      </c>
      <c r="M99">
        <v>17741</v>
      </c>
      <c r="N99">
        <f t="shared" si="9"/>
        <v>8.2749903215123624</v>
      </c>
      <c r="O99" t="str">
        <f t="shared" si="7"/>
        <v>Safe Seat</v>
      </c>
      <c r="P99">
        <v>0</v>
      </c>
      <c r="Q99">
        <v>2026</v>
      </c>
    </row>
    <row r="100" spans="1:17">
      <c r="A100">
        <v>99</v>
      </c>
      <c r="C100" t="s">
        <v>303</v>
      </c>
      <c r="D100" t="s">
        <v>304</v>
      </c>
      <c r="E100" t="s">
        <v>14</v>
      </c>
      <c r="F100">
        <f t="shared" si="8"/>
        <v>1</v>
      </c>
      <c r="G100">
        <v>121352</v>
      </c>
      <c r="H100">
        <f t="shared" si="5"/>
        <v>63.303738171498921</v>
      </c>
      <c r="I100" t="s">
        <v>305</v>
      </c>
      <c r="J100" t="s">
        <v>20</v>
      </c>
      <c r="K100">
        <v>70346</v>
      </c>
      <c r="L100">
        <f t="shared" si="6"/>
        <v>36.696261828501079</v>
      </c>
      <c r="M100">
        <v>51006</v>
      </c>
      <c r="N100">
        <f t="shared" si="9"/>
        <v>26.607476342997838</v>
      </c>
      <c r="O100" t="str">
        <f t="shared" si="7"/>
        <v>Safe Seat</v>
      </c>
      <c r="P100">
        <v>0</v>
      </c>
      <c r="Q100">
        <v>2026</v>
      </c>
    </row>
    <row r="101" spans="1:17">
      <c r="A101">
        <v>100</v>
      </c>
      <c r="C101" t="s">
        <v>306</v>
      </c>
      <c r="D101" t="s">
        <v>307</v>
      </c>
      <c r="E101" t="s">
        <v>20</v>
      </c>
      <c r="F101">
        <f t="shared" si="8"/>
        <v>2</v>
      </c>
      <c r="G101">
        <v>93789</v>
      </c>
      <c r="H101">
        <f t="shared" si="5"/>
        <v>51.536381919488313</v>
      </c>
      <c r="I101" t="s">
        <v>308</v>
      </c>
      <c r="J101" t="s">
        <v>14</v>
      </c>
      <c r="K101">
        <v>88197</v>
      </c>
      <c r="L101">
        <f t="shared" si="6"/>
        <v>48.463618080511687</v>
      </c>
      <c r="M101">
        <v>5592</v>
      </c>
      <c r="N101">
        <f t="shared" si="9"/>
        <v>3.0727638389766243</v>
      </c>
      <c r="O101" t="str">
        <f t="shared" si="7"/>
        <v>Highly Competitive</v>
      </c>
      <c r="P101">
        <v>1</v>
      </c>
      <c r="Q101">
        <v>2026</v>
      </c>
    </row>
    <row r="102" spans="1:17">
      <c r="A102">
        <v>101</v>
      </c>
      <c r="C102" t="s">
        <v>309</v>
      </c>
      <c r="D102" t="s">
        <v>310</v>
      </c>
      <c r="E102" t="s">
        <v>14</v>
      </c>
      <c r="F102">
        <f t="shared" si="8"/>
        <v>1</v>
      </c>
      <c r="G102">
        <v>74845</v>
      </c>
      <c r="H102">
        <f t="shared" si="5"/>
        <v>53.136203897625222</v>
      </c>
      <c r="I102" t="s">
        <v>311</v>
      </c>
      <c r="J102" t="s">
        <v>20</v>
      </c>
      <c r="K102">
        <v>66010</v>
      </c>
      <c r="L102">
        <f t="shared" si="6"/>
        <v>46.863796102374785</v>
      </c>
      <c r="M102">
        <v>8835</v>
      </c>
      <c r="N102">
        <f t="shared" si="9"/>
        <v>6.2724077952504338</v>
      </c>
      <c r="O102" t="str">
        <f t="shared" si="7"/>
        <v>Safe Seat</v>
      </c>
      <c r="P102">
        <v>1</v>
      </c>
      <c r="Q102">
        <v>2026</v>
      </c>
    </row>
    <row r="103" spans="1:17">
      <c r="A103">
        <v>102</v>
      </c>
      <c r="C103" t="s">
        <v>312</v>
      </c>
      <c r="D103" t="s">
        <v>313</v>
      </c>
      <c r="E103" t="s">
        <v>14</v>
      </c>
      <c r="F103">
        <f t="shared" si="8"/>
        <v>1</v>
      </c>
      <c r="G103">
        <v>123162</v>
      </c>
      <c r="H103">
        <f t="shared" si="5"/>
        <v>52.929193955958951</v>
      </c>
      <c r="I103" t="s">
        <v>314</v>
      </c>
      <c r="J103" t="s">
        <v>315</v>
      </c>
      <c r="K103">
        <v>109530</v>
      </c>
      <c r="L103">
        <f t="shared" si="6"/>
        <v>47.070806044041049</v>
      </c>
      <c r="M103">
        <v>13632</v>
      </c>
      <c r="N103">
        <f t="shared" si="9"/>
        <v>5.8583879119178999</v>
      </c>
      <c r="O103" t="str">
        <f t="shared" si="7"/>
        <v>Safe Seat</v>
      </c>
      <c r="P103">
        <v>0</v>
      </c>
      <c r="Q103">
        <v>2026</v>
      </c>
    </row>
    <row r="104" spans="1:17">
      <c r="A104">
        <v>103</v>
      </c>
      <c r="C104" t="s">
        <v>316</v>
      </c>
      <c r="D104" t="s">
        <v>317</v>
      </c>
      <c r="E104" t="s">
        <v>14</v>
      </c>
      <c r="F104">
        <f t="shared" si="8"/>
        <v>1</v>
      </c>
      <c r="G104">
        <v>148854</v>
      </c>
      <c r="H104">
        <f t="shared" si="5"/>
        <v>50.441884107082345</v>
      </c>
      <c r="I104" t="s">
        <v>318</v>
      </c>
      <c r="J104" t="s">
        <v>20</v>
      </c>
      <c r="K104">
        <v>146246</v>
      </c>
      <c r="L104">
        <f t="shared" si="6"/>
        <v>49.558115892917655</v>
      </c>
      <c r="M104">
        <v>2608</v>
      </c>
      <c r="N104">
        <f t="shared" si="9"/>
        <v>0.88376821416468987</v>
      </c>
      <c r="O104" t="str">
        <f t="shared" si="7"/>
        <v>Highly Competitive</v>
      </c>
      <c r="P104">
        <v>0</v>
      </c>
      <c r="Q104">
        <v>2026</v>
      </c>
    </row>
    <row r="105" spans="1:17">
      <c r="A105">
        <v>104</v>
      </c>
      <c r="C105" t="s">
        <v>319</v>
      </c>
      <c r="D105" t="s">
        <v>320</v>
      </c>
      <c r="E105" t="s">
        <v>20</v>
      </c>
      <c r="F105">
        <f t="shared" si="8"/>
        <v>2</v>
      </c>
      <c r="G105">
        <v>150724</v>
      </c>
      <c r="H105">
        <f t="shared" si="5"/>
        <v>54.722365430556863</v>
      </c>
      <c r="I105" t="s">
        <v>321</v>
      </c>
      <c r="J105" t="s">
        <v>14</v>
      </c>
      <c r="K105">
        <v>124710</v>
      </c>
      <c r="L105">
        <f t="shared" si="6"/>
        <v>45.27763456944313</v>
      </c>
      <c r="M105">
        <v>26014</v>
      </c>
      <c r="N105">
        <f t="shared" si="9"/>
        <v>9.4447308611137331</v>
      </c>
      <c r="O105" t="str">
        <f t="shared" si="7"/>
        <v>Safe Seat</v>
      </c>
      <c r="P105">
        <v>0</v>
      </c>
      <c r="Q105">
        <v>2026</v>
      </c>
    </row>
    <row r="106" spans="1:17">
      <c r="A106">
        <v>105</v>
      </c>
      <c r="C106" t="s">
        <v>322</v>
      </c>
      <c r="D106" t="s">
        <v>323</v>
      </c>
      <c r="E106" t="s">
        <v>20</v>
      </c>
      <c r="F106">
        <f t="shared" si="8"/>
        <v>2</v>
      </c>
      <c r="G106">
        <v>193772</v>
      </c>
      <c r="H106">
        <f t="shared" si="5"/>
        <v>53.268163412294136</v>
      </c>
      <c r="I106" t="s">
        <v>324</v>
      </c>
      <c r="J106" t="s">
        <v>14</v>
      </c>
      <c r="K106">
        <v>169995</v>
      </c>
      <c r="L106">
        <f t="shared" si="6"/>
        <v>46.731836587705864</v>
      </c>
      <c r="M106">
        <v>23777</v>
      </c>
      <c r="N106">
        <f t="shared" si="9"/>
        <v>6.536326824588266</v>
      </c>
      <c r="O106" t="str">
        <f t="shared" si="7"/>
        <v>Safe Seat</v>
      </c>
      <c r="P106">
        <v>0</v>
      </c>
      <c r="Q106">
        <v>2026</v>
      </c>
    </row>
    <row r="107" spans="1:17">
      <c r="A107">
        <v>106</v>
      </c>
      <c r="C107" t="s">
        <v>325</v>
      </c>
      <c r="D107" t="s">
        <v>326</v>
      </c>
      <c r="E107" t="s">
        <v>20</v>
      </c>
      <c r="F107">
        <f t="shared" si="8"/>
        <v>2</v>
      </c>
      <c r="G107">
        <v>266959</v>
      </c>
      <c r="H107">
        <f t="shared" si="5"/>
        <v>69.656257501591639</v>
      </c>
      <c r="I107" t="s">
        <v>327</v>
      </c>
      <c r="J107" t="s">
        <v>14</v>
      </c>
      <c r="K107">
        <v>116293</v>
      </c>
      <c r="L107">
        <f t="shared" si="6"/>
        <v>30.343742498408361</v>
      </c>
      <c r="M107">
        <v>150666</v>
      </c>
      <c r="N107">
        <f t="shared" si="9"/>
        <v>39.312515003183286</v>
      </c>
      <c r="O107" t="str">
        <f t="shared" si="7"/>
        <v>Safe Seat</v>
      </c>
      <c r="P107">
        <v>0</v>
      </c>
      <c r="Q107">
        <v>2026</v>
      </c>
    </row>
    <row r="108" spans="1:17">
      <c r="A108">
        <v>107</v>
      </c>
      <c r="C108" t="s">
        <v>328</v>
      </c>
      <c r="D108" t="s">
        <v>329</v>
      </c>
      <c r="E108" t="s">
        <v>20</v>
      </c>
      <c r="F108">
        <f t="shared" si="8"/>
        <v>2</v>
      </c>
      <c r="G108">
        <v>184233</v>
      </c>
      <c r="H108">
        <f t="shared" si="5"/>
        <v>63.613731475215118</v>
      </c>
      <c r="I108" t="s">
        <v>330</v>
      </c>
      <c r="J108" t="s">
        <v>44</v>
      </c>
      <c r="K108">
        <v>105379</v>
      </c>
      <c r="L108">
        <f t="shared" si="6"/>
        <v>36.386268524784889</v>
      </c>
      <c r="M108">
        <v>78854</v>
      </c>
      <c r="N108">
        <f t="shared" si="9"/>
        <v>27.22746295043023</v>
      </c>
      <c r="O108" t="str">
        <f t="shared" si="7"/>
        <v>Safe Seat</v>
      </c>
      <c r="P108">
        <v>0</v>
      </c>
      <c r="Q108">
        <v>2026</v>
      </c>
    </row>
    <row r="109" spans="1:17">
      <c r="A109">
        <v>108</v>
      </c>
      <c r="C109" t="s">
        <v>331</v>
      </c>
      <c r="D109" t="s">
        <v>332</v>
      </c>
      <c r="E109" t="s">
        <v>20</v>
      </c>
      <c r="F109">
        <f t="shared" si="8"/>
        <v>2</v>
      </c>
      <c r="G109">
        <v>106913</v>
      </c>
      <c r="H109">
        <f t="shared" si="5"/>
        <v>55.585710646306786</v>
      </c>
      <c r="I109" t="s">
        <v>333</v>
      </c>
      <c r="J109" t="s">
        <v>14</v>
      </c>
      <c r="K109">
        <v>85426</v>
      </c>
      <c r="L109">
        <f t="shared" si="6"/>
        <v>44.414289353693221</v>
      </c>
      <c r="M109">
        <v>21487</v>
      </c>
      <c r="N109">
        <f t="shared" si="9"/>
        <v>11.171421292613562</v>
      </c>
      <c r="O109" t="str">
        <f t="shared" si="7"/>
        <v>Safe Seat</v>
      </c>
      <c r="P109">
        <v>0</v>
      </c>
      <c r="Q109">
        <v>2026</v>
      </c>
    </row>
    <row r="110" spans="1:17">
      <c r="A110">
        <v>109</v>
      </c>
      <c r="B110" t="s">
        <v>334</v>
      </c>
      <c r="C110" t="s">
        <v>335</v>
      </c>
      <c r="D110" t="s">
        <v>336</v>
      </c>
      <c r="E110" t="s">
        <v>337</v>
      </c>
      <c r="F110">
        <f t="shared" si="8"/>
        <v>0</v>
      </c>
      <c r="G110">
        <v>140291</v>
      </c>
      <c r="H110">
        <f t="shared" si="5"/>
        <v>50.749902328206161</v>
      </c>
      <c r="I110" t="s">
        <v>338</v>
      </c>
      <c r="J110" t="s">
        <v>14</v>
      </c>
      <c r="K110">
        <v>136145</v>
      </c>
      <c r="L110">
        <f t="shared" si="6"/>
        <v>49.250097671793839</v>
      </c>
      <c r="M110">
        <v>4146</v>
      </c>
      <c r="N110">
        <f t="shared" si="9"/>
        <v>1.4998046564123342</v>
      </c>
      <c r="O110" t="str">
        <f t="shared" si="7"/>
        <v>Highly Competitive</v>
      </c>
      <c r="P110">
        <v>0</v>
      </c>
      <c r="Q110">
        <v>2026</v>
      </c>
    </row>
    <row r="111" spans="1:17">
      <c r="A111">
        <v>110</v>
      </c>
      <c r="C111" t="s">
        <v>339</v>
      </c>
      <c r="D111" t="s">
        <v>340</v>
      </c>
      <c r="E111" t="s">
        <v>14</v>
      </c>
      <c r="F111">
        <f t="shared" si="8"/>
        <v>1</v>
      </c>
      <c r="G111">
        <v>90643</v>
      </c>
      <c r="H111">
        <f t="shared" si="5"/>
        <v>51.533913241230309</v>
      </c>
      <c r="I111" t="s">
        <v>341</v>
      </c>
      <c r="J111" t="s">
        <v>20</v>
      </c>
      <c r="K111">
        <v>85247</v>
      </c>
      <c r="L111">
        <f t="shared" si="6"/>
        <v>48.466086758769684</v>
      </c>
      <c r="M111">
        <v>5396</v>
      </c>
      <c r="N111">
        <f t="shared" si="9"/>
        <v>3.0678264824606289</v>
      </c>
      <c r="O111" t="str">
        <f t="shared" si="7"/>
        <v>Highly Competitive</v>
      </c>
      <c r="P111">
        <v>0</v>
      </c>
      <c r="Q111">
        <v>2026</v>
      </c>
    </row>
    <row r="112" spans="1:17">
      <c r="A112">
        <v>111</v>
      </c>
      <c r="C112" t="s">
        <v>342</v>
      </c>
      <c r="D112" t="s">
        <v>343</v>
      </c>
      <c r="E112" t="s">
        <v>14</v>
      </c>
      <c r="F112">
        <f t="shared" si="8"/>
        <v>1</v>
      </c>
      <c r="G112">
        <v>152087</v>
      </c>
      <c r="H112">
        <f t="shared" si="5"/>
        <v>72.336954453787911</v>
      </c>
      <c r="I112" t="s">
        <v>344</v>
      </c>
      <c r="J112" t="s">
        <v>337</v>
      </c>
      <c r="K112">
        <v>58161</v>
      </c>
      <c r="L112">
        <f t="shared" si="6"/>
        <v>27.663045546212096</v>
      </c>
      <c r="M112">
        <v>93926</v>
      </c>
      <c r="N112">
        <f t="shared" si="9"/>
        <v>44.673908907575814</v>
      </c>
      <c r="O112" t="str">
        <f t="shared" si="7"/>
        <v>Safe Seat</v>
      </c>
      <c r="P112">
        <v>0</v>
      </c>
      <c r="Q112">
        <v>2026</v>
      </c>
    </row>
    <row r="113" spans="1:17">
      <c r="A113">
        <v>112</v>
      </c>
      <c r="C113" t="s">
        <v>345</v>
      </c>
      <c r="D113" t="s">
        <v>346</v>
      </c>
      <c r="E113" t="s">
        <v>20</v>
      </c>
      <c r="F113">
        <f t="shared" si="8"/>
        <v>2</v>
      </c>
      <c r="G113">
        <v>100750</v>
      </c>
      <c r="H113">
        <f t="shared" si="5"/>
        <v>58.093942084808504</v>
      </c>
      <c r="I113" t="s">
        <v>347</v>
      </c>
      <c r="J113" t="s">
        <v>14</v>
      </c>
      <c r="K113">
        <v>72676</v>
      </c>
      <c r="L113">
        <f t="shared" si="6"/>
        <v>41.906057915191489</v>
      </c>
      <c r="M113">
        <v>28074</v>
      </c>
      <c r="N113">
        <f t="shared" si="9"/>
        <v>16.187884169617011</v>
      </c>
      <c r="O113" t="str">
        <f t="shared" si="7"/>
        <v>Safe Seat</v>
      </c>
      <c r="P113">
        <v>0</v>
      </c>
      <c r="Q113">
        <v>2026</v>
      </c>
    </row>
    <row r="114" spans="1:17">
      <c r="A114">
        <v>113</v>
      </c>
      <c r="C114" t="s">
        <v>348</v>
      </c>
      <c r="D114" t="s">
        <v>349</v>
      </c>
      <c r="E114" t="s">
        <v>350</v>
      </c>
      <c r="F114">
        <f t="shared" si="8"/>
        <v>0</v>
      </c>
      <c r="G114">
        <v>97323</v>
      </c>
      <c r="H114">
        <f t="shared" si="5"/>
        <v>54.466544290479277</v>
      </c>
      <c r="I114" t="s">
        <v>351</v>
      </c>
      <c r="J114" t="s">
        <v>44</v>
      </c>
      <c r="K114">
        <v>81361</v>
      </c>
      <c r="L114">
        <f t="shared" si="6"/>
        <v>45.533455709520723</v>
      </c>
      <c r="M114">
        <v>15962</v>
      </c>
      <c r="N114">
        <f t="shared" si="9"/>
        <v>8.9330885809585627</v>
      </c>
      <c r="O114" t="str">
        <f t="shared" si="7"/>
        <v>Safe Seat</v>
      </c>
      <c r="P114">
        <v>0</v>
      </c>
      <c r="Q114">
        <v>2026</v>
      </c>
    </row>
    <row r="115" spans="1:17">
      <c r="A115">
        <v>114</v>
      </c>
      <c r="C115" t="s">
        <v>352</v>
      </c>
      <c r="D115" t="s">
        <v>353</v>
      </c>
      <c r="E115" t="s">
        <v>14</v>
      </c>
      <c r="F115">
        <f t="shared" si="8"/>
        <v>1</v>
      </c>
      <c r="G115">
        <v>124013</v>
      </c>
      <c r="H115">
        <f t="shared" si="5"/>
        <v>63.878129185124131</v>
      </c>
      <c r="I115" t="s">
        <v>354</v>
      </c>
      <c r="J115" t="s">
        <v>337</v>
      </c>
      <c r="K115">
        <v>70127</v>
      </c>
      <c r="L115">
        <f t="shared" si="6"/>
        <v>36.121870814875862</v>
      </c>
      <c r="M115">
        <v>53886</v>
      </c>
      <c r="N115">
        <f t="shared" si="9"/>
        <v>27.756258370248275</v>
      </c>
      <c r="O115" t="str">
        <f t="shared" si="7"/>
        <v>Safe Seat</v>
      </c>
      <c r="P115">
        <v>0</v>
      </c>
      <c r="Q115">
        <v>2026</v>
      </c>
    </row>
    <row r="116" spans="1:17">
      <c r="A116">
        <v>115</v>
      </c>
      <c r="C116" t="s">
        <v>355</v>
      </c>
      <c r="D116" t="s">
        <v>356</v>
      </c>
      <c r="E116" t="s">
        <v>357</v>
      </c>
      <c r="F116">
        <f t="shared" si="8"/>
        <v>0</v>
      </c>
      <c r="G116">
        <v>105543</v>
      </c>
      <c r="H116">
        <f t="shared" si="5"/>
        <v>58.349734630694385</v>
      </c>
      <c r="I116" t="s">
        <v>358</v>
      </c>
      <c r="J116" t="s">
        <v>20</v>
      </c>
      <c r="K116">
        <v>75337</v>
      </c>
      <c r="L116">
        <f t="shared" si="6"/>
        <v>41.650265369305615</v>
      </c>
      <c r="M116">
        <v>30206</v>
      </c>
      <c r="N116">
        <f t="shared" si="9"/>
        <v>16.699469261388767</v>
      </c>
      <c r="O116" t="str">
        <f t="shared" si="7"/>
        <v>Safe Seat</v>
      </c>
      <c r="P116">
        <v>0</v>
      </c>
      <c r="Q116">
        <v>2026</v>
      </c>
    </row>
    <row r="117" spans="1:17">
      <c r="A117">
        <v>116</v>
      </c>
      <c r="C117" t="s">
        <v>359</v>
      </c>
      <c r="D117" t="s">
        <v>360</v>
      </c>
      <c r="E117" t="s">
        <v>14</v>
      </c>
      <c r="F117">
        <f t="shared" si="8"/>
        <v>1</v>
      </c>
      <c r="G117">
        <v>119085</v>
      </c>
      <c r="H117">
        <f t="shared" si="5"/>
        <v>55.964152113841003</v>
      </c>
      <c r="I117" t="s">
        <v>361</v>
      </c>
      <c r="J117" t="s">
        <v>20</v>
      </c>
      <c r="K117">
        <v>93703</v>
      </c>
      <c r="L117">
        <f t="shared" si="6"/>
        <v>44.035847886158997</v>
      </c>
      <c r="M117">
        <v>25382</v>
      </c>
      <c r="N117">
        <f t="shared" si="9"/>
        <v>11.928304227682013</v>
      </c>
      <c r="O117" t="str">
        <f t="shared" si="7"/>
        <v>Safe Seat</v>
      </c>
      <c r="P117">
        <v>0</v>
      </c>
      <c r="Q117">
        <v>2026</v>
      </c>
    </row>
    <row r="118" spans="1:17">
      <c r="A118">
        <v>117</v>
      </c>
      <c r="C118" t="s">
        <v>362</v>
      </c>
      <c r="D118" t="s">
        <v>363</v>
      </c>
      <c r="E118" t="s">
        <v>14</v>
      </c>
      <c r="F118">
        <f t="shared" si="8"/>
        <v>1</v>
      </c>
      <c r="G118">
        <v>145990</v>
      </c>
      <c r="H118">
        <f t="shared" si="5"/>
        <v>71.795653606503365</v>
      </c>
      <c r="I118" t="s">
        <v>364</v>
      </c>
      <c r="J118" t="s">
        <v>365</v>
      </c>
      <c r="K118">
        <v>57351</v>
      </c>
      <c r="L118">
        <f t="shared" si="6"/>
        <v>28.204346393496639</v>
      </c>
      <c r="M118">
        <v>88639</v>
      </c>
      <c r="N118">
        <f t="shared" si="9"/>
        <v>43.591307213006722</v>
      </c>
      <c r="O118" t="str">
        <f t="shared" si="7"/>
        <v>Safe Seat</v>
      </c>
      <c r="P118">
        <v>0</v>
      </c>
      <c r="Q118">
        <v>2026</v>
      </c>
    </row>
    <row r="119" spans="1:17">
      <c r="A119">
        <v>118</v>
      </c>
      <c r="C119" t="s">
        <v>366</v>
      </c>
      <c r="D119" t="s">
        <v>367</v>
      </c>
      <c r="E119" t="s">
        <v>14</v>
      </c>
      <c r="F119">
        <f t="shared" si="8"/>
        <v>1</v>
      </c>
      <c r="G119">
        <v>189351</v>
      </c>
      <c r="H119">
        <f t="shared" si="5"/>
        <v>69.925919907824579</v>
      </c>
      <c r="I119" t="s">
        <v>368</v>
      </c>
      <c r="J119" t="s">
        <v>20</v>
      </c>
      <c r="K119">
        <v>81437</v>
      </c>
      <c r="L119">
        <f t="shared" si="6"/>
        <v>30.074080092175432</v>
      </c>
      <c r="M119">
        <v>107914</v>
      </c>
      <c r="N119">
        <f t="shared" si="9"/>
        <v>39.851839815649143</v>
      </c>
      <c r="O119" t="str">
        <f t="shared" si="7"/>
        <v>Safe Seat</v>
      </c>
      <c r="P119">
        <v>0</v>
      </c>
      <c r="Q119">
        <v>2026</v>
      </c>
    </row>
    <row r="120" spans="1:17">
      <c r="A120">
        <v>119</v>
      </c>
      <c r="C120" t="s">
        <v>1151</v>
      </c>
      <c r="D120" t="s">
        <v>370</v>
      </c>
      <c r="E120" t="s">
        <v>14</v>
      </c>
      <c r="F120">
        <f t="shared" si="8"/>
        <v>1</v>
      </c>
      <c r="G120">
        <v>100552</v>
      </c>
      <c r="H120">
        <f t="shared" si="5"/>
        <v>68.488914620440681</v>
      </c>
      <c r="I120" t="s">
        <v>371</v>
      </c>
      <c r="J120" t="s">
        <v>20</v>
      </c>
      <c r="K120">
        <v>46263</v>
      </c>
      <c r="L120">
        <f t="shared" si="6"/>
        <v>31.511085379559312</v>
      </c>
      <c r="M120">
        <v>54289</v>
      </c>
      <c r="N120">
        <f t="shared" si="9"/>
        <v>36.977829240881384</v>
      </c>
      <c r="O120" t="str">
        <f t="shared" si="7"/>
        <v>Safe Seat</v>
      </c>
      <c r="P120">
        <v>0</v>
      </c>
      <c r="Q120">
        <v>2026</v>
      </c>
    </row>
    <row r="121" spans="1:17">
      <c r="A121">
        <v>120</v>
      </c>
      <c r="C121" t="s">
        <v>1154</v>
      </c>
      <c r="D121" t="s">
        <v>373</v>
      </c>
      <c r="E121" t="s">
        <v>14</v>
      </c>
      <c r="F121">
        <f t="shared" si="8"/>
        <v>1</v>
      </c>
      <c r="G121">
        <v>141622</v>
      </c>
      <c r="H121">
        <f t="shared" si="5"/>
        <v>65.655713385009079</v>
      </c>
      <c r="I121" t="s">
        <v>374</v>
      </c>
      <c r="J121" t="s">
        <v>20</v>
      </c>
      <c r="K121">
        <v>74082</v>
      </c>
      <c r="L121">
        <f t="shared" si="6"/>
        <v>34.344286614990914</v>
      </c>
      <c r="M121">
        <v>67540</v>
      </c>
      <c r="N121">
        <f t="shared" si="9"/>
        <v>31.311426770018176</v>
      </c>
      <c r="O121" t="str">
        <f t="shared" si="7"/>
        <v>Safe Seat</v>
      </c>
      <c r="P121">
        <v>0</v>
      </c>
      <c r="Q121">
        <v>2026</v>
      </c>
    </row>
    <row r="122" spans="1:17">
      <c r="A122">
        <v>121</v>
      </c>
      <c r="C122" t="s">
        <v>1157</v>
      </c>
      <c r="D122" t="s">
        <v>376</v>
      </c>
      <c r="E122" t="s">
        <v>14</v>
      </c>
      <c r="F122">
        <f t="shared" si="8"/>
        <v>1</v>
      </c>
      <c r="G122">
        <v>80930</v>
      </c>
      <c r="H122">
        <f t="shared" si="5"/>
        <v>56.944033998958645</v>
      </c>
      <c r="I122" t="s">
        <v>377</v>
      </c>
      <c r="J122" t="s">
        <v>378</v>
      </c>
      <c r="K122">
        <v>61192</v>
      </c>
      <c r="L122">
        <f t="shared" si="6"/>
        <v>43.055966001041355</v>
      </c>
      <c r="M122">
        <v>19738</v>
      </c>
      <c r="N122">
        <f t="shared" si="9"/>
        <v>13.888067997917283</v>
      </c>
      <c r="O122" t="str">
        <f t="shared" si="7"/>
        <v>Safe Seat</v>
      </c>
      <c r="P122">
        <v>1</v>
      </c>
      <c r="Q122">
        <v>2026</v>
      </c>
    </row>
    <row r="123" spans="1:17">
      <c r="A123">
        <v>122</v>
      </c>
      <c r="C123" t="s">
        <v>1159</v>
      </c>
      <c r="D123" t="s">
        <v>380</v>
      </c>
      <c r="E123" t="s">
        <v>14</v>
      </c>
      <c r="F123">
        <f t="shared" si="8"/>
        <v>1</v>
      </c>
      <c r="G123">
        <v>128322</v>
      </c>
      <c r="H123">
        <f t="shared" si="5"/>
        <v>63.210939578140547</v>
      </c>
      <c r="I123" t="s">
        <v>381</v>
      </c>
      <c r="J123" t="s">
        <v>20</v>
      </c>
      <c r="K123">
        <v>74684</v>
      </c>
      <c r="L123">
        <f t="shared" si="6"/>
        <v>36.789060421859453</v>
      </c>
      <c r="M123">
        <v>53638</v>
      </c>
      <c r="N123">
        <f t="shared" si="9"/>
        <v>26.421879156281097</v>
      </c>
      <c r="O123" t="str">
        <f t="shared" si="7"/>
        <v>Safe Seat</v>
      </c>
      <c r="P123">
        <v>0</v>
      </c>
      <c r="Q123">
        <v>2026</v>
      </c>
    </row>
    <row r="124" spans="1:17">
      <c r="A124">
        <v>123</v>
      </c>
      <c r="C124" t="s">
        <v>1161</v>
      </c>
      <c r="D124" t="s">
        <v>383</v>
      </c>
      <c r="E124" t="s">
        <v>14</v>
      </c>
      <c r="F124">
        <f t="shared" si="8"/>
        <v>1</v>
      </c>
      <c r="G124">
        <v>135146</v>
      </c>
      <c r="H124">
        <f t="shared" si="5"/>
        <v>58.710630348842265</v>
      </c>
      <c r="I124" t="s">
        <v>384</v>
      </c>
      <c r="J124" t="s">
        <v>337</v>
      </c>
      <c r="K124">
        <v>95044</v>
      </c>
      <c r="L124">
        <f t="shared" si="6"/>
        <v>41.289369651157735</v>
      </c>
      <c r="M124">
        <v>40102</v>
      </c>
      <c r="N124">
        <f t="shared" si="9"/>
        <v>17.42126069768452</v>
      </c>
      <c r="O124" t="str">
        <f t="shared" si="7"/>
        <v>Safe Seat</v>
      </c>
      <c r="P124">
        <v>0</v>
      </c>
      <c r="Q124">
        <v>2026</v>
      </c>
    </row>
    <row r="125" spans="1:17">
      <c r="A125">
        <v>124</v>
      </c>
      <c r="C125" t="s">
        <v>1163</v>
      </c>
      <c r="D125" t="s">
        <v>386</v>
      </c>
      <c r="E125" t="s">
        <v>14</v>
      </c>
      <c r="F125">
        <f t="shared" si="8"/>
        <v>1</v>
      </c>
      <c r="G125">
        <v>82217</v>
      </c>
      <c r="H125">
        <f t="shared" si="5"/>
        <v>59.489164646720447</v>
      </c>
      <c r="I125" t="s">
        <v>387</v>
      </c>
      <c r="J125" t="s">
        <v>20</v>
      </c>
      <c r="K125">
        <v>55988</v>
      </c>
      <c r="L125">
        <f t="shared" si="6"/>
        <v>40.510835353279553</v>
      </c>
      <c r="M125">
        <v>26229</v>
      </c>
      <c r="N125">
        <f t="shared" si="9"/>
        <v>18.978329293440904</v>
      </c>
      <c r="O125" t="str">
        <f t="shared" si="7"/>
        <v>Safe Seat</v>
      </c>
      <c r="P125">
        <v>0</v>
      </c>
      <c r="Q125">
        <v>2026</v>
      </c>
    </row>
    <row r="126" spans="1:17">
      <c r="A126">
        <v>125</v>
      </c>
      <c r="C126" t="s">
        <v>388</v>
      </c>
      <c r="D126" t="s">
        <v>389</v>
      </c>
      <c r="E126" t="s">
        <v>14</v>
      </c>
      <c r="F126">
        <f t="shared" si="8"/>
        <v>1</v>
      </c>
      <c r="G126">
        <v>62010</v>
      </c>
      <c r="H126">
        <f t="shared" si="5"/>
        <v>52.941176470588239</v>
      </c>
      <c r="I126" t="s">
        <v>390</v>
      </c>
      <c r="J126" t="s">
        <v>20</v>
      </c>
      <c r="K126">
        <v>55120</v>
      </c>
      <c r="L126">
        <f t="shared" si="6"/>
        <v>47.058823529411761</v>
      </c>
      <c r="M126">
        <v>6890</v>
      </c>
      <c r="N126">
        <f t="shared" si="9"/>
        <v>5.8823529411764701</v>
      </c>
      <c r="O126" t="str">
        <f t="shared" si="7"/>
        <v>Safe Seat</v>
      </c>
      <c r="P126">
        <v>0</v>
      </c>
      <c r="Q126">
        <v>2026</v>
      </c>
    </row>
    <row r="127" spans="1:17">
      <c r="A127">
        <v>126</v>
      </c>
      <c r="C127" t="s">
        <v>391</v>
      </c>
      <c r="D127" t="s">
        <v>392</v>
      </c>
      <c r="E127" t="s">
        <v>14</v>
      </c>
      <c r="F127">
        <f t="shared" si="8"/>
        <v>1</v>
      </c>
      <c r="G127">
        <v>113419</v>
      </c>
      <c r="H127">
        <f t="shared" si="5"/>
        <v>61.649137111020522</v>
      </c>
      <c r="I127" t="s">
        <v>393</v>
      </c>
      <c r="J127" t="s">
        <v>20</v>
      </c>
      <c r="K127">
        <v>70556</v>
      </c>
      <c r="L127">
        <f t="shared" si="6"/>
        <v>38.350862888979478</v>
      </c>
      <c r="M127">
        <v>42863</v>
      </c>
      <c r="N127">
        <f t="shared" si="9"/>
        <v>23.298274222041037</v>
      </c>
      <c r="O127" t="str">
        <f t="shared" si="7"/>
        <v>Safe Seat</v>
      </c>
      <c r="P127">
        <v>0</v>
      </c>
      <c r="Q127">
        <v>2026</v>
      </c>
    </row>
    <row r="128" spans="1:17">
      <c r="A128">
        <v>127</v>
      </c>
      <c r="C128" t="s">
        <v>394</v>
      </c>
      <c r="D128" t="s">
        <v>395</v>
      </c>
      <c r="E128" t="s">
        <v>20</v>
      </c>
      <c r="F128">
        <f t="shared" si="8"/>
        <v>2</v>
      </c>
      <c r="G128">
        <v>132659</v>
      </c>
      <c r="H128">
        <f t="shared" si="5"/>
        <v>55.328990173670775</v>
      </c>
      <c r="I128" t="s">
        <v>396</v>
      </c>
      <c r="J128" t="s">
        <v>14</v>
      </c>
      <c r="K128">
        <v>107105</v>
      </c>
      <c r="L128">
        <f t="shared" si="6"/>
        <v>44.671009826329225</v>
      </c>
      <c r="M128">
        <v>25554</v>
      </c>
      <c r="N128">
        <f t="shared" si="9"/>
        <v>10.657980347341553</v>
      </c>
      <c r="O128" t="str">
        <f t="shared" si="7"/>
        <v>Safe Seat</v>
      </c>
      <c r="P128">
        <v>0</v>
      </c>
      <c r="Q128">
        <v>2026</v>
      </c>
    </row>
    <row r="129" spans="1:17">
      <c r="A129">
        <v>128</v>
      </c>
      <c r="C129" t="s">
        <v>397</v>
      </c>
      <c r="D129" t="s">
        <v>398</v>
      </c>
      <c r="E129" t="s">
        <v>14</v>
      </c>
      <c r="F129">
        <f t="shared" si="8"/>
        <v>1</v>
      </c>
      <c r="G129">
        <v>105185</v>
      </c>
      <c r="H129">
        <f t="shared" si="5"/>
        <v>52.050652705337441</v>
      </c>
      <c r="I129" t="s">
        <v>399</v>
      </c>
      <c r="J129" t="s">
        <v>20</v>
      </c>
      <c r="K129">
        <v>96897</v>
      </c>
      <c r="L129">
        <f t="shared" si="6"/>
        <v>47.949347294662566</v>
      </c>
      <c r="M129">
        <v>8288</v>
      </c>
      <c r="N129">
        <f t="shared" si="9"/>
        <v>4.1013054106748745</v>
      </c>
      <c r="O129" t="str">
        <f t="shared" si="7"/>
        <v>Highly Competitive</v>
      </c>
      <c r="P129">
        <v>0</v>
      </c>
      <c r="Q129">
        <v>2026</v>
      </c>
    </row>
    <row r="130" spans="1:17">
      <c r="A130">
        <v>129</v>
      </c>
      <c r="C130" t="s">
        <v>400</v>
      </c>
      <c r="D130" t="s">
        <v>401</v>
      </c>
      <c r="E130" t="s">
        <v>14</v>
      </c>
      <c r="F130">
        <f t="shared" si="8"/>
        <v>1</v>
      </c>
      <c r="G130">
        <v>63791</v>
      </c>
      <c r="H130">
        <f t="shared" ref="H130:H193" si="10">G130/(G130+K130)*100</f>
        <v>63.532423038234384</v>
      </c>
      <c r="I130" t="s">
        <v>402</v>
      </c>
      <c r="J130" t="s">
        <v>16</v>
      </c>
      <c r="K130">
        <v>36616</v>
      </c>
      <c r="L130">
        <f t="shared" ref="L130:L193" si="11">K130/(G130+K130)*100</f>
        <v>36.467576961765616</v>
      </c>
      <c r="M130">
        <v>27175</v>
      </c>
      <c r="N130">
        <f t="shared" si="9"/>
        <v>27.064846076468775</v>
      </c>
      <c r="O130" t="str">
        <f t="shared" ref="O130:O193" si="12">IF(N130&lt;5,"Highly Competitive",
IF(N130&lt;0.1,"Competitive",
IF(N130&lt;0.2,"Moderate","Safe Seat")))</f>
        <v>Safe Seat</v>
      </c>
      <c r="P130">
        <v>0</v>
      </c>
      <c r="Q130">
        <v>2026</v>
      </c>
    </row>
    <row r="131" spans="1:17">
      <c r="A131">
        <v>138</v>
      </c>
      <c r="B131" t="s">
        <v>403</v>
      </c>
      <c r="C131" t="s">
        <v>404</v>
      </c>
      <c r="D131" t="s">
        <v>405</v>
      </c>
      <c r="E131" t="s">
        <v>14</v>
      </c>
      <c r="F131">
        <f t="shared" ref="F131:F194" si="13">IF(E131="BNP",1,
IF(E131="Jamaat",2,
IF(E131="AL",3,
IF(E131="JP",4,
IF(E131="IND",5,0)))))</f>
        <v>1</v>
      </c>
      <c r="G131">
        <v>172011</v>
      </c>
      <c r="H131">
        <f t="shared" si="10"/>
        <v>64.745626185672549</v>
      </c>
      <c r="I131" t="s">
        <v>406</v>
      </c>
      <c r="J131" t="s">
        <v>20</v>
      </c>
      <c r="K131">
        <v>93661</v>
      </c>
      <c r="L131">
        <f t="shared" si="11"/>
        <v>35.254373814327437</v>
      </c>
      <c r="M131">
        <v>78350</v>
      </c>
      <c r="N131">
        <f t="shared" ref="N131:N194" si="14">(G131-K131)/(G131+K131)*100</f>
        <v>29.491252371345116</v>
      </c>
      <c r="O131" t="str">
        <f t="shared" si="12"/>
        <v>Safe Seat</v>
      </c>
      <c r="P131">
        <v>0</v>
      </c>
      <c r="Q131">
        <v>2026</v>
      </c>
    </row>
    <row r="132" spans="1:17">
      <c r="A132">
        <v>139</v>
      </c>
      <c r="C132" t="s">
        <v>407</v>
      </c>
      <c r="D132" t="s">
        <v>408</v>
      </c>
      <c r="E132" t="s">
        <v>14</v>
      </c>
      <c r="F132">
        <f t="shared" si="13"/>
        <v>1</v>
      </c>
      <c r="G132">
        <v>95860</v>
      </c>
      <c r="H132">
        <f t="shared" si="10"/>
        <v>60.558201826980174</v>
      </c>
      <c r="I132" t="s">
        <v>409</v>
      </c>
      <c r="J132" t="s">
        <v>20</v>
      </c>
      <c r="K132">
        <v>62434</v>
      </c>
      <c r="L132">
        <f t="shared" si="11"/>
        <v>39.441798173019826</v>
      </c>
      <c r="M132">
        <v>33426</v>
      </c>
      <c r="N132">
        <f t="shared" si="14"/>
        <v>21.116403653960354</v>
      </c>
      <c r="O132" t="str">
        <f t="shared" si="12"/>
        <v>Safe Seat</v>
      </c>
      <c r="P132">
        <v>0</v>
      </c>
      <c r="Q132">
        <v>2026</v>
      </c>
    </row>
    <row r="133" spans="1:17">
      <c r="A133">
        <v>140</v>
      </c>
      <c r="C133" t="s">
        <v>410</v>
      </c>
      <c r="D133" t="s">
        <v>411</v>
      </c>
      <c r="E133" t="s">
        <v>14</v>
      </c>
      <c r="F133">
        <f t="shared" si="13"/>
        <v>1</v>
      </c>
      <c r="G133">
        <v>207412</v>
      </c>
      <c r="H133">
        <f t="shared" si="10"/>
        <v>71.808116548147424</v>
      </c>
      <c r="I133" t="s">
        <v>412</v>
      </c>
      <c r="J133" t="s">
        <v>20</v>
      </c>
      <c r="K133">
        <v>81430</v>
      </c>
      <c r="L133">
        <f t="shared" si="11"/>
        <v>28.191883451852568</v>
      </c>
      <c r="M133">
        <v>125982</v>
      </c>
      <c r="N133">
        <f t="shared" si="14"/>
        <v>43.616233096294863</v>
      </c>
      <c r="O133" t="str">
        <f t="shared" si="12"/>
        <v>Safe Seat</v>
      </c>
      <c r="P133">
        <v>0</v>
      </c>
      <c r="Q133">
        <v>2026</v>
      </c>
    </row>
    <row r="134" spans="1:17">
      <c r="A134">
        <v>141</v>
      </c>
      <c r="C134" t="s">
        <v>413</v>
      </c>
      <c r="D134" t="s">
        <v>414</v>
      </c>
      <c r="E134" t="s">
        <v>14</v>
      </c>
      <c r="F134">
        <f t="shared" si="13"/>
        <v>1</v>
      </c>
      <c r="G134">
        <v>147406</v>
      </c>
      <c r="H134">
        <f t="shared" si="10"/>
        <v>76.633065249827141</v>
      </c>
      <c r="I134" t="s">
        <v>415</v>
      </c>
      <c r="J134" t="s">
        <v>20</v>
      </c>
      <c r="K134">
        <v>44947</v>
      </c>
      <c r="L134">
        <f t="shared" si="11"/>
        <v>23.366934750172859</v>
      </c>
      <c r="M134">
        <v>102459</v>
      </c>
      <c r="N134">
        <f t="shared" si="14"/>
        <v>53.266130499654288</v>
      </c>
      <c r="O134" t="str">
        <f t="shared" si="12"/>
        <v>Safe Seat</v>
      </c>
      <c r="P134">
        <v>0</v>
      </c>
      <c r="Q134">
        <v>2026</v>
      </c>
    </row>
    <row r="135" spans="1:17">
      <c r="A135">
        <v>142</v>
      </c>
      <c r="C135" t="s">
        <v>416</v>
      </c>
      <c r="D135" t="s">
        <v>417</v>
      </c>
      <c r="E135" t="s">
        <v>14</v>
      </c>
      <c r="F135">
        <f t="shared" si="13"/>
        <v>1</v>
      </c>
      <c r="G135">
        <v>199344</v>
      </c>
      <c r="H135">
        <f t="shared" si="10"/>
        <v>63.780895551040651</v>
      </c>
      <c r="I135" t="s">
        <v>418</v>
      </c>
      <c r="J135" t="s">
        <v>20</v>
      </c>
      <c r="K135">
        <v>113201</v>
      </c>
      <c r="L135">
        <f t="shared" si="11"/>
        <v>36.219104448959349</v>
      </c>
      <c r="M135">
        <v>86143</v>
      </c>
      <c r="N135">
        <f t="shared" si="14"/>
        <v>27.561791102081301</v>
      </c>
      <c r="O135" t="str">
        <f t="shared" si="12"/>
        <v>Safe Seat</v>
      </c>
      <c r="P135">
        <v>0</v>
      </c>
      <c r="Q135">
        <v>2026</v>
      </c>
    </row>
    <row r="136" spans="1:17">
      <c r="A136">
        <v>143</v>
      </c>
      <c r="C136" t="s">
        <v>419</v>
      </c>
      <c r="D136" t="s">
        <v>420</v>
      </c>
      <c r="E136" t="s">
        <v>20</v>
      </c>
      <c r="F136">
        <f t="shared" si="13"/>
        <v>2</v>
      </c>
      <c r="G136">
        <v>127811</v>
      </c>
      <c r="H136">
        <f t="shared" si="10"/>
        <v>61.998127604255096</v>
      </c>
      <c r="I136" t="s">
        <v>421</v>
      </c>
      <c r="J136" t="s">
        <v>14</v>
      </c>
      <c r="K136">
        <v>78342</v>
      </c>
      <c r="L136">
        <f t="shared" si="11"/>
        <v>38.001872395744904</v>
      </c>
      <c r="M136">
        <v>49469</v>
      </c>
      <c r="N136">
        <f t="shared" si="14"/>
        <v>23.996255208510185</v>
      </c>
      <c r="O136" t="str">
        <f t="shared" si="12"/>
        <v>Safe Seat</v>
      </c>
      <c r="P136">
        <v>0</v>
      </c>
      <c r="Q136">
        <v>2026</v>
      </c>
    </row>
    <row r="137" spans="1:17">
      <c r="A137">
        <v>144</v>
      </c>
      <c r="C137" t="s">
        <v>422</v>
      </c>
      <c r="D137" t="s">
        <v>423</v>
      </c>
      <c r="E137" t="s">
        <v>14</v>
      </c>
      <c r="F137">
        <f t="shared" si="13"/>
        <v>1</v>
      </c>
      <c r="G137">
        <v>118472</v>
      </c>
      <c r="H137">
        <f t="shared" si="10"/>
        <v>52.234719386967775</v>
      </c>
      <c r="I137" t="s">
        <v>424</v>
      </c>
      <c r="J137" t="s">
        <v>20</v>
      </c>
      <c r="K137">
        <v>108335</v>
      </c>
      <c r="L137">
        <f t="shared" si="11"/>
        <v>47.765280613032225</v>
      </c>
      <c r="M137">
        <v>10137</v>
      </c>
      <c r="N137">
        <f t="shared" si="14"/>
        <v>4.4694387739355488</v>
      </c>
      <c r="O137" t="str">
        <f t="shared" si="12"/>
        <v>Highly Competitive</v>
      </c>
      <c r="P137">
        <v>0</v>
      </c>
      <c r="Q137">
        <v>2026</v>
      </c>
    </row>
    <row r="138" spans="1:17">
      <c r="A138">
        <v>145</v>
      </c>
      <c r="C138" t="s">
        <v>425</v>
      </c>
      <c r="D138" t="s">
        <v>426</v>
      </c>
      <c r="E138" t="s">
        <v>426</v>
      </c>
      <c r="F138">
        <f t="shared" si="13"/>
        <v>0</v>
      </c>
      <c r="H138" t="e">
        <f t="shared" si="10"/>
        <v>#DIV/0!</v>
      </c>
      <c r="I138" t="s">
        <v>426</v>
      </c>
      <c r="J138" t="s">
        <v>426</v>
      </c>
      <c r="L138" t="e">
        <f t="shared" si="11"/>
        <v>#DIV/0!</v>
      </c>
      <c r="N138" t="e">
        <f t="shared" si="14"/>
        <v>#DIV/0!</v>
      </c>
      <c r="O138" t="e">
        <f t="shared" si="12"/>
        <v>#DIV/0!</v>
      </c>
      <c r="P138">
        <v>0</v>
      </c>
      <c r="Q138">
        <v>2026</v>
      </c>
    </row>
    <row r="139" spans="1:17">
      <c r="A139">
        <v>146</v>
      </c>
      <c r="C139" t="s">
        <v>427</v>
      </c>
      <c r="D139" t="s">
        <v>428</v>
      </c>
      <c r="E139" t="s">
        <v>44</v>
      </c>
      <c r="F139">
        <f t="shared" si="13"/>
        <v>5</v>
      </c>
      <c r="G139">
        <v>108265</v>
      </c>
      <c r="H139">
        <f t="shared" si="10"/>
        <v>51.507914230390448</v>
      </c>
      <c r="I139" t="s">
        <v>429</v>
      </c>
      <c r="J139" t="s">
        <v>14</v>
      </c>
      <c r="K139">
        <v>101926</v>
      </c>
      <c r="L139">
        <f t="shared" si="11"/>
        <v>48.492085769609545</v>
      </c>
      <c r="M139">
        <v>6339</v>
      </c>
      <c r="N139">
        <f t="shared" si="14"/>
        <v>3.0158284607809089</v>
      </c>
      <c r="O139" t="str">
        <f t="shared" si="12"/>
        <v>Highly Competitive</v>
      </c>
      <c r="P139">
        <v>0</v>
      </c>
      <c r="Q139">
        <v>2026</v>
      </c>
    </row>
    <row r="140" spans="1:17">
      <c r="A140">
        <v>147</v>
      </c>
      <c r="C140" t="s">
        <v>430</v>
      </c>
      <c r="D140" t="s">
        <v>431</v>
      </c>
      <c r="E140" t="s">
        <v>199</v>
      </c>
      <c r="F140">
        <f t="shared" si="13"/>
        <v>0</v>
      </c>
      <c r="G140">
        <v>144565</v>
      </c>
      <c r="H140">
        <f t="shared" si="10"/>
        <v>55.196652272354143</v>
      </c>
      <c r="I140" t="s">
        <v>432</v>
      </c>
      <c r="J140" t="s">
        <v>14</v>
      </c>
      <c r="K140">
        <v>117344</v>
      </c>
      <c r="L140">
        <f t="shared" si="11"/>
        <v>44.803347727645857</v>
      </c>
      <c r="M140">
        <v>27221</v>
      </c>
      <c r="N140">
        <f t="shared" si="14"/>
        <v>10.393304544708275</v>
      </c>
      <c r="O140" t="str">
        <f t="shared" si="12"/>
        <v>Safe Seat</v>
      </c>
      <c r="P140">
        <v>0</v>
      </c>
      <c r="Q140">
        <v>2026</v>
      </c>
    </row>
    <row r="141" spans="1:17">
      <c r="A141">
        <v>148</v>
      </c>
      <c r="C141" t="s">
        <v>433</v>
      </c>
      <c r="D141" t="s">
        <v>434</v>
      </c>
      <c r="E141" t="s">
        <v>14</v>
      </c>
      <c r="F141">
        <f t="shared" si="13"/>
        <v>1</v>
      </c>
      <c r="G141">
        <v>75320</v>
      </c>
      <c r="H141">
        <f t="shared" si="10"/>
        <v>53.299366663128467</v>
      </c>
      <c r="I141" t="s">
        <v>435</v>
      </c>
      <c r="J141" t="s">
        <v>44</v>
      </c>
      <c r="K141">
        <v>65995</v>
      </c>
      <c r="L141">
        <f t="shared" si="11"/>
        <v>46.700633336871526</v>
      </c>
      <c r="M141">
        <v>9325</v>
      </c>
      <c r="N141">
        <f t="shared" si="14"/>
        <v>6.5987333262569434</v>
      </c>
      <c r="O141" t="str">
        <f t="shared" si="12"/>
        <v>Safe Seat</v>
      </c>
      <c r="P141">
        <v>0</v>
      </c>
      <c r="Q141">
        <v>2026</v>
      </c>
    </row>
    <row r="142" spans="1:17">
      <c r="A142">
        <v>149</v>
      </c>
      <c r="C142" t="s">
        <v>436</v>
      </c>
      <c r="D142" t="s">
        <v>437</v>
      </c>
      <c r="E142" t="s">
        <v>14</v>
      </c>
      <c r="F142">
        <f t="shared" si="13"/>
        <v>1</v>
      </c>
      <c r="G142">
        <v>177891</v>
      </c>
      <c r="H142">
        <f t="shared" si="10"/>
        <v>51.195927142121214</v>
      </c>
      <c r="I142" t="s">
        <v>438</v>
      </c>
      <c r="J142" t="s">
        <v>20</v>
      </c>
      <c r="K142">
        <v>169580</v>
      </c>
      <c r="L142">
        <f t="shared" si="11"/>
        <v>48.804072857878786</v>
      </c>
      <c r="M142">
        <v>8311</v>
      </c>
      <c r="N142">
        <f t="shared" si="14"/>
        <v>2.391854284242426</v>
      </c>
      <c r="O142" t="str">
        <f t="shared" si="12"/>
        <v>Highly Competitive</v>
      </c>
      <c r="P142">
        <v>1</v>
      </c>
      <c r="Q142">
        <v>2026</v>
      </c>
    </row>
    <row r="143" spans="1:17">
      <c r="A143">
        <v>150</v>
      </c>
      <c r="C143" t="s">
        <v>439</v>
      </c>
      <c r="D143" t="s">
        <v>440</v>
      </c>
      <c r="E143" t="s">
        <v>14</v>
      </c>
      <c r="F143">
        <f t="shared" si="13"/>
        <v>1</v>
      </c>
      <c r="G143">
        <v>128896</v>
      </c>
      <c r="H143">
        <f t="shared" si="10"/>
        <v>55.769197487063224</v>
      </c>
      <c r="I143" t="s">
        <v>441</v>
      </c>
      <c r="J143" t="s">
        <v>20</v>
      </c>
      <c r="K143">
        <v>102228</v>
      </c>
      <c r="L143">
        <f t="shared" si="11"/>
        <v>44.230802512936776</v>
      </c>
      <c r="M143">
        <v>26668</v>
      </c>
      <c r="N143">
        <f t="shared" si="14"/>
        <v>11.538394974126442</v>
      </c>
      <c r="O143" t="str">
        <f t="shared" si="12"/>
        <v>Safe Seat</v>
      </c>
      <c r="P143">
        <v>0</v>
      </c>
      <c r="Q143">
        <v>2026</v>
      </c>
    </row>
    <row r="144" spans="1:17">
      <c r="A144">
        <v>151</v>
      </c>
      <c r="C144" t="s">
        <v>442</v>
      </c>
      <c r="D144" t="s">
        <v>443</v>
      </c>
      <c r="E144" t="s">
        <v>20</v>
      </c>
      <c r="F144">
        <f t="shared" si="13"/>
        <v>2</v>
      </c>
      <c r="G144">
        <v>75946</v>
      </c>
      <c r="H144">
        <f t="shared" si="10"/>
        <v>59.049100027213001</v>
      </c>
      <c r="I144" t="s">
        <v>444</v>
      </c>
      <c r="J144" t="s">
        <v>44</v>
      </c>
      <c r="K144">
        <v>52669</v>
      </c>
      <c r="L144">
        <f t="shared" si="11"/>
        <v>40.950899972786999</v>
      </c>
      <c r="M144">
        <v>23277</v>
      </c>
      <c r="N144">
        <f t="shared" si="14"/>
        <v>18.098200054426002</v>
      </c>
      <c r="O144" t="str">
        <f t="shared" si="12"/>
        <v>Safe Seat</v>
      </c>
      <c r="P144">
        <v>0</v>
      </c>
      <c r="Q144">
        <v>2026</v>
      </c>
    </row>
    <row r="145" spans="1:17">
      <c r="A145">
        <v>152</v>
      </c>
      <c r="C145" t="s">
        <v>445</v>
      </c>
      <c r="D145" t="s">
        <v>446</v>
      </c>
      <c r="E145" t="s">
        <v>14</v>
      </c>
      <c r="F145">
        <f t="shared" si="13"/>
        <v>1</v>
      </c>
      <c r="G145">
        <v>99049</v>
      </c>
      <c r="H145">
        <f t="shared" si="10"/>
        <v>53.860250135943446</v>
      </c>
      <c r="I145" t="s">
        <v>447</v>
      </c>
      <c r="J145" t="s">
        <v>20</v>
      </c>
      <c r="K145">
        <v>84851</v>
      </c>
      <c r="L145">
        <f t="shared" si="11"/>
        <v>46.139749864056547</v>
      </c>
      <c r="M145">
        <v>14198</v>
      </c>
      <c r="N145">
        <f t="shared" si="14"/>
        <v>7.7205002718868947</v>
      </c>
      <c r="O145" t="str">
        <f t="shared" si="12"/>
        <v>Safe Seat</v>
      </c>
      <c r="P145">
        <v>0</v>
      </c>
      <c r="Q145">
        <v>2026</v>
      </c>
    </row>
    <row r="146" spans="1:17">
      <c r="A146">
        <v>153</v>
      </c>
      <c r="C146" t="s">
        <v>448</v>
      </c>
      <c r="D146" t="s">
        <v>449</v>
      </c>
      <c r="E146" t="s">
        <v>14</v>
      </c>
      <c r="F146">
        <f t="shared" si="13"/>
        <v>1</v>
      </c>
      <c r="G146">
        <v>107577</v>
      </c>
      <c r="H146">
        <f t="shared" si="10"/>
        <v>70.143054613739494</v>
      </c>
      <c r="I146" t="s">
        <v>450</v>
      </c>
      <c r="J146" t="s">
        <v>451</v>
      </c>
      <c r="K146">
        <v>45791</v>
      </c>
      <c r="L146">
        <f t="shared" si="11"/>
        <v>29.856945386260499</v>
      </c>
      <c r="M146">
        <v>61786</v>
      </c>
      <c r="N146">
        <f t="shared" si="14"/>
        <v>40.286109227479002</v>
      </c>
      <c r="O146" t="str">
        <f t="shared" si="12"/>
        <v>Safe Seat</v>
      </c>
      <c r="P146">
        <v>0</v>
      </c>
      <c r="Q146">
        <v>2026</v>
      </c>
    </row>
    <row r="147" spans="1:17">
      <c r="A147">
        <v>154</v>
      </c>
      <c r="C147" t="s">
        <v>452</v>
      </c>
      <c r="D147" t="s">
        <v>453</v>
      </c>
      <c r="E147" t="s">
        <v>14</v>
      </c>
      <c r="F147">
        <f t="shared" si="13"/>
        <v>1</v>
      </c>
      <c r="G147">
        <v>85761</v>
      </c>
      <c r="H147">
        <f t="shared" si="10"/>
        <v>54.649554894251537</v>
      </c>
      <c r="I147" t="s">
        <v>454</v>
      </c>
      <c r="J147" t="s">
        <v>365</v>
      </c>
      <c r="K147">
        <v>71168</v>
      </c>
      <c r="L147">
        <f t="shared" si="11"/>
        <v>45.350445105748463</v>
      </c>
      <c r="M147">
        <v>14593</v>
      </c>
      <c r="N147">
        <f t="shared" si="14"/>
        <v>9.2991097885030811</v>
      </c>
      <c r="O147" t="str">
        <f t="shared" si="12"/>
        <v>Safe Seat</v>
      </c>
      <c r="P147">
        <v>0</v>
      </c>
      <c r="Q147">
        <v>2026</v>
      </c>
    </row>
    <row r="148" spans="1:17">
      <c r="A148">
        <v>155</v>
      </c>
      <c r="C148" t="s">
        <v>455</v>
      </c>
      <c r="D148" t="s">
        <v>456</v>
      </c>
      <c r="E148" t="s">
        <v>14</v>
      </c>
      <c r="F148">
        <f t="shared" si="13"/>
        <v>1</v>
      </c>
      <c r="G148">
        <v>75585</v>
      </c>
      <c r="H148">
        <f t="shared" si="10"/>
        <v>53.005652253187286</v>
      </c>
      <c r="I148" t="s">
        <v>457</v>
      </c>
      <c r="J148" t="s">
        <v>44</v>
      </c>
      <c r="K148">
        <v>67013</v>
      </c>
      <c r="L148">
        <f t="shared" si="11"/>
        <v>46.994347746812721</v>
      </c>
      <c r="M148">
        <v>8572</v>
      </c>
      <c r="N148">
        <f t="shared" si="14"/>
        <v>6.0113045063745636</v>
      </c>
      <c r="O148" t="str">
        <f t="shared" si="12"/>
        <v>Safe Seat</v>
      </c>
      <c r="P148">
        <v>0</v>
      </c>
      <c r="Q148">
        <v>2026</v>
      </c>
    </row>
    <row r="149" spans="1:17">
      <c r="A149">
        <v>156</v>
      </c>
      <c r="C149" t="s">
        <v>458</v>
      </c>
      <c r="D149" t="s">
        <v>459</v>
      </c>
      <c r="E149" t="s">
        <v>14</v>
      </c>
      <c r="F149">
        <f t="shared" si="13"/>
        <v>1</v>
      </c>
      <c r="G149">
        <v>111230</v>
      </c>
      <c r="H149">
        <f t="shared" si="10"/>
        <v>62.754589666339434</v>
      </c>
      <c r="I149" t="s">
        <v>460</v>
      </c>
      <c r="J149" t="s">
        <v>44</v>
      </c>
      <c r="K149">
        <v>66016</v>
      </c>
      <c r="L149">
        <f t="shared" si="11"/>
        <v>37.245410333660558</v>
      </c>
      <c r="M149">
        <v>45214</v>
      </c>
      <c r="N149">
        <f t="shared" si="14"/>
        <v>25.509179332678876</v>
      </c>
      <c r="O149" t="str">
        <f t="shared" si="12"/>
        <v>Safe Seat</v>
      </c>
      <c r="P149">
        <v>0</v>
      </c>
      <c r="Q149">
        <v>2026</v>
      </c>
    </row>
    <row r="150" spans="1:17">
      <c r="A150">
        <v>157</v>
      </c>
      <c r="C150" t="s">
        <v>461</v>
      </c>
      <c r="D150" t="s">
        <v>462</v>
      </c>
      <c r="E150" t="s">
        <v>14</v>
      </c>
      <c r="F150">
        <f t="shared" si="13"/>
        <v>1</v>
      </c>
      <c r="G150">
        <v>158343</v>
      </c>
      <c r="H150">
        <f t="shared" si="10"/>
        <v>64.411323226118753</v>
      </c>
      <c r="I150" t="s">
        <v>463</v>
      </c>
      <c r="J150" t="s">
        <v>199</v>
      </c>
      <c r="K150">
        <v>87488</v>
      </c>
      <c r="L150">
        <f t="shared" si="11"/>
        <v>35.588676773881247</v>
      </c>
      <c r="M150">
        <v>70855</v>
      </c>
      <c r="N150">
        <f t="shared" si="14"/>
        <v>28.82264645223751</v>
      </c>
      <c r="O150" t="str">
        <f t="shared" si="12"/>
        <v>Safe Seat</v>
      </c>
      <c r="P150">
        <v>0</v>
      </c>
      <c r="Q150">
        <v>2026</v>
      </c>
    </row>
    <row r="151" spans="1:17">
      <c r="A151">
        <v>158</v>
      </c>
      <c r="C151" t="s">
        <v>464</v>
      </c>
      <c r="D151" t="s">
        <v>465</v>
      </c>
      <c r="E151" t="s">
        <v>14</v>
      </c>
      <c r="F151">
        <f t="shared" si="13"/>
        <v>1</v>
      </c>
      <c r="G151">
        <v>171399</v>
      </c>
      <c r="H151">
        <f t="shared" si="10"/>
        <v>71.7853463223407</v>
      </c>
      <c r="I151" t="s">
        <v>466</v>
      </c>
      <c r="J151" t="s">
        <v>16</v>
      </c>
      <c r="K151">
        <v>67367</v>
      </c>
      <c r="L151">
        <f t="shared" si="11"/>
        <v>28.214653677659296</v>
      </c>
      <c r="M151">
        <v>104032</v>
      </c>
      <c r="N151">
        <f t="shared" si="14"/>
        <v>43.570692644681401</v>
      </c>
      <c r="O151" t="str">
        <f t="shared" si="12"/>
        <v>Safe Seat</v>
      </c>
      <c r="P151">
        <v>0</v>
      </c>
      <c r="Q151">
        <v>2026</v>
      </c>
    </row>
    <row r="152" spans="1:17">
      <c r="A152">
        <v>159</v>
      </c>
      <c r="C152" t="s">
        <v>467</v>
      </c>
      <c r="D152" t="s">
        <v>468</v>
      </c>
      <c r="E152" t="s">
        <v>14</v>
      </c>
      <c r="F152">
        <f t="shared" si="13"/>
        <v>1</v>
      </c>
      <c r="G152">
        <v>118469</v>
      </c>
      <c r="H152">
        <f t="shared" si="10"/>
        <v>63.207063970549001</v>
      </c>
      <c r="I152" t="s">
        <v>469</v>
      </c>
      <c r="J152" t="s">
        <v>44</v>
      </c>
      <c r="K152">
        <v>68961</v>
      </c>
      <c r="L152">
        <f t="shared" si="11"/>
        <v>36.792936029450999</v>
      </c>
      <c r="M152">
        <v>49508</v>
      </c>
      <c r="N152">
        <f t="shared" si="14"/>
        <v>26.414127941098009</v>
      </c>
      <c r="O152" t="str">
        <f t="shared" si="12"/>
        <v>Safe Seat</v>
      </c>
      <c r="P152">
        <v>0</v>
      </c>
      <c r="Q152">
        <v>2026</v>
      </c>
    </row>
    <row r="153" spans="1:17">
      <c r="A153">
        <v>160</v>
      </c>
      <c r="C153" t="s">
        <v>470</v>
      </c>
      <c r="D153" t="s">
        <v>471</v>
      </c>
      <c r="E153" t="s">
        <v>14</v>
      </c>
      <c r="F153">
        <f t="shared" si="13"/>
        <v>1</v>
      </c>
      <c r="G153">
        <v>160801</v>
      </c>
      <c r="H153">
        <f t="shared" si="10"/>
        <v>80.143639634969915</v>
      </c>
      <c r="I153" t="s">
        <v>472</v>
      </c>
      <c r="J153" t="s">
        <v>20</v>
      </c>
      <c r="K153">
        <v>39840</v>
      </c>
      <c r="L153">
        <f t="shared" si="11"/>
        <v>19.856360365030078</v>
      </c>
      <c r="M153">
        <v>120961</v>
      </c>
      <c r="N153">
        <f t="shared" si="14"/>
        <v>60.287279269939845</v>
      </c>
      <c r="O153" t="str">
        <f t="shared" si="12"/>
        <v>Safe Seat</v>
      </c>
      <c r="P153">
        <v>0</v>
      </c>
      <c r="Q153">
        <v>2026</v>
      </c>
    </row>
    <row r="154" spans="1:17">
      <c r="A154">
        <v>161</v>
      </c>
      <c r="C154" t="s">
        <v>473</v>
      </c>
      <c r="D154" t="s">
        <v>474</v>
      </c>
      <c r="E154" t="s">
        <v>20</v>
      </c>
      <c r="F154">
        <f t="shared" si="13"/>
        <v>2</v>
      </c>
      <c r="G154">
        <v>82177</v>
      </c>
      <c r="H154">
        <f t="shared" si="10"/>
        <v>50.855565663504322</v>
      </c>
      <c r="I154" t="s">
        <v>475</v>
      </c>
      <c r="J154" t="s">
        <v>14</v>
      </c>
      <c r="K154">
        <v>79412</v>
      </c>
      <c r="L154">
        <f t="shared" si="11"/>
        <v>49.144434336495678</v>
      </c>
      <c r="M154">
        <v>2765</v>
      </c>
      <c r="N154">
        <f t="shared" si="14"/>
        <v>1.7111313270086452</v>
      </c>
      <c r="O154" t="str">
        <f t="shared" si="12"/>
        <v>Highly Competitive</v>
      </c>
      <c r="P154">
        <v>0</v>
      </c>
      <c r="Q154">
        <v>2026</v>
      </c>
    </row>
    <row r="155" spans="1:17">
      <c r="A155">
        <v>130</v>
      </c>
      <c r="B155" t="s">
        <v>476</v>
      </c>
      <c r="C155" t="s">
        <v>477</v>
      </c>
      <c r="D155" t="s">
        <v>478</v>
      </c>
      <c r="E155" t="s">
        <v>14</v>
      </c>
      <c r="F155">
        <f t="shared" si="13"/>
        <v>1</v>
      </c>
      <c r="G155">
        <v>153932</v>
      </c>
      <c r="H155">
        <f t="shared" si="10"/>
        <v>61.97090106846381</v>
      </c>
      <c r="I155" t="s">
        <v>479</v>
      </c>
      <c r="J155" t="s">
        <v>20</v>
      </c>
      <c r="K155">
        <v>94462</v>
      </c>
      <c r="L155">
        <f t="shared" si="11"/>
        <v>38.02909893153619</v>
      </c>
      <c r="M155">
        <v>59470</v>
      </c>
      <c r="N155">
        <f t="shared" si="14"/>
        <v>23.941802136927624</v>
      </c>
      <c r="O155" t="str">
        <f t="shared" si="12"/>
        <v>Safe Seat</v>
      </c>
      <c r="P155">
        <v>0</v>
      </c>
      <c r="Q155">
        <v>2026</v>
      </c>
    </row>
    <row r="156" spans="1:17">
      <c r="A156">
        <v>131</v>
      </c>
      <c r="C156" t="s">
        <v>480</v>
      </c>
      <c r="D156" t="s">
        <v>481</v>
      </c>
      <c r="E156" t="s">
        <v>14</v>
      </c>
      <c r="F156">
        <f t="shared" si="13"/>
        <v>1</v>
      </c>
      <c r="G156">
        <v>198213</v>
      </c>
      <c r="H156">
        <f t="shared" si="10"/>
        <v>76.505303299316054</v>
      </c>
      <c r="I156" t="s">
        <v>482</v>
      </c>
      <c r="J156" t="s">
        <v>20</v>
      </c>
      <c r="K156">
        <v>60871</v>
      </c>
      <c r="L156">
        <f t="shared" si="11"/>
        <v>23.494696700683949</v>
      </c>
      <c r="M156">
        <v>137342</v>
      </c>
      <c r="N156">
        <f t="shared" si="14"/>
        <v>53.010606598632101</v>
      </c>
      <c r="O156" t="str">
        <f t="shared" si="12"/>
        <v>Safe Seat</v>
      </c>
      <c r="P156">
        <v>0</v>
      </c>
      <c r="Q156">
        <v>2026</v>
      </c>
    </row>
    <row r="157" spans="1:17">
      <c r="A157">
        <v>132</v>
      </c>
      <c r="C157" t="s">
        <v>483</v>
      </c>
      <c r="D157" t="s">
        <v>484</v>
      </c>
      <c r="E157" t="s">
        <v>44</v>
      </c>
      <c r="F157">
        <f t="shared" si="13"/>
        <v>5</v>
      </c>
      <c r="G157">
        <v>107901</v>
      </c>
      <c r="H157">
        <f t="shared" si="10"/>
        <v>56.59044422300309</v>
      </c>
      <c r="I157" t="s">
        <v>485</v>
      </c>
      <c r="J157" t="s">
        <v>14</v>
      </c>
      <c r="K157">
        <v>82769</v>
      </c>
      <c r="L157">
        <f t="shared" si="11"/>
        <v>43.409555776996903</v>
      </c>
      <c r="M157">
        <v>25132</v>
      </c>
      <c r="N157">
        <f t="shared" si="14"/>
        <v>13.18088844600619</v>
      </c>
      <c r="O157" t="str">
        <f t="shared" si="12"/>
        <v>Safe Seat</v>
      </c>
      <c r="P157">
        <v>0</v>
      </c>
      <c r="Q157">
        <v>2026</v>
      </c>
    </row>
    <row r="158" spans="1:17">
      <c r="A158">
        <v>133</v>
      </c>
      <c r="C158" t="s">
        <v>486</v>
      </c>
      <c r="D158" t="s">
        <v>487</v>
      </c>
      <c r="E158" t="s">
        <v>14</v>
      </c>
      <c r="F158">
        <f t="shared" si="13"/>
        <v>1</v>
      </c>
      <c r="G158">
        <v>105342</v>
      </c>
      <c r="H158">
        <f t="shared" si="10"/>
        <v>62.75923289107601</v>
      </c>
      <c r="I158" t="s">
        <v>488</v>
      </c>
      <c r="J158" t="s">
        <v>44</v>
      </c>
      <c r="K158">
        <v>62509</v>
      </c>
      <c r="L158">
        <f t="shared" si="11"/>
        <v>37.24076710892399</v>
      </c>
      <c r="M158">
        <v>42833</v>
      </c>
      <c r="N158">
        <f t="shared" si="14"/>
        <v>25.518465782152028</v>
      </c>
      <c r="O158" t="str">
        <f t="shared" si="12"/>
        <v>Safe Seat</v>
      </c>
      <c r="P158">
        <v>0</v>
      </c>
      <c r="Q158">
        <v>2026</v>
      </c>
    </row>
    <row r="159" spans="1:17">
      <c r="A159">
        <v>134</v>
      </c>
      <c r="C159" t="s">
        <v>489</v>
      </c>
      <c r="D159" t="s">
        <v>490</v>
      </c>
      <c r="E159" t="s">
        <v>14</v>
      </c>
      <c r="F159">
        <f t="shared" si="13"/>
        <v>1</v>
      </c>
      <c r="G159">
        <v>131279</v>
      </c>
      <c r="H159">
        <f t="shared" si="10"/>
        <v>62.052258912281033</v>
      </c>
      <c r="I159" t="s">
        <v>491</v>
      </c>
      <c r="J159" t="s">
        <v>20</v>
      </c>
      <c r="K159">
        <v>80283</v>
      </c>
      <c r="L159">
        <f t="shared" si="11"/>
        <v>37.947741087718967</v>
      </c>
      <c r="M159">
        <v>50996</v>
      </c>
      <c r="N159">
        <f t="shared" si="14"/>
        <v>24.104517824562066</v>
      </c>
      <c r="O159" t="str">
        <f t="shared" si="12"/>
        <v>Safe Seat</v>
      </c>
      <c r="P159">
        <v>0</v>
      </c>
      <c r="Q159">
        <v>2026</v>
      </c>
    </row>
    <row r="160" spans="1:17">
      <c r="A160">
        <v>135</v>
      </c>
      <c r="C160" t="s">
        <v>492</v>
      </c>
      <c r="D160" t="s">
        <v>493</v>
      </c>
      <c r="E160" t="s">
        <v>14</v>
      </c>
      <c r="F160">
        <f t="shared" si="13"/>
        <v>1</v>
      </c>
      <c r="G160">
        <v>150952</v>
      </c>
      <c r="H160">
        <f t="shared" si="10"/>
        <v>62.154439073398507</v>
      </c>
      <c r="I160" t="s">
        <v>494</v>
      </c>
      <c r="J160" t="s">
        <v>20</v>
      </c>
      <c r="K160">
        <v>91914</v>
      </c>
      <c r="L160">
        <f t="shared" si="11"/>
        <v>37.8455609266015</v>
      </c>
      <c r="M160">
        <v>59038</v>
      </c>
      <c r="N160">
        <f t="shared" si="14"/>
        <v>24.308878146796999</v>
      </c>
      <c r="O160" t="str">
        <f t="shared" si="12"/>
        <v>Safe Seat</v>
      </c>
      <c r="P160">
        <v>0</v>
      </c>
      <c r="Q160">
        <v>2026</v>
      </c>
    </row>
    <row r="161" spans="1:17">
      <c r="A161">
        <v>136</v>
      </c>
      <c r="C161" t="s">
        <v>495</v>
      </c>
      <c r="D161" t="s">
        <v>496</v>
      </c>
      <c r="E161" t="s">
        <v>14</v>
      </c>
      <c r="F161">
        <f t="shared" si="13"/>
        <v>1</v>
      </c>
      <c r="G161">
        <v>141253</v>
      </c>
      <c r="H161">
        <f t="shared" si="10"/>
        <v>66.536814685364092</v>
      </c>
      <c r="I161" t="s">
        <v>497</v>
      </c>
      <c r="J161" t="s">
        <v>20</v>
      </c>
      <c r="K161">
        <v>71040</v>
      </c>
      <c r="L161">
        <f t="shared" si="11"/>
        <v>33.463185314635901</v>
      </c>
      <c r="M161">
        <v>70213</v>
      </c>
      <c r="N161">
        <f t="shared" si="14"/>
        <v>33.073629370728192</v>
      </c>
      <c r="O161" t="str">
        <f t="shared" si="12"/>
        <v>Safe Seat</v>
      </c>
      <c r="P161">
        <v>0</v>
      </c>
      <c r="Q161">
        <v>2026</v>
      </c>
    </row>
    <row r="162" spans="1:17">
      <c r="A162">
        <v>137</v>
      </c>
      <c r="C162" t="s">
        <v>498</v>
      </c>
      <c r="D162" t="s">
        <v>499</v>
      </c>
      <c r="E162" t="s">
        <v>14</v>
      </c>
      <c r="F162">
        <f t="shared" si="13"/>
        <v>1</v>
      </c>
      <c r="G162">
        <v>114217</v>
      </c>
      <c r="H162">
        <f t="shared" si="10"/>
        <v>59.691032522067246</v>
      </c>
      <c r="I162" t="s">
        <v>500</v>
      </c>
      <c r="J162" t="s">
        <v>44</v>
      </c>
      <c r="K162">
        <v>77130</v>
      </c>
      <c r="L162">
        <f t="shared" si="11"/>
        <v>40.308967477932761</v>
      </c>
      <c r="M162">
        <v>37087</v>
      </c>
      <c r="N162">
        <f t="shared" si="14"/>
        <v>19.382065044134478</v>
      </c>
      <c r="O162" t="str">
        <f t="shared" si="12"/>
        <v>Safe Seat</v>
      </c>
      <c r="P162">
        <v>0</v>
      </c>
      <c r="Q162">
        <v>2026</v>
      </c>
    </row>
    <row r="163" spans="1:17">
      <c r="A163">
        <v>162</v>
      </c>
      <c r="C163" t="s">
        <v>501</v>
      </c>
      <c r="D163" t="s">
        <v>502</v>
      </c>
      <c r="E163" t="s">
        <v>14</v>
      </c>
      <c r="F163">
        <f t="shared" si="13"/>
        <v>1</v>
      </c>
      <c r="G163">
        <v>124035</v>
      </c>
      <c r="H163">
        <f t="shared" si="10"/>
        <v>55.085780776046221</v>
      </c>
      <c r="I163" t="s">
        <v>503</v>
      </c>
      <c r="J163" t="s">
        <v>199</v>
      </c>
      <c r="K163">
        <v>101132</v>
      </c>
      <c r="L163">
        <f t="shared" si="11"/>
        <v>44.914219223953779</v>
      </c>
      <c r="M163">
        <v>22903</v>
      </c>
      <c r="N163">
        <f t="shared" si="14"/>
        <v>10.171561552092447</v>
      </c>
      <c r="O163" t="str">
        <f t="shared" si="12"/>
        <v>Safe Seat</v>
      </c>
      <c r="P163">
        <v>0</v>
      </c>
      <c r="Q163">
        <v>2026</v>
      </c>
    </row>
    <row r="164" spans="1:17">
      <c r="A164">
        <v>163</v>
      </c>
      <c r="C164" t="s">
        <v>504</v>
      </c>
      <c r="D164" t="s">
        <v>505</v>
      </c>
      <c r="E164" t="s">
        <v>14</v>
      </c>
      <c r="F164">
        <f t="shared" si="13"/>
        <v>1</v>
      </c>
      <c r="G164">
        <v>143669</v>
      </c>
      <c r="H164">
        <f t="shared" si="10"/>
        <v>54.287646800985478</v>
      </c>
      <c r="I164" t="s">
        <v>506</v>
      </c>
      <c r="J164" t="s">
        <v>20</v>
      </c>
      <c r="K164">
        <v>120975</v>
      </c>
      <c r="L164">
        <f t="shared" si="11"/>
        <v>45.71235319901453</v>
      </c>
      <c r="M164">
        <v>22694</v>
      </c>
      <c r="N164">
        <f t="shared" si="14"/>
        <v>8.5752936019709498</v>
      </c>
      <c r="O164" t="str">
        <f t="shared" si="12"/>
        <v>Safe Seat</v>
      </c>
      <c r="P164">
        <v>0</v>
      </c>
      <c r="Q164">
        <v>2026</v>
      </c>
    </row>
    <row r="165" spans="1:17">
      <c r="A165">
        <v>164</v>
      </c>
      <c r="C165" t="s">
        <v>507</v>
      </c>
      <c r="D165" t="s">
        <v>508</v>
      </c>
      <c r="E165" t="s">
        <v>14</v>
      </c>
      <c r="F165">
        <f t="shared" si="13"/>
        <v>1</v>
      </c>
      <c r="G165">
        <v>112466</v>
      </c>
      <c r="H165">
        <f t="shared" si="10"/>
        <v>52.323882721850545</v>
      </c>
      <c r="I165" t="s">
        <v>509</v>
      </c>
      <c r="J165" t="s">
        <v>20</v>
      </c>
      <c r="K165">
        <v>102476</v>
      </c>
      <c r="L165">
        <f t="shared" si="11"/>
        <v>47.676117278149455</v>
      </c>
      <c r="M165">
        <v>9990</v>
      </c>
      <c r="N165">
        <f t="shared" si="14"/>
        <v>4.6477654437010916</v>
      </c>
      <c r="O165" t="str">
        <f t="shared" si="12"/>
        <v>Highly Competitive</v>
      </c>
      <c r="P165">
        <v>0</v>
      </c>
      <c r="Q165">
        <v>2026</v>
      </c>
    </row>
    <row r="166" spans="1:17">
      <c r="A166">
        <v>165</v>
      </c>
      <c r="C166" t="s">
        <v>510</v>
      </c>
      <c r="D166" t="s">
        <v>511</v>
      </c>
      <c r="E166" t="s">
        <v>14</v>
      </c>
      <c r="F166">
        <f t="shared" si="13"/>
        <v>1</v>
      </c>
      <c r="G166">
        <v>132472</v>
      </c>
      <c r="H166">
        <f t="shared" si="10"/>
        <v>69.611825476481997</v>
      </c>
      <c r="I166" t="s">
        <v>512</v>
      </c>
      <c r="J166" t="s">
        <v>20</v>
      </c>
      <c r="K166">
        <v>57829</v>
      </c>
      <c r="L166">
        <f t="shared" si="11"/>
        <v>30.388174523518007</v>
      </c>
      <c r="M166">
        <v>74643</v>
      </c>
      <c r="N166">
        <f t="shared" si="14"/>
        <v>39.223650952963993</v>
      </c>
      <c r="O166" t="str">
        <f t="shared" si="12"/>
        <v>Safe Seat</v>
      </c>
      <c r="P166">
        <v>0</v>
      </c>
      <c r="Q166">
        <v>2026</v>
      </c>
    </row>
    <row r="167" spans="1:17">
      <c r="A167">
        <v>166</v>
      </c>
      <c r="C167" t="s">
        <v>513</v>
      </c>
      <c r="D167" t="s">
        <v>514</v>
      </c>
      <c r="E167" t="s">
        <v>14</v>
      </c>
      <c r="F167">
        <f t="shared" si="13"/>
        <v>1</v>
      </c>
      <c r="G167">
        <v>66450</v>
      </c>
      <c r="H167">
        <f t="shared" si="10"/>
        <v>54.985519238725686</v>
      </c>
      <c r="I167" t="s">
        <v>515</v>
      </c>
      <c r="J167" t="s">
        <v>20</v>
      </c>
      <c r="K167">
        <v>54400</v>
      </c>
      <c r="L167">
        <f t="shared" si="11"/>
        <v>45.014480761274307</v>
      </c>
      <c r="M167">
        <v>12050</v>
      </c>
      <c r="N167">
        <f t="shared" si="14"/>
        <v>9.9710384774513852</v>
      </c>
      <c r="O167" t="str">
        <f t="shared" si="12"/>
        <v>Safe Seat</v>
      </c>
      <c r="P167">
        <v>0</v>
      </c>
      <c r="Q167">
        <v>2026</v>
      </c>
    </row>
    <row r="168" spans="1:17">
      <c r="A168">
        <v>167</v>
      </c>
      <c r="C168" t="s">
        <v>516</v>
      </c>
      <c r="D168" t="s">
        <v>517</v>
      </c>
      <c r="E168" t="s">
        <v>14</v>
      </c>
      <c r="F168">
        <f t="shared" si="13"/>
        <v>1</v>
      </c>
      <c r="G168">
        <v>185813</v>
      </c>
      <c r="H168">
        <f t="shared" si="10"/>
        <v>81.36560288656905</v>
      </c>
      <c r="I168" t="s">
        <v>518</v>
      </c>
      <c r="J168" t="s">
        <v>199</v>
      </c>
      <c r="K168">
        <v>42555</v>
      </c>
      <c r="L168">
        <f t="shared" si="11"/>
        <v>18.634397113430953</v>
      </c>
      <c r="M168">
        <v>143258</v>
      </c>
      <c r="N168">
        <f t="shared" si="14"/>
        <v>62.731205773138086</v>
      </c>
      <c r="O168" t="str">
        <f t="shared" si="12"/>
        <v>Safe Seat</v>
      </c>
      <c r="P168">
        <v>0</v>
      </c>
      <c r="Q168">
        <v>2026</v>
      </c>
    </row>
    <row r="169" spans="1:17">
      <c r="A169">
        <v>168</v>
      </c>
      <c r="C169" t="s">
        <v>519</v>
      </c>
      <c r="D169" t="s">
        <v>520</v>
      </c>
      <c r="E169" t="s">
        <v>14</v>
      </c>
      <c r="F169">
        <f t="shared" si="13"/>
        <v>1</v>
      </c>
      <c r="G169">
        <v>137773</v>
      </c>
      <c r="H169">
        <f t="shared" si="10"/>
        <v>63.904801220830187</v>
      </c>
      <c r="I169" t="s">
        <v>521</v>
      </c>
      <c r="J169" t="s">
        <v>44</v>
      </c>
      <c r="K169">
        <v>77818</v>
      </c>
      <c r="L169">
        <f t="shared" si="11"/>
        <v>36.09519877916982</v>
      </c>
      <c r="M169">
        <v>59955</v>
      </c>
      <c r="N169">
        <f t="shared" si="14"/>
        <v>27.809602441660363</v>
      </c>
      <c r="O169" t="str">
        <f t="shared" si="12"/>
        <v>Safe Seat</v>
      </c>
      <c r="P169">
        <v>0</v>
      </c>
      <c r="Q169">
        <v>2026</v>
      </c>
    </row>
    <row r="170" spans="1:17">
      <c r="A170">
        <v>169</v>
      </c>
      <c r="C170" t="s">
        <v>522</v>
      </c>
      <c r="D170" t="s">
        <v>523</v>
      </c>
      <c r="E170" t="s">
        <v>14</v>
      </c>
      <c r="F170">
        <f t="shared" si="13"/>
        <v>1</v>
      </c>
      <c r="G170">
        <v>175776</v>
      </c>
      <c r="H170">
        <f t="shared" si="10"/>
        <v>68.313726404645038</v>
      </c>
      <c r="I170" t="s">
        <v>524</v>
      </c>
      <c r="J170" t="s">
        <v>199</v>
      </c>
      <c r="K170">
        <v>81531</v>
      </c>
      <c r="L170">
        <f t="shared" si="11"/>
        <v>31.686273595354962</v>
      </c>
      <c r="M170">
        <v>94245</v>
      </c>
      <c r="N170">
        <f t="shared" si="14"/>
        <v>36.62745280929007</v>
      </c>
      <c r="O170" t="str">
        <f t="shared" si="12"/>
        <v>Safe Seat</v>
      </c>
      <c r="P170">
        <v>0</v>
      </c>
      <c r="Q170">
        <v>2026</v>
      </c>
    </row>
    <row r="171" spans="1:17">
      <c r="A171">
        <v>170</v>
      </c>
      <c r="C171" t="s">
        <v>525</v>
      </c>
      <c r="D171" t="s">
        <v>526</v>
      </c>
      <c r="E171" t="s">
        <v>14</v>
      </c>
      <c r="F171">
        <f t="shared" si="13"/>
        <v>1</v>
      </c>
      <c r="G171">
        <v>167345</v>
      </c>
      <c r="H171">
        <f t="shared" si="10"/>
        <v>72.260100955580413</v>
      </c>
      <c r="I171" t="s">
        <v>527</v>
      </c>
      <c r="J171" t="s">
        <v>199</v>
      </c>
      <c r="K171">
        <v>64242</v>
      </c>
      <c r="L171">
        <f t="shared" si="11"/>
        <v>27.739899044419591</v>
      </c>
      <c r="M171">
        <v>103103</v>
      </c>
      <c r="N171">
        <f t="shared" si="14"/>
        <v>44.520201911160818</v>
      </c>
      <c r="O171" t="str">
        <f t="shared" si="12"/>
        <v>Safe Seat</v>
      </c>
      <c r="P171">
        <v>0</v>
      </c>
      <c r="Q171">
        <v>2026</v>
      </c>
    </row>
    <row r="172" spans="1:17">
      <c r="A172">
        <v>171</v>
      </c>
      <c r="C172" t="s">
        <v>528</v>
      </c>
      <c r="D172" t="s">
        <v>529</v>
      </c>
      <c r="E172" t="s">
        <v>14</v>
      </c>
      <c r="F172">
        <f t="shared" si="13"/>
        <v>1</v>
      </c>
      <c r="G172">
        <v>167562</v>
      </c>
      <c r="H172">
        <f t="shared" si="10"/>
        <v>62.260617545424147</v>
      </c>
      <c r="I172" t="s">
        <v>530</v>
      </c>
      <c r="J172" t="s">
        <v>20</v>
      </c>
      <c r="K172">
        <v>101568</v>
      </c>
      <c r="L172">
        <f t="shared" si="11"/>
        <v>37.739382454575853</v>
      </c>
      <c r="M172">
        <v>65994</v>
      </c>
      <c r="N172">
        <f t="shared" si="14"/>
        <v>24.52123509084829</v>
      </c>
      <c r="O172" t="str">
        <f t="shared" si="12"/>
        <v>Safe Seat</v>
      </c>
      <c r="P172">
        <v>0</v>
      </c>
      <c r="Q172">
        <v>2026</v>
      </c>
    </row>
    <row r="173" spans="1:17">
      <c r="A173">
        <v>172</v>
      </c>
      <c r="C173" t="s">
        <v>531</v>
      </c>
      <c r="D173" t="s">
        <v>532</v>
      </c>
      <c r="E173" t="s">
        <v>14</v>
      </c>
      <c r="F173">
        <f t="shared" si="13"/>
        <v>1</v>
      </c>
      <c r="G173">
        <v>121154</v>
      </c>
      <c r="H173">
        <f t="shared" si="10"/>
        <v>67.410016302503237</v>
      </c>
      <c r="I173" t="s">
        <v>533</v>
      </c>
      <c r="J173" t="s">
        <v>16</v>
      </c>
      <c r="K173">
        <v>58573</v>
      </c>
      <c r="L173">
        <f t="shared" si="11"/>
        <v>32.589983697496763</v>
      </c>
      <c r="M173">
        <v>62581</v>
      </c>
      <c r="N173">
        <f t="shared" si="14"/>
        <v>34.820032605006482</v>
      </c>
      <c r="O173" t="str">
        <f t="shared" si="12"/>
        <v>Safe Seat</v>
      </c>
      <c r="P173">
        <v>0</v>
      </c>
      <c r="Q173">
        <v>2026</v>
      </c>
    </row>
    <row r="174" spans="1:17">
      <c r="A174">
        <v>173</v>
      </c>
      <c r="C174" t="s">
        <v>534</v>
      </c>
      <c r="D174" t="s">
        <v>535</v>
      </c>
      <c r="E174" t="s">
        <v>14</v>
      </c>
      <c r="F174">
        <f t="shared" si="13"/>
        <v>1</v>
      </c>
      <c r="G174">
        <v>124691</v>
      </c>
      <c r="H174">
        <f t="shared" si="10"/>
        <v>58.368558281490635</v>
      </c>
      <c r="I174" t="s">
        <v>536</v>
      </c>
      <c r="J174" t="s">
        <v>44</v>
      </c>
      <c r="K174">
        <v>88936</v>
      </c>
      <c r="L174">
        <f t="shared" si="11"/>
        <v>41.631441718509365</v>
      </c>
      <c r="M174">
        <v>35755</v>
      </c>
      <c r="N174">
        <f t="shared" si="14"/>
        <v>16.737116562981271</v>
      </c>
      <c r="O174" t="str">
        <f t="shared" si="12"/>
        <v>Safe Seat</v>
      </c>
      <c r="P174">
        <v>0</v>
      </c>
      <c r="Q174">
        <v>2026</v>
      </c>
    </row>
    <row r="175" spans="1:17">
      <c r="A175">
        <v>174</v>
      </c>
      <c r="C175" t="s">
        <v>537</v>
      </c>
      <c r="D175" t="s">
        <v>538</v>
      </c>
      <c r="E175" t="s">
        <v>14</v>
      </c>
      <c r="F175">
        <f t="shared" si="13"/>
        <v>1</v>
      </c>
      <c r="G175">
        <v>173781</v>
      </c>
      <c r="H175">
        <f t="shared" si="10"/>
        <v>60.677087879666068</v>
      </c>
      <c r="I175" t="s">
        <v>105</v>
      </c>
      <c r="J175" t="s">
        <v>20</v>
      </c>
      <c r="K175">
        <v>112622</v>
      </c>
      <c r="L175">
        <f t="shared" si="11"/>
        <v>39.322912120333939</v>
      </c>
      <c r="M175">
        <v>61159</v>
      </c>
      <c r="N175">
        <f t="shared" si="14"/>
        <v>21.354175759332129</v>
      </c>
      <c r="O175" t="str">
        <f t="shared" si="12"/>
        <v>Safe Seat</v>
      </c>
      <c r="P175">
        <v>0</v>
      </c>
      <c r="Q175">
        <v>2026</v>
      </c>
    </row>
    <row r="176" spans="1:17">
      <c r="A176">
        <v>175</v>
      </c>
      <c r="C176" t="s">
        <v>539</v>
      </c>
      <c r="D176" t="s">
        <v>540</v>
      </c>
      <c r="E176" t="s">
        <v>14</v>
      </c>
      <c r="F176">
        <f t="shared" si="13"/>
        <v>1</v>
      </c>
      <c r="G176">
        <v>163020</v>
      </c>
      <c r="H176">
        <f t="shared" si="10"/>
        <v>67.454225716354614</v>
      </c>
      <c r="I176" t="s">
        <v>541</v>
      </c>
      <c r="J176" t="s">
        <v>20</v>
      </c>
      <c r="K176">
        <v>78655</v>
      </c>
      <c r="L176">
        <f t="shared" si="11"/>
        <v>32.545774283645393</v>
      </c>
      <c r="M176">
        <v>84365</v>
      </c>
      <c r="N176">
        <f t="shared" si="14"/>
        <v>34.908451432709214</v>
      </c>
      <c r="O176" t="str">
        <f t="shared" si="12"/>
        <v>Safe Seat</v>
      </c>
      <c r="P176">
        <v>0</v>
      </c>
      <c r="Q176">
        <v>2026</v>
      </c>
    </row>
    <row r="177" spans="1:17">
      <c r="A177">
        <v>176</v>
      </c>
      <c r="C177" t="s">
        <v>542</v>
      </c>
      <c r="D177" t="s">
        <v>543</v>
      </c>
      <c r="E177" t="s">
        <v>14</v>
      </c>
      <c r="F177">
        <f t="shared" si="13"/>
        <v>1</v>
      </c>
      <c r="G177">
        <v>99163</v>
      </c>
      <c r="H177">
        <f t="shared" si="10"/>
        <v>54.357633464344644</v>
      </c>
      <c r="I177" t="s">
        <v>544</v>
      </c>
      <c r="J177" t="s">
        <v>20</v>
      </c>
      <c r="K177">
        <v>83264</v>
      </c>
      <c r="L177">
        <f t="shared" si="11"/>
        <v>45.642366535655363</v>
      </c>
      <c r="M177">
        <v>15899</v>
      </c>
      <c r="N177">
        <f t="shared" si="14"/>
        <v>8.7152669286892852</v>
      </c>
      <c r="O177" t="str">
        <f t="shared" si="12"/>
        <v>Safe Seat</v>
      </c>
      <c r="P177">
        <v>1</v>
      </c>
      <c r="Q177">
        <v>2026</v>
      </c>
    </row>
    <row r="178" spans="1:17">
      <c r="A178">
        <v>177</v>
      </c>
      <c r="C178" t="s">
        <v>545</v>
      </c>
      <c r="D178" t="s">
        <v>546</v>
      </c>
      <c r="E178" t="s">
        <v>20</v>
      </c>
      <c r="F178">
        <f t="shared" si="13"/>
        <v>2</v>
      </c>
      <c r="G178">
        <v>77367</v>
      </c>
      <c r="H178">
        <f t="shared" si="10"/>
        <v>50.961703136733107</v>
      </c>
      <c r="I178" t="s">
        <v>547</v>
      </c>
      <c r="J178" t="s">
        <v>14</v>
      </c>
      <c r="K178">
        <v>74447</v>
      </c>
      <c r="L178">
        <f t="shared" si="11"/>
        <v>49.038296863266893</v>
      </c>
      <c r="M178">
        <v>2920</v>
      </c>
      <c r="N178">
        <f t="shared" si="14"/>
        <v>1.9234062734662154</v>
      </c>
      <c r="O178" t="str">
        <f t="shared" si="12"/>
        <v>Highly Competitive</v>
      </c>
      <c r="P178">
        <v>1</v>
      </c>
      <c r="Q178">
        <v>2026</v>
      </c>
    </row>
    <row r="179" spans="1:17">
      <c r="A179">
        <v>178</v>
      </c>
      <c r="C179" t="s">
        <v>548</v>
      </c>
      <c r="D179" t="s">
        <v>549</v>
      </c>
      <c r="E179" t="s">
        <v>20</v>
      </c>
      <c r="F179">
        <f t="shared" si="13"/>
        <v>2</v>
      </c>
      <c r="G179">
        <v>96641</v>
      </c>
      <c r="H179">
        <f t="shared" si="10"/>
        <v>52.484630591097691</v>
      </c>
      <c r="I179" t="s">
        <v>550</v>
      </c>
      <c r="J179" t="s">
        <v>14</v>
      </c>
      <c r="K179">
        <v>87491</v>
      </c>
      <c r="L179">
        <f t="shared" si="11"/>
        <v>47.515369408902309</v>
      </c>
      <c r="M179">
        <v>9150</v>
      </c>
      <c r="N179">
        <f t="shared" si="14"/>
        <v>4.9692611821953818</v>
      </c>
      <c r="O179" t="str">
        <f t="shared" si="12"/>
        <v>Highly Competitive</v>
      </c>
      <c r="P179">
        <v>1</v>
      </c>
      <c r="Q179">
        <v>2026</v>
      </c>
    </row>
    <row r="180" spans="1:17">
      <c r="A180">
        <v>179</v>
      </c>
      <c r="C180" t="s">
        <v>551</v>
      </c>
      <c r="D180" t="s">
        <v>552</v>
      </c>
      <c r="E180" t="s">
        <v>14</v>
      </c>
      <c r="F180">
        <f t="shared" si="13"/>
        <v>1</v>
      </c>
      <c r="G180">
        <v>78850</v>
      </c>
      <c r="H180">
        <f t="shared" si="10"/>
        <v>58.60405657502583</v>
      </c>
      <c r="I180" t="s">
        <v>553</v>
      </c>
      <c r="J180" t="s">
        <v>20</v>
      </c>
      <c r="K180">
        <v>55697</v>
      </c>
      <c r="L180">
        <f t="shared" si="11"/>
        <v>41.395943424974178</v>
      </c>
      <c r="M180">
        <v>23153</v>
      </c>
      <c r="N180">
        <f t="shared" si="14"/>
        <v>17.208113150051656</v>
      </c>
      <c r="O180" t="str">
        <f t="shared" si="12"/>
        <v>Safe Seat</v>
      </c>
      <c r="P180">
        <v>1</v>
      </c>
      <c r="Q180">
        <v>2026</v>
      </c>
    </row>
    <row r="181" spans="1:17">
      <c r="A181">
        <v>180</v>
      </c>
      <c r="C181" t="s">
        <v>554</v>
      </c>
      <c r="D181" t="s">
        <v>555</v>
      </c>
      <c r="E181" t="s">
        <v>14</v>
      </c>
      <c r="F181">
        <f t="shared" si="13"/>
        <v>1</v>
      </c>
      <c r="G181">
        <v>104666</v>
      </c>
      <c r="H181">
        <f t="shared" si="10"/>
        <v>51.52178942549557</v>
      </c>
      <c r="I181" t="s">
        <v>556</v>
      </c>
      <c r="J181" t="s">
        <v>20</v>
      </c>
      <c r="K181">
        <v>98483</v>
      </c>
      <c r="L181">
        <f t="shared" si="11"/>
        <v>48.478210574504423</v>
      </c>
      <c r="M181">
        <v>6183</v>
      </c>
      <c r="N181">
        <f t="shared" si="14"/>
        <v>3.0435788509911443</v>
      </c>
      <c r="O181" t="str">
        <f t="shared" si="12"/>
        <v>Highly Competitive</v>
      </c>
      <c r="P181">
        <v>1</v>
      </c>
      <c r="Q181">
        <v>2026</v>
      </c>
    </row>
    <row r="182" spans="1:17">
      <c r="A182">
        <v>181</v>
      </c>
      <c r="C182" t="s">
        <v>557</v>
      </c>
      <c r="D182" t="s">
        <v>558</v>
      </c>
      <c r="E182" t="s">
        <v>14</v>
      </c>
      <c r="F182">
        <f t="shared" si="13"/>
        <v>1</v>
      </c>
      <c r="G182">
        <v>59366</v>
      </c>
      <c r="H182">
        <f t="shared" si="10"/>
        <v>52.308071863462949</v>
      </c>
      <c r="I182" t="s">
        <v>559</v>
      </c>
      <c r="J182" t="s">
        <v>16</v>
      </c>
      <c r="K182">
        <v>54127</v>
      </c>
      <c r="L182">
        <f t="shared" si="11"/>
        <v>47.691928136537051</v>
      </c>
      <c r="M182">
        <v>5239</v>
      </c>
      <c r="N182">
        <f t="shared" si="14"/>
        <v>4.6161437269258903</v>
      </c>
      <c r="O182" t="str">
        <f t="shared" si="12"/>
        <v>Highly Competitive</v>
      </c>
      <c r="P182">
        <v>1</v>
      </c>
      <c r="Q182">
        <v>2026</v>
      </c>
    </row>
    <row r="183" spans="1:17">
      <c r="A183">
        <v>182</v>
      </c>
      <c r="C183" t="s">
        <v>560</v>
      </c>
      <c r="D183" t="s">
        <v>561</v>
      </c>
      <c r="E183" t="s">
        <v>14</v>
      </c>
      <c r="F183">
        <f t="shared" si="13"/>
        <v>1</v>
      </c>
      <c r="G183">
        <v>111212</v>
      </c>
      <c r="H183">
        <f t="shared" si="10"/>
        <v>67.535464438398748</v>
      </c>
      <c r="I183" t="s">
        <v>562</v>
      </c>
      <c r="J183" t="s">
        <v>16</v>
      </c>
      <c r="K183">
        <v>53460</v>
      </c>
      <c r="L183">
        <f t="shared" si="11"/>
        <v>32.464535561601245</v>
      </c>
      <c r="M183">
        <v>57752</v>
      </c>
      <c r="N183">
        <f t="shared" si="14"/>
        <v>35.070928876797517</v>
      </c>
      <c r="O183" t="str">
        <f t="shared" si="12"/>
        <v>Safe Seat</v>
      </c>
      <c r="P183">
        <v>1</v>
      </c>
      <c r="Q183">
        <v>2026</v>
      </c>
    </row>
    <row r="184" spans="1:17">
      <c r="A184">
        <v>183</v>
      </c>
      <c r="C184" t="s">
        <v>563</v>
      </c>
      <c r="D184" t="s">
        <v>564</v>
      </c>
      <c r="E184" t="s">
        <v>14</v>
      </c>
      <c r="F184">
        <f t="shared" si="13"/>
        <v>1</v>
      </c>
      <c r="G184">
        <v>80436</v>
      </c>
      <c r="H184">
        <f t="shared" si="10"/>
        <v>51.047140354885393</v>
      </c>
      <c r="I184" t="s">
        <v>565</v>
      </c>
      <c r="J184" t="s">
        <v>20</v>
      </c>
      <c r="K184">
        <v>77136</v>
      </c>
      <c r="L184">
        <f t="shared" si="11"/>
        <v>48.952859645114614</v>
      </c>
      <c r="M184">
        <v>3300</v>
      </c>
      <c r="N184">
        <f t="shared" si="14"/>
        <v>2.0942807097707714</v>
      </c>
      <c r="O184" t="str">
        <f t="shared" si="12"/>
        <v>Highly Competitive</v>
      </c>
      <c r="P184">
        <v>1</v>
      </c>
      <c r="Q184">
        <v>2026</v>
      </c>
    </row>
    <row r="185" spans="1:17">
      <c r="A185">
        <v>184</v>
      </c>
      <c r="C185" t="s">
        <v>566</v>
      </c>
      <c r="D185" t="s">
        <v>567</v>
      </c>
      <c r="E185" t="s">
        <v>16</v>
      </c>
      <c r="F185">
        <f t="shared" si="13"/>
        <v>0</v>
      </c>
      <c r="G185">
        <v>93872</v>
      </c>
      <c r="H185">
        <f t="shared" si="10"/>
        <v>50.548988987910938</v>
      </c>
      <c r="I185" t="s">
        <v>568</v>
      </c>
      <c r="J185" t="s">
        <v>14</v>
      </c>
      <c r="K185">
        <v>91833</v>
      </c>
      <c r="L185">
        <f t="shared" si="11"/>
        <v>49.451011012089062</v>
      </c>
      <c r="M185">
        <v>2039</v>
      </c>
      <c r="N185">
        <f t="shared" si="14"/>
        <v>1.0979779758218682</v>
      </c>
      <c r="O185" t="str">
        <f t="shared" si="12"/>
        <v>Highly Competitive</v>
      </c>
      <c r="P185">
        <v>1</v>
      </c>
      <c r="Q185">
        <v>2026</v>
      </c>
    </row>
    <row r="186" spans="1:17">
      <c r="A186">
        <v>185</v>
      </c>
      <c r="C186" t="s">
        <v>569</v>
      </c>
      <c r="D186" t="s">
        <v>570</v>
      </c>
      <c r="E186" t="s">
        <v>20</v>
      </c>
      <c r="F186">
        <f t="shared" si="13"/>
        <v>2</v>
      </c>
      <c r="G186">
        <v>53773</v>
      </c>
      <c r="H186">
        <f t="shared" si="10"/>
        <v>63.459450528700913</v>
      </c>
      <c r="I186" t="s">
        <v>571</v>
      </c>
      <c r="J186" t="s">
        <v>572</v>
      </c>
      <c r="K186">
        <v>30963</v>
      </c>
      <c r="L186">
        <f t="shared" si="11"/>
        <v>36.540549471299094</v>
      </c>
      <c r="M186">
        <v>22810</v>
      </c>
      <c r="N186">
        <f t="shared" si="14"/>
        <v>26.918901057401811</v>
      </c>
      <c r="O186" t="str">
        <f t="shared" si="12"/>
        <v>Safe Seat</v>
      </c>
      <c r="P186">
        <v>1</v>
      </c>
      <c r="Q186">
        <v>2026</v>
      </c>
    </row>
    <row r="187" spans="1:17">
      <c r="A187">
        <v>186</v>
      </c>
      <c r="C187" t="s">
        <v>573</v>
      </c>
      <c r="D187" t="s">
        <v>574</v>
      </c>
      <c r="E187" t="s">
        <v>14</v>
      </c>
      <c r="F187">
        <f t="shared" si="13"/>
        <v>1</v>
      </c>
      <c r="G187">
        <v>88387</v>
      </c>
      <c r="H187">
        <f t="shared" si="10"/>
        <v>50.664931729854288</v>
      </c>
      <c r="I187" t="s">
        <v>575</v>
      </c>
      <c r="J187" t="s">
        <v>199</v>
      </c>
      <c r="K187">
        <v>86067</v>
      </c>
      <c r="L187">
        <f t="shared" si="11"/>
        <v>49.335068270145712</v>
      </c>
      <c r="M187">
        <v>2320</v>
      </c>
      <c r="N187">
        <f t="shared" si="14"/>
        <v>1.3298634597085766</v>
      </c>
      <c r="O187" t="str">
        <f t="shared" si="12"/>
        <v>Highly Competitive</v>
      </c>
      <c r="P187">
        <v>1</v>
      </c>
      <c r="Q187">
        <v>2026</v>
      </c>
    </row>
    <row r="188" spans="1:17">
      <c r="A188">
        <v>187</v>
      </c>
      <c r="C188" t="s">
        <v>576</v>
      </c>
      <c r="D188" t="s">
        <v>577</v>
      </c>
      <c r="E188" t="s">
        <v>20</v>
      </c>
      <c r="F188">
        <f t="shared" si="13"/>
        <v>2</v>
      </c>
      <c r="G188">
        <v>101113</v>
      </c>
      <c r="H188">
        <f t="shared" si="10"/>
        <v>54.822811164848503</v>
      </c>
      <c r="I188" t="s">
        <v>578</v>
      </c>
      <c r="J188" t="s">
        <v>14</v>
      </c>
      <c r="K188">
        <v>83323</v>
      </c>
      <c r="L188">
        <f t="shared" si="11"/>
        <v>45.17718883515149</v>
      </c>
      <c r="M188">
        <v>17790</v>
      </c>
      <c r="N188">
        <f t="shared" si="14"/>
        <v>9.6456223296970212</v>
      </c>
      <c r="O188" t="str">
        <f t="shared" si="12"/>
        <v>Safe Seat</v>
      </c>
      <c r="P188">
        <v>1</v>
      </c>
      <c r="Q188">
        <v>2026</v>
      </c>
    </row>
    <row r="189" spans="1:17">
      <c r="A189">
        <v>188</v>
      </c>
      <c r="C189" t="s">
        <v>579</v>
      </c>
      <c r="D189" t="s">
        <v>580</v>
      </c>
      <c r="E189" t="s">
        <v>20</v>
      </c>
      <c r="F189">
        <f t="shared" si="13"/>
        <v>2</v>
      </c>
      <c r="G189">
        <v>85131</v>
      </c>
      <c r="H189">
        <f t="shared" si="10"/>
        <v>57.271736497941397</v>
      </c>
      <c r="I189" t="s">
        <v>581</v>
      </c>
      <c r="J189" t="s">
        <v>14</v>
      </c>
      <c r="K189">
        <v>63513</v>
      </c>
      <c r="L189">
        <f t="shared" si="11"/>
        <v>42.72826350205861</v>
      </c>
      <c r="M189">
        <v>21618</v>
      </c>
      <c r="N189">
        <f t="shared" si="14"/>
        <v>14.54347299588278</v>
      </c>
      <c r="O189" t="str">
        <f t="shared" si="12"/>
        <v>Safe Seat</v>
      </c>
      <c r="P189">
        <v>1</v>
      </c>
      <c r="Q189">
        <v>2026</v>
      </c>
    </row>
    <row r="190" spans="1:17">
      <c r="A190">
        <v>189</v>
      </c>
      <c r="C190" t="s">
        <v>582</v>
      </c>
      <c r="D190" t="s">
        <v>583</v>
      </c>
      <c r="E190" t="s">
        <v>20</v>
      </c>
      <c r="F190">
        <f t="shared" si="13"/>
        <v>2</v>
      </c>
      <c r="G190">
        <v>88828</v>
      </c>
      <c r="H190">
        <f t="shared" si="10"/>
        <v>50.964169941765405</v>
      </c>
      <c r="I190" t="s">
        <v>584</v>
      </c>
      <c r="J190" t="s">
        <v>14</v>
      </c>
      <c r="K190">
        <v>85467</v>
      </c>
      <c r="L190">
        <f t="shared" si="11"/>
        <v>49.035830058234602</v>
      </c>
      <c r="M190">
        <v>3361</v>
      </c>
      <c r="N190">
        <f t="shared" si="14"/>
        <v>1.9283398835307954</v>
      </c>
      <c r="O190" t="str">
        <f t="shared" si="12"/>
        <v>Highly Competitive</v>
      </c>
      <c r="P190">
        <v>1</v>
      </c>
      <c r="Q190">
        <v>2026</v>
      </c>
    </row>
    <row r="191" spans="1:17">
      <c r="A191">
        <v>190</v>
      </c>
      <c r="C191" t="s">
        <v>585</v>
      </c>
      <c r="D191" t="s">
        <v>136</v>
      </c>
      <c r="E191" t="s">
        <v>14</v>
      </c>
      <c r="F191">
        <f t="shared" si="13"/>
        <v>1</v>
      </c>
      <c r="G191">
        <v>72699</v>
      </c>
      <c r="H191">
        <f t="shared" si="10"/>
        <v>51.559940141419446</v>
      </c>
      <c r="I191" t="s">
        <v>586</v>
      </c>
      <c r="J191" t="s">
        <v>20</v>
      </c>
      <c r="K191">
        <v>68300</v>
      </c>
      <c r="L191">
        <f t="shared" si="11"/>
        <v>48.440059858580561</v>
      </c>
      <c r="M191">
        <v>4399</v>
      </c>
      <c r="N191">
        <f t="shared" si="14"/>
        <v>3.1198802828388854</v>
      </c>
      <c r="O191" t="str">
        <f t="shared" si="12"/>
        <v>Highly Competitive</v>
      </c>
      <c r="P191">
        <v>1</v>
      </c>
      <c r="Q191">
        <v>2026</v>
      </c>
    </row>
    <row r="192" spans="1:17">
      <c r="A192">
        <v>191</v>
      </c>
      <c r="C192" t="s">
        <v>587</v>
      </c>
      <c r="D192" t="s">
        <v>588</v>
      </c>
      <c r="E192" t="s">
        <v>14</v>
      </c>
      <c r="F192">
        <f t="shared" si="13"/>
        <v>1</v>
      </c>
      <c r="G192">
        <v>144715</v>
      </c>
      <c r="H192">
        <f t="shared" si="10"/>
        <v>56.526647188413051</v>
      </c>
      <c r="I192" t="s">
        <v>589</v>
      </c>
      <c r="J192" t="s">
        <v>16</v>
      </c>
      <c r="K192">
        <v>111297</v>
      </c>
      <c r="L192">
        <f t="shared" si="11"/>
        <v>43.473352811586956</v>
      </c>
      <c r="M192">
        <v>33418</v>
      </c>
      <c r="N192">
        <f t="shared" si="14"/>
        <v>13.053294376826086</v>
      </c>
      <c r="O192" t="str">
        <f t="shared" si="12"/>
        <v>Safe Seat</v>
      </c>
      <c r="P192">
        <v>1</v>
      </c>
      <c r="Q192">
        <v>2026</v>
      </c>
    </row>
    <row r="193" spans="1:17">
      <c r="A193">
        <v>192</v>
      </c>
      <c r="C193" t="s">
        <v>590</v>
      </c>
      <c r="D193" t="s">
        <v>591</v>
      </c>
      <c r="E193" t="s">
        <v>14</v>
      </c>
      <c r="F193">
        <f t="shared" si="13"/>
        <v>1</v>
      </c>
      <c r="G193">
        <v>190976</v>
      </c>
      <c r="H193">
        <f t="shared" si="10"/>
        <v>60.385949490765476</v>
      </c>
      <c r="I193" t="s">
        <v>592</v>
      </c>
      <c r="J193" t="s">
        <v>16</v>
      </c>
      <c r="K193">
        <v>125283</v>
      </c>
      <c r="L193">
        <f t="shared" si="11"/>
        <v>39.614050509234524</v>
      </c>
      <c r="M193">
        <v>65693</v>
      </c>
      <c r="N193">
        <f t="shared" si="14"/>
        <v>20.77189898153096</v>
      </c>
      <c r="O193" t="str">
        <f t="shared" si="12"/>
        <v>Safe Seat</v>
      </c>
      <c r="P193">
        <v>0</v>
      </c>
      <c r="Q193">
        <v>2026</v>
      </c>
    </row>
    <row r="194" spans="1:17">
      <c r="A194">
        <v>193</v>
      </c>
      <c r="C194" t="s">
        <v>593</v>
      </c>
      <c r="D194" t="s">
        <v>594</v>
      </c>
      <c r="E194" t="s">
        <v>14</v>
      </c>
      <c r="F194">
        <f t="shared" si="13"/>
        <v>1</v>
      </c>
      <c r="G194">
        <v>160428</v>
      </c>
      <c r="H194">
        <f t="shared" ref="H194:H257" si="15">G194/(G194+K194)*100</f>
        <v>74.008054582946983</v>
      </c>
      <c r="I194" t="s">
        <v>595</v>
      </c>
      <c r="J194" t="s">
        <v>16</v>
      </c>
      <c r="K194">
        <v>56343</v>
      </c>
      <c r="L194">
        <f t="shared" ref="L194:L257" si="16">K194/(G194+K194)*100</f>
        <v>25.991945417053021</v>
      </c>
      <c r="M194">
        <v>104085</v>
      </c>
      <c r="N194">
        <f t="shared" si="14"/>
        <v>48.016109165893958</v>
      </c>
      <c r="O194" t="str">
        <f t="shared" ref="O194:O257" si="17">IF(N194&lt;5,"Highly Competitive",
IF(N194&lt;0.1,"Competitive",
IF(N194&lt;0.2,"Moderate","Safe Seat")))</f>
        <v>Safe Seat</v>
      </c>
      <c r="P194">
        <v>0</v>
      </c>
      <c r="Q194">
        <v>2026</v>
      </c>
    </row>
    <row r="195" spans="1:17">
      <c r="A195">
        <v>194</v>
      </c>
      <c r="C195" t="s">
        <v>596</v>
      </c>
      <c r="D195" t="s">
        <v>597</v>
      </c>
      <c r="E195" t="s">
        <v>14</v>
      </c>
      <c r="F195">
        <f t="shared" ref="F195:F258" si="18">IF(E195="BNP",1,
IF(E195="Jamaat",2,
IF(E195="AL",3,
IF(E195="JP",4,
IF(E195="IND",5,0)))))</f>
        <v>1</v>
      </c>
      <c r="G195">
        <v>208688</v>
      </c>
      <c r="H195">
        <f t="shared" si="15"/>
        <v>58.253522070338128</v>
      </c>
      <c r="I195" t="s">
        <v>598</v>
      </c>
      <c r="J195" t="s">
        <v>20</v>
      </c>
      <c r="K195">
        <v>149553</v>
      </c>
      <c r="L195">
        <f t="shared" si="16"/>
        <v>41.746477929661872</v>
      </c>
      <c r="M195">
        <v>59135</v>
      </c>
      <c r="N195">
        <f t="shared" ref="N195:N258" si="19">(G195-K195)/(G195+K195)*100</f>
        <v>16.50704414067625</v>
      </c>
      <c r="O195" t="str">
        <f t="shared" si="17"/>
        <v>Safe Seat</v>
      </c>
      <c r="P195">
        <v>1</v>
      </c>
      <c r="Q195">
        <v>2026</v>
      </c>
    </row>
    <row r="196" spans="1:17">
      <c r="A196">
        <v>195</v>
      </c>
      <c r="C196" t="s">
        <v>599</v>
      </c>
      <c r="D196" t="s">
        <v>600</v>
      </c>
      <c r="E196" t="s">
        <v>14</v>
      </c>
      <c r="F196">
        <f t="shared" si="18"/>
        <v>1</v>
      </c>
      <c r="G196">
        <v>188606</v>
      </c>
      <c r="H196">
        <f t="shared" si="15"/>
        <v>57.230334146548692</v>
      </c>
      <c r="I196" t="s">
        <v>601</v>
      </c>
      <c r="J196" t="s">
        <v>16</v>
      </c>
      <c r="K196">
        <v>140950</v>
      </c>
      <c r="L196">
        <f t="shared" si="16"/>
        <v>42.769665853451308</v>
      </c>
      <c r="M196">
        <v>47656</v>
      </c>
      <c r="N196">
        <f t="shared" si="19"/>
        <v>14.460668293097378</v>
      </c>
      <c r="O196" t="str">
        <f t="shared" si="17"/>
        <v>Safe Seat</v>
      </c>
      <c r="P196">
        <v>1</v>
      </c>
      <c r="Q196">
        <v>2026</v>
      </c>
    </row>
    <row r="197" spans="1:17">
      <c r="A197">
        <v>196</v>
      </c>
      <c r="C197" t="s">
        <v>602</v>
      </c>
      <c r="D197" t="s">
        <v>603</v>
      </c>
      <c r="E197" t="s">
        <v>14</v>
      </c>
      <c r="F197">
        <f t="shared" si="18"/>
        <v>1</v>
      </c>
      <c r="G197">
        <v>162343</v>
      </c>
      <c r="H197">
        <f t="shared" si="15"/>
        <v>61.755084030097152</v>
      </c>
      <c r="I197" t="s">
        <v>604</v>
      </c>
      <c r="J197" t="s">
        <v>199</v>
      </c>
      <c r="K197">
        <v>100539</v>
      </c>
      <c r="L197">
        <f t="shared" si="16"/>
        <v>38.244915969902848</v>
      </c>
      <c r="M197">
        <v>61804</v>
      </c>
      <c r="N197">
        <f t="shared" si="19"/>
        <v>23.51016806019431</v>
      </c>
      <c r="O197" t="str">
        <f t="shared" si="17"/>
        <v>Safe Seat</v>
      </c>
      <c r="P197">
        <v>0</v>
      </c>
      <c r="Q197">
        <v>2026</v>
      </c>
    </row>
    <row r="198" spans="1:17">
      <c r="A198">
        <v>197</v>
      </c>
      <c r="C198" t="s">
        <v>605</v>
      </c>
      <c r="D198" t="s">
        <v>606</v>
      </c>
      <c r="E198" t="s">
        <v>20</v>
      </c>
      <c r="F198">
        <f t="shared" si="18"/>
        <v>2</v>
      </c>
      <c r="G198">
        <v>101779</v>
      </c>
      <c r="H198">
        <f t="shared" si="15"/>
        <v>52.963277115455668</v>
      </c>
      <c r="I198" t="s">
        <v>607</v>
      </c>
      <c r="J198" t="s">
        <v>14</v>
      </c>
      <c r="K198">
        <v>90390</v>
      </c>
      <c r="L198">
        <f t="shared" si="16"/>
        <v>47.036722884544332</v>
      </c>
      <c r="M198">
        <v>11389</v>
      </c>
      <c r="N198">
        <f t="shared" si="19"/>
        <v>5.926554230911333</v>
      </c>
      <c r="O198" t="str">
        <f t="shared" si="17"/>
        <v>Safe Seat</v>
      </c>
      <c r="P198">
        <v>0</v>
      </c>
      <c r="Q198">
        <v>2026</v>
      </c>
    </row>
    <row r="199" spans="1:17">
      <c r="A199">
        <v>198</v>
      </c>
      <c r="C199" t="s">
        <v>608</v>
      </c>
      <c r="D199" t="s">
        <v>609</v>
      </c>
      <c r="E199" t="s">
        <v>14</v>
      </c>
      <c r="F199">
        <f t="shared" si="18"/>
        <v>1</v>
      </c>
      <c r="G199">
        <v>133869</v>
      </c>
      <c r="H199">
        <f t="shared" si="15"/>
        <v>63.148137665572293</v>
      </c>
      <c r="I199" t="s">
        <v>610</v>
      </c>
      <c r="J199" t="s">
        <v>20</v>
      </c>
      <c r="K199">
        <v>78123</v>
      </c>
      <c r="L199">
        <f t="shared" si="16"/>
        <v>36.851862334427715</v>
      </c>
      <c r="M199">
        <v>55746</v>
      </c>
      <c r="N199">
        <f t="shared" si="19"/>
        <v>26.296275331144571</v>
      </c>
      <c r="O199" t="str">
        <f t="shared" si="17"/>
        <v>Safe Seat</v>
      </c>
      <c r="P199">
        <v>1</v>
      </c>
      <c r="Q199">
        <v>2026</v>
      </c>
    </row>
    <row r="200" spans="1:17">
      <c r="A200">
        <v>199</v>
      </c>
      <c r="C200" t="s">
        <v>611</v>
      </c>
      <c r="D200" t="s">
        <v>612</v>
      </c>
      <c r="E200" t="s">
        <v>14</v>
      </c>
      <c r="F200">
        <f t="shared" si="18"/>
        <v>1</v>
      </c>
      <c r="G200">
        <v>161405</v>
      </c>
      <c r="H200">
        <f t="shared" si="15"/>
        <v>62.863674957352181</v>
      </c>
      <c r="I200" t="s">
        <v>613</v>
      </c>
      <c r="J200" t="s">
        <v>20</v>
      </c>
      <c r="K200">
        <v>95349</v>
      </c>
      <c r="L200">
        <f t="shared" si="16"/>
        <v>37.136325042647826</v>
      </c>
      <c r="M200">
        <v>66056</v>
      </c>
      <c r="N200">
        <f t="shared" si="19"/>
        <v>25.727349914704345</v>
      </c>
      <c r="O200" t="str">
        <f t="shared" si="17"/>
        <v>Safe Seat</v>
      </c>
      <c r="P200">
        <v>0</v>
      </c>
      <c r="Q200">
        <v>2026</v>
      </c>
    </row>
    <row r="201" spans="1:17">
      <c r="A201">
        <v>200</v>
      </c>
      <c r="C201" t="s">
        <v>614</v>
      </c>
      <c r="D201" t="s">
        <v>615</v>
      </c>
      <c r="E201" t="s">
        <v>14</v>
      </c>
      <c r="F201">
        <f t="shared" si="18"/>
        <v>1</v>
      </c>
      <c r="G201">
        <v>92739</v>
      </c>
      <c r="H201">
        <f t="shared" si="15"/>
        <v>62.383710370714184</v>
      </c>
      <c r="I201" t="s">
        <v>230</v>
      </c>
      <c r="J201" t="s">
        <v>20</v>
      </c>
      <c r="K201">
        <v>55920</v>
      </c>
      <c r="L201">
        <f t="shared" si="16"/>
        <v>37.616289629285816</v>
      </c>
      <c r="M201">
        <v>36819</v>
      </c>
      <c r="N201">
        <f t="shared" si="19"/>
        <v>24.767420741428371</v>
      </c>
      <c r="O201" t="str">
        <f t="shared" si="17"/>
        <v>Safe Seat</v>
      </c>
      <c r="P201">
        <v>0</v>
      </c>
      <c r="Q201">
        <v>2026</v>
      </c>
    </row>
    <row r="202" spans="1:17">
      <c r="A202">
        <v>201</v>
      </c>
      <c r="C202" t="s">
        <v>616</v>
      </c>
      <c r="D202" t="s">
        <v>617</v>
      </c>
      <c r="E202" t="s">
        <v>14</v>
      </c>
      <c r="F202">
        <f t="shared" si="18"/>
        <v>1</v>
      </c>
      <c r="G202">
        <v>82061</v>
      </c>
      <c r="H202">
        <f t="shared" si="15"/>
        <v>64.239136391035117</v>
      </c>
      <c r="I202" t="s">
        <v>618</v>
      </c>
      <c r="J202" t="s">
        <v>44</v>
      </c>
      <c r="K202">
        <v>45682</v>
      </c>
      <c r="L202">
        <f t="shared" si="16"/>
        <v>35.760863608964875</v>
      </c>
      <c r="M202">
        <v>36379</v>
      </c>
      <c r="N202">
        <f t="shared" si="19"/>
        <v>28.478272782070253</v>
      </c>
      <c r="O202" t="str">
        <f t="shared" si="17"/>
        <v>Safe Seat</v>
      </c>
      <c r="P202">
        <v>0</v>
      </c>
      <c r="Q202">
        <v>2026</v>
      </c>
    </row>
    <row r="203" spans="1:17">
      <c r="A203">
        <v>202</v>
      </c>
      <c r="C203" t="s">
        <v>619</v>
      </c>
      <c r="D203" t="s">
        <v>620</v>
      </c>
      <c r="E203" t="s">
        <v>14</v>
      </c>
      <c r="F203">
        <f t="shared" si="18"/>
        <v>1</v>
      </c>
      <c r="G203">
        <v>163392</v>
      </c>
      <c r="H203">
        <f t="shared" si="15"/>
        <v>67.479433045891568</v>
      </c>
      <c r="I203" t="s">
        <v>621</v>
      </c>
      <c r="J203" t="s">
        <v>20</v>
      </c>
      <c r="K203">
        <v>78744</v>
      </c>
      <c r="L203">
        <f t="shared" si="16"/>
        <v>32.520566954108439</v>
      </c>
      <c r="M203">
        <v>84648</v>
      </c>
      <c r="N203">
        <f t="shared" si="19"/>
        <v>34.958866091783129</v>
      </c>
      <c r="O203" t="str">
        <f t="shared" si="17"/>
        <v>Safe Seat</v>
      </c>
      <c r="P203">
        <v>0</v>
      </c>
      <c r="Q203">
        <v>2026</v>
      </c>
    </row>
    <row r="204" spans="1:17">
      <c r="A204">
        <v>203</v>
      </c>
      <c r="C204" t="s">
        <v>622</v>
      </c>
      <c r="D204" t="s">
        <v>623</v>
      </c>
      <c r="E204" t="s">
        <v>14</v>
      </c>
      <c r="F204">
        <f t="shared" si="18"/>
        <v>1</v>
      </c>
      <c r="G204">
        <v>137690</v>
      </c>
      <c r="H204">
        <f t="shared" si="15"/>
        <v>75.375949110696283</v>
      </c>
      <c r="I204" t="s">
        <v>624</v>
      </c>
      <c r="J204" t="s">
        <v>199</v>
      </c>
      <c r="K204">
        <v>44981</v>
      </c>
      <c r="L204">
        <f t="shared" si="16"/>
        <v>24.624050889303721</v>
      </c>
      <c r="M204">
        <v>92709</v>
      </c>
      <c r="N204">
        <f t="shared" si="19"/>
        <v>50.751898221392558</v>
      </c>
      <c r="O204" t="str">
        <f t="shared" si="17"/>
        <v>Safe Seat</v>
      </c>
      <c r="P204">
        <v>0</v>
      </c>
      <c r="Q204">
        <v>2026</v>
      </c>
    </row>
    <row r="205" spans="1:17">
      <c r="A205">
        <v>204</v>
      </c>
      <c r="C205" t="s">
        <v>625</v>
      </c>
      <c r="D205" t="s">
        <v>626</v>
      </c>
      <c r="E205" t="s">
        <v>14</v>
      </c>
      <c r="F205">
        <f t="shared" si="18"/>
        <v>1</v>
      </c>
      <c r="G205">
        <v>158358</v>
      </c>
      <c r="H205">
        <f t="shared" si="15"/>
        <v>63.331040440235476</v>
      </c>
      <c r="I205" t="s">
        <v>627</v>
      </c>
      <c r="J205" t="s">
        <v>20</v>
      </c>
      <c r="K205">
        <v>91690</v>
      </c>
      <c r="L205">
        <f t="shared" si="16"/>
        <v>36.668959559764524</v>
      </c>
      <c r="M205">
        <v>66668</v>
      </c>
      <c r="N205">
        <f t="shared" si="19"/>
        <v>26.662080880470953</v>
      </c>
      <c r="O205" t="str">
        <f t="shared" si="17"/>
        <v>Safe Seat</v>
      </c>
      <c r="P205">
        <v>0</v>
      </c>
      <c r="Q205">
        <v>2026</v>
      </c>
    </row>
    <row r="206" spans="1:17">
      <c r="A206">
        <v>205</v>
      </c>
      <c r="C206" t="s">
        <v>628</v>
      </c>
      <c r="D206" t="s">
        <v>629</v>
      </c>
      <c r="E206" t="s">
        <v>14</v>
      </c>
      <c r="F206">
        <f t="shared" si="18"/>
        <v>1</v>
      </c>
      <c r="G206">
        <v>124291</v>
      </c>
      <c r="H206">
        <f t="shared" si="15"/>
        <v>60.527892084053668</v>
      </c>
      <c r="I206" t="s">
        <v>630</v>
      </c>
      <c r="J206" t="s">
        <v>20</v>
      </c>
      <c r="K206">
        <v>81054</v>
      </c>
      <c r="L206">
        <f t="shared" si="16"/>
        <v>39.472107915946339</v>
      </c>
      <c r="M206">
        <v>43237</v>
      </c>
      <c r="N206">
        <f t="shared" si="19"/>
        <v>21.05578416810733</v>
      </c>
      <c r="O206" t="str">
        <f t="shared" si="17"/>
        <v>Safe Seat</v>
      </c>
      <c r="P206">
        <v>0</v>
      </c>
      <c r="Q206">
        <v>2026</v>
      </c>
    </row>
    <row r="207" spans="1:17">
      <c r="A207">
        <v>206</v>
      </c>
      <c r="C207" t="s">
        <v>631</v>
      </c>
      <c r="D207" t="s">
        <v>632</v>
      </c>
      <c r="E207" t="s">
        <v>14</v>
      </c>
      <c r="F207">
        <f t="shared" si="18"/>
        <v>1</v>
      </c>
      <c r="G207">
        <v>155400</v>
      </c>
      <c r="H207">
        <f t="shared" si="15"/>
        <v>53.52751121184356</v>
      </c>
      <c r="I207" t="s">
        <v>633</v>
      </c>
      <c r="J207" t="s">
        <v>20</v>
      </c>
      <c r="K207">
        <v>134918</v>
      </c>
      <c r="L207">
        <f t="shared" si="16"/>
        <v>46.472488788156433</v>
      </c>
      <c r="M207">
        <v>20482</v>
      </c>
      <c r="N207">
        <f t="shared" si="19"/>
        <v>7.0550224236871291</v>
      </c>
      <c r="O207" t="str">
        <f t="shared" si="17"/>
        <v>Safe Seat</v>
      </c>
      <c r="P207">
        <v>0</v>
      </c>
      <c r="Q207">
        <v>2026</v>
      </c>
    </row>
    <row r="208" spans="1:17">
      <c r="A208">
        <v>207</v>
      </c>
      <c r="C208" t="s">
        <v>634</v>
      </c>
      <c r="D208" t="s">
        <v>635</v>
      </c>
      <c r="E208" t="s">
        <v>16</v>
      </c>
      <c r="F208">
        <f t="shared" si="18"/>
        <v>0</v>
      </c>
      <c r="G208">
        <v>106171</v>
      </c>
      <c r="H208">
        <f t="shared" si="15"/>
        <v>56.839766582793516</v>
      </c>
      <c r="I208" t="s">
        <v>636</v>
      </c>
      <c r="J208" t="s">
        <v>51</v>
      </c>
      <c r="K208">
        <v>80619</v>
      </c>
      <c r="L208">
        <f t="shared" si="16"/>
        <v>43.160233417206491</v>
      </c>
      <c r="M208">
        <v>25552</v>
      </c>
      <c r="N208">
        <f t="shared" si="19"/>
        <v>13.679533165587024</v>
      </c>
      <c r="O208" t="str">
        <f t="shared" si="17"/>
        <v>Safe Seat</v>
      </c>
      <c r="P208">
        <v>1</v>
      </c>
      <c r="Q208">
        <v>2026</v>
      </c>
    </row>
    <row r="209" spans="1:17">
      <c r="A209">
        <v>208</v>
      </c>
      <c r="C209" t="s">
        <v>637</v>
      </c>
      <c r="D209" t="s">
        <v>638</v>
      </c>
      <c r="E209" t="s">
        <v>14</v>
      </c>
      <c r="F209">
        <f t="shared" si="18"/>
        <v>1</v>
      </c>
      <c r="G209">
        <v>114799</v>
      </c>
      <c r="H209">
        <f t="shared" si="15"/>
        <v>53.148915484154728</v>
      </c>
      <c r="I209" t="s">
        <v>639</v>
      </c>
      <c r="J209" t="s">
        <v>199</v>
      </c>
      <c r="K209">
        <v>101196</v>
      </c>
      <c r="L209">
        <f t="shared" si="16"/>
        <v>46.851084515845272</v>
      </c>
      <c r="M209">
        <v>13603</v>
      </c>
      <c r="N209">
        <f t="shared" si="19"/>
        <v>6.2978309683094524</v>
      </c>
      <c r="O209" t="str">
        <f t="shared" si="17"/>
        <v>Safe Seat</v>
      </c>
      <c r="P209">
        <v>1</v>
      </c>
      <c r="Q209">
        <v>2026</v>
      </c>
    </row>
    <row r="210" spans="1:17">
      <c r="A210">
        <v>209</v>
      </c>
      <c r="C210" t="s">
        <v>640</v>
      </c>
      <c r="D210" t="s">
        <v>641</v>
      </c>
      <c r="E210" t="s">
        <v>14</v>
      </c>
      <c r="F210">
        <f t="shared" si="18"/>
        <v>1</v>
      </c>
      <c r="G210">
        <v>154541</v>
      </c>
      <c r="H210">
        <f t="shared" si="15"/>
        <v>60.454244952725197</v>
      </c>
      <c r="I210" t="s">
        <v>146</v>
      </c>
      <c r="J210" t="s">
        <v>20</v>
      </c>
      <c r="K210">
        <v>101092</v>
      </c>
      <c r="L210">
        <f t="shared" si="16"/>
        <v>39.545755047274803</v>
      </c>
      <c r="M210">
        <v>53449</v>
      </c>
      <c r="N210">
        <f t="shared" si="19"/>
        <v>20.908489905450391</v>
      </c>
      <c r="O210" t="str">
        <f t="shared" si="17"/>
        <v>Safe Seat</v>
      </c>
      <c r="P210">
        <v>0</v>
      </c>
      <c r="Q210">
        <v>2026</v>
      </c>
    </row>
    <row r="211" spans="1:17">
      <c r="A211">
        <v>210</v>
      </c>
      <c r="C211" t="s">
        <v>642</v>
      </c>
      <c r="D211" t="s">
        <v>643</v>
      </c>
      <c r="E211" t="s">
        <v>14</v>
      </c>
      <c r="F211">
        <f t="shared" si="18"/>
        <v>1</v>
      </c>
      <c r="G211">
        <v>237254</v>
      </c>
      <c r="H211">
        <f t="shared" si="15"/>
        <v>77.902368389081701</v>
      </c>
      <c r="I211" t="s">
        <v>644</v>
      </c>
      <c r="J211" t="s">
        <v>16</v>
      </c>
      <c r="K211">
        <v>67299</v>
      </c>
      <c r="L211">
        <f t="shared" si="16"/>
        <v>22.097631610918299</v>
      </c>
      <c r="M211">
        <v>169955</v>
      </c>
      <c r="N211">
        <f t="shared" si="19"/>
        <v>55.804736778163409</v>
      </c>
      <c r="O211" t="str">
        <f t="shared" si="17"/>
        <v>Safe Seat</v>
      </c>
      <c r="P211">
        <v>0</v>
      </c>
      <c r="Q211">
        <v>2026</v>
      </c>
    </row>
    <row r="212" spans="1:17">
      <c r="A212">
        <v>211</v>
      </c>
      <c r="C212" t="s">
        <v>645</v>
      </c>
      <c r="D212" t="s">
        <v>646</v>
      </c>
      <c r="E212" t="s">
        <v>20</v>
      </c>
      <c r="F212">
        <f t="shared" si="18"/>
        <v>2</v>
      </c>
      <c r="G212">
        <v>154145</v>
      </c>
      <c r="H212">
        <f t="shared" si="15"/>
        <v>54.929958912554653</v>
      </c>
      <c r="I212" t="s">
        <v>647</v>
      </c>
      <c r="J212" t="s">
        <v>14</v>
      </c>
      <c r="K212">
        <v>126476</v>
      </c>
      <c r="L212">
        <f t="shared" si="16"/>
        <v>45.070041087445347</v>
      </c>
      <c r="M212">
        <v>27669</v>
      </c>
      <c r="N212">
        <f t="shared" si="19"/>
        <v>9.8599178251093118</v>
      </c>
      <c r="O212" t="str">
        <f t="shared" si="17"/>
        <v>Safe Seat</v>
      </c>
      <c r="P212">
        <v>0</v>
      </c>
      <c r="Q212">
        <v>2026</v>
      </c>
    </row>
    <row r="213" spans="1:17">
      <c r="A213">
        <v>212</v>
      </c>
      <c r="C213" t="s">
        <v>648</v>
      </c>
      <c r="D213" t="s">
        <v>649</v>
      </c>
      <c r="E213" t="s">
        <v>14</v>
      </c>
      <c r="F213">
        <f t="shared" si="18"/>
        <v>1</v>
      </c>
      <c r="G213">
        <v>121694</v>
      </c>
      <c r="H213">
        <f t="shared" si="15"/>
        <v>57.675154858553832</v>
      </c>
      <c r="I213" t="s">
        <v>650</v>
      </c>
      <c r="J213" t="s">
        <v>199</v>
      </c>
      <c r="K213">
        <v>89305</v>
      </c>
      <c r="L213">
        <f t="shared" si="16"/>
        <v>42.324845141446168</v>
      </c>
      <c r="M213">
        <v>32389</v>
      </c>
      <c r="N213">
        <f t="shared" si="19"/>
        <v>15.350309717107663</v>
      </c>
      <c r="O213" t="str">
        <f t="shared" si="17"/>
        <v>Safe Seat</v>
      </c>
      <c r="P213">
        <v>0</v>
      </c>
      <c r="Q213">
        <v>2026</v>
      </c>
    </row>
    <row r="214" spans="1:17">
      <c r="A214">
        <v>213</v>
      </c>
      <c r="C214" t="s">
        <v>651</v>
      </c>
      <c r="D214" t="s">
        <v>652</v>
      </c>
      <c r="E214" t="s">
        <v>14</v>
      </c>
      <c r="F214">
        <f t="shared" si="18"/>
        <v>1</v>
      </c>
      <c r="G214">
        <v>148545</v>
      </c>
      <c r="H214">
        <f t="shared" si="15"/>
        <v>54.479938384801585</v>
      </c>
      <c r="I214" t="s">
        <v>653</v>
      </c>
      <c r="J214" t="s">
        <v>20</v>
      </c>
      <c r="K214">
        <v>124115</v>
      </c>
      <c r="L214">
        <f t="shared" si="16"/>
        <v>45.520061615198415</v>
      </c>
      <c r="M214">
        <v>24430</v>
      </c>
      <c r="N214">
        <f t="shared" si="19"/>
        <v>8.9598767696031683</v>
      </c>
      <c r="O214" t="str">
        <f t="shared" si="17"/>
        <v>Safe Seat</v>
      </c>
      <c r="P214">
        <v>0</v>
      </c>
      <c r="Q214">
        <v>2026</v>
      </c>
    </row>
    <row r="215" spans="1:17">
      <c r="A215">
        <v>214</v>
      </c>
      <c r="C215" t="s">
        <v>654</v>
      </c>
      <c r="D215" t="s">
        <v>655</v>
      </c>
      <c r="E215" t="s">
        <v>14</v>
      </c>
      <c r="F215">
        <f t="shared" si="18"/>
        <v>1</v>
      </c>
      <c r="G215">
        <v>127443</v>
      </c>
      <c r="H215">
        <f t="shared" si="15"/>
        <v>62.703200031488628</v>
      </c>
      <c r="I215" t="s">
        <v>656</v>
      </c>
      <c r="J215" t="s">
        <v>20</v>
      </c>
      <c r="K215">
        <v>75805</v>
      </c>
      <c r="L215">
        <f t="shared" si="16"/>
        <v>37.296799968511372</v>
      </c>
      <c r="M215">
        <v>51638</v>
      </c>
      <c r="N215">
        <f t="shared" si="19"/>
        <v>25.406400062977248</v>
      </c>
      <c r="O215" t="str">
        <f t="shared" si="17"/>
        <v>Safe Seat</v>
      </c>
      <c r="P215">
        <v>0</v>
      </c>
      <c r="Q215">
        <v>2026</v>
      </c>
    </row>
    <row r="216" spans="1:17">
      <c r="A216">
        <v>215</v>
      </c>
      <c r="C216" t="s">
        <v>657</v>
      </c>
      <c r="D216" t="s">
        <v>658</v>
      </c>
      <c r="E216" t="s">
        <v>14</v>
      </c>
      <c r="F216">
        <f t="shared" si="18"/>
        <v>1</v>
      </c>
      <c r="G216">
        <v>69462</v>
      </c>
      <c r="H216">
        <f t="shared" si="15"/>
        <v>56.112318343013627</v>
      </c>
      <c r="I216" t="s">
        <v>659</v>
      </c>
      <c r="J216" t="s">
        <v>350</v>
      </c>
      <c r="K216">
        <v>54329</v>
      </c>
      <c r="L216">
        <f t="shared" si="16"/>
        <v>43.887681656986373</v>
      </c>
      <c r="M216">
        <v>15133</v>
      </c>
      <c r="N216">
        <f t="shared" si="19"/>
        <v>12.224636686027255</v>
      </c>
      <c r="O216" t="str">
        <f t="shared" si="17"/>
        <v>Safe Seat</v>
      </c>
      <c r="P216">
        <v>0</v>
      </c>
      <c r="Q216">
        <v>2026</v>
      </c>
    </row>
    <row r="217" spans="1:17">
      <c r="A217">
        <v>216</v>
      </c>
      <c r="C217" t="s">
        <v>660</v>
      </c>
      <c r="D217" t="s">
        <v>661</v>
      </c>
      <c r="E217" t="s">
        <v>14</v>
      </c>
      <c r="F217">
        <f t="shared" si="18"/>
        <v>1</v>
      </c>
      <c r="G217">
        <v>40048</v>
      </c>
      <c r="H217">
        <f t="shared" si="15"/>
        <v>54.794970377768962</v>
      </c>
      <c r="I217" t="s">
        <v>662</v>
      </c>
      <c r="J217" t="s">
        <v>44</v>
      </c>
      <c r="K217">
        <v>33039</v>
      </c>
      <c r="L217">
        <f t="shared" si="16"/>
        <v>45.205029622231038</v>
      </c>
      <c r="M217">
        <v>7009</v>
      </c>
      <c r="N217">
        <f t="shared" si="19"/>
        <v>9.5899407555379206</v>
      </c>
      <c r="O217" t="str">
        <f t="shared" si="17"/>
        <v>Safe Seat</v>
      </c>
      <c r="P217">
        <v>0</v>
      </c>
      <c r="Q217">
        <v>2026</v>
      </c>
    </row>
    <row r="218" spans="1:17">
      <c r="A218">
        <v>217</v>
      </c>
      <c r="C218" t="s">
        <v>663</v>
      </c>
      <c r="D218" t="s">
        <v>664</v>
      </c>
      <c r="E218" t="s">
        <v>14</v>
      </c>
      <c r="F218">
        <f t="shared" si="18"/>
        <v>1</v>
      </c>
      <c r="G218">
        <v>60166</v>
      </c>
      <c r="H218">
        <f t="shared" si="15"/>
        <v>63.983920538534342</v>
      </c>
      <c r="I218" t="s">
        <v>665</v>
      </c>
      <c r="J218" t="s">
        <v>44</v>
      </c>
      <c r="K218">
        <v>33867</v>
      </c>
      <c r="L218">
        <f t="shared" si="16"/>
        <v>36.016079461465658</v>
      </c>
      <c r="M218">
        <v>26299</v>
      </c>
      <c r="N218">
        <f t="shared" si="19"/>
        <v>27.967841077068691</v>
      </c>
      <c r="O218" t="str">
        <f t="shared" si="17"/>
        <v>Safe Seat</v>
      </c>
      <c r="P218">
        <v>0</v>
      </c>
      <c r="Q218">
        <v>2026</v>
      </c>
    </row>
    <row r="219" spans="1:17">
      <c r="A219">
        <v>218</v>
      </c>
      <c r="C219" t="s">
        <v>666</v>
      </c>
      <c r="D219" t="s">
        <v>667</v>
      </c>
      <c r="E219" t="s">
        <v>199</v>
      </c>
      <c r="F219">
        <f t="shared" si="18"/>
        <v>0</v>
      </c>
      <c r="G219">
        <v>64909</v>
      </c>
      <c r="H219">
        <f t="shared" si="15"/>
        <v>50.148725595481835</v>
      </c>
      <c r="I219" t="s">
        <v>668</v>
      </c>
      <c r="J219" t="s">
        <v>14</v>
      </c>
      <c r="K219">
        <v>64524</v>
      </c>
      <c r="L219">
        <f t="shared" si="16"/>
        <v>49.851274404518172</v>
      </c>
      <c r="M219">
        <v>385</v>
      </c>
      <c r="N219">
        <f t="shared" si="19"/>
        <v>0.29745119096366457</v>
      </c>
      <c r="O219" t="str">
        <f t="shared" si="17"/>
        <v>Highly Competitive</v>
      </c>
      <c r="P219">
        <v>0</v>
      </c>
      <c r="Q219">
        <v>2026</v>
      </c>
    </row>
    <row r="220" spans="1:17">
      <c r="A220">
        <v>219</v>
      </c>
      <c r="C220" t="s">
        <v>669</v>
      </c>
      <c r="D220" t="s">
        <v>670</v>
      </c>
      <c r="E220" t="s">
        <v>14</v>
      </c>
      <c r="F220">
        <f t="shared" si="18"/>
        <v>1</v>
      </c>
      <c r="G220">
        <v>61744</v>
      </c>
      <c r="H220">
        <f t="shared" si="15"/>
        <v>57.054148955830719</v>
      </c>
      <c r="I220" t="s">
        <v>671</v>
      </c>
      <c r="J220" t="s">
        <v>44</v>
      </c>
      <c r="K220">
        <v>46476</v>
      </c>
      <c r="L220">
        <f t="shared" si="16"/>
        <v>42.945851044169288</v>
      </c>
      <c r="M220">
        <v>15268</v>
      </c>
      <c r="N220">
        <f t="shared" si="19"/>
        <v>14.108297911661429</v>
      </c>
      <c r="O220" t="str">
        <f t="shared" si="17"/>
        <v>Safe Seat</v>
      </c>
      <c r="P220">
        <v>0</v>
      </c>
      <c r="Q220">
        <v>2026</v>
      </c>
    </row>
    <row r="221" spans="1:17">
      <c r="A221">
        <v>220</v>
      </c>
      <c r="C221" t="s">
        <v>672</v>
      </c>
      <c r="D221" t="s">
        <v>673</v>
      </c>
      <c r="E221" t="s">
        <v>14</v>
      </c>
      <c r="F221">
        <f t="shared" si="18"/>
        <v>1</v>
      </c>
      <c r="G221">
        <v>96188</v>
      </c>
      <c r="H221">
        <f t="shared" si="15"/>
        <v>53.191324640277827</v>
      </c>
      <c r="I221" t="s">
        <v>674</v>
      </c>
      <c r="J221" t="s">
        <v>20</v>
      </c>
      <c r="K221">
        <v>84646</v>
      </c>
      <c r="L221">
        <f t="shared" si="16"/>
        <v>46.808675359722173</v>
      </c>
      <c r="M221">
        <v>11542</v>
      </c>
      <c r="N221">
        <f t="shared" si="19"/>
        <v>6.3826492805556478</v>
      </c>
      <c r="O221" t="str">
        <f t="shared" si="17"/>
        <v>Safe Seat</v>
      </c>
      <c r="P221">
        <v>0</v>
      </c>
      <c r="Q221">
        <v>2026</v>
      </c>
    </row>
    <row r="222" spans="1:17">
      <c r="A222">
        <v>221</v>
      </c>
      <c r="C222" t="s">
        <v>675</v>
      </c>
      <c r="D222" t="s">
        <v>676</v>
      </c>
      <c r="E222" t="s">
        <v>14</v>
      </c>
      <c r="F222">
        <f t="shared" si="18"/>
        <v>1</v>
      </c>
      <c r="G222">
        <v>77398</v>
      </c>
      <c r="H222">
        <f t="shared" si="15"/>
        <v>55.238910894622272</v>
      </c>
      <c r="I222" t="s">
        <v>677</v>
      </c>
      <c r="J222" t="s">
        <v>199</v>
      </c>
      <c r="K222">
        <v>62717</v>
      </c>
      <c r="L222">
        <f t="shared" si="16"/>
        <v>44.761089105377728</v>
      </c>
      <c r="M222">
        <v>14681</v>
      </c>
      <c r="N222">
        <f t="shared" si="19"/>
        <v>10.477821789244549</v>
      </c>
      <c r="O222" t="str">
        <f t="shared" si="17"/>
        <v>Safe Seat</v>
      </c>
      <c r="P222">
        <v>0</v>
      </c>
      <c r="Q222">
        <v>2026</v>
      </c>
    </row>
    <row r="223" spans="1:17">
      <c r="A223">
        <v>222</v>
      </c>
      <c r="C223" t="s">
        <v>678</v>
      </c>
      <c r="D223" t="s">
        <v>679</v>
      </c>
      <c r="E223" t="s">
        <v>14</v>
      </c>
      <c r="F223">
        <f t="shared" si="18"/>
        <v>1</v>
      </c>
      <c r="G223">
        <v>129814</v>
      </c>
      <c r="H223">
        <f t="shared" si="15"/>
        <v>64.678684244616505</v>
      </c>
      <c r="I223" t="s">
        <v>680</v>
      </c>
      <c r="J223" t="s">
        <v>20</v>
      </c>
      <c r="K223">
        <v>70892</v>
      </c>
      <c r="L223">
        <f t="shared" si="16"/>
        <v>35.321315755383495</v>
      </c>
      <c r="M223">
        <v>58922</v>
      </c>
      <c r="N223">
        <f t="shared" si="19"/>
        <v>29.357368489233011</v>
      </c>
      <c r="O223" t="str">
        <f t="shared" si="17"/>
        <v>Safe Seat</v>
      </c>
      <c r="P223">
        <v>0</v>
      </c>
      <c r="Q223">
        <v>2026</v>
      </c>
    </row>
    <row r="224" spans="1:17">
      <c r="A224">
        <v>223</v>
      </c>
      <c r="C224" t="s">
        <v>681</v>
      </c>
      <c r="D224" t="s">
        <v>682</v>
      </c>
      <c r="E224" t="s">
        <v>14</v>
      </c>
      <c r="F224">
        <f t="shared" si="18"/>
        <v>1</v>
      </c>
      <c r="G224">
        <v>107516</v>
      </c>
      <c r="H224">
        <f t="shared" si="15"/>
        <v>60.674943566591423</v>
      </c>
      <c r="I224" t="s">
        <v>683</v>
      </c>
      <c r="J224" t="s">
        <v>20</v>
      </c>
      <c r="K224">
        <v>69684</v>
      </c>
      <c r="L224">
        <f t="shared" si="16"/>
        <v>39.325056433408577</v>
      </c>
      <c r="M224">
        <v>37832</v>
      </c>
      <c r="N224">
        <f t="shared" si="19"/>
        <v>21.349887133182843</v>
      </c>
      <c r="O224" t="str">
        <f t="shared" si="17"/>
        <v>Safe Seat</v>
      </c>
      <c r="P224">
        <v>0</v>
      </c>
      <c r="Q224">
        <v>2026</v>
      </c>
    </row>
    <row r="225" spans="1:17">
      <c r="A225">
        <v>224</v>
      </c>
      <c r="B225" t="s">
        <v>684</v>
      </c>
      <c r="C225" t="s">
        <v>685</v>
      </c>
      <c r="D225" t="s">
        <v>686</v>
      </c>
      <c r="E225" t="s">
        <v>14</v>
      </c>
      <c r="F225">
        <f t="shared" si="18"/>
        <v>1</v>
      </c>
      <c r="G225">
        <v>161774</v>
      </c>
      <c r="H225">
        <f t="shared" si="15"/>
        <v>63.505535055350549</v>
      </c>
      <c r="I225" t="s">
        <v>687</v>
      </c>
      <c r="J225" t="s">
        <v>20</v>
      </c>
      <c r="K225">
        <v>92966</v>
      </c>
      <c r="L225">
        <f t="shared" si="16"/>
        <v>36.494464944649444</v>
      </c>
      <c r="M225">
        <v>68808</v>
      </c>
      <c r="N225">
        <f t="shared" si="19"/>
        <v>27.011070110701109</v>
      </c>
      <c r="O225" t="str">
        <f t="shared" si="17"/>
        <v>Safe Seat</v>
      </c>
      <c r="P225">
        <v>0</v>
      </c>
      <c r="Q225">
        <v>2026</v>
      </c>
    </row>
    <row r="226" spans="1:17">
      <c r="A226">
        <v>225</v>
      </c>
      <c r="C226" t="s">
        <v>688</v>
      </c>
      <c r="D226" t="s">
        <v>689</v>
      </c>
      <c r="E226" t="s">
        <v>14</v>
      </c>
      <c r="F226">
        <f t="shared" si="18"/>
        <v>1</v>
      </c>
      <c r="G226">
        <v>99522</v>
      </c>
      <c r="H226">
        <f t="shared" si="15"/>
        <v>61.153236411006375</v>
      </c>
      <c r="I226" t="s">
        <v>690</v>
      </c>
      <c r="J226" t="s">
        <v>20</v>
      </c>
      <c r="K226">
        <v>63220</v>
      </c>
      <c r="L226">
        <f t="shared" si="16"/>
        <v>38.846763588993625</v>
      </c>
      <c r="M226">
        <v>36302</v>
      </c>
      <c r="N226">
        <f t="shared" si="19"/>
        <v>22.306472822012758</v>
      </c>
      <c r="O226" t="str">
        <f t="shared" si="17"/>
        <v>Safe Seat</v>
      </c>
      <c r="P226">
        <v>0</v>
      </c>
      <c r="Q226">
        <v>2026</v>
      </c>
    </row>
    <row r="227" spans="1:17">
      <c r="A227">
        <v>226</v>
      </c>
      <c r="C227" t="s">
        <v>691</v>
      </c>
      <c r="D227" t="s">
        <v>692</v>
      </c>
      <c r="E227" t="s">
        <v>14</v>
      </c>
      <c r="F227">
        <f t="shared" si="18"/>
        <v>1</v>
      </c>
      <c r="G227">
        <v>97313</v>
      </c>
      <c r="H227">
        <f t="shared" si="15"/>
        <v>69.738926035015297</v>
      </c>
      <c r="I227" t="s">
        <v>693</v>
      </c>
      <c r="J227" t="s">
        <v>44</v>
      </c>
      <c r="K227">
        <v>42226</v>
      </c>
      <c r="L227">
        <f t="shared" si="16"/>
        <v>30.261073964984696</v>
      </c>
      <c r="M227">
        <v>55087</v>
      </c>
      <c r="N227">
        <f t="shared" si="19"/>
        <v>39.4778520700306</v>
      </c>
      <c r="O227" t="str">
        <f t="shared" si="17"/>
        <v>Safe Seat</v>
      </c>
      <c r="P227">
        <v>0</v>
      </c>
      <c r="Q227">
        <v>2026</v>
      </c>
    </row>
    <row r="228" spans="1:17">
      <c r="A228">
        <v>227</v>
      </c>
      <c r="C228" t="s">
        <v>694</v>
      </c>
      <c r="D228" t="s">
        <v>695</v>
      </c>
      <c r="E228" t="s">
        <v>14</v>
      </c>
      <c r="F228">
        <f t="shared" si="18"/>
        <v>1</v>
      </c>
      <c r="G228">
        <v>98092</v>
      </c>
      <c r="H228">
        <f t="shared" si="15"/>
        <v>56.430819147773356</v>
      </c>
      <c r="I228" t="s">
        <v>696</v>
      </c>
      <c r="J228" t="s">
        <v>20</v>
      </c>
      <c r="K228">
        <v>75735</v>
      </c>
      <c r="L228">
        <f t="shared" si="16"/>
        <v>43.569180852226644</v>
      </c>
      <c r="M228">
        <v>22357</v>
      </c>
      <c r="N228">
        <f t="shared" si="19"/>
        <v>12.861638295546721</v>
      </c>
      <c r="O228" t="str">
        <f t="shared" si="17"/>
        <v>Safe Seat</v>
      </c>
      <c r="P228">
        <v>0</v>
      </c>
      <c r="Q228">
        <v>2026</v>
      </c>
    </row>
    <row r="229" spans="1:17">
      <c r="A229">
        <v>228</v>
      </c>
      <c r="C229" t="s">
        <v>697</v>
      </c>
      <c r="D229" t="s">
        <v>698</v>
      </c>
      <c r="E229" t="s">
        <v>14</v>
      </c>
      <c r="F229">
        <f t="shared" si="18"/>
        <v>1</v>
      </c>
      <c r="G229">
        <v>151915</v>
      </c>
      <c r="H229">
        <f t="shared" si="15"/>
        <v>59.80057944543293</v>
      </c>
      <c r="I229" t="s">
        <v>699</v>
      </c>
      <c r="J229" t="s">
        <v>20</v>
      </c>
      <c r="K229">
        <v>102121</v>
      </c>
      <c r="L229">
        <f t="shared" si="16"/>
        <v>40.19942055456707</v>
      </c>
      <c r="M229">
        <v>49794</v>
      </c>
      <c r="N229">
        <f t="shared" si="19"/>
        <v>19.601158890865861</v>
      </c>
      <c r="O229" t="str">
        <f t="shared" si="17"/>
        <v>Safe Seat</v>
      </c>
      <c r="P229">
        <v>0</v>
      </c>
      <c r="Q229">
        <v>2026</v>
      </c>
    </row>
    <row r="230" spans="1:17">
      <c r="A230">
        <v>229</v>
      </c>
      <c r="C230" t="s">
        <v>700</v>
      </c>
      <c r="D230" t="s">
        <v>701</v>
      </c>
      <c r="E230" t="s">
        <v>14</v>
      </c>
      <c r="F230">
        <f t="shared" si="18"/>
        <v>1</v>
      </c>
      <c r="G230">
        <v>176936</v>
      </c>
      <c r="H230">
        <f t="shared" si="15"/>
        <v>56.724983088558247</v>
      </c>
      <c r="I230" t="s">
        <v>702</v>
      </c>
      <c r="J230" t="s">
        <v>20</v>
      </c>
      <c r="K230">
        <v>134983</v>
      </c>
      <c r="L230">
        <f t="shared" si="16"/>
        <v>43.275016911441753</v>
      </c>
      <c r="M230">
        <v>41953</v>
      </c>
      <c r="N230">
        <f t="shared" si="19"/>
        <v>13.449966177116496</v>
      </c>
      <c r="O230" t="str">
        <f t="shared" si="17"/>
        <v>Safe Seat</v>
      </c>
      <c r="P230">
        <v>1</v>
      </c>
      <c r="Q230">
        <v>2026</v>
      </c>
    </row>
    <row r="231" spans="1:17">
      <c r="A231">
        <v>230</v>
      </c>
      <c r="C231" t="s">
        <v>703</v>
      </c>
      <c r="D231" t="s">
        <v>704</v>
      </c>
      <c r="E231" t="s">
        <v>14</v>
      </c>
      <c r="F231">
        <f t="shared" si="18"/>
        <v>1</v>
      </c>
      <c r="G231">
        <v>116697</v>
      </c>
      <c r="H231">
        <f t="shared" si="15"/>
        <v>75.706973394834662</v>
      </c>
      <c r="I231" t="s">
        <v>705</v>
      </c>
      <c r="J231" t="s">
        <v>315</v>
      </c>
      <c r="K231">
        <v>37446</v>
      </c>
      <c r="L231">
        <f t="shared" si="16"/>
        <v>24.293026605165334</v>
      </c>
      <c r="M231">
        <v>79251</v>
      </c>
      <c r="N231">
        <f t="shared" si="19"/>
        <v>51.413946789669332</v>
      </c>
      <c r="O231" t="str">
        <f t="shared" si="17"/>
        <v>Safe Seat</v>
      </c>
      <c r="P231">
        <v>0</v>
      </c>
      <c r="Q231">
        <v>2026</v>
      </c>
    </row>
    <row r="232" spans="1:17">
      <c r="A232">
        <v>231</v>
      </c>
      <c r="C232" t="s">
        <v>706</v>
      </c>
      <c r="D232" t="s">
        <v>707</v>
      </c>
      <c r="E232" t="s">
        <v>14</v>
      </c>
      <c r="F232">
        <f t="shared" si="18"/>
        <v>1</v>
      </c>
      <c r="G232">
        <v>114255</v>
      </c>
      <c r="H232">
        <f t="shared" si="15"/>
        <v>60.816313495041761</v>
      </c>
      <c r="I232" t="s">
        <v>708</v>
      </c>
      <c r="J232" t="s">
        <v>199</v>
      </c>
      <c r="K232">
        <v>73614</v>
      </c>
      <c r="L232">
        <f t="shared" si="16"/>
        <v>39.183686504958246</v>
      </c>
      <c r="M232">
        <v>40641</v>
      </c>
      <c r="N232">
        <f t="shared" si="19"/>
        <v>21.632626990083516</v>
      </c>
      <c r="O232" t="str">
        <f t="shared" si="17"/>
        <v>Safe Seat</v>
      </c>
      <c r="P232">
        <v>1</v>
      </c>
      <c r="Q232">
        <v>2026</v>
      </c>
    </row>
    <row r="233" spans="1:17">
      <c r="A233">
        <v>232</v>
      </c>
      <c r="C233" t="s">
        <v>709</v>
      </c>
      <c r="D233" t="s">
        <v>710</v>
      </c>
      <c r="E233" t="s">
        <v>14</v>
      </c>
      <c r="F233">
        <f t="shared" si="18"/>
        <v>1</v>
      </c>
      <c r="G233">
        <v>186846</v>
      </c>
      <c r="H233">
        <f t="shared" si="15"/>
        <v>72.354465084399209</v>
      </c>
      <c r="I233" t="s">
        <v>711</v>
      </c>
      <c r="J233" t="s">
        <v>20</v>
      </c>
      <c r="K233">
        <v>71391</v>
      </c>
      <c r="L233">
        <f t="shared" si="16"/>
        <v>27.645534915600784</v>
      </c>
      <c r="M233">
        <v>115455</v>
      </c>
      <c r="N233">
        <f t="shared" si="19"/>
        <v>44.708930168798425</v>
      </c>
      <c r="O233" t="str">
        <f t="shared" si="17"/>
        <v>Safe Seat</v>
      </c>
      <c r="P233">
        <v>0</v>
      </c>
      <c r="Q233">
        <v>2026</v>
      </c>
    </row>
    <row r="234" spans="1:17">
      <c r="A234">
        <v>233</v>
      </c>
      <c r="C234" t="s">
        <v>712</v>
      </c>
      <c r="D234" t="s">
        <v>713</v>
      </c>
      <c r="E234" t="s">
        <v>315</v>
      </c>
      <c r="F234">
        <f t="shared" si="18"/>
        <v>0</v>
      </c>
      <c r="G234">
        <v>79355</v>
      </c>
      <c r="H234">
        <f t="shared" si="15"/>
        <v>53.212319535435761</v>
      </c>
      <c r="I234" t="s">
        <v>714</v>
      </c>
      <c r="J234" t="s">
        <v>51</v>
      </c>
      <c r="K234">
        <v>69774</v>
      </c>
      <c r="L234">
        <f t="shared" si="16"/>
        <v>46.787680464564232</v>
      </c>
      <c r="M234">
        <v>9581</v>
      </c>
      <c r="N234">
        <f t="shared" si="19"/>
        <v>6.4246390708715264</v>
      </c>
      <c r="O234" t="str">
        <f t="shared" si="17"/>
        <v>Safe Seat</v>
      </c>
      <c r="P234">
        <v>0</v>
      </c>
      <c r="Q234">
        <v>2026</v>
      </c>
    </row>
    <row r="235" spans="1:17">
      <c r="A235">
        <v>234</v>
      </c>
      <c r="C235" t="s">
        <v>715</v>
      </c>
      <c r="D235" t="s">
        <v>716</v>
      </c>
      <c r="E235" t="s">
        <v>14</v>
      </c>
      <c r="F235">
        <f t="shared" si="18"/>
        <v>1</v>
      </c>
      <c r="G235">
        <v>70794</v>
      </c>
      <c r="H235">
        <f t="shared" si="15"/>
        <v>55.867799900565828</v>
      </c>
      <c r="I235" t="s">
        <v>717</v>
      </c>
      <c r="J235" t="s">
        <v>20</v>
      </c>
      <c r="K235">
        <v>55923</v>
      </c>
      <c r="L235">
        <f t="shared" si="16"/>
        <v>44.132200099434172</v>
      </c>
      <c r="M235">
        <v>14871</v>
      </c>
      <c r="N235">
        <f t="shared" si="19"/>
        <v>11.735599801131656</v>
      </c>
      <c r="O235" t="str">
        <f t="shared" si="17"/>
        <v>Safe Seat</v>
      </c>
      <c r="P235">
        <v>0</v>
      </c>
      <c r="Q235">
        <v>2026</v>
      </c>
    </row>
    <row r="236" spans="1:17">
      <c r="A236">
        <v>235</v>
      </c>
      <c r="C236" t="s">
        <v>718</v>
      </c>
      <c r="D236" t="s">
        <v>719</v>
      </c>
      <c r="E236" t="s">
        <v>14</v>
      </c>
      <c r="F236">
        <f t="shared" si="18"/>
        <v>1</v>
      </c>
      <c r="G236">
        <v>98282</v>
      </c>
      <c r="H236">
        <f t="shared" si="15"/>
        <v>54.211092418434049</v>
      </c>
      <c r="I236" t="s">
        <v>720</v>
      </c>
      <c r="J236" t="s">
        <v>20</v>
      </c>
      <c r="K236">
        <v>83013</v>
      </c>
      <c r="L236">
        <f t="shared" si="16"/>
        <v>45.788907581565958</v>
      </c>
      <c r="M236">
        <v>15269</v>
      </c>
      <c r="N236">
        <f t="shared" si="19"/>
        <v>8.4221848368680874</v>
      </c>
      <c r="O236" t="str">
        <f t="shared" si="17"/>
        <v>Safe Seat</v>
      </c>
      <c r="P236">
        <v>0</v>
      </c>
      <c r="Q236">
        <v>2026</v>
      </c>
    </row>
    <row r="237" spans="1:17">
      <c r="A237">
        <v>236</v>
      </c>
      <c r="C237" t="s">
        <v>721</v>
      </c>
      <c r="D237" t="s">
        <v>722</v>
      </c>
      <c r="E237" t="s">
        <v>14</v>
      </c>
      <c r="F237">
        <f t="shared" si="18"/>
        <v>1</v>
      </c>
      <c r="G237">
        <v>88381</v>
      </c>
      <c r="H237">
        <f t="shared" si="15"/>
        <v>62.310788993154212</v>
      </c>
      <c r="I237" t="s">
        <v>723</v>
      </c>
      <c r="J237" t="s">
        <v>20</v>
      </c>
      <c r="K237">
        <v>53458</v>
      </c>
      <c r="L237">
        <f t="shared" si="16"/>
        <v>37.689211006845788</v>
      </c>
      <c r="M237">
        <v>34923</v>
      </c>
      <c r="N237">
        <f t="shared" si="19"/>
        <v>24.62157798630842</v>
      </c>
      <c r="O237" t="str">
        <f t="shared" si="17"/>
        <v>Safe Seat</v>
      </c>
      <c r="P237">
        <v>0</v>
      </c>
      <c r="Q237">
        <v>2026</v>
      </c>
    </row>
    <row r="238" spans="1:17">
      <c r="A238">
        <v>237</v>
      </c>
      <c r="C238" t="s">
        <v>724</v>
      </c>
      <c r="D238" t="s">
        <v>725</v>
      </c>
      <c r="E238" t="s">
        <v>14</v>
      </c>
      <c r="F238">
        <f t="shared" si="18"/>
        <v>1</v>
      </c>
      <c r="G238">
        <v>156757</v>
      </c>
      <c r="H238">
        <f t="shared" si="15"/>
        <v>66.87785044775228</v>
      </c>
      <c r="I238" t="s">
        <v>553</v>
      </c>
      <c r="J238" t="s">
        <v>20</v>
      </c>
      <c r="K238">
        <v>77636</v>
      </c>
      <c r="L238">
        <f t="shared" si="16"/>
        <v>33.12214955224772</v>
      </c>
      <c r="M238">
        <v>79121</v>
      </c>
      <c r="N238">
        <f t="shared" si="19"/>
        <v>33.75570089550456</v>
      </c>
      <c r="O238" t="str">
        <f t="shared" si="17"/>
        <v>Safe Seat</v>
      </c>
      <c r="P238">
        <v>0</v>
      </c>
      <c r="Q238">
        <v>2026</v>
      </c>
    </row>
    <row r="239" spans="1:17">
      <c r="A239">
        <v>238</v>
      </c>
      <c r="C239" t="s">
        <v>726</v>
      </c>
      <c r="D239" t="s">
        <v>727</v>
      </c>
      <c r="E239" t="s">
        <v>14</v>
      </c>
      <c r="F239">
        <f t="shared" si="18"/>
        <v>1</v>
      </c>
      <c r="G239">
        <v>170877</v>
      </c>
      <c r="H239">
        <f t="shared" si="15"/>
        <v>77.291580913782738</v>
      </c>
      <c r="I239" t="s">
        <v>728</v>
      </c>
      <c r="J239" t="s">
        <v>199</v>
      </c>
      <c r="K239">
        <v>50204</v>
      </c>
      <c r="L239">
        <f t="shared" si="16"/>
        <v>22.708419086217269</v>
      </c>
      <c r="M239">
        <v>120673</v>
      </c>
      <c r="N239">
        <f t="shared" si="19"/>
        <v>54.583161827565462</v>
      </c>
      <c r="O239" t="str">
        <f t="shared" si="17"/>
        <v>Safe Seat</v>
      </c>
      <c r="P239">
        <v>0</v>
      </c>
      <c r="Q239">
        <v>2026</v>
      </c>
    </row>
    <row r="240" spans="1:17">
      <c r="A240">
        <v>239</v>
      </c>
      <c r="C240" t="s">
        <v>729</v>
      </c>
      <c r="D240" t="s">
        <v>730</v>
      </c>
      <c r="E240" t="s">
        <v>14</v>
      </c>
      <c r="F240">
        <f t="shared" si="18"/>
        <v>1</v>
      </c>
      <c r="G240">
        <v>111999</v>
      </c>
      <c r="H240">
        <f t="shared" si="15"/>
        <v>66.614128269028313</v>
      </c>
      <c r="I240" t="s">
        <v>731</v>
      </c>
      <c r="J240" t="s">
        <v>199</v>
      </c>
      <c r="K240">
        <v>56132</v>
      </c>
      <c r="L240">
        <f t="shared" si="16"/>
        <v>33.385871730971687</v>
      </c>
      <c r="M240">
        <v>55867</v>
      </c>
      <c r="N240">
        <f t="shared" si="19"/>
        <v>33.228256538056634</v>
      </c>
      <c r="O240" t="str">
        <f t="shared" si="17"/>
        <v>Safe Seat</v>
      </c>
      <c r="P240">
        <v>0</v>
      </c>
      <c r="Q240">
        <v>2026</v>
      </c>
    </row>
    <row r="241" spans="1:17">
      <c r="A241">
        <v>240</v>
      </c>
      <c r="C241" t="s">
        <v>732</v>
      </c>
      <c r="D241" t="s">
        <v>733</v>
      </c>
      <c r="E241" t="s">
        <v>14</v>
      </c>
      <c r="F241">
        <f t="shared" si="18"/>
        <v>1</v>
      </c>
      <c r="G241">
        <v>126583</v>
      </c>
      <c r="H241">
        <f t="shared" si="15"/>
        <v>65.810392783799941</v>
      </c>
      <c r="I241" t="s">
        <v>734</v>
      </c>
      <c r="J241" t="s">
        <v>199</v>
      </c>
      <c r="K241">
        <v>65762</v>
      </c>
      <c r="L241">
        <f t="shared" si="16"/>
        <v>34.189607216200059</v>
      </c>
      <c r="M241">
        <v>60821</v>
      </c>
      <c r="N241">
        <f t="shared" si="19"/>
        <v>31.620785567599885</v>
      </c>
      <c r="O241" t="str">
        <f t="shared" si="17"/>
        <v>Safe Seat</v>
      </c>
      <c r="P241">
        <v>0</v>
      </c>
      <c r="Q241">
        <v>2026</v>
      </c>
    </row>
    <row r="242" spans="1:17">
      <c r="A242">
        <v>241</v>
      </c>
      <c r="C242" t="s">
        <v>735</v>
      </c>
      <c r="D242" t="s">
        <v>736</v>
      </c>
      <c r="E242" t="s">
        <v>14</v>
      </c>
      <c r="F242">
        <f t="shared" si="18"/>
        <v>1</v>
      </c>
      <c r="G242">
        <v>142348</v>
      </c>
      <c r="H242">
        <f t="shared" si="15"/>
        <v>75.750867408842254</v>
      </c>
      <c r="I242" t="s">
        <v>737</v>
      </c>
      <c r="J242" t="s">
        <v>20</v>
      </c>
      <c r="K242">
        <v>45568</v>
      </c>
      <c r="L242">
        <f t="shared" si="16"/>
        <v>24.249132591157753</v>
      </c>
      <c r="M242">
        <v>96780</v>
      </c>
      <c r="N242">
        <f t="shared" si="19"/>
        <v>51.501734817684493</v>
      </c>
      <c r="O242" t="str">
        <f t="shared" si="17"/>
        <v>Safe Seat</v>
      </c>
      <c r="P242">
        <v>0</v>
      </c>
      <c r="Q242">
        <v>2026</v>
      </c>
    </row>
    <row r="243" spans="1:17">
      <c r="A243">
        <v>242</v>
      </c>
      <c r="C243" t="s">
        <v>738</v>
      </c>
      <c r="D243" t="s">
        <v>739</v>
      </c>
      <c r="E243" t="s">
        <v>14</v>
      </c>
      <c r="F243">
        <f t="shared" si="18"/>
        <v>1</v>
      </c>
      <c r="G243">
        <v>188072</v>
      </c>
      <c r="H243">
        <f t="shared" si="15"/>
        <v>69.043851759393533</v>
      </c>
      <c r="I243" t="s">
        <v>740</v>
      </c>
      <c r="J243" t="s">
        <v>741</v>
      </c>
      <c r="K243">
        <v>84323</v>
      </c>
      <c r="L243">
        <f t="shared" si="16"/>
        <v>30.956148240606474</v>
      </c>
      <c r="M243">
        <v>103749</v>
      </c>
      <c r="N243">
        <f t="shared" si="19"/>
        <v>38.087703518787059</v>
      </c>
      <c r="O243" t="str">
        <f t="shared" si="17"/>
        <v>Safe Seat</v>
      </c>
      <c r="P243">
        <v>0</v>
      </c>
      <c r="Q243">
        <v>2026</v>
      </c>
    </row>
    <row r="244" spans="1:17">
      <c r="A244">
        <v>243</v>
      </c>
      <c r="B244" t="s">
        <v>742</v>
      </c>
      <c r="C244" t="s">
        <v>743</v>
      </c>
      <c r="D244" t="s">
        <v>744</v>
      </c>
      <c r="E244" t="s">
        <v>14</v>
      </c>
      <c r="F244">
        <f t="shared" si="18"/>
        <v>1</v>
      </c>
      <c r="G244">
        <v>68092</v>
      </c>
      <c r="H244">
        <f t="shared" si="15"/>
        <v>65.909090909090907</v>
      </c>
      <c r="I244" t="s">
        <v>745</v>
      </c>
      <c r="J244" t="s">
        <v>20</v>
      </c>
      <c r="K244">
        <v>35220</v>
      </c>
      <c r="L244">
        <f t="shared" si="16"/>
        <v>34.090909090909086</v>
      </c>
      <c r="M244">
        <v>32872</v>
      </c>
      <c r="N244">
        <f t="shared" si="19"/>
        <v>31.818181818181817</v>
      </c>
      <c r="O244" t="str">
        <f t="shared" si="17"/>
        <v>Safe Seat</v>
      </c>
      <c r="P244">
        <v>0</v>
      </c>
      <c r="Q244">
        <v>2026</v>
      </c>
    </row>
    <row r="245" spans="1:17">
      <c r="A245">
        <v>244</v>
      </c>
      <c r="C245" t="s">
        <v>746</v>
      </c>
      <c r="D245" t="s">
        <v>747</v>
      </c>
      <c r="E245" t="s">
        <v>44</v>
      </c>
      <c r="F245">
        <f t="shared" si="18"/>
        <v>5</v>
      </c>
      <c r="G245">
        <v>118547</v>
      </c>
      <c r="H245">
        <f t="shared" si="15"/>
        <v>59.577045044501745</v>
      </c>
      <c r="I245" t="s">
        <v>748</v>
      </c>
      <c r="J245" t="s">
        <v>51</v>
      </c>
      <c r="K245">
        <v>80434</v>
      </c>
      <c r="L245">
        <f t="shared" si="16"/>
        <v>40.422954955498263</v>
      </c>
      <c r="M245">
        <v>38113</v>
      </c>
      <c r="N245">
        <f t="shared" si="19"/>
        <v>19.154090089003471</v>
      </c>
      <c r="O245" t="str">
        <f t="shared" si="17"/>
        <v>Safe Seat</v>
      </c>
      <c r="P245">
        <v>0</v>
      </c>
      <c r="Q245">
        <v>2026</v>
      </c>
    </row>
    <row r="246" spans="1:17">
      <c r="A246">
        <v>245</v>
      </c>
      <c r="C246" t="s">
        <v>749</v>
      </c>
      <c r="D246" t="s">
        <v>750</v>
      </c>
      <c r="E246" t="s">
        <v>14</v>
      </c>
      <c r="F246">
        <f t="shared" si="18"/>
        <v>1</v>
      </c>
      <c r="G246">
        <v>209636</v>
      </c>
      <c r="H246">
        <f t="shared" si="15"/>
        <v>77.020240059077906</v>
      </c>
      <c r="I246" t="s">
        <v>751</v>
      </c>
      <c r="J246" t="s">
        <v>16</v>
      </c>
      <c r="K246">
        <v>62547</v>
      </c>
      <c r="L246">
        <f t="shared" si="16"/>
        <v>22.979759940922101</v>
      </c>
      <c r="M246">
        <v>147089</v>
      </c>
      <c r="N246">
        <f t="shared" si="19"/>
        <v>54.040480118155799</v>
      </c>
      <c r="O246" t="str">
        <f t="shared" si="17"/>
        <v>Safe Seat</v>
      </c>
      <c r="P246">
        <v>0</v>
      </c>
      <c r="Q246">
        <v>2026</v>
      </c>
    </row>
    <row r="247" spans="1:17">
      <c r="A247">
        <v>246</v>
      </c>
      <c r="C247" t="s">
        <v>752</v>
      </c>
      <c r="D247" t="s">
        <v>753</v>
      </c>
      <c r="E247" t="s">
        <v>14</v>
      </c>
      <c r="F247">
        <f t="shared" si="18"/>
        <v>1</v>
      </c>
      <c r="G247">
        <v>139842</v>
      </c>
      <c r="H247">
        <f t="shared" si="15"/>
        <v>60.370923596301132</v>
      </c>
      <c r="I247" t="s">
        <v>754</v>
      </c>
      <c r="J247" t="s">
        <v>20</v>
      </c>
      <c r="K247">
        <v>91796</v>
      </c>
      <c r="L247">
        <f t="shared" si="16"/>
        <v>39.629076403698875</v>
      </c>
      <c r="M247">
        <v>48046</v>
      </c>
      <c r="N247">
        <f t="shared" si="19"/>
        <v>20.741847192602251</v>
      </c>
      <c r="O247" t="str">
        <f t="shared" si="17"/>
        <v>Safe Seat</v>
      </c>
      <c r="P247">
        <v>0</v>
      </c>
      <c r="Q247">
        <v>2026</v>
      </c>
    </row>
    <row r="248" spans="1:17">
      <c r="A248">
        <v>247</v>
      </c>
      <c r="C248" t="s">
        <v>755</v>
      </c>
      <c r="D248" t="s">
        <v>756</v>
      </c>
      <c r="E248" t="s">
        <v>14</v>
      </c>
      <c r="F248">
        <f t="shared" si="18"/>
        <v>1</v>
      </c>
      <c r="G248">
        <v>85769</v>
      </c>
      <c r="H248">
        <f t="shared" si="15"/>
        <v>50.311185673140656</v>
      </c>
      <c r="I248" t="s">
        <v>757</v>
      </c>
      <c r="J248" t="s">
        <v>44</v>
      </c>
      <c r="K248">
        <v>84708</v>
      </c>
      <c r="L248">
        <f t="shared" si="16"/>
        <v>49.688814326859344</v>
      </c>
      <c r="M248">
        <v>1061</v>
      </c>
      <c r="N248">
        <f t="shared" si="19"/>
        <v>0.62237134628131652</v>
      </c>
      <c r="O248" t="str">
        <f t="shared" si="17"/>
        <v>Highly Competitive</v>
      </c>
      <c r="P248">
        <v>0</v>
      </c>
      <c r="Q248">
        <v>2026</v>
      </c>
    </row>
    <row r="249" spans="1:17">
      <c r="A249">
        <v>248</v>
      </c>
      <c r="C249" t="s">
        <v>758</v>
      </c>
      <c r="D249" t="s">
        <v>759</v>
      </c>
      <c r="E249" t="s">
        <v>760</v>
      </c>
      <c r="F249">
        <f t="shared" si="18"/>
        <v>0</v>
      </c>
      <c r="G249">
        <v>95342</v>
      </c>
      <c r="H249">
        <f t="shared" si="15"/>
        <v>70.457736590845272</v>
      </c>
      <c r="I249" t="s">
        <v>761</v>
      </c>
      <c r="J249" t="s">
        <v>20</v>
      </c>
      <c r="K249">
        <v>39976</v>
      </c>
      <c r="L249">
        <f t="shared" si="16"/>
        <v>29.542263409154735</v>
      </c>
      <c r="M249">
        <v>55366</v>
      </c>
      <c r="N249">
        <f t="shared" si="19"/>
        <v>40.915473181690537</v>
      </c>
      <c r="O249" t="str">
        <f t="shared" si="17"/>
        <v>Safe Seat</v>
      </c>
      <c r="P249">
        <v>0</v>
      </c>
      <c r="Q249">
        <v>2026</v>
      </c>
    </row>
    <row r="250" spans="1:17">
      <c r="A250">
        <v>249</v>
      </c>
      <c r="C250" t="s">
        <v>762</v>
      </c>
      <c r="D250" t="s">
        <v>763</v>
      </c>
      <c r="E250" t="s">
        <v>14</v>
      </c>
      <c r="F250">
        <f t="shared" si="18"/>
        <v>1</v>
      </c>
      <c r="G250">
        <v>141440</v>
      </c>
      <c r="H250">
        <f t="shared" si="15"/>
        <v>59.859914933237398</v>
      </c>
      <c r="I250" t="s">
        <v>333</v>
      </c>
      <c r="J250" t="s">
        <v>20</v>
      </c>
      <c r="K250">
        <v>94845</v>
      </c>
      <c r="L250">
        <f t="shared" si="16"/>
        <v>40.140085066762602</v>
      </c>
      <c r="M250">
        <v>46595</v>
      </c>
      <c r="N250">
        <f t="shared" si="19"/>
        <v>19.719829866474807</v>
      </c>
      <c r="O250" t="str">
        <f t="shared" si="17"/>
        <v>Safe Seat</v>
      </c>
      <c r="P250">
        <v>0</v>
      </c>
      <c r="Q250">
        <v>2026</v>
      </c>
    </row>
    <row r="251" spans="1:17">
      <c r="A251">
        <v>250</v>
      </c>
      <c r="C251" t="s">
        <v>764</v>
      </c>
      <c r="D251" t="s">
        <v>756</v>
      </c>
      <c r="E251" t="s">
        <v>14</v>
      </c>
      <c r="F251">
        <f t="shared" si="18"/>
        <v>1</v>
      </c>
      <c r="G251">
        <v>77037</v>
      </c>
      <c r="H251">
        <f t="shared" si="15"/>
        <v>54.99421767250611</v>
      </c>
      <c r="I251" t="s">
        <v>765</v>
      </c>
      <c r="J251" t="s">
        <v>44</v>
      </c>
      <c r="K251">
        <v>63045</v>
      </c>
      <c r="L251">
        <f t="shared" si="16"/>
        <v>45.005782327493897</v>
      </c>
      <c r="M251">
        <v>13992</v>
      </c>
      <c r="N251">
        <f t="shared" si="19"/>
        <v>9.9884353450122081</v>
      </c>
      <c r="O251" t="str">
        <f t="shared" si="17"/>
        <v>Safe Seat</v>
      </c>
      <c r="P251">
        <v>0</v>
      </c>
      <c r="Q251">
        <v>2026</v>
      </c>
    </row>
    <row r="252" spans="1:17">
      <c r="A252">
        <v>251</v>
      </c>
      <c r="C252" t="s">
        <v>766</v>
      </c>
      <c r="D252" t="s">
        <v>767</v>
      </c>
      <c r="E252" t="s">
        <v>14</v>
      </c>
      <c r="F252">
        <f t="shared" si="18"/>
        <v>1</v>
      </c>
      <c r="G252">
        <v>159291</v>
      </c>
      <c r="H252">
        <f t="shared" si="15"/>
        <v>59.24020975119938</v>
      </c>
      <c r="I252" t="s">
        <v>768</v>
      </c>
      <c r="J252" t="s">
        <v>20</v>
      </c>
      <c r="K252">
        <v>109599</v>
      </c>
      <c r="L252">
        <f t="shared" si="16"/>
        <v>40.759790248800627</v>
      </c>
      <c r="M252">
        <v>49692</v>
      </c>
      <c r="N252">
        <f t="shared" si="19"/>
        <v>18.48041950239875</v>
      </c>
      <c r="O252" t="str">
        <f t="shared" si="17"/>
        <v>Safe Seat</v>
      </c>
      <c r="P252">
        <v>0</v>
      </c>
      <c r="Q252">
        <v>2026</v>
      </c>
    </row>
    <row r="253" spans="1:17">
      <c r="A253">
        <v>252</v>
      </c>
      <c r="C253" t="s">
        <v>769</v>
      </c>
      <c r="D253" t="s">
        <v>770</v>
      </c>
      <c r="E253" t="s">
        <v>16</v>
      </c>
      <c r="F253">
        <f t="shared" si="18"/>
        <v>0</v>
      </c>
      <c r="G253">
        <v>166583</v>
      </c>
      <c r="H253">
        <f t="shared" si="15"/>
        <v>76.955023375279481</v>
      </c>
      <c r="I253" t="s">
        <v>771</v>
      </c>
      <c r="J253" t="s">
        <v>350</v>
      </c>
      <c r="K253">
        <v>49885</v>
      </c>
      <c r="L253">
        <f t="shared" si="16"/>
        <v>23.044976624720512</v>
      </c>
      <c r="M253">
        <v>116698</v>
      </c>
      <c r="N253">
        <f t="shared" si="19"/>
        <v>53.910046750558969</v>
      </c>
      <c r="O253" t="str">
        <f t="shared" si="17"/>
        <v>Safe Seat</v>
      </c>
      <c r="P253">
        <v>0</v>
      </c>
      <c r="Q253">
        <v>2026</v>
      </c>
    </row>
    <row r="254" spans="1:17">
      <c r="A254">
        <v>253</v>
      </c>
      <c r="C254" t="s">
        <v>772</v>
      </c>
      <c r="D254" t="s">
        <v>773</v>
      </c>
      <c r="E254" t="s">
        <v>14</v>
      </c>
      <c r="F254">
        <f t="shared" si="18"/>
        <v>1</v>
      </c>
      <c r="G254">
        <v>134485</v>
      </c>
      <c r="H254">
        <f t="shared" si="15"/>
        <v>51.910279767786562</v>
      </c>
      <c r="I254" t="s">
        <v>774</v>
      </c>
      <c r="J254" t="s">
        <v>20</v>
      </c>
      <c r="K254">
        <v>124587</v>
      </c>
      <c r="L254">
        <f t="shared" si="16"/>
        <v>48.089720232213438</v>
      </c>
      <c r="M254">
        <v>9898</v>
      </c>
      <c r="N254">
        <f t="shared" si="19"/>
        <v>3.8205595355731226</v>
      </c>
      <c r="O254" t="str">
        <f t="shared" si="17"/>
        <v>Highly Competitive</v>
      </c>
      <c r="P254">
        <v>0</v>
      </c>
      <c r="Q254">
        <v>2026</v>
      </c>
    </row>
    <row r="255" spans="1:17">
      <c r="A255">
        <v>254</v>
      </c>
      <c r="C255" t="s">
        <v>775</v>
      </c>
      <c r="D255" t="s">
        <v>776</v>
      </c>
      <c r="E255" t="s">
        <v>14</v>
      </c>
      <c r="F255">
        <f t="shared" si="18"/>
        <v>1</v>
      </c>
      <c r="G255">
        <v>201706</v>
      </c>
      <c r="H255">
        <f t="shared" si="15"/>
        <v>62.727914491054463</v>
      </c>
      <c r="I255" t="s">
        <v>777</v>
      </c>
      <c r="J255" t="s">
        <v>20</v>
      </c>
      <c r="K255">
        <v>119851</v>
      </c>
      <c r="L255">
        <f t="shared" si="16"/>
        <v>37.272085508945537</v>
      </c>
      <c r="M255">
        <v>81855</v>
      </c>
      <c r="N255">
        <f t="shared" si="19"/>
        <v>25.455828982108926</v>
      </c>
      <c r="O255" t="str">
        <f t="shared" si="17"/>
        <v>Safe Seat</v>
      </c>
      <c r="P255">
        <v>1</v>
      </c>
      <c r="Q255">
        <v>2026</v>
      </c>
    </row>
    <row r="256" spans="1:17">
      <c r="A256">
        <v>255</v>
      </c>
      <c r="C256" t="s">
        <v>778</v>
      </c>
      <c r="D256" t="s">
        <v>779</v>
      </c>
      <c r="E256" t="s">
        <v>44</v>
      </c>
      <c r="F256">
        <f t="shared" si="18"/>
        <v>5</v>
      </c>
      <c r="G256">
        <v>91690</v>
      </c>
      <c r="H256">
        <f t="shared" si="15"/>
        <v>65.399895862310004</v>
      </c>
      <c r="I256" t="s">
        <v>780</v>
      </c>
      <c r="J256" t="s">
        <v>14</v>
      </c>
      <c r="K256">
        <v>48509</v>
      </c>
      <c r="L256">
        <f t="shared" si="16"/>
        <v>34.600104137689996</v>
      </c>
      <c r="M256">
        <v>43181</v>
      </c>
      <c r="N256">
        <f t="shared" si="19"/>
        <v>30.799791724620007</v>
      </c>
      <c r="O256" t="str">
        <f t="shared" si="17"/>
        <v>Safe Seat</v>
      </c>
      <c r="P256">
        <v>0</v>
      </c>
      <c r="Q256">
        <v>2026</v>
      </c>
    </row>
    <row r="257" spans="1:17">
      <c r="A257">
        <v>256</v>
      </c>
      <c r="C257" t="s">
        <v>781</v>
      </c>
      <c r="D257" t="s">
        <v>782</v>
      </c>
      <c r="E257" t="s">
        <v>14</v>
      </c>
      <c r="F257">
        <f t="shared" si="18"/>
        <v>1</v>
      </c>
      <c r="G257">
        <v>169178</v>
      </c>
      <c r="H257">
        <f t="shared" si="15"/>
        <v>78.955891892900979</v>
      </c>
      <c r="I257" t="s">
        <v>783</v>
      </c>
      <c r="J257" t="s">
        <v>20</v>
      </c>
      <c r="K257">
        <v>45091</v>
      </c>
      <c r="L257">
        <f t="shared" si="16"/>
        <v>21.044108107099021</v>
      </c>
      <c r="M257">
        <v>124087</v>
      </c>
      <c r="N257">
        <f t="shared" si="19"/>
        <v>57.911783785801966</v>
      </c>
      <c r="O257" t="str">
        <f t="shared" si="17"/>
        <v>Safe Seat</v>
      </c>
      <c r="P257">
        <v>0</v>
      </c>
      <c r="Q257">
        <v>2026</v>
      </c>
    </row>
    <row r="258" spans="1:17">
      <c r="A258">
        <v>257</v>
      </c>
      <c r="C258" t="s">
        <v>784</v>
      </c>
      <c r="D258" t="s">
        <v>785</v>
      </c>
      <c r="E258" t="s">
        <v>14</v>
      </c>
      <c r="F258">
        <f t="shared" si="18"/>
        <v>1</v>
      </c>
      <c r="G258">
        <v>170008</v>
      </c>
      <c r="H258">
        <f t="shared" ref="H258:H301" si="20">G258/(G258+K258)*100</f>
        <v>58.832608342071289</v>
      </c>
      <c r="I258" t="s">
        <v>786</v>
      </c>
      <c r="J258" t="s">
        <v>20</v>
      </c>
      <c r="K258">
        <v>118961</v>
      </c>
      <c r="L258">
        <f t="shared" ref="L258:L301" si="21">K258/(G258+K258)*100</f>
        <v>41.167391657928704</v>
      </c>
      <c r="M258">
        <v>51047</v>
      </c>
      <c r="N258">
        <f t="shared" si="19"/>
        <v>17.665216684142589</v>
      </c>
      <c r="O258" t="str">
        <f t="shared" ref="O258:O301" si="22">IF(N258&lt;5,"Highly Competitive",
IF(N258&lt;0.1,"Competitive",
IF(N258&lt;0.2,"Moderate","Safe Seat")))</f>
        <v>Safe Seat</v>
      </c>
      <c r="P258">
        <v>0</v>
      </c>
      <c r="Q258">
        <v>2026</v>
      </c>
    </row>
    <row r="259" spans="1:17">
      <c r="A259">
        <v>258</v>
      </c>
      <c r="C259" t="s">
        <v>787</v>
      </c>
      <c r="D259" t="s">
        <v>788</v>
      </c>
      <c r="E259" t="s">
        <v>14</v>
      </c>
      <c r="F259">
        <f t="shared" ref="F259:F301" si="23">IF(E259="BNP",1,
IF(E259="Jamaat",2,
IF(E259="AL",3,
IF(E259="JP",4,
IF(E259="IND",5,0)))))</f>
        <v>1</v>
      </c>
      <c r="G259">
        <v>163667</v>
      </c>
      <c r="H259">
        <f t="shared" si="20"/>
        <v>56.947459986082116</v>
      </c>
      <c r="I259" t="s">
        <v>789</v>
      </c>
      <c r="J259" t="s">
        <v>20</v>
      </c>
      <c r="K259">
        <v>123733</v>
      </c>
      <c r="L259">
        <f t="shared" si="21"/>
        <v>43.052540013917884</v>
      </c>
      <c r="M259">
        <v>39934</v>
      </c>
      <c r="N259">
        <f t="shared" ref="N259:N301" si="24">(G259-K259)/(G259+K259)*100</f>
        <v>13.89491997216423</v>
      </c>
      <c r="O259" t="str">
        <f t="shared" si="22"/>
        <v>Safe Seat</v>
      </c>
      <c r="P259">
        <v>0</v>
      </c>
      <c r="Q259">
        <v>2026</v>
      </c>
    </row>
    <row r="260" spans="1:17">
      <c r="A260">
        <v>259</v>
      </c>
      <c r="C260" t="s">
        <v>790</v>
      </c>
      <c r="D260" t="s">
        <v>791</v>
      </c>
      <c r="E260" t="s">
        <v>20</v>
      </c>
      <c r="F260">
        <f t="shared" si="23"/>
        <v>2</v>
      </c>
      <c r="G260">
        <v>133308</v>
      </c>
      <c r="H260">
        <f t="shared" si="20"/>
        <v>63.496327627104108</v>
      </c>
      <c r="I260" t="s">
        <v>792</v>
      </c>
      <c r="J260" t="s">
        <v>14</v>
      </c>
      <c r="K260">
        <v>76638</v>
      </c>
      <c r="L260">
        <f t="shared" si="21"/>
        <v>36.503672372895892</v>
      </c>
      <c r="M260">
        <v>56670</v>
      </c>
      <c r="N260">
        <f t="shared" si="24"/>
        <v>26.992655254208227</v>
      </c>
      <c r="O260" t="str">
        <f t="shared" si="22"/>
        <v>Safe Seat</v>
      </c>
      <c r="P260">
        <v>0</v>
      </c>
      <c r="Q260">
        <v>2026</v>
      </c>
    </row>
    <row r="261" spans="1:17">
      <c r="A261">
        <v>260</v>
      </c>
      <c r="C261" t="s">
        <v>793</v>
      </c>
      <c r="D261" t="s">
        <v>794</v>
      </c>
      <c r="E261" t="s">
        <v>14</v>
      </c>
      <c r="F261">
        <f t="shared" si="23"/>
        <v>1</v>
      </c>
      <c r="G261">
        <v>133032</v>
      </c>
      <c r="H261">
        <f t="shared" si="20"/>
        <v>65.404129793510322</v>
      </c>
      <c r="I261" t="s">
        <v>795</v>
      </c>
      <c r="J261" t="s">
        <v>20</v>
      </c>
      <c r="K261">
        <v>70368</v>
      </c>
      <c r="L261">
        <f t="shared" si="21"/>
        <v>34.595870206489678</v>
      </c>
      <c r="M261">
        <v>62664</v>
      </c>
      <c r="N261">
        <f t="shared" si="24"/>
        <v>30.808259587020647</v>
      </c>
      <c r="O261" t="str">
        <f t="shared" si="22"/>
        <v>Safe Seat</v>
      </c>
      <c r="P261">
        <v>0</v>
      </c>
      <c r="Q261">
        <v>2026</v>
      </c>
    </row>
    <row r="262" spans="1:17">
      <c r="A262">
        <v>261</v>
      </c>
      <c r="C262" t="s">
        <v>796</v>
      </c>
      <c r="D262" t="s">
        <v>797</v>
      </c>
      <c r="E262" t="s">
        <v>14</v>
      </c>
      <c r="F262">
        <f t="shared" si="23"/>
        <v>1</v>
      </c>
      <c r="G262">
        <v>172506</v>
      </c>
      <c r="H262">
        <f t="shared" si="20"/>
        <v>75.009457385239514</v>
      </c>
      <c r="I262" t="s">
        <v>798</v>
      </c>
      <c r="J262" t="s">
        <v>451</v>
      </c>
      <c r="K262">
        <v>57473</v>
      </c>
      <c r="L262">
        <f t="shared" si="21"/>
        <v>24.990542614760479</v>
      </c>
      <c r="M262">
        <v>115033</v>
      </c>
      <c r="N262">
        <f t="shared" si="24"/>
        <v>50.018914770479043</v>
      </c>
      <c r="O262" t="str">
        <f t="shared" si="22"/>
        <v>Safe Seat</v>
      </c>
      <c r="P262">
        <v>0</v>
      </c>
      <c r="Q262">
        <v>2026</v>
      </c>
    </row>
    <row r="263" spans="1:17">
      <c r="A263">
        <v>262</v>
      </c>
      <c r="C263" t="s">
        <v>799</v>
      </c>
      <c r="D263" t="s">
        <v>800</v>
      </c>
      <c r="E263" t="s">
        <v>14</v>
      </c>
      <c r="F263">
        <f t="shared" si="23"/>
        <v>1</v>
      </c>
      <c r="G263">
        <v>165404</v>
      </c>
      <c r="H263">
        <f t="shared" si="20"/>
        <v>62.119135160307806</v>
      </c>
      <c r="I263" t="s">
        <v>142</v>
      </c>
      <c r="J263" t="s">
        <v>20</v>
      </c>
      <c r="K263">
        <v>100865</v>
      </c>
      <c r="L263">
        <f t="shared" si="21"/>
        <v>37.880864839692194</v>
      </c>
      <c r="M263">
        <v>64539</v>
      </c>
      <c r="N263">
        <f t="shared" si="24"/>
        <v>24.238270320615619</v>
      </c>
      <c r="O263" t="str">
        <f t="shared" si="22"/>
        <v>Safe Seat</v>
      </c>
      <c r="P263">
        <v>0</v>
      </c>
      <c r="Q263">
        <v>2026</v>
      </c>
    </row>
    <row r="264" spans="1:17">
      <c r="A264">
        <v>263</v>
      </c>
      <c r="C264" t="s">
        <v>801</v>
      </c>
      <c r="D264" t="s">
        <v>802</v>
      </c>
      <c r="E264" t="s">
        <v>44</v>
      </c>
      <c r="F264">
        <f t="shared" si="23"/>
        <v>5</v>
      </c>
      <c r="G264">
        <v>74175</v>
      </c>
      <c r="H264">
        <f t="shared" si="20"/>
        <v>51.751203516360846</v>
      </c>
      <c r="I264" t="s">
        <v>803</v>
      </c>
      <c r="J264" t="s">
        <v>14</v>
      </c>
      <c r="K264">
        <v>69155</v>
      </c>
      <c r="L264">
        <f t="shared" si="21"/>
        <v>48.248796483639154</v>
      </c>
      <c r="M264">
        <v>5020</v>
      </c>
      <c r="N264">
        <f t="shared" si="24"/>
        <v>3.502407032721691</v>
      </c>
      <c r="O264" t="str">
        <f t="shared" si="22"/>
        <v>Highly Competitive</v>
      </c>
      <c r="P264">
        <v>0</v>
      </c>
      <c r="Q264">
        <v>2026</v>
      </c>
    </row>
    <row r="265" spans="1:17">
      <c r="A265">
        <v>264</v>
      </c>
      <c r="C265" t="s">
        <v>804</v>
      </c>
      <c r="D265" t="s">
        <v>805</v>
      </c>
      <c r="E265" t="s">
        <v>14</v>
      </c>
      <c r="F265">
        <f t="shared" si="23"/>
        <v>1</v>
      </c>
      <c r="G265">
        <v>185404</v>
      </c>
      <c r="H265">
        <f t="shared" si="20"/>
        <v>71.018600802868264</v>
      </c>
      <c r="I265" t="s">
        <v>806</v>
      </c>
      <c r="J265" t="s">
        <v>451</v>
      </c>
      <c r="K265">
        <v>75660</v>
      </c>
      <c r="L265">
        <f t="shared" si="21"/>
        <v>28.981399197131736</v>
      </c>
      <c r="M265">
        <v>109744</v>
      </c>
      <c r="N265">
        <f t="shared" si="24"/>
        <v>42.037201605736527</v>
      </c>
      <c r="O265" t="str">
        <f t="shared" si="22"/>
        <v>Safe Seat</v>
      </c>
      <c r="P265">
        <v>0</v>
      </c>
      <c r="Q265">
        <v>2026</v>
      </c>
    </row>
    <row r="266" spans="1:17">
      <c r="A266">
        <v>265</v>
      </c>
      <c r="C266" t="s">
        <v>807</v>
      </c>
      <c r="D266" t="s">
        <v>808</v>
      </c>
      <c r="E266" t="s">
        <v>14</v>
      </c>
      <c r="F266">
        <f t="shared" si="23"/>
        <v>1</v>
      </c>
      <c r="G266">
        <v>119904</v>
      </c>
      <c r="H266">
        <f t="shared" si="20"/>
        <v>58.342051099898306</v>
      </c>
      <c r="I266" t="s">
        <v>809</v>
      </c>
      <c r="J266" t="s">
        <v>20</v>
      </c>
      <c r="K266">
        <v>85615</v>
      </c>
      <c r="L266">
        <f t="shared" si="21"/>
        <v>41.657948900101694</v>
      </c>
      <c r="M266">
        <v>34289</v>
      </c>
      <c r="N266">
        <f t="shared" si="24"/>
        <v>16.684102199796612</v>
      </c>
      <c r="O266" t="str">
        <f t="shared" si="22"/>
        <v>Safe Seat</v>
      </c>
      <c r="P266">
        <v>0</v>
      </c>
      <c r="Q266">
        <v>2026</v>
      </c>
    </row>
    <row r="267" spans="1:17">
      <c r="A267">
        <v>266</v>
      </c>
      <c r="C267" t="s">
        <v>810</v>
      </c>
      <c r="D267" t="s">
        <v>811</v>
      </c>
      <c r="E267" t="s">
        <v>14</v>
      </c>
      <c r="F267">
        <f t="shared" si="23"/>
        <v>1</v>
      </c>
      <c r="G267">
        <v>131210</v>
      </c>
      <c r="H267">
        <f t="shared" si="20"/>
        <v>62.105950735558622</v>
      </c>
      <c r="I267" t="s">
        <v>812</v>
      </c>
      <c r="J267" t="s">
        <v>378</v>
      </c>
      <c r="K267">
        <v>80058</v>
      </c>
      <c r="L267">
        <f t="shared" si="21"/>
        <v>37.894049264441371</v>
      </c>
      <c r="M267">
        <v>51152</v>
      </c>
      <c r="N267">
        <f t="shared" si="24"/>
        <v>24.211901471117255</v>
      </c>
      <c r="O267" t="str">
        <f t="shared" si="22"/>
        <v>Safe Seat</v>
      </c>
      <c r="P267">
        <v>0</v>
      </c>
      <c r="Q267">
        <v>2026</v>
      </c>
    </row>
    <row r="268" spans="1:17">
      <c r="A268">
        <v>267</v>
      </c>
      <c r="C268" t="s">
        <v>813</v>
      </c>
      <c r="D268" t="s">
        <v>814</v>
      </c>
      <c r="E268" t="s">
        <v>14</v>
      </c>
      <c r="F268">
        <f t="shared" si="23"/>
        <v>1</v>
      </c>
      <c r="G268">
        <v>157425</v>
      </c>
      <c r="H268">
        <f t="shared" si="20"/>
        <v>59.274808441741811</v>
      </c>
      <c r="I268" t="s">
        <v>815</v>
      </c>
      <c r="J268" t="s">
        <v>20</v>
      </c>
      <c r="K268">
        <v>108160</v>
      </c>
      <c r="L268">
        <f t="shared" si="21"/>
        <v>40.725191558258182</v>
      </c>
      <c r="M268">
        <v>49265</v>
      </c>
      <c r="N268">
        <f t="shared" si="24"/>
        <v>18.54961688348363</v>
      </c>
      <c r="O268" t="str">
        <f t="shared" si="22"/>
        <v>Safe Seat</v>
      </c>
      <c r="P268">
        <v>0</v>
      </c>
      <c r="Q268">
        <v>2026</v>
      </c>
    </row>
    <row r="269" spans="1:17">
      <c r="A269">
        <v>268</v>
      </c>
      <c r="C269" t="s">
        <v>816</v>
      </c>
      <c r="D269" t="s">
        <v>817</v>
      </c>
      <c r="E269" t="s">
        <v>14</v>
      </c>
      <c r="F269">
        <f t="shared" si="23"/>
        <v>1</v>
      </c>
      <c r="G269">
        <v>126833</v>
      </c>
      <c r="H269">
        <f t="shared" si="20"/>
        <v>56.403061337934531</v>
      </c>
      <c r="I269" t="s">
        <v>818</v>
      </c>
      <c r="J269" t="s">
        <v>20</v>
      </c>
      <c r="K269">
        <v>98036</v>
      </c>
      <c r="L269">
        <f t="shared" si="21"/>
        <v>43.596938662065469</v>
      </c>
      <c r="M269">
        <v>28797</v>
      </c>
      <c r="N269">
        <f t="shared" si="24"/>
        <v>12.806122675869061</v>
      </c>
      <c r="O269" t="str">
        <f t="shared" si="22"/>
        <v>Safe Seat</v>
      </c>
      <c r="P269">
        <v>0</v>
      </c>
      <c r="Q269">
        <v>2026</v>
      </c>
    </row>
    <row r="270" spans="1:17">
      <c r="A270">
        <v>269</v>
      </c>
      <c r="C270" t="s">
        <v>819</v>
      </c>
      <c r="D270" t="s">
        <v>820</v>
      </c>
      <c r="E270" t="s">
        <v>14</v>
      </c>
      <c r="F270">
        <f t="shared" si="23"/>
        <v>1</v>
      </c>
      <c r="G270">
        <v>83982</v>
      </c>
      <c r="H270">
        <f t="shared" si="20"/>
        <v>55.60396196933182</v>
      </c>
      <c r="I270" t="s">
        <v>821</v>
      </c>
      <c r="J270" t="s">
        <v>16</v>
      </c>
      <c r="K270">
        <v>67054</v>
      </c>
      <c r="L270">
        <f t="shared" si="21"/>
        <v>44.39603803066818</v>
      </c>
      <c r="M270">
        <v>16928</v>
      </c>
      <c r="N270">
        <f t="shared" si="24"/>
        <v>11.20792393866363</v>
      </c>
      <c r="O270" t="str">
        <f t="shared" si="22"/>
        <v>Safe Seat</v>
      </c>
      <c r="P270">
        <v>0</v>
      </c>
      <c r="Q270">
        <v>2026</v>
      </c>
    </row>
    <row r="271" spans="1:17">
      <c r="A271">
        <v>270</v>
      </c>
      <c r="C271" t="s">
        <v>822</v>
      </c>
      <c r="D271" t="s">
        <v>823</v>
      </c>
      <c r="E271" t="s">
        <v>14</v>
      </c>
      <c r="F271">
        <f t="shared" si="23"/>
        <v>1</v>
      </c>
      <c r="G271">
        <v>141031</v>
      </c>
      <c r="H271">
        <f t="shared" si="20"/>
        <v>53.224869042766784</v>
      </c>
      <c r="I271" t="s">
        <v>824</v>
      </c>
      <c r="J271" t="s">
        <v>20</v>
      </c>
      <c r="K271">
        <v>123941</v>
      </c>
      <c r="L271">
        <f t="shared" si="21"/>
        <v>46.775130957233216</v>
      </c>
      <c r="M271">
        <v>17090</v>
      </c>
      <c r="N271">
        <f t="shared" si="24"/>
        <v>6.449738085533566</v>
      </c>
      <c r="O271" t="str">
        <f t="shared" si="22"/>
        <v>Safe Seat</v>
      </c>
      <c r="P271">
        <v>0</v>
      </c>
      <c r="Q271">
        <v>2026</v>
      </c>
    </row>
    <row r="272" spans="1:17">
      <c r="A272">
        <v>271</v>
      </c>
      <c r="C272" t="s">
        <v>825</v>
      </c>
      <c r="D272" t="s">
        <v>826</v>
      </c>
      <c r="E272" t="s">
        <v>14</v>
      </c>
      <c r="F272">
        <f t="shared" si="23"/>
        <v>1</v>
      </c>
      <c r="G272">
        <v>219182</v>
      </c>
      <c r="H272">
        <f t="shared" si="20"/>
        <v>59.532662811573964</v>
      </c>
      <c r="I272" t="s">
        <v>827</v>
      </c>
      <c r="J272" t="s">
        <v>20</v>
      </c>
      <c r="K272">
        <v>148989</v>
      </c>
      <c r="L272">
        <f t="shared" si="21"/>
        <v>40.467337188426029</v>
      </c>
      <c r="M272">
        <v>70193</v>
      </c>
      <c r="N272">
        <f t="shared" si="24"/>
        <v>19.065325623147938</v>
      </c>
      <c r="O272" t="str">
        <f t="shared" si="22"/>
        <v>Safe Seat</v>
      </c>
      <c r="P272">
        <v>0</v>
      </c>
      <c r="Q272">
        <v>2026</v>
      </c>
    </row>
    <row r="273" spans="1:17">
      <c r="A273">
        <v>272</v>
      </c>
      <c r="C273" t="s">
        <v>828</v>
      </c>
      <c r="D273" t="s">
        <v>829</v>
      </c>
      <c r="E273" t="s">
        <v>14</v>
      </c>
      <c r="F273">
        <f t="shared" si="23"/>
        <v>1</v>
      </c>
      <c r="G273">
        <v>147808</v>
      </c>
      <c r="H273">
        <f t="shared" si="20"/>
        <v>55.098579368599985</v>
      </c>
      <c r="I273" t="s">
        <v>830</v>
      </c>
      <c r="J273" t="s">
        <v>20</v>
      </c>
      <c r="K273">
        <v>120453</v>
      </c>
      <c r="L273">
        <f t="shared" si="21"/>
        <v>44.901420631400022</v>
      </c>
      <c r="M273">
        <v>27355</v>
      </c>
      <c r="N273">
        <f t="shared" si="24"/>
        <v>10.197158737199965</v>
      </c>
      <c r="O273" t="str">
        <f t="shared" si="22"/>
        <v>Safe Seat</v>
      </c>
      <c r="P273">
        <v>0</v>
      </c>
      <c r="Q273">
        <v>2026</v>
      </c>
    </row>
    <row r="274" spans="1:17">
      <c r="A274">
        <v>273</v>
      </c>
      <c r="C274" t="s">
        <v>831</v>
      </c>
      <c r="D274" t="s">
        <v>832</v>
      </c>
      <c r="E274" t="s">
        <v>16</v>
      </c>
      <c r="F274">
        <f t="shared" si="23"/>
        <v>0</v>
      </c>
      <c r="G274">
        <v>91899</v>
      </c>
      <c r="H274">
        <f t="shared" si="20"/>
        <v>58.939840944073886</v>
      </c>
      <c r="I274" t="s">
        <v>833</v>
      </c>
      <c r="J274" t="s">
        <v>14</v>
      </c>
      <c r="K274">
        <v>64021</v>
      </c>
      <c r="L274">
        <f t="shared" si="21"/>
        <v>41.060159055926114</v>
      </c>
      <c r="M274">
        <v>27878</v>
      </c>
      <c r="N274">
        <f t="shared" si="24"/>
        <v>17.879681888147768</v>
      </c>
      <c r="O274" t="str">
        <f t="shared" si="22"/>
        <v>Safe Seat</v>
      </c>
      <c r="P274">
        <v>0</v>
      </c>
      <c r="Q274">
        <v>2026</v>
      </c>
    </row>
    <row r="275" spans="1:17">
      <c r="A275">
        <v>274</v>
      </c>
      <c r="C275" t="s">
        <v>834</v>
      </c>
      <c r="D275" t="s">
        <v>835</v>
      </c>
      <c r="E275" t="s">
        <v>14</v>
      </c>
      <c r="F275">
        <f t="shared" si="23"/>
        <v>1</v>
      </c>
      <c r="G275">
        <v>86811</v>
      </c>
      <c r="H275">
        <f t="shared" si="20"/>
        <v>59.428653577589749</v>
      </c>
      <c r="I275" t="s">
        <v>836</v>
      </c>
      <c r="J275" t="s">
        <v>16</v>
      </c>
      <c r="K275">
        <v>59265</v>
      </c>
      <c r="L275">
        <f t="shared" si="21"/>
        <v>40.571346422410251</v>
      </c>
      <c r="M275">
        <v>27546</v>
      </c>
      <c r="N275">
        <f t="shared" si="24"/>
        <v>18.857307155179495</v>
      </c>
      <c r="O275" t="str">
        <f t="shared" si="22"/>
        <v>Safe Seat</v>
      </c>
      <c r="P275">
        <v>0</v>
      </c>
      <c r="Q275">
        <v>2026</v>
      </c>
    </row>
    <row r="276" spans="1:17">
      <c r="A276">
        <v>275</v>
      </c>
      <c r="C276" t="s">
        <v>837</v>
      </c>
      <c r="D276" t="s">
        <v>838</v>
      </c>
      <c r="E276" t="s">
        <v>14</v>
      </c>
      <c r="F276">
        <f t="shared" si="23"/>
        <v>1</v>
      </c>
      <c r="G276">
        <v>146321</v>
      </c>
      <c r="H276">
        <f t="shared" si="20"/>
        <v>52.253954195965271</v>
      </c>
      <c r="I276" t="s">
        <v>839</v>
      </c>
      <c r="J276" t="s">
        <v>20</v>
      </c>
      <c r="K276">
        <v>133698</v>
      </c>
      <c r="L276">
        <f t="shared" si="21"/>
        <v>47.746045804034729</v>
      </c>
      <c r="M276">
        <v>12623</v>
      </c>
      <c r="N276">
        <f t="shared" si="24"/>
        <v>4.507908391930548</v>
      </c>
      <c r="O276" t="str">
        <f t="shared" si="22"/>
        <v>Highly Competitive</v>
      </c>
      <c r="P276">
        <v>0</v>
      </c>
      <c r="Q276">
        <v>2026</v>
      </c>
    </row>
    <row r="277" spans="1:17">
      <c r="A277">
        <v>276</v>
      </c>
      <c r="C277" t="s">
        <v>840</v>
      </c>
      <c r="D277" t="s">
        <v>841</v>
      </c>
      <c r="E277" t="s">
        <v>14</v>
      </c>
      <c r="F277">
        <f t="shared" si="23"/>
        <v>1</v>
      </c>
      <c r="G277">
        <v>135612</v>
      </c>
      <c r="H277">
        <f t="shared" si="20"/>
        <v>52.478580881840763</v>
      </c>
      <c r="I277" t="s">
        <v>842</v>
      </c>
      <c r="J277" t="s">
        <v>20</v>
      </c>
      <c r="K277">
        <v>122802</v>
      </c>
      <c r="L277">
        <f t="shared" si="21"/>
        <v>47.52141911815923</v>
      </c>
      <c r="M277">
        <v>12810</v>
      </c>
      <c r="N277">
        <f t="shared" si="24"/>
        <v>4.9571617636815342</v>
      </c>
      <c r="O277" t="str">
        <f t="shared" si="22"/>
        <v>Highly Competitive</v>
      </c>
      <c r="P277">
        <v>0</v>
      </c>
      <c r="Q277">
        <v>2026</v>
      </c>
    </row>
    <row r="278" spans="1:17">
      <c r="A278">
        <v>277</v>
      </c>
      <c r="C278" t="s">
        <v>843</v>
      </c>
      <c r="D278" t="s">
        <v>844</v>
      </c>
      <c r="E278" t="s">
        <v>14</v>
      </c>
      <c r="F278">
        <f t="shared" si="23"/>
        <v>1</v>
      </c>
      <c r="G278">
        <v>115199</v>
      </c>
      <c r="H278">
        <f t="shared" si="20"/>
        <v>60.966367653674155</v>
      </c>
      <c r="I278" t="s">
        <v>845</v>
      </c>
      <c r="J278" t="s">
        <v>20</v>
      </c>
      <c r="K278">
        <v>73756</v>
      </c>
      <c r="L278">
        <f t="shared" si="21"/>
        <v>39.033632346325845</v>
      </c>
      <c r="M278">
        <v>41443</v>
      </c>
      <c r="N278">
        <f t="shared" si="24"/>
        <v>21.93273530734831</v>
      </c>
      <c r="O278" t="str">
        <f t="shared" si="22"/>
        <v>Safe Seat</v>
      </c>
      <c r="P278">
        <v>0</v>
      </c>
      <c r="Q278">
        <v>2026</v>
      </c>
    </row>
    <row r="279" spans="1:17">
      <c r="A279">
        <v>278</v>
      </c>
      <c r="C279" t="s">
        <v>846</v>
      </c>
      <c r="D279" t="s">
        <v>847</v>
      </c>
      <c r="E279" t="s">
        <v>14</v>
      </c>
      <c r="F279">
        <f t="shared" si="23"/>
        <v>1</v>
      </c>
      <c r="G279">
        <v>128799</v>
      </c>
      <c r="H279">
        <f t="shared" si="20"/>
        <v>60.373493580579087</v>
      </c>
      <c r="I279" t="s">
        <v>848</v>
      </c>
      <c r="J279" t="s">
        <v>20</v>
      </c>
      <c r="K279">
        <v>84538</v>
      </c>
      <c r="L279">
        <f t="shared" si="21"/>
        <v>39.626506419420913</v>
      </c>
      <c r="M279">
        <v>44261</v>
      </c>
      <c r="N279">
        <f t="shared" si="24"/>
        <v>20.746987161158167</v>
      </c>
      <c r="O279" t="str">
        <f t="shared" si="22"/>
        <v>Safe Seat</v>
      </c>
      <c r="P279">
        <v>0</v>
      </c>
      <c r="Q279">
        <v>2026</v>
      </c>
    </row>
    <row r="280" spans="1:17">
      <c r="A280">
        <v>279</v>
      </c>
      <c r="C280" t="s">
        <v>849</v>
      </c>
      <c r="D280" t="s">
        <v>850</v>
      </c>
      <c r="E280" t="s">
        <v>850</v>
      </c>
      <c r="F280">
        <f t="shared" si="23"/>
        <v>0</v>
      </c>
      <c r="H280" t="e">
        <f t="shared" si="20"/>
        <v>#DIV/0!</v>
      </c>
      <c r="I280" t="s">
        <v>850</v>
      </c>
      <c r="J280" t="s">
        <v>850</v>
      </c>
      <c r="L280" t="e">
        <f t="shared" si="21"/>
        <v>#DIV/0!</v>
      </c>
      <c r="N280" t="e">
        <f t="shared" si="24"/>
        <v>#DIV/0!</v>
      </c>
      <c r="O280" t="e">
        <f t="shared" si="22"/>
        <v>#DIV/0!</v>
      </c>
      <c r="P280">
        <v>0</v>
      </c>
      <c r="Q280">
        <v>2026</v>
      </c>
    </row>
    <row r="281" spans="1:17">
      <c r="A281">
        <v>280</v>
      </c>
      <c r="C281" t="s">
        <v>851</v>
      </c>
      <c r="D281" t="s">
        <v>852</v>
      </c>
      <c r="E281" t="s">
        <v>14</v>
      </c>
      <c r="F281">
        <f t="shared" si="23"/>
        <v>1</v>
      </c>
      <c r="G281">
        <v>73037</v>
      </c>
      <c r="H281">
        <f t="shared" si="20"/>
        <v>64.807141145884174</v>
      </c>
      <c r="I281" t="s">
        <v>853</v>
      </c>
      <c r="J281" t="s">
        <v>20</v>
      </c>
      <c r="K281">
        <v>39662</v>
      </c>
      <c r="L281">
        <f t="shared" si="21"/>
        <v>35.192858854115833</v>
      </c>
      <c r="M281">
        <v>33375</v>
      </c>
      <c r="N281">
        <f t="shared" si="24"/>
        <v>29.61428229176834</v>
      </c>
      <c r="O281" t="str">
        <f t="shared" si="22"/>
        <v>Safe Seat</v>
      </c>
      <c r="P281">
        <v>0</v>
      </c>
      <c r="Q281">
        <v>2026</v>
      </c>
    </row>
    <row r="282" spans="1:17">
      <c r="A282">
        <v>281</v>
      </c>
      <c r="C282" t="s">
        <v>854</v>
      </c>
      <c r="D282" t="s">
        <v>850</v>
      </c>
      <c r="E282" t="s">
        <v>850</v>
      </c>
      <c r="F282">
        <f t="shared" si="23"/>
        <v>0</v>
      </c>
      <c r="H282" t="e">
        <f t="shared" si="20"/>
        <v>#DIV/0!</v>
      </c>
      <c r="I282" t="s">
        <v>850</v>
      </c>
      <c r="J282" t="s">
        <v>850</v>
      </c>
      <c r="L282" t="e">
        <f t="shared" si="21"/>
        <v>#DIV/0!</v>
      </c>
      <c r="N282" t="e">
        <f t="shared" si="24"/>
        <v>#DIV/0!</v>
      </c>
      <c r="O282" t="e">
        <f t="shared" si="22"/>
        <v>#DIV/0!</v>
      </c>
      <c r="P282">
        <v>0</v>
      </c>
      <c r="Q282">
        <v>2026</v>
      </c>
    </row>
    <row r="283" spans="1:17">
      <c r="A283">
        <v>282</v>
      </c>
      <c r="C283" t="s">
        <v>855</v>
      </c>
      <c r="D283" t="s">
        <v>856</v>
      </c>
      <c r="E283" t="s">
        <v>14</v>
      </c>
      <c r="F283">
        <f t="shared" si="23"/>
        <v>1</v>
      </c>
      <c r="G283">
        <v>147054</v>
      </c>
      <c r="H283">
        <f t="shared" si="20"/>
        <v>75.94077761654178</v>
      </c>
      <c r="I283" t="s">
        <v>857</v>
      </c>
      <c r="J283" t="s">
        <v>199</v>
      </c>
      <c r="K283">
        <v>46589</v>
      </c>
      <c r="L283">
        <f t="shared" si="21"/>
        <v>24.05922238345822</v>
      </c>
      <c r="M283">
        <v>100465</v>
      </c>
      <c r="N283">
        <f t="shared" si="24"/>
        <v>51.881555233083567</v>
      </c>
      <c r="O283" t="str">
        <f t="shared" si="22"/>
        <v>Safe Seat</v>
      </c>
      <c r="P283">
        <v>0</v>
      </c>
      <c r="Q283">
        <v>2026</v>
      </c>
    </row>
    <row r="284" spans="1:17">
      <c r="A284">
        <v>283</v>
      </c>
      <c r="C284" t="s">
        <v>858</v>
      </c>
      <c r="D284" t="s">
        <v>859</v>
      </c>
      <c r="E284" t="s">
        <v>14</v>
      </c>
      <c r="F284">
        <f t="shared" si="23"/>
        <v>1</v>
      </c>
      <c r="G284">
        <v>111201</v>
      </c>
      <c r="H284">
        <f t="shared" si="20"/>
        <v>80.640623073743441</v>
      </c>
      <c r="I284" t="s">
        <v>860</v>
      </c>
      <c r="J284" t="s">
        <v>741</v>
      </c>
      <c r="K284">
        <v>26696</v>
      </c>
      <c r="L284">
        <f t="shared" si="21"/>
        <v>19.359376926256555</v>
      </c>
      <c r="M284">
        <v>84505</v>
      </c>
      <c r="N284">
        <f t="shared" si="24"/>
        <v>61.28124614748689</v>
      </c>
      <c r="O284" t="str">
        <f t="shared" si="22"/>
        <v>Safe Seat</v>
      </c>
      <c r="P284">
        <v>0</v>
      </c>
      <c r="Q284">
        <v>2026</v>
      </c>
    </row>
    <row r="285" spans="1:17">
      <c r="A285">
        <v>284</v>
      </c>
      <c r="C285" t="s">
        <v>861</v>
      </c>
      <c r="D285" t="s">
        <v>862</v>
      </c>
      <c r="E285" t="s">
        <v>14</v>
      </c>
      <c r="F285">
        <f t="shared" si="23"/>
        <v>1</v>
      </c>
      <c r="G285">
        <v>101445</v>
      </c>
      <c r="H285">
        <f t="shared" si="20"/>
        <v>70.85929423598111</v>
      </c>
      <c r="I285" t="s">
        <v>863</v>
      </c>
      <c r="J285" t="s">
        <v>20</v>
      </c>
      <c r="K285">
        <v>41719</v>
      </c>
      <c r="L285">
        <f t="shared" si="21"/>
        <v>29.140705764018886</v>
      </c>
      <c r="M285">
        <v>59726</v>
      </c>
      <c r="N285">
        <f t="shared" si="24"/>
        <v>41.718588471962228</v>
      </c>
      <c r="O285" t="str">
        <f t="shared" si="22"/>
        <v>Safe Seat</v>
      </c>
      <c r="P285">
        <v>0</v>
      </c>
      <c r="Q285">
        <v>2026</v>
      </c>
    </row>
    <row r="286" spans="1:17">
      <c r="A286">
        <v>285</v>
      </c>
      <c r="C286" t="s">
        <v>864</v>
      </c>
      <c r="D286" t="s">
        <v>865</v>
      </c>
      <c r="E286" t="s">
        <v>14</v>
      </c>
      <c r="F286">
        <f t="shared" si="23"/>
        <v>1</v>
      </c>
      <c r="G286">
        <v>152969</v>
      </c>
      <c r="H286">
        <f t="shared" si="20"/>
        <v>74.065161499615073</v>
      </c>
      <c r="I286" t="s">
        <v>866</v>
      </c>
      <c r="J286" t="s">
        <v>20</v>
      </c>
      <c r="K286">
        <v>53564</v>
      </c>
      <c r="L286">
        <f t="shared" si="21"/>
        <v>25.934838500384927</v>
      </c>
      <c r="M286">
        <v>99405</v>
      </c>
      <c r="N286">
        <f t="shared" si="24"/>
        <v>48.130322999230145</v>
      </c>
      <c r="O286" t="str">
        <f t="shared" si="22"/>
        <v>Safe Seat</v>
      </c>
      <c r="P286">
        <v>1</v>
      </c>
      <c r="Q286">
        <v>2026</v>
      </c>
    </row>
    <row r="287" spans="1:17">
      <c r="A287">
        <v>286</v>
      </c>
      <c r="C287" t="s">
        <v>867</v>
      </c>
      <c r="D287" t="s">
        <v>868</v>
      </c>
      <c r="E287" t="s">
        <v>14</v>
      </c>
      <c r="F287">
        <f t="shared" si="23"/>
        <v>1</v>
      </c>
      <c r="G287">
        <v>109388</v>
      </c>
      <c r="H287">
        <f t="shared" si="20"/>
        <v>67.02901436931279</v>
      </c>
      <c r="I287" t="s">
        <v>869</v>
      </c>
      <c r="J287" t="s">
        <v>20</v>
      </c>
      <c r="K287">
        <v>53807</v>
      </c>
      <c r="L287">
        <f t="shared" si="21"/>
        <v>32.970985630687217</v>
      </c>
      <c r="M287">
        <v>55581</v>
      </c>
      <c r="N287">
        <f t="shared" si="24"/>
        <v>34.058028738625573</v>
      </c>
      <c r="O287" t="str">
        <f t="shared" si="22"/>
        <v>Safe Seat</v>
      </c>
      <c r="P287">
        <v>1</v>
      </c>
      <c r="Q287">
        <v>2026</v>
      </c>
    </row>
    <row r="288" spans="1:17">
      <c r="A288">
        <v>287</v>
      </c>
      <c r="C288" t="s">
        <v>870</v>
      </c>
      <c r="D288" t="s">
        <v>871</v>
      </c>
      <c r="E288" t="s">
        <v>14</v>
      </c>
      <c r="F288">
        <f t="shared" si="23"/>
        <v>1</v>
      </c>
      <c r="G288">
        <v>122978</v>
      </c>
      <c r="H288">
        <f t="shared" si="20"/>
        <v>61.520683151823185</v>
      </c>
      <c r="I288" t="s">
        <v>872</v>
      </c>
      <c r="J288" t="s">
        <v>20</v>
      </c>
      <c r="K288">
        <v>76919</v>
      </c>
      <c r="L288">
        <f t="shared" si="21"/>
        <v>38.479316848176808</v>
      </c>
      <c r="M288">
        <v>46059</v>
      </c>
      <c r="N288">
        <f t="shared" si="24"/>
        <v>23.041366303646377</v>
      </c>
      <c r="O288" t="str">
        <f t="shared" si="22"/>
        <v>Safe Seat</v>
      </c>
      <c r="P288">
        <v>1</v>
      </c>
      <c r="Q288">
        <v>2026</v>
      </c>
    </row>
    <row r="289" spans="1:17">
      <c r="A289">
        <v>288</v>
      </c>
      <c r="C289" t="s">
        <v>873</v>
      </c>
      <c r="D289" t="s">
        <v>874</v>
      </c>
      <c r="E289" t="s">
        <v>14</v>
      </c>
      <c r="F289">
        <f t="shared" si="23"/>
        <v>1</v>
      </c>
      <c r="G289">
        <v>115999</v>
      </c>
      <c r="H289">
        <f t="shared" si="20"/>
        <v>60.202927133070375</v>
      </c>
      <c r="I289" t="s">
        <v>875</v>
      </c>
      <c r="J289" t="s">
        <v>20</v>
      </c>
      <c r="K289">
        <v>76681</v>
      </c>
      <c r="L289">
        <f t="shared" si="21"/>
        <v>39.797072866929625</v>
      </c>
      <c r="M289">
        <v>39318</v>
      </c>
      <c r="N289">
        <f t="shared" si="24"/>
        <v>20.405854266140754</v>
      </c>
      <c r="O289" t="str">
        <f t="shared" si="22"/>
        <v>Safe Seat</v>
      </c>
      <c r="P289">
        <v>1</v>
      </c>
      <c r="Q289">
        <v>2026</v>
      </c>
    </row>
    <row r="290" spans="1:17">
      <c r="A290">
        <v>289</v>
      </c>
      <c r="C290" t="s">
        <v>876</v>
      </c>
      <c r="D290" t="s">
        <v>877</v>
      </c>
      <c r="E290" t="s">
        <v>14</v>
      </c>
      <c r="F290">
        <f t="shared" si="23"/>
        <v>1</v>
      </c>
      <c r="G290">
        <v>135044</v>
      </c>
      <c r="H290">
        <f t="shared" si="20"/>
        <v>82.32231792883573</v>
      </c>
      <c r="I290" t="s">
        <v>878</v>
      </c>
      <c r="J290" t="s">
        <v>741</v>
      </c>
      <c r="K290">
        <v>28999</v>
      </c>
      <c r="L290">
        <f t="shared" si="21"/>
        <v>17.67768207116427</v>
      </c>
      <c r="M290">
        <v>106045</v>
      </c>
      <c r="N290">
        <f t="shared" si="24"/>
        <v>64.64463585767146</v>
      </c>
      <c r="O290" t="str">
        <f t="shared" si="22"/>
        <v>Safe Seat</v>
      </c>
      <c r="P290">
        <v>0</v>
      </c>
      <c r="Q290">
        <v>2026</v>
      </c>
    </row>
    <row r="291" spans="1:17">
      <c r="A291">
        <v>290</v>
      </c>
      <c r="C291" t="s">
        <v>879</v>
      </c>
      <c r="D291" t="s">
        <v>880</v>
      </c>
      <c r="E291" t="s">
        <v>14</v>
      </c>
      <c r="F291">
        <f t="shared" si="23"/>
        <v>1</v>
      </c>
      <c r="G291">
        <v>126192</v>
      </c>
      <c r="H291">
        <f t="shared" si="20"/>
        <v>71.037254703279629</v>
      </c>
      <c r="I291" t="s">
        <v>881</v>
      </c>
      <c r="J291" t="s">
        <v>741</v>
      </c>
      <c r="K291">
        <v>51450</v>
      </c>
      <c r="L291">
        <f t="shared" si="21"/>
        <v>28.962745296720371</v>
      </c>
      <c r="M291">
        <v>74742</v>
      </c>
      <c r="N291">
        <f t="shared" si="24"/>
        <v>42.074509406559258</v>
      </c>
      <c r="O291" t="str">
        <f t="shared" si="22"/>
        <v>Safe Seat</v>
      </c>
      <c r="P291">
        <v>0</v>
      </c>
      <c r="Q291">
        <v>2026</v>
      </c>
    </row>
    <row r="292" spans="1:17">
      <c r="A292">
        <v>291</v>
      </c>
      <c r="C292" t="s">
        <v>882</v>
      </c>
      <c r="D292" t="s">
        <v>883</v>
      </c>
      <c r="E292" t="s">
        <v>14</v>
      </c>
      <c r="F292">
        <f t="shared" si="23"/>
        <v>1</v>
      </c>
      <c r="G292">
        <v>76493</v>
      </c>
      <c r="H292">
        <f t="shared" si="20"/>
        <v>50.337588839168198</v>
      </c>
      <c r="I292" t="s">
        <v>884</v>
      </c>
      <c r="J292" t="s">
        <v>451</v>
      </c>
      <c r="K292">
        <v>75467</v>
      </c>
      <c r="L292">
        <f t="shared" si="21"/>
        <v>49.662411160831802</v>
      </c>
      <c r="M292">
        <v>1026</v>
      </c>
      <c r="N292">
        <f t="shared" si="24"/>
        <v>0.6751776783364043</v>
      </c>
      <c r="O292" t="str">
        <f t="shared" si="22"/>
        <v>Highly Competitive</v>
      </c>
      <c r="P292">
        <v>0</v>
      </c>
      <c r="Q292">
        <v>2026</v>
      </c>
    </row>
    <row r="293" spans="1:17">
      <c r="A293">
        <v>292</v>
      </c>
      <c r="C293" t="s">
        <v>885</v>
      </c>
      <c r="D293" t="s">
        <v>886</v>
      </c>
      <c r="E293" t="s">
        <v>20</v>
      </c>
      <c r="F293">
        <f t="shared" si="23"/>
        <v>2</v>
      </c>
      <c r="G293">
        <v>172061</v>
      </c>
      <c r="H293">
        <f t="shared" si="20"/>
        <v>57.528938164942524</v>
      </c>
      <c r="I293" t="s">
        <v>887</v>
      </c>
      <c r="J293" t="s">
        <v>14</v>
      </c>
      <c r="K293">
        <v>127025</v>
      </c>
      <c r="L293">
        <f t="shared" si="21"/>
        <v>42.471061835057476</v>
      </c>
      <c r="M293">
        <v>50577</v>
      </c>
      <c r="N293">
        <f t="shared" si="24"/>
        <v>15.057876329885051</v>
      </c>
      <c r="O293" t="str">
        <f t="shared" si="22"/>
        <v>Safe Seat</v>
      </c>
      <c r="P293">
        <v>0</v>
      </c>
      <c r="Q293">
        <v>2026</v>
      </c>
    </row>
    <row r="294" spans="1:17">
      <c r="A294">
        <v>293</v>
      </c>
      <c r="C294" t="s">
        <v>888</v>
      </c>
      <c r="D294" t="s">
        <v>889</v>
      </c>
      <c r="E294" t="s">
        <v>20</v>
      </c>
      <c r="F294">
        <f t="shared" si="23"/>
        <v>2</v>
      </c>
      <c r="G294">
        <v>93167</v>
      </c>
      <c r="H294">
        <f t="shared" si="20"/>
        <v>52.854111827176183</v>
      </c>
      <c r="I294" t="s">
        <v>890</v>
      </c>
      <c r="J294" t="s">
        <v>14</v>
      </c>
      <c r="K294">
        <v>83105</v>
      </c>
      <c r="L294">
        <f t="shared" si="21"/>
        <v>47.145888172823817</v>
      </c>
      <c r="M294">
        <v>10062</v>
      </c>
      <c r="N294">
        <f t="shared" si="24"/>
        <v>5.7082236543523646</v>
      </c>
      <c r="O294" t="str">
        <f t="shared" si="22"/>
        <v>Safe Seat</v>
      </c>
      <c r="P294">
        <v>0</v>
      </c>
      <c r="Q294">
        <v>2026</v>
      </c>
    </row>
    <row r="295" spans="1:17">
      <c r="A295">
        <v>294</v>
      </c>
      <c r="C295" t="s">
        <v>891</v>
      </c>
      <c r="D295" t="s">
        <v>892</v>
      </c>
      <c r="E295" t="s">
        <v>14</v>
      </c>
      <c r="F295">
        <f t="shared" si="23"/>
        <v>1</v>
      </c>
      <c r="G295">
        <v>222019</v>
      </c>
      <c r="H295">
        <f t="shared" si="20"/>
        <v>63.118946288099117</v>
      </c>
      <c r="I295" t="s">
        <v>893</v>
      </c>
      <c r="J295" t="s">
        <v>20</v>
      </c>
      <c r="K295">
        <v>129728</v>
      </c>
      <c r="L295">
        <f t="shared" si="21"/>
        <v>36.881053711900883</v>
      </c>
      <c r="M295">
        <v>92291</v>
      </c>
      <c r="N295">
        <f t="shared" si="24"/>
        <v>26.237892576198234</v>
      </c>
      <c r="O295" t="str">
        <f t="shared" si="22"/>
        <v>Safe Seat</v>
      </c>
      <c r="P295">
        <v>0</v>
      </c>
      <c r="Q295">
        <v>2026</v>
      </c>
    </row>
    <row r="296" spans="1:17">
      <c r="A296">
        <v>295</v>
      </c>
      <c r="C296" t="s">
        <v>894</v>
      </c>
      <c r="D296" t="s">
        <v>895</v>
      </c>
      <c r="E296" t="s">
        <v>14</v>
      </c>
      <c r="F296">
        <f t="shared" si="23"/>
        <v>1</v>
      </c>
      <c r="G296">
        <v>125543</v>
      </c>
      <c r="H296">
        <f t="shared" si="20"/>
        <v>57.738971264579277</v>
      </c>
      <c r="I296" t="s">
        <v>896</v>
      </c>
      <c r="J296" t="s">
        <v>20</v>
      </c>
      <c r="K296">
        <v>91889</v>
      </c>
      <c r="L296">
        <f t="shared" si="21"/>
        <v>42.26102873542073</v>
      </c>
      <c r="M296">
        <v>33654</v>
      </c>
      <c r="N296">
        <f t="shared" si="24"/>
        <v>15.477942529158542</v>
      </c>
      <c r="O296" t="str">
        <f t="shared" si="22"/>
        <v>Safe Seat</v>
      </c>
      <c r="P296">
        <v>0</v>
      </c>
      <c r="Q296">
        <v>2026</v>
      </c>
    </row>
    <row r="297" spans="1:17">
      <c r="A297">
        <v>296</v>
      </c>
      <c r="C297" t="s">
        <v>897</v>
      </c>
      <c r="D297" t="s">
        <v>898</v>
      </c>
      <c r="E297" t="s">
        <v>14</v>
      </c>
      <c r="F297">
        <f t="shared" si="23"/>
        <v>1</v>
      </c>
      <c r="G297">
        <v>182096</v>
      </c>
      <c r="H297">
        <f t="shared" si="20"/>
        <v>52.946735170372442</v>
      </c>
      <c r="I297" t="s">
        <v>899</v>
      </c>
      <c r="J297" t="s">
        <v>20</v>
      </c>
      <c r="K297">
        <v>161827</v>
      </c>
      <c r="L297">
        <f t="shared" si="21"/>
        <v>47.053264829627558</v>
      </c>
      <c r="M297">
        <v>20269</v>
      </c>
      <c r="N297">
        <f t="shared" si="24"/>
        <v>5.8934703407448756</v>
      </c>
      <c r="O297" t="str">
        <f t="shared" si="22"/>
        <v>Safe Seat</v>
      </c>
      <c r="P297">
        <v>0</v>
      </c>
      <c r="Q297">
        <v>2026</v>
      </c>
    </row>
    <row r="298" spans="1:17">
      <c r="A298">
        <v>297</v>
      </c>
      <c r="C298" t="s">
        <v>900</v>
      </c>
      <c r="D298" t="s">
        <v>901</v>
      </c>
      <c r="E298" t="s">
        <v>14</v>
      </c>
      <c r="F298">
        <f t="shared" si="23"/>
        <v>1</v>
      </c>
      <c r="G298">
        <v>122909</v>
      </c>
      <c r="H298">
        <f t="shared" si="20"/>
        <v>50.189677772378502</v>
      </c>
      <c r="I298" t="s">
        <v>902</v>
      </c>
      <c r="J298" t="s">
        <v>20</v>
      </c>
      <c r="K298">
        <v>121980</v>
      </c>
      <c r="L298">
        <f t="shared" si="21"/>
        <v>49.810322227621498</v>
      </c>
      <c r="M298">
        <v>929</v>
      </c>
      <c r="N298">
        <f t="shared" si="24"/>
        <v>0.37935554475701233</v>
      </c>
      <c r="O298" t="str">
        <f t="shared" si="22"/>
        <v>Highly Competitive</v>
      </c>
      <c r="P298">
        <v>0</v>
      </c>
      <c r="Q298">
        <v>2026</v>
      </c>
    </row>
    <row r="299" spans="1:17">
      <c r="A299">
        <v>298</v>
      </c>
      <c r="C299" t="s">
        <v>1433</v>
      </c>
      <c r="D299" t="s">
        <v>904</v>
      </c>
      <c r="E299" t="s">
        <v>14</v>
      </c>
      <c r="F299">
        <f t="shared" si="23"/>
        <v>1</v>
      </c>
      <c r="G299">
        <v>151040</v>
      </c>
      <c r="H299">
        <f t="shared" si="20"/>
        <v>68.856419958514735</v>
      </c>
      <c r="I299" t="s">
        <v>905</v>
      </c>
      <c r="J299" t="s">
        <v>44</v>
      </c>
      <c r="K299">
        <v>68315</v>
      </c>
      <c r="L299">
        <f t="shared" si="21"/>
        <v>31.143580041485265</v>
      </c>
      <c r="M299">
        <v>82725</v>
      </c>
      <c r="N299">
        <f t="shared" si="24"/>
        <v>37.71283991702947</v>
      </c>
      <c r="O299" t="str">
        <f t="shared" si="22"/>
        <v>Safe Seat</v>
      </c>
      <c r="P299">
        <v>0</v>
      </c>
      <c r="Q299">
        <v>2026</v>
      </c>
    </row>
    <row r="300" spans="1:17">
      <c r="A300">
        <v>299</v>
      </c>
      <c r="C300" t="s">
        <v>1442</v>
      </c>
      <c r="D300" t="s">
        <v>907</v>
      </c>
      <c r="E300" t="s">
        <v>14</v>
      </c>
      <c r="F300">
        <f t="shared" si="23"/>
        <v>1</v>
      </c>
      <c r="G300">
        <v>201544</v>
      </c>
      <c r="H300">
        <f t="shared" si="20"/>
        <v>86.58652896041518</v>
      </c>
      <c r="I300" t="s">
        <v>908</v>
      </c>
      <c r="J300" t="s">
        <v>44</v>
      </c>
      <c r="K300">
        <v>31222</v>
      </c>
      <c r="L300">
        <f t="shared" si="21"/>
        <v>13.413471039584818</v>
      </c>
      <c r="M300">
        <v>170322</v>
      </c>
      <c r="N300">
        <f t="shared" si="24"/>
        <v>73.17305792083036</v>
      </c>
      <c r="O300" t="str">
        <f t="shared" si="22"/>
        <v>Safe Seat</v>
      </c>
      <c r="P300">
        <v>0</v>
      </c>
      <c r="Q300">
        <v>2026</v>
      </c>
    </row>
    <row r="301" spans="1:17">
      <c r="A301">
        <v>300</v>
      </c>
      <c r="C301" t="s">
        <v>1450</v>
      </c>
      <c r="D301" t="s">
        <v>910</v>
      </c>
      <c r="E301" t="s">
        <v>14</v>
      </c>
      <c r="F301">
        <f t="shared" si="23"/>
        <v>1</v>
      </c>
      <c r="G301">
        <v>141455</v>
      </c>
      <c r="H301">
        <f t="shared" si="20"/>
        <v>84.391797967986534</v>
      </c>
      <c r="I301" t="s">
        <v>911</v>
      </c>
      <c r="J301" t="s">
        <v>16</v>
      </c>
      <c r="K301">
        <v>26162</v>
      </c>
      <c r="L301">
        <f t="shared" si="21"/>
        <v>15.608202032013461</v>
      </c>
      <c r="M301">
        <v>115293</v>
      </c>
      <c r="N301">
        <f t="shared" si="24"/>
        <v>68.783595935973082</v>
      </c>
      <c r="O301" t="str">
        <f t="shared" si="22"/>
        <v>Safe Seat</v>
      </c>
      <c r="P301">
        <v>0</v>
      </c>
      <c r="Q301">
        <v>2026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0C0C-A6B8-4EF5-A2E1-CCEEE14C8B3C}">
  <dimension ref="A1:I303"/>
  <sheetViews>
    <sheetView topLeftCell="A289" workbookViewId="0">
      <selection activeCell="I304" sqref="I304"/>
    </sheetView>
  </sheetViews>
  <sheetFormatPr defaultRowHeight="15"/>
  <sheetData>
    <row r="1" spans="1:4">
      <c r="A1" s="5" t="s">
        <v>1583</v>
      </c>
      <c r="C1" s="5" t="s">
        <v>1584</v>
      </c>
      <c r="D1" t="s">
        <v>1585</v>
      </c>
    </row>
    <row r="2" spans="1:4">
      <c r="A2" s="3" t="s">
        <v>12</v>
      </c>
      <c r="B2" t="str">
        <f>IF(COUNTIF(Constituency_Level_Data!$A:$A,A2)&gt;0,"Found","Missing")</f>
        <v>Found</v>
      </c>
      <c r="C2" t="str">
        <f>IF(COUNTIF(Constituency_Level_Data!$A:$A,B2)&gt;0,"Found","Missing")</f>
        <v>Missing</v>
      </c>
      <c r="D2" t="str">
        <f>SUBSTITUTE(SUBSTITUTE(SUBSTITUTE(SUBSTITUTE(TRIM(A2),"Barisal","Barishal"),"Jessore","Jashore"),"Bogra","Bogura"),"Chapai Nawabganj","Chapainawabganj")</f>
        <v>Panchagarh-1</v>
      </c>
    </row>
    <row r="3" spans="1:4">
      <c r="A3" s="2" t="s">
        <v>17</v>
      </c>
      <c r="B3" t="str">
        <f>IF(COUNTIF(Constituency_Level_Data!$A:$A,A3)&gt;0,"Found","Missing")</f>
        <v>Found</v>
      </c>
      <c r="C3" t="str">
        <f>IF(COUNTIF(Constituency_Level_Data!$A:$A,B3)&gt;0,"Found","Missing")</f>
        <v>Missing</v>
      </c>
      <c r="D3" t="str">
        <f t="shared" ref="D3:D66" si="0">SUBSTITUTE(SUBSTITUTE(SUBSTITUTE(SUBSTITUTE(TRIM(A3),"Barisal","Barishal"),"Jessore","Jashore"),"Bogra","Bogura"),"Chapai Nawabganj","Chapainawabganj")</f>
        <v>Panchagarh-2</v>
      </c>
    </row>
    <row r="4" spans="1:4">
      <c r="A4" s="3" t="s">
        <v>21</v>
      </c>
      <c r="B4" t="str">
        <f>IF(COUNTIF(Constituency_Level_Data!$A:$A,A4)&gt;0,"Found","Missing")</f>
        <v>Found</v>
      </c>
      <c r="C4" t="str">
        <f>IF(COUNTIF(Constituency_Level_Data!$A:$A,B4)&gt;0,"Found","Missing")</f>
        <v>Missing</v>
      </c>
      <c r="D4" t="str">
        <f t="shared" si="0"/>
        <v>Thakurgaon-1</v>
      </c>
    </row>
    <row r="5" spans="1:4">
      <c r="A5" s="2" t="s">
        <v>24</v>
      </c>
      <c r="B5" t="str">
        <f>IF(COUNTIF(Constituency_Level_Data!$A:$A,A5)&gt;0,"Found","Missing")</f>
        <v>Found</v>
      </c>
      <c r="C5" t="str">
        <f>IF(COUNTIF(Constituency_Level_Data!$A:$A,B5)&gt;0,"Found","Missing")</f>
        <v>Missing</v>
      </c>
      <c r="D5" t="str">
        <f t="shared" si="0"/>
        <v>Thakurgaon-2</v>
      </c>
    </row>
    <row r="6" spans="1:4">
      <c r="A6" s="3" t="s">
        <v>27</v>
      </c>
      <c r="B6" t="str">
        <f>IF(COUNTIF(Constituency_Level_Data!$A:$A,A6)&gt;0,"Found","Missing")</f>
        <v>Found</v>
      </c>
      <c r="C6" t="str">
        <f>IF(COUNTIF(Constituency_Level_Data!$A:$A,B6)&gt;0,"Found","Missing")</f>
        <v>Missing</v>
      </c>
      <c r="D6" t="str">
        <f t="shared" si="0"/>
        <v>Thakurgaon-3</v>
      </c>
    </row>
    <row r="7" spans="1:4">
      <c r="A7" s="2" t="s">
        <v>30</v>
      </c>
      <c r="B7" t="str">
        <f>IF(COUNTIF(Constituency_Level_Data!$A:$A,A7)&gt;0,"Found","Missing")</f>
        <v>Found</v>
      </c>
      <c r="C7" t="str">
        <f>IF(COUNTIF(Constituency_Level_Data!$A:$A,B7)&gt;0,"Found","Missing")</f>
        <v>Missing</v>
      </c>
      <c r="D7" t="str">
        <f t="shared" si="0"/>
        <v>Dinajpur-1</v>
      </c>
    </row>
    <row r="8" spans="1:4">
      <c r="A8" s="3" t="s">
        <v>33</v>
      </c>
      <c r="B8" t="str">
        <f>IF(COUNTIF(Constituency_Level_Data!$A:$A,A8)&gt;0,"Found","Missing")</f>
        <v>Found</v>
      </c>
      <c r="C8" t="str">
        <f>IF(COUNTIF(Constituency_Level_Data!$A:$A,B8)&gt;0,"Found","Missing")</f>
        <v>Missing</v>
      </c>
      <c r="D8" t="str">
        <f t="shared" si="0"/>
        <v>Dinajpur-2</v>
      </c>
    </row>
    <row r="9" spans="1:4">
      <c r="A9" s="2" t="s">
        <v>36</v>
      </c>
      <c r="B9" t="str">
        <f>IF(COUNTIF(Constituency_Level_Data!$A:$A,A9)&gt;0,"Found","Missing")</f>
        <v>Found</v>
      </c>
      <c r="C9" t="str">
        <f>IF(COUNTIF(Constituency_Level_Data!$A:$A,B9)&gt;0,"Found","Missing")</f>
        <v>Missing</v>
      </c>
      <c r="D9" t="str">
        <f t="shared" si="0"/>
        <v>Dinajpur-3</v>
      </c>
    </row>
    <row r="10" spans="1:4">
      <c r="A10" s="3" t="s">
        <v>39</v>
      </c>
      <c r="B10" t="str">
        <f>IF(COUNTIF(Constituency_Level_Data!$A:$A,A10)&gt;0,"Found","Missing")</f>
        <v>Found</v>
      </c>
      <c r="C10" t="str">
        <f>IF(COUNTIF(Constituency_Level_Data!$A:$A,B10)&gt;0,"Found","Missing")</f>
        <v>Missing</v>
      </c>
      <c r="D10" t="str">
        <f t="shared" si="0"/>
        <v>Dinajpur-4</v>
      </c>
    </row>
    <row r="11" spans="1:4">
      <c r="A11" s="2" t="s">
        <v>42</v>
      </c>
      <c r="B11" t="str">
        <f>IF(COUNTIF(Constituency_Level_Data!$A:$A,A11)&gt;0,"Found","Missing")</f>
        <v>Found</v>
      </c>
      <c r="C11" t="str">
        <f>IF(COUNTIF(Constituency_Level_Data!$A:$A,B11)&gt;0,"Found","Missing")</f>
        <v>Missing</v>
      </c>
      <c r="D11" t="str">
        <f t="shared" si="0"/>
        <v>Dinajpur-5</v>
      </c>
    </row>
    <row r="12" spans="1:4">
      <c r="A12" s="3" t="s">
        <v>46</v>
      </c>
      <c r="B12" t="str">
        <f>IF(COUNTIF(Constituency_Level_Data!$A:$A,A12)&gt;0,"Found","Missing")</f>
        <v>Found</v>
      </c>
      <c r="C12" t="str">
        <f>IF(COUNTIF(Constituency_Level_Data!$A:$A,B12)&gt;0,"Found","Missing")</f>
        <v>Missing</v>
      </c>
      <c r="D12" t="str">
        <f t="shared" si="0"/>
        <v>Dinajpur-6</v>
      </c>
    </row>
    <row r="13" spans="1:4">
      <c r="A13" s="2" t="s">
        <v>49</v>
      </c>
      <c r="B13" t="str">
        <f>IF(COUNTIF(Constituency_Level_Data!$A:$A,A13)&gt;0,"Found","Missing")</f>
        <v>Found</v>
      </c>
      <c r="C13" t="str">
        <f>IF(COUNTIF(Constituency_Level_Data!$A:$A,B13)&gt;0,"Found","Missing")</f>
        <v>Missing</v>
      </c>
      <c r="D13" t="str">
        <f t="shared" si="0"/>
        <v>Nilphamari-1</v>
      </c>
    </row>
    <row r="14" spans="1:4">
      <c r="A14" s="3" t="s">
        <v>52</v>
      </c>
      <c r="B14" t="str">
        <f>IF(COUNTIF(Constituency_Level_Data!$A:$A,A14)&gt;0,"Found","Missing")</f>
        <v>Found</v>
      </c>
      <c r="C14" t="str">
        <f>IF(COUNTIF(Constituency_Level_Data!$A:$A,B14)&gt;0,"Found","Missing")</f>
        <v>Missing</v>
      </c>
      <c r="D14" t="str">
        <f t="shared" si="0"/>
        <v>Nilphamari-2</v>
      </c>
    </row>
    <row r="15" spans="1:4">
      <c r="A15" s="2" t="s">
        <v>55</v>
      </c>
      <c r="B15" t="str">
        <f>IF(COUNTIF(Constituency_Level_Data!$A:$A,A15)&gt;0,"Found","Missing")</f>
        <v>Found</v>
      </c>
      <c r="C15" t="str">
        <f>IF(COUNTIF(Constituency_Level_Data!$A:$A,B15)&gt;0,"Found","Missing")</f>
        <v>Missing</v>
      </c>
      <c r="D15" t="str">
        <f t="shared" si="0"/>
        <v>Nilphamari-3</v>
      </c>
    </row>
    <row r="16" spans="1:4">
      <c r="A16" s="3" t="s">
        <v>58</v>
      </c>
      <c r="B16" t="str">
        <f>IF(COUNTIF(Constituency_Level_Data!$A:$A,A16)&gt;0,"Found","Missing")</f>
        <v>Found</v>
      </c>
      <c r="C16" t="str">
        <f>IF(COUNTIF(Constituency_Level_Data!$A:$A,B16)&gt;0,"Found","Missing")</f>
        <v>Missing</v>
      </c>
      <c r="D16" t="str">
        <f t="shared" si="0"/>
        <v>Nilphamari-4</v>
      </c>
    </row>
    <row r="17" spans="1:4">
      <c r="A17" s="2" t="s">
        <v>61</v>
      </c>
      <c r="B17" t="str">
        <f>IF(COUNTIF(Constituency_Level_Data!$A:$A,A17)&gt;0,"Found","Missing")</f>
        <v>Found</v>
      </c>
      <c r="C17" t="str">
        <f>IF(COUNTIF(Constituency_Level_Data!$A:$A,B17)&gt;0,"Found","Missing")</f>
        <v>Missing</v>
      </c>
      <c r="D17" t="str">
        <f t="shared" si="0"/>
        <v>Lalmonirhat-1</v>
      </c>
    </row>
    <row r="18" spans="1:4">
      <c r="A18" s="3" t="s">
        <v>64</v>
      </c>
      <c r="B18" t="str">
        <f>IF(COUNTIF(Constituency_Level_Data!$A:$A,A18)&gt;0,"Found","Missing")</f>
        <v>Found</v>
      </c>
      <c r="C18" t="str">
        <f>IF(COUNTIF(Constituency_Level_Data!$A:$A,B18)&gt;0,"Found","Missing")</f>
        <v>Missing</v>
      </c>
      <c r="D18" t="str">
        <f t="shared" si="0"/>
        <v>Lalmonirhat-2</v>
      </c>
    </row>
    <row r="19" spans="1:4">
      <c r="A19" s="2" t="s">
        <v>67</v>
      </c>
      <c r="B19" t="str">
        <f>IF(COUNTIF(Constituency_Level_Data!$A:$A,A19)&gt;0,"Found","Missing")</f>
        <v>Found</v>
      </c>
      <c r="C19" t="str">
        <f>IF(COUNTIF(Constituency_Level_Data!$A:$A,B19)&gt;0,"Found","Missing")</f>
        <v>Missing</v>
      </c>
      <c r="D19" t="str">
        <f t="shared" si="0"/>
        <v>Lalmonirhat-3</v>
      </c>
    </row>
    <row r="20" spans="1:4">
      <c r="A20" s="3" t="s">
        <v>70</v>
      </c>
      <c r="B20" t="str">
        <f>IF(COUNTIF(Constituency_Level_Data!$A:$A,A20)&gt;0,"Found","Missing")</f>
        <v>Found</v>
      </c>
      <c r="C20" t="str">
        <f>IF(COUNTIF(Constituency_Level_Data!$A:$A,B20)&gt;0,"Found","Missing")</f>
        <v>Missing</v>
      </c>
      <c r="D20" t="str">
        <f t="shared" si="0"/>
        <v>Rangpur-1</v>
      </c>
    </row>
    <row r="21" spans="1:4">
      <c r="A21" s="2" t="s">
        <v>73</v>
      </c>
      <c r="B21" t="str">
        <f>IF(COUNTIF(Constituency_Level_Data!$A:$A,A21)&gt;0,"Found","Missing")</f>
        <v>Found</v>
      </c>
      <c r="C21" t="str">
        <f>IF(COUNTIF(Constituency_Level_Data!$A:$A,B21)&gt;0,"Found","Missing")</f>
        <v>Missing</v>
      </c>
      <c r="D21" t="str">
        <f t="shared" si="0"/>
        <v>Rangpur-2</v>
      </c>
    </row>
    <row r="22" spans="1:4">
      <c r="A22" s="3" t="s">
        <v>76</v>
      </c>
      <c r="B22" t="str">
        <f>IF(COUNTIF(Constituency_Level_Data!$A:$A,A22)&gt;0,"Found","Missing")</f>
        <v>Found</v>
      </c>
      <c r="C22" t="str">
        <f>IF(COUNTIF(Constituency_Level_Data!$A:$A,B22)&gt;0,"Found","Missing")</f>
        <v>Missing</v>
      </c>
      <c r="D22" t="str">
        <f t="shared" si="0"/>
        <v>Rangpur-3</v>
      </c>
    </row>
    <row r="23" spans="1:4">
      <c r="A23" s="2" t="s">
        <v>79</v>
      </c>
      <c r="B23" t="str">
        <f>IF(COUNTIF(Constituency_Level_Data!$A:$A,A23)&gt;0,"Found","Missing")</f>
        <v>Found</v>
      </c>
      <c r="C23" t="str">
        <f>IF(COUNTIF(Constituency_Level_Data!$A:$A,B23)&gt;0,"Found","Missing")</f>
        <v>Missing</v>
      </c>
      <c r="D23" t="str">
        <f t="shared" si="0"/>
        <v>Rangpur-4</v>
      </c>
    </row>
    <row r="24" spans="1:4">
      <c r="A24" s="3" t="s">
        <v>82</v>
      </c>
      <c r="B24" t="str">
        <f>IF(COUNTIF(Constituency_Level_Data!$A:$A,A24)&gt;0,"Found","Missing")</f>
        <v>Found</v>
      </c>
      <c r="C24" t="str">
        <f>IF(COUNTIF(Constituency_Level_Data!$A:$A,B24)&gt;0,"Found","Missing")</f>
        <v>Missing</v>
      </c>
      <c r="D24" t="str">
        <f t="shared" si="0"/>
        <v>Rangpur-5</v>
      </c>
    </row>
    <row r="25" spans="1:4">
      <c r="A25" s="2" t="s">
        <v>84</v>
      </c>
      <c r="B25" t="str">
        <f>IF(COUNTIF(Constituency_Level_Data!$A:$A,A25)&gt;0,"Found","Missing")</f>
        <v>Found</v>
      </c>
      <c r="C25" t="str">
        <f>IF(COUNTIF(Constituency_Level_Data!$A:$A,B25)&gt;0,"Found","Missing")</f>
        <v>Missing</v>
      </c>
      <c r="D25" t="str">
        <f t="shared" si="0"/>
        <v>Rangpur-6</v>
      </c>
    </row>
    <row r="26" spans="1:4">
      <c r="A26" s="3" t="s">
        <v>87</v>
      </c>
      <c r="B26" t="str">
        <f>IF(COUNTIF(Constituency_Level_Data!$A:$A,A26)&gt;0,"Found","Missing")</f>
        <v>Found</v>
      </c>
      <c r="C26" t="str">
        <f>IF(COUNTIF(Constituency_Level_Data!$A:$A,B26)&gt;0,"Found","Missing")</f>
        <v>Missing</v>
      </c>
      <c r="D26" t="str">
        <f t="shared" si="0"/>
        <v>Kurigram-1</v>
      </c>
    </row>
    <row r="27" spans="1:4">
      <c r="A27" s="2" t="s">
        <v>89</v>
      </c>
      <c r="B27" t="str">
        <f>IF(COUNTIF(Constituency_Level_Data!$A:$A,A27)&gt;0,"Found","Missing")</f>
        <v>Found</v>
      </c>
      <c r="C27" t="str">
        <f>IF(COUNTIF(Constituency_Level_Data!$A:$A,B27)&gt;0,"Found","Missing")</f>
        <v>Missing</v>
      </c>
      <c r="D27" t="str">
        <f t="shared" si="0"/>
        <v>Kurigram-2</v>
      </c>
    </row>
    <row r="28" spans="1:4">
      <c r="A28" s="3" t="s">
        <v>92</v>
      </c>
      <c r="B28" t="str">
        <f>IF(COUNTIF(Constituency_Level_Data!$A:$A,A28)&gt;0,"Found","Missing")</f>
        <v>Found</v>
      </c>
      <c r="C28" t="str">
        <f>IF(COUNTIF(Constituency_Level_Data!$A:$A,B28)&gt;0,"Found","Missing")</f>
        <v>Missing</v>
      </c>
      <c r="D28" t="str">
        <f t="shared" si="0"/>
        <v>Kurigram-3</v>
      </c>
    </row>
    <row r="29" spans="1:4">
      <c r="A29" s="2" t="s">
        <v>95</v>
      </c>
      <c r="B29" t="str">
        <f>IF(COUNTIF(Constituency_Level_Data!$A:$A,A29)&gt;0,"Found","Missing")</f>
        <v>Found</v>
      </c>
      <c r="C29" t="str">
        <f>IF(COUNTIF(Constituency_Level_Data!$A:$A,B29)&gt;0,"Found","Missing")</f>
        <v>Missing</v>
      </c>
      <c r="D29" t="str">
        <f t="shared" si="0"/>
        <v>Kurigram-4</v>
      </c>
    </row>
    <row r="30" spans="1:4">
      <c r="A30" s="3" t="s">
        <v>98</v>
      </c>
      <c r="B30" t="str">
        <f>IF(COUNTIF(Constituency_Level_Data!$A:$A,A30)&gt;0,"Found","Missing")</f>
        <v>Found</v>
      </c>
      <c r="C30" t="str">
        <f>IF(COUNTIF(Constituency_Level_Data!$A:$A,B30)&gt;0,"Found","Missing")</f>
        <v>Missing</v>
      </c>
      <c r="D30" t="str">
        <f t="shared" si="0"/>
        <v>Gaibandha-1</v>
      </c>
    </row>
    <row r="31" spans="1:4">
      <c r="A31" s="2" t="s">
        <v>101</v>
      </c>
      <c r="B31" t="str">
        <f>IF(COUNTIF(Constituency_Level_Data!$A:$A,A31)&gt;0,"Found","Missing")</f>
        <v>Found</v>
      </c>
      <c r="C31" t="str">
        <f>IF(COUNTIF(Constituency_Level_Data!$A:$A,B31)&gt;0,"Found","Missing")</f>
        <v>Missing</v>
      </c>
      <c r="D31" t="str">
        <f t="shared" si="0"/>
        <v>Gaibandha-2</v>
      </c>
    </row>
    <row r="32" spans="1:4">
      <c r="A32" s="3" t="s">
        <v>104</v>
      </c>
      <c r="B32" t="str">
        <f>IF(COUNTIF(Constituency_Level_Data!$A:$A,A32)&gt;0,"Found","Missing")</f>
        <v>Found</v>
      </c>
      <c r="C32" t="str">
        <f>IF(COUNTIF(Constituency_Level_Data!$A:$A,B32)&gt;0,"Found","Missing")</f>
        <v>Missing</v>
      </c>
      <c r="D32" t="str">
        <f t="shared" si="0"/>
        <v>Gaibandha-3</v>
      </c>
    </row>
    <row r="33" spans="1:4">
      <c r="A33" s="2" t="s">
        <v>107</v>
      </c>
      <c r="B33" t="str">
        <f>IF(COUNTIF(Constituency_Level_Data!$A:$A,A33)&gt;0,"Found","Missing")</f>
        <v>Found</v>
      </c>
      <c r="C33" t="str">
        <f>IF(COUNTIF(Constituency_Level_Data!$A:$A,B33)&gt;0,"Found","Missing")</f>
        <v>Missing</v>
      </c>
      <c r="D33" t="str">
        <f t="shared" si="0"/>
        <v>Gaibandha-4</v>
      </c>
    </row>
    <row r="34" spans="1:4">
      <c r="A34" s="3" t="s">
        <v>110</v>
      </c>
      <c r="B34" t="str">
        <f>IF(COUNTIF(Constituency_Level_Data!$A:$A,A34)&gt;0,"Found","Missing")</f>
        <v>Found</v>
      </c>
      <c r="C34" t="str">
        <f>IF(COUNTIF(Constituency_Level_Data!$A:$A,B34)&gt;0,"Found","Missing")</f>
        <v>Missing</v>
      </c>
      <c r="D34" t="str">
        <f t="shared" si="0"/>
        <v>Gaibandha-5</v>
      </c>
    </row>
    <row r="35" spans="1:4">
      <c r="A35" s="2" t="s">
        <v>114</v>
      </c>
      <c r="B35" t="str">
        <f>IF(COUNTIF(Constituency_Level_Data!$A:$A,A35)&gt;0,"Found","Missing")</f>
        <v>Found</v>
      </c>
      <c r="C35" t="str">
        <f>IF(COUNTIF(Constituency_Level_Data!$A:$A,B35)&gt;0,"Found","Missing")</f>
        <v>Missing</v>
      </c>
      <c r="D35" t="str">
        <f t="shared" si="0"/>
        <v>Joypurhat-1</v>
      </c>
    </row>
    <row r="36" spans="1:4">
      <c r="A36" s="3" t="s">
        <v>117</v>
      </c>
      <c r="B36" t="str">
        <f>IF(COUNTIF(Constituency_Level_Data!$A:$A,A36)&gt;0,"Found","Missing")</f>
        <v>Found</v>
      </c>
      <c r="C36" t="str">
        <f>IF(COUNTIF(Constituency_Level_Data!$A:$A,B36)&gt;0,"Found","Missing")</f>
        <v>Missing</v>
      </c>
      <c r="D36" t="str">
        <f t="shared" si="0"/>
        <v>Joypurhat-2</v>
      </c>
    </row>
    <row r="37" spans="1:4">
      <c r="A37" s="2" t="s">
        <v>986</v>
      </c>
      <c r="B37" t="str">
        <f>IF(COUNTIF(Constituency_Level_Data!$A:$A,A37)&gt;0,"Found","Missing")</f>
        <v>Found</v>
      </c>
      <c r="C37" t="str">
        <f>IF(COUNTIF(Constituency_Level_Data!$A:$A,B37)&gt;0,"Found","Missing")</f>
        <v>Missing</v>
      </c>
      <c r="D37" t="str">
        <f t="shared" si="0"/>
        <v>Bogura-1</v>
      </c>
    </row>
    <row r="38" spans="1:4">
      <c r="A38" s="3" t="s">
        <v>990</v>
      </c>
      <c r="B38" t="str">
        <f>IF(COUNTIF(Constituency_Level_Data!$A:$A,A38)&gt;0,"Found","Missing")</f>
        <v>Found</v>
      </c>
      <c r="C38" t="str">
        <f>IF(COUNTIF(Constituency_Level_Data!$A:$A,B38)&gt;0,"Found","Missing")</f>
        <v>Missing</v>
      </c>
      <c r="D38" t="str">
        <f t="shared" si="0"/>
        <v>Bogura-2</v>
      </c>
    </row>
    <row r="39" spans="1:4">
      <c r="A39" s="2" t="s">
        <v>992</v>
      </c>
      <c r="B39" t="str">
        <f>IF(COUNTIF(Constituency_Level_Data!$A:$A,A39)&gt;0,"Found","Missing")</f>
        <v>Found</v>
      </c>
      <c r="C39" t="str">
        <f>IF(COUNTIF(Constituency_Level_Data!$A:$A,B39)&gt;0,"Found","Missing")</f>
        <v>Missing</v>
      </c>
      <c r="D39" t="str">
        <f t="shared" si="0"/>
        <v>Bogura-3</v>
      </c>
    </row>
    <row r="40" spans="1:4">
      <c r="A40" s="3" t="s">
        <v>994</v>
      </c>
      <c r="B40" t="str">
        <f>IF(COUNTIF(Constituency_Level_Data!$A:$A,A40)&gt;0,"Found","Missing")</f>
        <v>Found</v>
      </c>
      <c r="C40" t="str">
        <f>IF(COUNTIF(Constituency_Level_Data!$A:$A,B40)&gt;0,"Found","Missing")</f>
        <v>Missing</v>
      </c>
      <c r="D40" t="str">
        <f t="shared" si="0"/>
        <v>Bogura-4</v>
      </c>
    </row>
    <row r="41" spans="1:4">
      <c r="A41" s="2" t="s">
        <v>997</v>
      </c>
      <c r="B41" t="str">
        <f>IF(COUNTIF(Constituency_Level_Data!$A:$A,A41)&gt;0,"Found","Missing")</f>
        <v>Found</v>
      </c>
      <c r="C41" t="str">
        <f>IF(COUNTIF(Constituency_Level_Data!$A:$A,B41)&gt;0,"Found","Missing")</f>
        <v>Missing</v>
      </c>
      <c r="D41" t="str">
        <f t="shared" si="0"/>
        <v>Bogura-5</v>
      </c>
    </row>
    <row r="42" spans="1:4">
      <c r="A42" s="3" t="s">
        <v>1000</v>
      </c>
      <c r="B42" t="str">
        <f>IF(COUNTIF(Constituency_Level_Data!$A:$A,A42)&gt;0,"Found","Missing")</f>
        <v>Found</v>
      </c>
      <c r="C42" t="str">
        <f>IF(COUNTIF(Constituency_Level_Data!$A:$A,B42)&gt;0,"Found","Missing")</f>
        <v>Missing</v>
      </c>
      <c r="D42" t="str">
        <f t="shared" si="0"/>
        <v>Bogura-6</v>
      </c>
    </row>
    <row r="43" spans="1:4">
      <c r="A43" s="2" t="s">
        <v>1002</v>
      </c>
      <c r="B43" t="str">
        <f>IF(COUNTIF(Constituency_Level_Data!$A:$A,A43)&gt;0,"Found","Missing")</f>
        <v>Found</v>
      </c>
      <c r="C43" t="str">
        <f>IF(COUNTIF(Constituency_Level_Data!$A:$A,B43)&gt;0,"Found","Missing")</f>
        <v>Missing</v>
      </c>
      <c r="D43" t="str">
        <f t="shared" si="0"/>
        <v>Bogura-7</v>
      </c>
    </row>
    <row r="44" spans="1:4">
      <c r="A44" s="3" t="s">
        <v>140</v>
      </c>
      <c r="B44" t="str">
        <f>IF(COUNTIF(Constituency_Level_Data!$A:$A,A44)&gt;0,"Found","Missing")</f>
        <v>Missing</v>
      </c>
      <c r="C44" t="str">
        <f>IF(COUNTIF(Constituency_Level_Data!$A:$A,B44)&gt;0,"Found","Missing")</f>
        <v>Missing</v>
      </c>
      <c r="D44" t="str">
        <f t="shared" si="0"/>
        <v>Chapainawabganj-1</v>
      </c>
    </row>
    <row r="45" spans="1:4">
      <c r="A45" s="2" t="s">
        <v>143</v>
      </c>
      <c r="B45" t="str">
        <f>IF(COUNTIF(Constituency_Level_Data!$A:$A,A45)&gt;0,"Found","Missing")</f>
        <v>Missing</v>
      </c>
      <c r="C45" t="str">
        <f>IF(COUNTIF(Constituency_Level_Data!$A:$A,B45)&gt;0,"Found","Missing")</f>
        <v>Missing</v>
      </c>
      <c r="D45" t="str">
        <f t="shared" si="0"/>
        <v>Chapainawabganj-2</v>
      </c>
    </row>
    <row r="46" spans="1:4">
      <c r="A46" s="3" t="s">
        <v>145</v>
      </c>
      <c r="B46" t="str">
        <f>IF(COUNTIF(Constituency_Level_Data!$A:$A,A46)&gt;0,"Found","Missing")</f>
        <v>Missing</v>
      </c>
      <c r="C46" t="str">
        <f>IF(COUNTIF(Constituency_Level_Data!$A:$A,B46)&gt;0,"Found","Missing")</f>
        <v>Missing</v>
      </c>
      <c r="D46" t="str">
        <f t="shared" si="0"/>
        <v>Chapainawabganj-3</v>
      </c>
    </row>
    <row r="47" spans="1:4">
      <c r="A47" s="2" t="s">
        <v>148</v>
      </c>
      <c r="B47" t="str">
        <f>IF(COUNTIF(Constituency_Level_Data!$A:$A,A47)&gt;0,"Found","Missing")</f>
        <v>Found</v>
      </c>
      <c r="C47" t="str">
        <f>IF(COUNTIF(Constituency_Level_Data!$A:$A,B47)&gt;0,"Found","Missing")</f>
        <v>Missing</v>
      </c>
      <c r="D47" t="str">
        <f t="shared" si="0"/>
        <v>Naogaon-1</v>
      </c>
    </row>
    <row r="48" spans="1:4">
      <c r="A48" s="3" t="s">
        <v>149</v>
      </c>
      <c r="B48" t="str">
        <f>IF(COUNTIF(Constituency_Level_Data!$A:$A,A48)&gt;0,"Found","Missing")</f>
        <v>Found</v>
      </c>
      <c r="C48" t="str">
        <f>IF(COUNTIF(Constituency_Level_Data!$A:$A,B48)&gt;0,"Found","Missing")</f>
        <v>Missing</v>
      </c>
      <c r="D48" t="str">
        <f t="shared" si="0"/>
        <v>Naogaon-2</v>
      </c>
    </row>
    <row r="49" spans="1:4">
      <c r="A49" s="2" t="s">
        <v>152</v>
      </c>
      <c r="B49" t="str">
        <f>IF(COUNTIF(Constituency_Level_Data!$A:$A,A49)&gt;0,"Found","Missing")</f>
        <v>Found</v>
      </c>
      <c r="C49" t="str">
        <f>IF(COUNTIF(Constituency_Level_Data!$A:$A,B49)&gt;0,"Found","Missing")</f>
        <v>Missing</v>
      </c>
      <c r="D49" t="str">
        <f t="shared" si="0"/>
        <v>Naogaon-3</v>
      </c>
    </row>
    <row r="50" spans="1:4">
      <c r="A50" s="3" t="s">
        <v>155</v>
      </c>
      <c r="B50" t="str">
        <f>IF(COUNTIF(Constituency_Level_Data!$A:$A,A50)&gt;0,"Found","Missing")</f>
        <v>Found</v>
      </c>
      <c r="C50" t="str">
        <f>IF(COUNTIF(Constituency_Level_Data!$A:$A,B50)&gt;0,"Found","Missing")</f>
        <v>Missing</v>
      </c>
      <c r="D50" t="str">
        <f t="shared" si="0"/>
        <v>Naogaon-4</v>
      </c>
    </row>
    <row r="51" spans="1:4">
      <c r="A51" s="2" t="s">
        <v>158</v>
      </c>
      <c r="B51" t="str">
        <f>IF(COUNTIF(Constituency_Level_Data!$A:$A,A51)&gt;0,"Found","Missing")</f>
        <v>Found</v>
      </c>
      <c r="C51" t="str">
        <f>IF(COUNTIF(Constituency_Level_Data!$A:$A,B51)&gt;0,"Found","Missing")</f>
        <v>Missing</v>
      </c>
      <c r="D51" t="str">
        <f t="shared" si="0"/>
        <v>Naogaon-5</v>
      </c>
    </row>
    <row r="52" spans="1:4">
      <c r="A52" s="3" t="s">
        <v>161</v>
      </c>
      <c r="B52" t="str">
        <f>IF(COUNTIF(Constituency_Level_Data!$A:$A,A52)&gt;0,"Found","Missing")</f>
        <v>Found</v>
      </c>
      <c r="C52" t="str">
        <f>IF(COUNTIF(Constituency_Level_Data!$A:$A,B52)&gt;0,"Found","Missing")</f>
        <v>Missing</v>
      </c>
      <c r="D52" t="str">
        <f t="shared" si="0"/>
        <v>Naogaon-6</v>
      </c>
    </row>
    <row r="53" spans="1:4">
      <c r="A53" s="2" t="s">
        <v>164</v>
      </c>
      <c r="B53" t="str">
        <f>IF(COUNTIF(Constituency_Level_Data!$A:$A,A53)&gt;0,"Found","Missing")</f>
        <v>Found</v>
      </c>
      <c r="C53" t="str">
        <f>IF(COUNTIF(Constituency_Level_Data!$A:$A,B53)&gt;0,"Found","Missing")</f>
        <v>Missing</v>
      </c>
      <c r="D53" t="str">
        <f t="shared" si="0"/>
        <v>Rajshahi-1</v>
      </c>
    </row>
    <row r="54" spans="1:4">
      <c r="A54" s="3" t="s">
        <v>167</v>
      </c>
      <c r="B54" t="str">
        <f>IF(COUNTIF(Constituency_Level_Data!$A:$A,A54)&gt;0,"Found","Missing")</f>
        <v>Found</v>
      </c>
      <c r="C54" t="str">
        <f>IF(COUNTIF(Constituency_Level_Data!$A:$A,B54)&gt;0,"Found","Missing")</f>
        <v>Missing</v>
      </c>
      <c r="D54" t="str">
        <f t="shared" si="0"/>
        <v>Rajshahi-2</v>
      </c>
    </row>
    <row r="55" spans="1:4">
      <c r="A55" s="2" t="s">
        <v>170</v>
      </c>
      <c r="B55" t="str">
        <f>IF(COUNTIF(Constituency_Level_Data!$A:$A,A55)&gt;0,"Found","Missing")</f>
        <v>Found</v>
      </c>
      <c r="C55" t="str">
        <f>IF(COUNTIF(Constituency_Level_Data!$A:$A,B55)&gt;0,"Found","Missing")</f>
        <v>Missing</v>
      </c>
      <c r="D55" t="str">
        <f t="shared" si="0"/>
        <v>Rajshahi-3</v>
      </c>
    </row>
    <row r="56" spans="1:4">
      <c r="A56" s="3" t="s">
        <v>173</v>
      </c>
      <c r="B56" t="str">
        <f>IF(COUNTIF(Constituency_Level_Data!$A:$A,A56)&gt;0,"Found","Missing")</f>
        <v>Found</v>
      </c>
      <c r="C56" t="str">
        <f>IF(COUNTIF(Constituency_Level_Data!$A:$A,B56)&gt;0,"Found","Missing")</f>
        <v>Missing</v>
      </c>
      <c r="D56" t="str">
        <f t="shared" si="0"/>
        <v>Rajshahi-4</v>
      </c>
    </row>
    <row r="57" spans="1:4">
      <c r="A57" s="2" t="s">
        <v>175</v>
      </c>
      <c r="B57" t="str">
        <f>IF(COUNTIF(Constituency_Level_Data!$A:$A,A57)&gt;0,"Found","Missing")</f>
        <v>Found</v>
      </c>
      <c r="C57" t="str">
        <f>IF(COUNTIF(Constituency_Level_Data!$A:$A,B57)&gt;0,"Found","Missing")</f>
        <v>Missing</v>
      </c>
      <c r="D57" t="str">
        <f t="shared" si="0"/>
        <v>Rajshahi-5</v>
      </c>
    </row>
    <row r="58" spans="1:4">
      <c r="A58" s="3" t="s">
        <v>178</v>
      </c>
      <c r="B58" t="str">
        <f>IF(COUNTIF(Constituency_Level_Data!$A:$A,A58)&gt;0,"Found","Missing")</f>
        <v>Found</v>
      </c>
      <c r="C58" t="str">
        <f>IF(COUNTIF(Constituency_Level_Data!$A:$A,B58)&gt;0,"Found","Missing")</f>
        <v>Missing</v>
      </c>
      <c r="D58" t="str">
        <f t="shared" si="0"/>
        <v>Rajshahi-6</v>
      </c>
    </row>
    <row r="59" spans="1:4">
      <c r="A59" s="2" t="s">
        <v>181</v>
      </c>
      <c r="B59" t="str">
        <f>IF(COUNTIF(Constituency_Level_Data!$A:$A,A59)&gt;0,"Found","Missing")</f>
        <v>Found</v>
      </c>
      <c r="C59" t="str">
        <f>IF(COUNTIF(Constituency_Level_Data!$A:$A,B59)&gt;0,"Found","Missing")</f>
        <v>Missing</v>
      </c>
      <c r="D59" t="str">
        <f t="shared" si="0"/>
        <v>Natore-1</v>
      </c>
    </row>
    <row r="60" spans="1:4">
      <c r="A60" s="3" t="s">
        <v>183</v>
      </c>
      <c r="B60" t="str">
        <f>IF(COUNTIF(Constituency_Level_Data!$A:$A,A60)&gt;0,"Found","Missing")</f>
        <v>Found</v>
      </c>
      <c r="C60" t="str">
        <f>IF(COUNTIF(Constituency_Level_Data!$A:$A,B60)&gt;0,"Found","Missing")</f>
        <v>Missing</v>
      </c>
      <c r="D60" t="str">
        <f t="shared" si="0"/>
        <v>Natore-2</v>
      </c>
    </row>
    <row r="61" spans="1:4">
      <c r="A61" s="2" t="s">
        <v>186</v>
      </c>
      <c r="B61" t="str">
        <f>IF(COUNTIF(Constituency_Level_Data!$A:$A,A61)&gt;0,"Found","Missing")</f>
        <v>Found</v>
      </c>
      <c r="C61" t="str">
        <f>IF(COUNTIF(Constituency_Level_Data!$A:$A,B61)&gt;0,"Found","Missing")</f>
        <v>Missing</v>
      </c>
      <c r="D61" t="str">
        <f t="shared" si="0"/>
        <v>Natore-3</v>
      </c>
    </row>
    <row r="62" spans="1:4">
      <c r="A62" s="3" t="s">
        <v>188</v>
      </c>
      <c r="B62" t="str">
        <f>IF(COUNTIF(Constituency_Level_Data!$A:$A,A62)&gt;0,"Found","Missing")</f>
        <v>Found</v>
      </c>
      <c r="C62" t="str">
        <f>IF(COUNTIF(Constituency_Level_Data!$A:$A,B62)&gt;0,"Found","Missing")</f>
        <v>Missing</v>
      </c>
      <c r="D62" t="str">
        <f t="shared" si="0"/>
        <v>Natore-4</v>
      </c>
    </row>
    <row r="63" spans="1:4">
      <c r="A63" s="2" t="s">
        <v>190</v>
      </c>
      <c r="B63" t="str">
        <f>IF(COUNTIF(Constituency_Level_Data!$A:$A,A63)&gt;0,"Found","Missing")</f>
        <v>Found</v>
      </c>
      <c r="C63" t="str">
        <f>IF(COUNTIF(Constituency_Level_Data!$A:$A,B63)&gt;0,"Found","Missing")</f>
        <v>Missing</v>
      </c>
      <c r="D63" t="str">
        <f t="shared" si="0"/>
        <v>Sirajganj-1</v>
      </c>
    </row>
    <row r="64" spans="1:4">
      <c r="A64" s="3" t="s">
        <v>193</v>
      </c>
      <c r="B64" t="str">
        <f>IF(COUNTIF(Constituency_Level_Data!$A:$A,A64)&gt;0,"Found","Missing")</f>
        <v>Found</v>
      </c>
      <c r="C64" t="str">
        <f>IF(COUNTIF(Constituency_Level_Data!$A:$A,B64)&gt;0,"Found","Missing")</f>
        <v>Missing</v>
      </c>
      <c r="D64" t="str">
        <f t="shared" si="0"/>
        <v>Sirajganj-2</v>
      </c>
    </row>
    <row r="65" spans="1:4">
      <c r="A65" s="2" t="s">
        <v>196</v>
      </c>
      <c r="B65" t="str">
        <f>IF(COUNTIF(Constituency_Level_Data!$A:$A,A65)&gt;0,"Found","Missing")</f>
        <v>Found</v>
      </c>
      <c r="C65" t="str">
        <f>IF(COUNTIF(Constituency_Level_Data!$A:$A,B65)&gt;0,"Found","Missing")</f>
        <v>Missing</v>
      </c>
      <c r="D65" t="str">
        <f t="shared" si="0"/>
        <v>Sirajganj-3</v>
      </c>
    </row>
    <row r="66" spans="1:4">
      <c r="A66" s="3" t="s">
        <v>200</v>
      </c>
      <c r="B66" t="str">
        <f>IF(COUNTIF(Constituency_Level_Data!$A:$A,A66)&gt;0,"Found","Missing")</f>
        <v>Found</v>
      </c>
      <c r="C66" t="str">
        <f>IF(COUNTIF(Constituency_Level_Data!$A:$A,B66)&gt;0,"Found","Missing")</f>
        <v>Missing</v>
      </c>
      <c r="D66" t="str">
        <f t="shared" si="0"/>
        <v>Sirajganj-4</v>
      </c>
    </row>
    <row r="67" spans="1:4">
      <c r="A67" s="2" t="s">
        <v>203</v>
      </c>
      <c r="B67" t="str">
        <f>IF(COUNTIF(Constituency_Level_Data!$A:$A,A67)&gt;0,"Found","Missing")</f>
        <v>Found</v>
      </c>
      <c r="C67" t="str">
        <f>IF(COUNTIF(Constituency_Level_Data!$A:$A,B67)&gt;0,"Found","Missing")</f>
        <v>Missing</v>
      </c>
      <c r="D67" t="str">
        <f t="shared" ref="D67:D130" si="1">SUBSTITUTE(SUBSTITUTE(SUBSTITUTE(SUBSTITUTE(TRIM(A67),"Barisal","Barishal"),"Jessore","Jashore"),"Bogra","Bogura"),"Chapai Nawabganj","Chapainawabganj")</f>
        <v>Sirajganj-5</v>
      </c>
    </row>
    <row r="68" spans="1:4">
      <c r="A68" s="3" t="s">
        <v>206</v>
      </c>
      <c r="B68" t="str">
        <f>IF(COUNTIF(Constituency_Level_Data!$A:$A,A68)&gt;0,"Found","Missing")</f>
        <v>Found</v>
      </c>
      <c r="C68" t="str">
        <f>IF(COUNTIF(Constituency_Level_Data!$A:$A,B68)&gt;0,"Found","Missing")</f>
        <v>Missing</v>
      </c>
      <c r="D68" t="str">
        <f t="shared" si="1"/>
        <v>Sirajganj-6</v>
      </c>
    </row>
    <row r="69" spans="1:4">
      <c r="A69" s="2" t="s">
        <v>209</v>
      </c>
      <c r="B69" t="str">
        <f>IF(COUNTIF(Constituency_Level_Data!$A:$A,A69)&gt;0,"Found","Missing")</f>
        <v>Found</v>
      </c>
      <c r="C69" t="str">
        <f>IF(COUNTIF(Constituency_Level_Data!$A:$A,B69)&gt;0,"Found","Missing")</f>
        <v>Missing</v>
      </c>
      <c r="D69" t="str">
        <f t="shared" si="1"/>
        <v>Pabna-1</v>
      </c>
    </row>
    <row r="70" spans="1:4">
      <c r="A70" s="3" t="s">
        <v>212</v>
      </c>
      <c r="B70" t="str">
        <f>IF(COUNTIF(Constituency_Level_Data!$A:$A,A70)&gt;0,"Found","Missing")</f>
        <v>Found</v>
      </c>
      <c r="C70" t="str">
        <f>IF(COUNTIF(Constituency_Level_Data!$A:$A,B70)&gt;0,"Found","Missing")</f>
        <v>Missing</v>
      </c>
      <c r="D70" t="str">
        <f t="shared" si="1"/>
        <v>Pabna-2</v>
      </c>
    </row>
    <row r="71" spans="1:4">
      <c r="A71" s="2" t="s">
        <v>215</v>
      </c>
      <c r="B71" t="str">
        <f>IF(COUNTIF(Constituency_Level_Data!$A:$A,A71)&gt;0,"Found","Missing")</f>
        <v>Found</v>
      </c>
      <c r="C71" t="str">
        <f>IF(COUNTIF(Constituency_Level_Data!$A:$A,B71)&gt;0,"Found","Missing")</f>
        <v>Missing</v>
      </c>
      <c r="D71" t="str">
        <f t="shared" si="1"/>
        <v>Pabna-3</v>
      </c>
    </row>
    <row r="72" spans="1:4">
      <c r="A72" s="3" t="s">
        <v>218</v>
      </c>
      <c r="B72" t="str">
        <f>IF(COUNTIF(Constituency_Level_Data!$A:$A,A72)&gt;0,"Found","Missing")</f>
        <v>Found</v>
      </c>
      <c r="C72" t="str">
        <f>IF(COUNTIF(Constituency_Level_Data!$A:$A,B72)&gt;0,"Found","Missing")</f>
        <v>Missing</v>
      </c>
      <c r="D72" t="str">
        <f t="shared" si="1"/>
        <v>Pabna-4</v>
      </c>
    </row>
    <row r="73" spans="1:4">
      <c r="A73" s="2" t="s">
        <v>221</v>
      </c>
      <c r="B73" t="str">
        <f>IF(COUNTIF(Constituency_Level_Data!$A:$A,A73)&gt;0,"Found","Missing")</f>
        <v>Found</v>
      </c>
      <c r="C73" t="str">
        <f>IF(COUNTIF(Constituency_Level_Data!$A:$A,B73)&gt;0,"Found","Missing")</f>
        <v>Missing</v>
      </c>
      <c r="D73" t="str">
        <f t="shared" si="1"/>
        <v>Pabna-5</v>
      </c>
    </row>
    <row r="74" spans="1:4">
      <c r="A74" s="3" t="s">
        <v>225</v>
      </c>
      <c r="B74" t="str">
        <f>IF(COUNTIF(Constituency_Level_Data!$A:$A,A74)&gt;0,"Found","Missing")</f>
        <v>Found</v>
      </c>
      <c r="C74" t="str">
        <f>IF(COUNTIF(Constituency_Level_Data!$A:$A,B74)&gt;0,"Found","Missing")</f>
        <v>Missing</v>
      </c>
      <c r="D74" t="str">
        <f t="shared" si="1"/>
        <v>Meherpur-1</v>
      </c>
    </row>
    <row r="75" spans="1:4">
      <c r="A75" s="2" t="s">
        <v>228</v>
      </c>
      <c r="B75" t="str">
        <f>IF(COUNTIF(Constituency_Level_Data!$A:$A,A75)&gt;0,"Found","Missing")</f>
        <v>Found</v>
      </c>
      <c r="C75" t="str">
        <f>IF(COUNTIF(Constituency_Level_Data!$A:$A,B75)&gt;0,"Found","Missing")</f>
        <v>Missing</v>
      </c>
      <c r="D75" t="str">
        <f t="shared" si="1"/>
        <v>Meherpur-2</v>
      </c>
    </row>
    <row r="76" spans="1:4">
      <c r="A76" s="3" t="s">
        <v>231</v>
      </c>
      <c r="B76" t="str">
        <f>IF(COUNTIF(Constituency_Level_Data!$A:$A,A76)&gt;0,"Found","Missing")</f>
        <v>Found</v>
      </c>
      <c r="C76" t="str">
        <f>IF(COUNTIF(Constituency_Level_Data!$A:$A,B76)&gt;0,"Found","Missing")</f>
        <v>Missing</v>
      </c>
      <c r="D76" t="str">
        <f t="shared" si="1"/>
        <v>Kushtia-1</v>
      </c>
    </row>
    <row r="77" spans="1:4">
      <c r="A77" s="2" t="s">
        <v>234</v>
      </c>
      <c r="B77" t="str">
        <f>IF(COUNTIF(Constituency_Level_Data!$A:$A,A77)&gt;0,"Found","Missing")</f>
        <v>Found</v>
      </c>
      <c r="C77" t="str">
        <f>IF(COUNTIF(Constituency_Level_Data!$A:$A,B77)&gt;0,"Found","Missing")</f>
        <v>Missing</v>
      </c>
      <c r="D77" t="str">
        <f t="shared" si="1"/>
        <v>Kushtia-2</v>
      </c>
    </row>
    <row r="78" spans="1:4">
      <c r="A78" s="3" t="s">
        <v>237</v>
      </c>
      <c r="B78" t="str">
        <f>IF(COUNTIF(Constituency_Level_Data!$A:$A,A78)&gt;0,"Found","Missing")</f>
        <v>Found</v>
      </c>
      <c r="C78" t="str">
        <f>IF(COUNTIF(Constituency_Level_Data!$A:$A,B78)&gt;0,"Found","Missing")</f>
        <v>Missing</v>
      </c>
      <c r="D78" t="str">
        <f t="shared" si="1"/>
        <v>Kushtia-3</v>
      </c>
    </row>
    <row r="79" spans="1:4">
      <c r="A79" s="2" t="s">
        <v>240</v>
      </c>
      <c r="B79" t="str">
        <f>IF(COUNTIF(Constituency_Level_Data!$A:$A,A79)&gt;0,"Found","Missing")</f>
        <v>Found</v>
      </c>
      <c r="C79" t="str">
        <f>IF(COUNTIF(Constituency_Level_Data!$A:$A,B79)&gt;0,"Found","Missing")</f>
        <v>Missing</v>
      </c>
      <c r="D79" t="str">
        <f t="shared" si="1"/>
        <v>Kushtia-4</v>
      </c>
    </row>
    <row r="80" spans="1:4">
      <c r="A80" s="3" t="s">
        <v>243</v>
      </c>
      <c r="B80" t="str">
        <f>IF(COUNTIF(Constituency_Level_Data!$A:$A,A80)&gt;0,"Found","Missing")</f>
        <v>Found</v>
      </c>
      <c r="C80" t="str">
        <f>IF(COUNTIF(Constituency_Level_Data!$A:$A,B80)&gt;0,"Found","Missing")</f>
        <v>Missing</v>
      </c>
      <c r="D80" t="str">
        <f t="shared" si="1"/>
        <v>Chuadanga-1</v>
      </c>
    </row>
    <row r="81" spans="1:4">
      <c r="A81" s="2" t="s">
        <v>246</v>
      </c>
      <c r="B81" t="str">
        <f>IF(COUNTIF(Constituency_Level_Data!$A:$A,A81)&gt;0,"Found","Missing")</f>
        <v>Found</v>
      </c>
      <c r="C81" t="str">
        <f>IF(COUNTIF(Constituency_Level_Data!$A:$A,B81)&gt;0,"Found","Missing")</f>
        <v>Missing</v>
      </c>
      <c r="D81" t="str">
        <f t="shared" si="1"/>
        <v>Chuadanga-2</v>
      </c>
    </row>
    <row r="82" spans="1:4">
      <c r="A82" s="3" t="s">
        <v>249</v>
      </c>
      <c r="B82" t="str">
        <f>IF(COUNTIF(Constituency_Level_Data!$A:$A,A82)&gt;0,"Found","Missing")</f>
        <v>Found</v>
      </c>
      <c r="C82" t="str">
        <f>IF(COUNTIF(Constituency_Level_Data!$A:$A,B82)&gt;0,"Found","Missing")</f>
        <v>Missing</v>
      </c>
      <c r="D82" t="str">
        <f t="shared" si="1"/>
        <v>Jhenaidah-1</v>
      </c>
    </row>
    <row r="83" spans="1:4">
      <c r="A83" s="2" t="s">
        <v>252</v>
      </c>
      <c r="B83" t="str">
        <f>IF(COUNTIF(Constituency_Level_Data!$A:$A,A83)&gt;0,"Found","Missing")</f>
        <v>Found</v>
      </c>
      <c r="C83" t="str">
        <f>IF(COUNTIF(Constituency_Level_Data!$A:$A,B83)&gt;0,"Found","Missing")</f>
        <v>Missing</v>
      </c>
      <c r="D83" t="str">
        <f t="shared" si="1"/>
        <v>Jhenaidah-2</v>
      </c>
    </row>
    <row r="84" spans="1:4">
      <c r="A84" s="3" t="s">
        <v>255</v>
      </c>
      <c r="B84" t="str">
        <f>IF(COUNTIF(Constituency_Level_Data!$A:$A,A84)&gt;0,"Found","Missing")</f>
        <v>Found</v>
      </c>
      <c r="C84" t="str">
        <f>IF(COUNTIF(Constituency_Level_Data!$A:$A,B84)&gt;0,"Found","Missing")</f>
        <v>Missing</v>
      </c>
      <c r="D84" t="str">
        <f t="shared" si="1"/>
        <v>Jhenaidah-3</v>
      </c>
    </row>
    <row r="85" spans="1:4">
      <c r="A85" s="2" t="s">
        <v>258</v>
      </c>
      <c r="B85" t="str">
        <f>IF(COUNTIF(Constituency_Level_Data!$A:$A,A85)&gt;0,"Found","Missing")</f>
        <v>Found</v>
      </c>
      <c r="C85" t="str">
        <f>IF(COUNTIF(Constituency_Level_Data!$A:$A,B85)&gt;0,"Found","Missing")</f>
        <v>Missing</v>
      </c>
      <c r="D85" t="str">
        <f t="shared" si="1"/>
        <v>Jhenaidah-4</v>
      </c>
    </row>
    <row r="86" spans="1:4">
      <c r="A86" s="3" t="s">
        <v>261</v>
      </c>
      <c r="B86" t="str">
        <f>IF(COUNTIF(Constituency_Level_Data!$A:$A,A86)&gt;0,"Found","Missing")</f>
        <v>Missing</v>
      </c>
      <c r="C86" t="str">
        <f>IF(COUNTIF(Constituency_Level_Data!$A:$A,B86)&gt;0,"Found","Missing")</f>
        <v>Missing</v>
      </c>
      <c r="D86" t="str">
        <f t="shared" si="1"/>
        <v>Jashore-1</v>
      </c>
    </row>
    <row r="87" spans="1:4">
      <c r="A87" s="2" t="s">
        <v>264</v>
      </c>
      <c r="B87" t="str">
        <f>IF(COUNTIF(Constituency_Level_Data!$A:$A,A87)&gt;0,"Found","Missing")</f>
        <v>Missing</v>
      </c>
      <c r="C87" t="str">
        <f>IF(COUNTIF(Constituency_Level_Data!$A:$A,B87)&gt;0,"Found","Missing")</f>
        <v>Missing</v>
      </c>
      <c r="D87" t="str">
        <f t="shared" si="1"/>
        <v>Jashore-2</v>
      </c>
    </row>
    <row r="88" spans="1:4">
      <c r="A88" s="3" t="s">
        <v>267</v>
      </c>
      <c r="B88" t="str">
        <f>IF(COUNTIF(Constituency_Level_Data!$A:$A,A88)&gt;0,"Found","Missing")</f>
        <v>Missing</v>
      </c>
      <c r="C88" t="str">
        <f>IF(COUNTIF(Constituency_Level_Data!$A:$A,B88)&gt;0,"Found","Missing")</f>
        <v>Missing</v>
      </c>
      <c r="D88" t="str">
        <f t="shared" si="1"/>
        <v>Jashore-3</v>
      </c>
    </row>
    <row r="89" spans="1:4">
      <c r="A89" s="2" t="s">
        <v>270</v>
      </c>
      <c r="B89" t="str">
        <f>IF(COUNTIF(Constituency_Level_Data!$A:$A,A89)&gt;0,"Found","Missing")</f>
        <v>Missing</v>
      </c>
      <c r="C89" t="str">
        <f>IF(COUNTIF(Constituency_Level_Data!$A:$A,B89)&gt;0,"Found","Missing")</f>
        <v>Missing</v>
      </c>
      <c r="D89" t="str">
        <f t="shared" si="1"/>
        <v>Jashore-4</v>
      </c>
    </row>
    <row r="90" spans="1:4">
      <c r="A90" s="3" t="s">
        <v>273</v>
      </c>
      <c r="B90" t="str">
        <f>IF(COUNTIF(Constituency_Level_Data!$A:$A,A90)&gt;0,"Found","Missing")</f>
        <v>Missing</v>
      </c>
      <c r="C90" t="str">
        <f>IF(COUNTIF(Constituency_Level_Data!$A:$A,B90)&gt;0,"Found","Missing")</f>
        <v>Missing</v>
      </c>
      <c r="D90" t="str">
        <f t="shared" si="1"/>
        <v>Jashore-5</v>
      </c>
    </row>
    <row r="91" spans="1:4">
      <c r="A91" s="2" t="s">
        <v>276</v>
      </c>
      <c r="B91" t="str">
        <f>IF(COUNTIF(Constituency_Level_Data!$A:$A,A91)&gt;0,"Found","Missing")</f>
        <v>Missing</v>
      </c>
      <c r="C91" t="str">
        <f>IF(COUNTIF(Constituency_Level_Data!$A:$A,B91)&gt;0,"Found","Missing")</f>
        <v>Missing</v>
      </c>
      <c r="D91" t="str">
        <f t="shared" si="1"/>
        <v>Jashore-6</v>
      </c>
    </row>
    <row r="92" spans="1:4">
      <c r="A92" s="3" t="s">
        <v>279</v>
      </c>
      <c r="B92" t="str">
        <f>IF(COUNTIF(Constituency_Level_Data!$A:$A,A92)&gt;0,"Found","Missing")</f>
        <v>Found</v>
      </c>
      <c r="C92" t="str">
        <f>IF(COUNTIF(Constituency_Level_Data!$A:$A,B92)&gt;0,"Found","Missing")</f>
        <v>Missing</v>
      </c>
      <c r="D92" t="str">
        <f t="shared" si="1"/>
        <v>Magura-1</v>
      </c>
    </row>
    <row r="93" spans="1:4">
      <c r="A93" s="2" t="s">
        <v>282</v>
      </c>
      <c r="B93" t="str">
        <f>IF(COUNTIF(Constituency_Level_Data!$A:$A,A93)&gt;0,"Found","Missing")</f>
        <v>Found</v>
      </c>
      <c r="C93" t="str">
        <f>IF(COUNTIF(Constituency_Level_Data!$A:$A,B93)&gt;0,"Found","Missing")</f>
        <v>Missing</v>
      </c>
      <c r="D93" t="str">
        <f t="shared" si="1"/>
        <v>Magura-2</v>
      </c>
    </row>
    <row r="94" spans="1:4">
      <c r="A94" s="3" t="s">
        <v>285</v>
      </c>
      <c r="B94" t="str">
        <f>IF(COUNTIF(Constituency_Level_Data!$A:$A,A94)&gt;0,"Found","Missing")</f>
        <v>Found</v>
      </c>
      <c r="C94" t="str">
        <f>IF(COUNTIF(Constituency_Level_Data!$A:$A,B94)&gt;0,"Found","Missing")</f>
        <v>Missing</v>
      </c>
      <c r="D94" t="str">
        <f t="shared" si="1"/>
        <v>Narail-1</v>
      </c>
    </row>
    <row r="95" spans="1:4">
      <c r="A95" s="2" t="s">
        <v>288</v>
      </c>
      <c r="B95" t="str">
        <f>IF(COUNTIF(Constituency_Level_Data!$A:$A,A95)&gt;0,"Found","Missing")</f>
        <v>Found</v>
      </c>
      <c r="C95" t="str">
        <f>IF(COUNTIF(Constituency_Level_Data!$A:$A,B95)&gt;0,"Found","Missing")</f>
        <v>Missing</v>
      </c>
      <c r="D95" t="str">
        <f t="shared" si="1"/>
        <v>Narail-2</v>
      </c>
    </row>
    <row r="96" spans="1:4">
      <c r="A96" s="3" t="s">
        <v>291</v>
      </c>
      <c r="B96" t="str">
        <f>IF(COUNTIF(Constituency_Level_Data!$A:$A,A96)&gt;0,"Found","Missing")</f>
        <v>Found</v>
      </c>
      <c r="C96" t="str">
        <f>IF(COUNTIF(Constituency_Level_Data!$A:$A,B96)&gt;0,"Found","Missing")</f>
        <v>Missing</v>
      </c>
      <c r="D96" t="str">
        <f t="shared" si="1"/>
        <v>Bagerhat-1</v>
      </c>
    </row>
    <row r="97" spans="1:4">
      <c r="A97" s="2" t="s">
        <v>294</v>
      </c>
      <c r="B97" t="str">
        <f>IF(COUNTIF(Constituency_Level_Data!$A:$A,A97)&gt;0,"Found","Missing")</f>
        <v>Found</v>
      </c>
      <c r="C97" t="str">
        <f>IF(COUNTIF(Constituency_Level_Data!$A:$A,B97)&gt;0,"Found","Missing")</f>
        <v>Missing</v>
      </c>
      <c r="D97" t="str">
        <f t="shared" si="1"/>
        <v>Bagerhat-2</v>
      </c>
    </row>
    <row r="98" spans="1:4">
      <c r="A98" s="3" t="s">
        <v>297</v>
      </c>
      <c r="B98" t="str">
        <f>IF(COUNTIF(Constituency_Level_Data!$A:$A,A98)&gt;0,"Found","Missing")</f>
        <v>Found</v>
      </c>
      <c r="C98" t="str">
        <f>IF(COUNTIF(Constituency_Level_Data!$A:$A,B98)&gt;0,"Found","Missing")</f>
        <v>Missing</v>
      </c>
      <c r="D98" t="str">
        <f t="shared" si="1"/>
        <v>Bagerhat-3</v>
      </c>
    </row>
    <row r="99" spans="1:4">
      <c r="A99" s="2" t="s">
        <v>300</v>
      </c>
      <c r="B99" t="str">
        <f>IF(COUNTIF(Constituency_Level_Data!$A:$A,A99)&gt;0,"Found","Missing")</f>
        <v>Found</v>
      </c>
      <c r="C99" t="str">
        <f>IF(COUNTIF(Constituency_Level_Data!$A:$A,B99)&gt;0,"Found","Missing")</f>
        <v>Missing</v>
      </c>
      <c r="D99" t="str">
        <f t="shared" si="1"/>
        <v>Bagerhat-4</v>
      </c>
    </row>
    <row r="100" spans="1:4">
      <c r="A100" s="3" t="s">
        <v>303</v>
      </c>
      <c r="B100" t="str">
        <f>IF(COUNTIF(Constituency_Level_Data!$A:$A,A100)&gt;0,"Found","Missing")</f>
        <v>Found</v>
      </c>
      <c r="C100" t="str">
        <f>IF(COUNTIF(Constituency_Level_Data!$A:$A,B100)&gt;0,"Found","Missing")</f>
        <v>Missing</v>
      </c>
      <c r="D100" t="str">
        <f t="shared" si="1"/>
        <v>Khulna-1</v>
      </c>
    </row>
    <row r="101" spans="1:4">
      <c r="A101" s="2" t="s">
        <v>306</v>
      </c>
      <c r="B101" t="str">
        <f>IF(COUNTIF(Constituency_Level_Data!$A:$A,A101)&gt;0,"Found","Missing")</f>
        <v>Found</v>
      </c>
      <c r="C101" t="str">
        <f>IF(COUNTIF(Constituency_Level_Data!$A:$A,B101)&gt;0,"Found","Missing")</f>
        <v>Missing</v>
      </c>
      <c r="D101" t="str">
        <f t="shared" si="1"/>
        <v>Khulna-2</v>
      </c>
    </row>
    <row r="102" spans="1:4">
      <c r="A102" s="3" t="s">
        <v>309</v>
      </c>
      <c r="B102" t="str">
        <f>IF(COUNTIF(Constituency_Level_Data!$A:$A,A102)&gt;0,"Found","Missing")</f>
        <v>Found</v>
      </c>
      <c r="C102" t="str">
        <f>IF(COUNTIF(Constituency_Level_Data!$A:$A,B102)&gt;0,"Found","Missing")</f>
        <v>Missing</v>
      </c>
      <c r="D102" t="str">
        <f t="shared" si="1"/>
        <v>Khulna-3</v>
      </c>
    </row>
    <row r="103" spans="1:4">
      <c r="A103" s="2" t="s">
        <v>312</v>
      </c>
      <c r="B103" t="str">
        <f>IF(COUNTIF(Constituency_Level_Data!$A:$A,A103)&gt;0,"Found","Missing")</f>
        <v>Found</v>
      </c>
      <c r="C103" t="str">
        <f>IF(COUNTIF(Constituency_Level_Data!$A:$A,B103)&gt;0,"Found","Missing")</f>
        <v>Missing</v>
      </c>
      <c r="D103" t="str">
        <f t="shared" si="1"/>
        <v>Khulna-4</v>
      </c>
    </row>
    <row r="104" spans="1:4">
      <c r="A104" s="3" t="s">
        <v>316</v>
      </c>
      <c r="B104" t="str">
        <f>IF(COUNTIF(Constituency_Level_Data!$A:$A,A104)&gt;0,"Found","Missing")</f>
        <v>Found</v>
      </c>
      <c r="C104" t="str">
        <f>IF(COUNTIF(Constituency_Level_Data!$A:$A,B104)&gt;0,"Found","Missing")</f>
        <v>Missing</v>
      </c>
      <c r="D104" t="str">
        <f t="shared" si="1"/>
        <v>Khulna-5</v>
      </c>
    </row>
    <row r="105" spans="1:4">
      <c r="A105" s="2" t="s">
        <v>319</v>
      </c>
      <c r="B105" t="str">
        <f>IF(COUNTIF(Constituency_Level_Data!$A:$A,A105)&gt;0,"Found","Missing")</f>
        <v>Found</v>
      </c>
      <c r="C105" t="str">
        <f>IF(COUNTIF(Constituency_Level_Data!$A:$A,B105)&gt;0,"Found","Missing")</f>
        <v>Missing</v>
      </c>
      <c r="D105" t="str">
        <f t="shared" si="1"/>
        <v>Khulna-6</v>
      </c>
    </row>
    <row r="106" spans="1:4">
      <c r="A106" s="3" t="s">
        <v>322</v>
      </c>
      <c r="B106" t="str">
        <f>IF(COUNTIF(Constituency_Level_Data!$A:$A,A106)&gt;0,"Found","Missing")</f>
        <v>Found</v>
      </c>
      <c r="C106" t="str">
        <f>IF(COUNTIF(Constituency_Level_Data!$A:$A,B106)&gt;0,"Found","Missing")</f>
        <v>Missing</v>
      </c>
      <c r="D106" t="str">
        <f t="shared" si="1"/>
        <v>Satkhira-1</v>
      </c>
    </row>
    <row r="107" spans="1:4">
      <c r="A107" s="2" t="s">
        <v>325</v>
      </c>
      <c r="B107" t="str">
        <f>IF(COUNTIF(Constituency_Level_Data!$A:$A,A107)&gt;0,"Found","Missing")</f>
        <v>Found</v>
      </c>
      <c r="C107" t="str">
        <f>IF(COUNTIF(Constituency_Level_Data!$A:$A,B107)&gt;0,"Found","Missing")</f>
        <v>Missing</v>
      </c>
      <c r="D107" t="str">
        <f t="shared" si="1"/>
        <v>Satkhira-2</v>
      </c>
    </row>
    <row r="108" spans="1:4">
      <c r="A108" s="3" t="s">
        <v>328</v>
      </c>
      <c r="B108" t="str">
        <f>IF(COUNTIF(Constituency_Level_Data!$A:$A,A108)&gt;0,"Found","Missing")</f>
        <v>Found</v>
      </c>
      <c r="C108" t="str">
        <f>IF(COUNTIF(Constituency_Level_Data!$A:$A,B108)&gt;0,"Found","Missing")</f>
        <v>Missing</v>
      </c>
      <c r="D108" t="str">
        <f t="shared" si="1"/>
        <v>Satkhira-3</v>
      </c>
    </row>
    <row r="109" spans="1:4">
      <c r="A109" s="2" t="s">
        <v>331</v>
      </c>
      <c r="B109" t="str">
        <f>IF(COUNTIF(Constituency_Level_Data!$A:$A,A109)&gt;0,"Found","Missing")</f>
        <v>Found</v>
      </c>
      <c r="C109" t="str">
        <f>IF(COUNTIF(Constituency_Level_Data!$A:$A,B109)&gt;0,"Found","Missing")</f>
        <v>Missing</v>
      </c>
      <c r="D109" t="str">
        <f t="shared" si="1"/>
        <v>Satkhira-4</v>
      </c>
    </row>
    <row r="110" spans="1:4">
      <c r="A110" s="3" t="s">
        <v>335</v>
      </c>
      <c r="B110" t="str">
        <f>IF(COUNTIF(Constituency_Level_Data!$A:$A,A110)&gt;0,"Found","Missing")</f>
        <v>Found</v>
      </c>
      <c r="C110" t="str">
        <f>IF(COUNTIF(Constituency_Level_Data!$A:$A,B110)&gt;0,"Found","Missing")</f>
        <v>Missing</v>
      </c>
      <c r="D110" t="str">
        <f t="shared" si="1"/>
        <v>Barguna-1</v>
      </c>
    </row>
    <row r="111" spans="1:4">
      <c r="A111" s="2" t="s">
        <v>339</v>
      </c>
      <c r="B111" t="str">
        <f>IF(COUNTIF(Constituency_Level_Data!$A:$A,A111)&gt;0,"Found","Missing")</f>
        <v>Found</v>
      </c>
      <c r="C111" t="str">
        <f>IF(COUNTIF(Constituency_Level_Data!$A:$A,B111)&gt;0,"Found","Missing")</f>
        <v>Missing</v>
      </c>
      <c r="D111" t="str">
        <f t="shared" si="1"/>
        <v>Barguna-2</v>
      </c>
    </row>
    <row r="112" spans="1:4">
      <c r="A112" s="3" t="s">
        <v>342</v>
      </c>
      <c r="B112" t="str">
        <f>IF(COUNTIF(Constituency_Level_Data!$A:$A,A112)&gt;0,"Found","Missing")</f>
        <v>Found</v>
      </c>
      <c r="C112" t="str">
        <f>IF(COUNTIF(Constituency_Level_Data!$A:$A,B112)&gt;0,"Found","Missing")</f>
        <v>Missing</v>
      </c>
      <c r="D112" t="str">
        <f t="shared" si="1"/>
        <v>Patuakhali-1</v>
      </c>
    </row>
    <row r="113" spans="1:4">
      <c r="A113" s="2" t="s">
        <v>345</v>
      </c>
      <c r="B113" t="str">
        <f>IF(COUNTIF(Constituency_Level_Data!$A:$A,A113)&gt;0,"Found","Missing")</f>
        <v>Found</v>
      </c>
      <c r="C113" t="str">
        <f>IF(COUNTIF(Constituency_Level_Data!$A:$A,B113)&gt;0,"Found","Missing")</f>
        <v>Missing</v>
      </c>
      <c r="D113" t="str">
        <f t="shared" si="1"/>
        <v>Patuakhali-2</v>
      </c>
    </row>
    <row r="114" spans="1:4">
      <c r="A114" s="3" t="s">
        <v>348</v>
      </c>
      <c r="B114" t="str">
        <f>IF(COUNTIF(Constituency_Level_Data!$A:$A,A114)&gt;0,"Found","Missing")</f>
        <v>Found</v>
      </c>
      <c r="C114" t="str">
        <f>IF(COUNTIF(Constituency_Level_Data!$A:$A,B114)&gt;0,"Found","Missing")</f>
        <v>Missing</v>
      </c>
      <c r="D114" t="str">
        <f t="shared" si="1"/>
        <v>Patuakhali-3</v>
      </c>
    </row>
    <row r="115" spans="1:4">
      <c r="A115" s="2" t="s">
        <v>352</v>
      </c>
      <c r="B115" t="str">
        <f>IF(COUNTIF(Constituency_Level_Data!$A:$A,A115)&gt;0,"Found","Missing")</f>
        <v>Found</v>
      </c>
      <c r="C115" t="str">
        <f>IF(COUNTIF(Constituency_Level_Data!$A:$A,B115)&gt;0,"Found","Missing")</f>
        <v>Missing</v>
      </c>
      <c r="D115" t="str">
        <f t="shared" si="1"/>
        <v>Patuakhali-4</v>
      </c>
    </row>
    <row r="116" spans="1:4">
      <c r="A116" s="3" t="s">
        <v>355</v>
      </c>
      <c r="B116" t="str">
        <f>IF(COUNTIF(Constituency_Level_Data!$A:$A,A116)&gt;0,"Found","Missing")</f>
        <v>Found</v>
      </c>
      <c r="C116" t="str">
        <f>IF(COUNTIF(Constituency_Level_Data!$A:$A,B116)&gt;0,"Found","Missing")</f>
        <v>Missing</v>
      </c>
      <c r="D116" t="str">
        <f t="shared" si="1"/>
        <v>Bhola-1</v>
      </c>
    </row>
    <row r="117" spans="1:4">
      <c r="A117" s="2" t="s">
        <v>359</v>
      </c>
      <c r="B117" t="str">
        <f>IF(COUNTIF(Constituency_Level_Data!$A:$A,A117)&gt;0,"Found","Missing")</f>
        <v>Found</v>
      </c>
      <c r="C117" t="str">
        <f>IF(COUNTIF(Constituency_Level_Data!$A:$A,B117)&gt;0,"Found","Missing")</f>
        <v>Missing</v>
      </c>
      <c r="D117" t="str">
        <f t="shared" si="1"/>
        <v>Bhola-2</v>
      </c>
    </row>
    <row r="118" spans="1:4">
      <c r="A118" s="3" t="s">
        <v>362</v>
      </c>
      <c r="B118" t="str">
        <f>IF(COUNTIF(Constituency_Level_Data!$A:$A,A118)&gt;0,"Found","Missing")</f>
        <v>Found</v>
      </c>
      <c r="C118" t="str">
        <f>IF(COUNTIF(Constituency_Level_Data!$A:$A,B118)&gt;0,"Found","Missing")</f>
        <v>Missing</v>
      </c>
      <c r="D118" t="str">
        <f t="shared" si="1"/>
        <v>Bhola-3</v>
      </c>
    </row>
    <row r="119" spans="1:4">
      <c r="A119" s="2" t="s">
        <v>366</v>
      </c>
      <c r="B119" t="str">
        <f>IF(COUNTIF(Constituency_Level_Data!$A:$A,A119)&gt;0,"Found","Missing")</f>
        <v>Found</v>
      </c>
      <c r="C119" t="str">
        <f>IF(COUNTIF(Constituency_Level_Data!$A:$A,B119)&gt;0,"Found","Missing")</f>
        <v>Missing</v>
      </c>
      <c r="D119" t="str">
        <f t="shared" si="1"/>
        <v>Bhola-4</v>
      </c>
    </row>
    <row r="120" spans="1:4">
      <c r="A120" s="3" t="s">
        <v>369</v>
      </c>
      <c r="B120" t="str">
        <f>IF(COUNTIF(Constituency_Level_Data!$A:$A,A120)&gt;0,"Found","Missing")</f>
        <v>Missing</v>
      </c>
      <c r="C120" t="str">
        <f>IF(COUNTIF(Constituency_Level_Data!$A:$A,B120)&gt;0,"Found","Missing")</f>
        <v>Missing</v>
      </c>
      <c r="D120" t="str">
        <f t="shared" si="1"/>
        <v>Barishal-1</v>
      </c>
    </row>
    <row r="121" spans="1:4">
      <c r="A121" s="2" t="s">
        <v>372</v>
      </c>
      <c r="B121" t="str">
        <f>IF(COUNTIF(Constituency_Level_Data!$A:$A,A121)&gt;0,"Found","Missing")</f>
        <v>Missing</v>
      </c>
      <c r="C121" t="str">
        <f>IF(COUNTIF(Constituency_Level_Data!$A:$A,B121)&gt;0,"Found","Missing")</f>
        <v>Missing</v>
      </c>
      <c r="D121" t="str">
        <f t="shared" si="1"/>
        <v>Barishal-2</v>
      </c>
    </row>
    <row r="122" spans="1:4">
      <c r="A122" s="3" t="s">
        <v>375</v>
      </c>
      <c r="B122" t="str">
        <f>IF(COUNTIF(Constituency_Level_Data!$A:$A,A122)&gt;0,"Found","Missing")</f>
        <v>Missing</v>
      </c>
      <c r="C122" t="str">
        <f>IF(COUNTIF(Constituency_Level_Data!$A:$A,B122)&gt;0,"Found","Missing")</f>
        <v>Missing</v>
      </c>
      <c r="D122" t="str">
        <f t="shared" si="1"/>
        <v>Barishal-3</v>
      </c>
    </row>
    <row r="123" spans="1:4">
      <c r="A123" s="2" t="s">
        <v>379</v>
      </c>
      <c r="B123" t="str">
        <f>IF(COUNTIF(Constituency_Level_Data!$A:$A,A123)&gt;0,"Found","Missing")</f>
        <v>Missing</v>
      </c>
      <c r="C123" t="str">
        <f>IF(COUNTIF(Constituency_Level_Data!$A:$A,B123)&gt;0,"Found","Missing")</f>
        <v>Missing</v>
      </c>
      <c r="D123" t="str">
        <f t="shared" si="1"/>
        <v>Barishal-4</v>
      </c>
    </row>
    <row r="124" spans="1:4">
      <c r="A124" s="3" t="s">
        <v>382</v>
      </c>
      <c r="B124" t="str">
        <f>IF(COUNTIF(Constituency_Level_Data!$A:$A,A124)&gt;0,"Found","Missing")</f>
        <v>Missing</v>
      </c>
      <c r="C124" t="str">
        <f>IF(COUNTIF(Constituency_Level_Data!$A:$A,B124)&gt;0,"Found","Missing")</f>
        <v>Missing</v>
      </c>
      <c r="D124" t="str">
        <f t="shared" si="1"/>
        <v>Barishal-5</v>
      </c>
    </row>
    <row r="125" spans="1:4">
      <c r="A125" s="2" t="s">
        <v>385</v>
      </c>
      <c r="B125" t="str">
        <f>IF(COUNTIF(Constituency_Level_Data!$A:$A,A125)&gt;0,"Found","Missing")</f>
        <v>Missing</v>
      </c>
      <c r="C125" t="str">
        <f>IF(COUNTIF(Constituency_Level_Data!$A:$A,B125)&gt;0,"Found","Missing")</f>
        <v>Missing</v>
      </c>
      <c r="D125" t="str">
        <f t="shared" si="1"/>
        <v>Barishal-6</v>
      </c>
    </row>
    <row r="126" spans="1:4">
      <c r="A126" s="3" t="s">
        <v>388</v>
      </c>
      <c r="B126" t="str">
        <f>IF(COUNTIF(Constituency_Level_Data!$A:$A,A126)&gt;0,"Found","Missing")</f>
        <v>Found</v>
      </c>
      <c r="C126" t="str">
        <f>IF(COUNTIF(Constituency_Level_Data!$A:$A,B126)&gt;0,"Found","Missing")</f>
        <v>Missing</v>
      </c>
      <c r="D126" t="str">
        <f t="shared" si="1"/>
        <v>Jhalokati-1</v>
      </c>
    </row>
    <row r="127" spans="1:4">
      <c r="A127" s="2" t="s">
        <v>391</v>
      </c>
      <c r="B127" t="str">
        <f>IF(COUNTIF(Constituency_Level_Data!$A:$A,A127)&gt;0,"Found","Missing")</f>
        <v>Found</v>
      </c>
      <c r="C127" t="str">
        <f>IF(COUNTIF(Constituency_Level_Data!$A:$A,B127)&gt;0,"Found","Missing")</f>
        <v>Missing</v>
      </c>
      <c r="D127" t="str">
        <f t="shared" si="1"/>
        <v>Jhalokati-2</v>
      </c>
    </row>
    <row r="128" spans="1:4">
      <c r="A128" s="3" t="s">
        <v>394</v>
      </c>
      <c r="B128" t="str">
        <f>IF(COUNTIF(Constituency_Level_Data!$A:$A,A128)&gt;0,"Found","Missing")</f>
        <v>Found</v>
      </c>
      <c r="C128" t="str">
        <f>IF(COUNTIF(Constituency_Level_Data!$A:$A,B128)&gt;0,"Found","Missing")</f>
        <v>Missing</v>
      </c>
      <c r="D128" t="str">
        <f t="shared" si="1"/>
        <v>Pirojpur-1</v>
      </c>
    </row>
    <row r="129" spans="1:4">
      <c r="A129" s="2" t="s">
        <v>397</v>
      </c>
      <c r="B129" t="str">
        <f>IF(COUNTIF(Constituency_Level_Data!$A:$A,A129)&gt;0,"Found","Missing")</f>
        <v>Found</v>
      </c>
      <c r="C129" t="str">
        <f>IF(COUNTIF(Constituency_Level_Data!$A:$A,B129)&gt;0,"Found","Missing")</f>
        <v>Missing</v>
      </c>
      <c r="D129" t="str">
        <f t="shared" si="1"/>
        <v>Pirojpur-2</v>
      </c>
    </row>
    <row r="130" spans="1:4">
      <c r="A130" s="3" t="s">
        <v>400</v>
      </c>
      <c r="B130" t="str">
        <f>IF(COUNTIF(Constituency_Level_Data!$A:$A,A130)&gt;0,"Found","Missing")</f>
        <v>Found</v>
      </c>
      <c r="C130" t="str">
        <f>IF(COUNTIF(Constituency_Level_Data!$A:$A,B130)&gt;0,"Found","Missing")</f>
        <v>Missing</v>
      </c>
      <c r="D130" t="str">
        <f t="shared" si="1"/>
        <v>Pirojpur-3</v>
      </c>
    </row>
    <row r="131" spans="1:4">
      <c r="A131" s="2" t="s">
        <v>404</v>
      </c>
      <c r="B131" t="str">
        <f>IF(COUNTIF(Constituency_Level_Data!$A:$A,A131)&gt;0,"Found","Missing")</f>
        <v>Found</v>
      </c>
      <c r="C131" t="str">
        <f>IF(COUNTIF(Constituency_Level_Data!$A:$A,B131)&gt;0,"Found","Missing")</f>
        <v>Missing</v>
      </c>
      <c r="D131" t="str">
        <f t="shared" ref="D131:D194" si="2">SUBSTITUTE(SUBSTITUTE(SUBSTITUTE(SUBSTITUTE(TRIM(A131),"Barisal","Barishal"),"Jessore","Jashore"),"Bogra","Bogura"),"Chapai Nawabganj","Chapainawabganj")</f>
        <v>Jamalpur-1</v>
      </c>
    </row>
    <row r="132" spans="1:4">
      <c r="A132" s="3" t="s">
        <v>407</v>
      </c>
      <c r="B132" t="str">
        <f>IF(COUNTIF(Constituency_Level_Data!$A:$A,A132)&gt;0,"Found","Missing")</f>
        <v>Found</v>
      </c>
      <c r="C132" t="str">
        <f>IF(COUNTIF(Constituency_Level_Data!$A:$A,B132)&gt;0,"Found","Missing")</f>
        <v>Missing</v>
      </c>
      <c r="D132" t="str">
        <f t="shared" si="2"/>
        <v>Jamalpur-2</v>
      </c>
    </row>
    <row r="133" spans="1:4">
      <c r="A133" s="2" t="s">
        <v>410</v>
      </c>
      <c r="B133" t="str">
        <f>IF(COUNTIF(Constituency_Level_Data!$A:$A,A133)&gt;0,"Found","Missing")</f>
        <v>Found</v>
      </c>
      <c r="C133" t="str">
        <f>IF(COUNTIF(Constituency_Level_Data!$A:$A,B133)&gt;0,"Found","Missing")</f>
        <v>Missing</v>
      </c>
      <c r="D133" t="str">
        <f t="shared" si="2"/>
        <v>Jamalpur-3</v>
      </c>
    </row>
    <row r="134" spans="1:4">
      <c r="A134" s="3" t="s">
        <v>413</v>
      </c>
      <c r="B134" t="str">
        <f>IF(COUNTIF(Constituency_Level_Data!$A:$A,A134)&gt;0,"Found","Missing")</f>
        <v>Found</v>
      </c>
      <c r="C134" t="str">
        <f>IF(COUNTIF(Constituency_Level_Data!$A:$A,B134)&gt;0,"Found","Missing")</f>
        <v>Missing</v>
      </c>
      <c r="D134" t="str">
        <f t="shared" si="2"/>
        <v>Jamalpur-4</v>
      </c>
    </row>
    <row r="135" spans="1:4">
      <c r="A135" s="2" t="s">
        <v>416</v>
      </c>
      <c r="B135" t="str">
        <f>IF(COUNTIF(Constituency_Level_Data!$A:$A,A135)&gt;0,"Found","Missing")</f>
        <v>Found</v>
      </c>
      <c r="C135" t="str">
        <f>IF(COUNTIF(Constituency_Level_Data!$A:$A,B135)&gt;0,"Found","Missing")</f>
        <v>Missing</v>
      </c>
      <c r="D135" t="str">
        <f t="shared" si="2"/>
        <v>Jamalpur-5</v>
      </c>
    </row>
    <row r="136" spans="1:4">
      <c r="A136" s="3" t="s">
        <v>419</v>
      </c>
      <c r="B136" t="str">
        <f>IF(COUNTIF(Constituency_Level_Data!$A:$A,A136)&gt;0,"Found","Missing")</f>
        <v>Found</v>
      </c>
      <c r="C136" t="str">
        <f>IF(COUNTIF(Constituency_Level_Data!$A:$A,B136)&gt;0,"Found","Missing")</f>
        <v>Missing</v>
      </c>
      <c r="D136" t="str">
        <f t="shared" si="2"/>
        <v>Sherpur-1</v>
      </c>
    </row>
    <row r="137" spans="1:4">
      <c r="A137" s="2" t="s">
        <v>422</v>
      </c>
      <c r="B137" t="str">
        <f>IF(COUNTIF(Constituency_Level_Data!$A:$A,A137)&gt;0,"Found","Missing")</f>
        <v>Found</v>
      </c>
      <c r="C137" t="str">
        <f>IF(COUNTIF(Constituency_Level_Data!$A:$A,B137)&gt;0,"Found","Missing")</f>
        <v>Missing</v>
      </c>
      <c r="D137" t="str">
        <f t="shared" si="2"/>
        <v>Sherpur-2</v>
      </c>
    </row>
    <row r="138" spans="1:4">
      <c r="A138" s="3" t="s">
        <v>425</v>
      </c>
      <c r="B138" t="str">
        <f>IF(COUNTIF(Constituency_Level_Data!$A:$A,A138)&gt;0,"Found","Missing")</f>
        <v>Found</v>
      </c>
      <c r="C138" t="str">
        <f>IF(COUNTIF(Constituency_Level_Data!$A:$A,B138)&gt;0,"Found","Missing")</f>
        <v>Missing</v>
      </c>
      <c r="D138" t="str">
        <f t="shared" si="2"/>
        <v>Sherpur-3</v>
      </c>
    </row>
    <row r="139" spans="1:4">
      <c r="A139" s="2" t="s">
        <v>427</v>
      </c>
      <c r="B139" t="str">
        <f>IF(COUNTIF(Constituency_Level_Data!$A:$A,A139)&gt;0,"Found","Missing")</f>
        <v>Found</v>
      </c>
      <c r="C139" t="str">
        <f>IF(COUNTIF(Constituency_Level_Data!$A:$A,B139)&gt;0,"Found","Missing")</f>
        <v>Missing</v>
      </c>
      <c r="D139" t="str">
        <f t="shared" si="2"/>
        <v>Mymensingh-1</v>
      </c>
    </row>
    <row r="140" spans="1:4">
      <c r="A140" s="3" t="s">
        <v>430</v>
      </c>
      <c r="B140" t="str">
        <f>IF(COUNTIF(Constituency_Level_Data!$A:$A,A140)&gt;0,"Found","Missing")</f>
        <v>Found</v>
      </c>
      <c r="C140" t="str">
        <f>IF(COUNTIF(Constituency_Level_Data!$A:$A,B140)&gt;0,"Found","Missing")</f>
        <v>Missing</v>
      </c>
      <c r="D140" t="str">
        <f t="shared" si="2"/>
        <v>Mymensingh-2</v>
      </c>
    </row>
    <row r="141" spans="1:4">
      <c r="A141" s="2" t="s">
        <v>433</v>
      </c>
      <c r="B141" t="str">
        <f>IF(COUNTIF(Constituency_Level_Data!$A:$A,A141)&gt;0,"Found","Missing")</f>
        <v>Found</v>
      </c>
      <c r="C141" t="str">
        <f>IF(COUNTIF(Constituency_Level_Data!$A:$A,B141)&gt;0,"Found","Missing")</f>
        <v>Missing</v>
      </c>
      <c r="D141" t="str">
        <f t="shared" si="2"/>
        <v>Mymensingh-3</v>
      </c>
    </row>
    <row r="142" spans="1:4">
      <c r="A142" s="3" t="s">
        <v>436</v>
      </c>
      <c r="B142" t="str">
        <f>IF(COUNTIF(Constituency_Level_Data!$A:$A,A142)&gt;0,"Found","Missing")</f>
        <v>Found</v>
      </c>
      <c r="C142" t="str">
        <f>IF(COUNTIF(Constituency_Level_Data!$A:$A,B142)&gt;0,"Found","Missing")</f>
        <v>Missing</v>
      </c>
      <c r="D142" t="str">
        <f t="shared" si="2"/>
        <v>Mymensingh-4</v>
      </c>
    </row>
    <row r="143" spans="1:4">
      <c r="A143" s="2" t="s">
        <v>439</v>
      </c>
      <c r="B143" t="str">
        <f>IF(COUNTIF(Constituency_Level_Data!$A:$A,A143)&gt;0,"Found","Missing")</f>
        <v>Found</v>
      </c>
      <c r="C143" t="str">
        <f>IF(COUNTIF(Constituency_Level_Data!$A:$A,B143)&gt;0,"Found","Missing")</f>
        <v>Missing</v>
      </c>
      <c r="D143" t="str">
        <f t="shared" si="2"/>
        <v>Mymensingh-5</v>
      </c>
    </row>
    <row r="144" spans="1:4">
      <c r="A144" s="3" t="s">
        <v>442</v>
      </c>
      <c r="B144" t="str">
        <f>IF(COUNTIF(Constituency_Level_Data!$A:$A,A144)&gt;0,"Found","Missing")</f>
        <v>Found</v>
      </c>
      <c r="C144" t="str">
        <f>IF(COUNTIF(Constituency_Level_Data!$A:$A,B144)&gt;0,"Found","Missing")</f>
        <v>Missing</v>
      </c>
      <c r="D144" t="str">
        <f t="shared" si="2"/>
        <v>Mymensingh-6</v>
      </c>
    </row>
    <row r="145" spans="1:4">
      <c r="A145" s="2" t="s">
        <v>445</v>
      </c>
      <c r="B145" t="str">
        <f>IF(COUNTIF(Constituency_Level_Data!$A:$A,A145)&gt;0,"Found","Missing")</f>
        <v>Found</v>
      </c>
      <c r="C145" t="str">
        <f>IF(COUNTIF(Constituency_Level_Data!$A:$A,B145)&gt;0,"Found","Missing")</f>
        <v>Missing</v>
      </c>
      <c r="D145" t="str">
        <f t="shared" si="2"/>
        <v>Mymensingh-7</v>
      </c>
    </row>
    <row r="146" spans="1:4">
      <c r="A146" s="3" t="s">
        <v>448</v>
      </c>
      <c r="B146" t="str">
        <f>IF(COUNTIF(Constituency_Level_Data!$A:$A,A146)&gt;0,"Found","Missing")</f>
        <v>Found</v>
      </c>
      <c r="C146" t="str">
        <f>IF(COUNTIF(Constituency_Level_Data!$A:$A,B146)&gt;0,"Found","Missing")</f>
        <v>Missing</v>
      </c>
      <c r="D146" t="str">
        <f t="shared" si="2"/>
        <v>Mymensingh-8</v>
      </c>
    </row>
    <row r="147" spans="1:4">
      <c r="A147" s="2" t="s">
        <v>452</v>
      </c>
      <c r="B147" t="str">
        <f>IF(COUNTIF(Constituency_Level_Data!$A:$A,A147)&gt;0,"Found","Missing")</f>
        <v>Found</v>
      </c>
      <c r="C147" t="str">
        <f>IF(COUNTIF(Constituency_Level_Data!$A:$A,B147)&gt;0,"Found","Missing")</f>
        <v>Missing</v>
      </c>
      <c r="D147" t="str">
        <f t="shared" si="2"/>
        <v>Mymensingh-9</v>
      </c>
    </row>
    <row r="148" spans="1:4">
      <c r="A148" s="3" t="s">
        <v>455</v>
      </c>
      <c r="B148" t="str">
        <f>IF(COUNTIF(Constituency_Level_Data!$A:$A,A148)&gt;0,"Found","Missing")</f>
        <v>Found</v>
      </c>
      <c r="C148" t="str">
        <f>IF(COUNTIF(Constituency_Level_Data!$A:$A,B148)&gt;0,"Found","Missing")</f>
        <v>Missing</v>
      </c>
      <c r="D148" t="str">
        <f t="shared" si="2"/>
        <v>Mymensingh-10</v>
      </c>
    </row>
    <row r="149" spans="1:4">
      <c r="A149" s="2" t="s">
        <v>458</v>
      </c>
      <c r="B149" t="str">
        <f>IF(COUNTIF(Constituency_Level_Data!$A:$A,A149)&gt;0,"Found","Missing")</f>
        <v>Found</v>
      </c>
      <c r="C149" t="str">
        <f>IF(COUNTIF(Constituency_Level_Data!$A:$A,B149)&gt;0,"Found","Missing")</f>
        <v>Missing</v>
      </c>
      <c r="D149" t="str">
        <f t="shared" si="2"/>
        <v>Mymensingh-11</v>
      </c>
    </row>
    <row r="150" spans="1:4">
      <c r="A150" s="3" t="s">
        <v>461</v>
      </c>
      <c r="B150" t="str">
        <f>IF(COUNTIF(Constituency_Level_Data!$A:$A,A150)&gt;0,"Found","Missing")</f>
        <v>Found</v>
      </c>
      <c r="C150" t="str">
        <f>IF(COUNTIF(Constituency_Level_Data!$A:$A,B150)&gt;0,"Found","Missing")</f>
        <v>Missing</v>
      </c>
      <c r="D150" t="str">
        <f t="shared" si="2"/>
        <v>Netrokona-1</v>
      </c>
    </row>
    <row r="151" spans="1:4">
      <c r="A151" s="2" t="s">
        <v>464</v>
      </c>
      <c r="B151" t="str">
        <f>IF(COUNTIF(Constituency_Level_Data!$A:$A,A151)&gt;0,"Found","Missing")</f>
        <v>Found</v>
      </c>
      <c r="C151" t="str">
        <f>IF(COUNTIF(Constituency_Level_Data!$A:$A,B151)&gt;0,"Found","Missing")</f>
        <v>Missing</v>
      </c>
      <c r="D151" t="str">
        <f t="shared" si="2"/>
        <v>Netrokona-2</v>
      </c>
    </row>
    <row r="152" spans="1:4">
      <c r="A152" s="3" t="s">
        <v>467</v>
      </c>
      <c r="B152" t="str">
        <f>IF(COUNTIF(Constituency_Level_Data!$A:$A,A152)&gt;0,"Found","Missing")</f>
        <v>Found</v>
      </c>
      <c r="C152" t="str">
        <f>IF(COUNTIF(Constituency_Level_Data!$A:$A,B152)&gt;0,"Found","Missing")</f>
        <v>Missing</v>
      </c>
      <c r="D152" t="str">
        <f t="shared" si="2"/>
        <v>Netrokona-3</v>
      </c>
    </row>
    <row r="153" spans="1:4">
      <c r="A153" s="2" t="s">
        <v>470</v>
      </c>
      <c r="B153" t="str">
        <f>IF(COUNTIF(Constituency_Level_Data!$A:$A,A153)&gt;0,"Found","Missing")</f>
        <v>Found</v>
      </c>
      <c r="C153" t="str">
        <f>IF(COUNTIF(Constituency_Level_Data!$A:$A,B153)&gt;0,"Found","Missing")</f>
        <v>Missing</v>
      </c>
      <c r="D153" t="str">
        <f t="shared" si="2"/>
        <v>Netrokona-4</v>
      </c>
    </row>
    <row r="154" spans="1:4">
      <c r="A154" s="3" t="s">
        <v>473</v>
      </c>
      <c r="B154" t="str">
        <f>IF(COUNTIF(Constituency_Level_Data!$A:$A,A154)&gt;0,"Found","Missing")</f>
        <v>Found</v>
      </c>
      <c r="C154" t="str">
        <f>IF(COUNTIF(Constituency_Level_Data!$A:$A,B154)&gt;0,"Found","Missing")</f>
        <v>Missing</v>
      </c>
      <c r="D154" t="str">
        <f t="shared" si="2"/>
        <v>Netrokona-5</v>
      </c>
    </row>
    <row r="155" spans="1:4">
      <c r="A155" s="2" t="s">
        <v>477</v>
      </c>
      <c r="B155" t="str">
        <f>IF(COUNTIF(Constituency_Level_Data!$A:$A,A155)&gt;0,"Found","Missing")</f>
        <v>Found</v>
      </c>
      <c r="C155" t="str">
        <f>IF(COUNTIF(Constituency_Level_Data!$A:$A,B155)&gt;0,"Found","Missing")</f>
        <v>Missing</v>
      </c>
      <c r="D155" t="str">
        <f t="shared" si="2"/>
        <v>Tangail-1</v>
      </c>
    </row>
    <row r="156" spans="1:4">
      <c r="A156" s="3" t="s">
        <v>480</v>
      </c>
      <c r="B156" t="str">
        <f>IF(COUNTIF(Constituency_Level_Data!$A:$A,A156)&gt;0,"Found","Missing")</f>
        <v>Found</v>
      </c>
      <c r="C156" t="str">
        <f>IF(COUNTIF(Constituency_Level_Data!$A:$A,B156)&gt;0,"Found","Missing")</f>
        <v>Missing</v>
      </c>
      <c r="D156" t="str">
        <f t="shared" si="2"/>
        <v>Tangail-2</v>
      </c>
    </row>
    <row r="157" spans="1:4">
      <c r="A157" s="2" t="s">
        <v>483</v>
      </c>
      <c r="B157" t="str">
        <f>IF(COUNTIF(Constituency_Level_Data!$A:$A,A157)&gt;0,"Found","Missing")</f>
        <v>Found</v>
      </c>
      <c r="C157" t="str">
        <f>IF(COUNTIF(Constituency_Level_Data!$A:$A,B157)&gt;0,"Found","Missing")</f>
        <v>Missing</v>
      </c>
      <c r="D157" t="str">
        <f t="shared" si="2"/>
        <v>Tangail-3</v>
      </c>
    </row>
    <row r="158" spans="1:4">
      <c r="A158" s="3" t="s">
        <v>486</v>
      </c>
      <c r="B158" t="str">
        <f>IF(COUNTIF(Constituency_Level_Data!$A:$A,A158)&gt;0,"Found","Missing")</f>
        <v>Found</v>
      </c>
      <c r="C158" t="str">
        <f>IF(COUNTIF(Constituency_Level_Data!$A:$A,B158)&gt;0,"Found","Missing")</f>
        <v>Missing</v>
      </c>
      <c r="D158" t="str">
        <f t="shared" si="2"/>
        <v>Tangail-4</v>
      </c>
    </row>
    <row r="159" spans="1:4">
      <c r="A159" s="2" t="s">
        <v>489</v>
      </c>
      <c r="B159" t="str">
        <f>IF(COUNTIF(Constituency_Level_Data!$A:$A,A159)&gt;0,"Found","Missing")</f>
        <v>Found</v>
      </c>
      <c r="C159" t="str">
        <f>IF(COUNTIF(Constituency_Level_Data!$A:$A,B159)&gt;0,"Found","Missing")</f>
        <v>Missing</v>
      </c>
      <c r="D159" t="str">
        <f t="shared" si="2"/>
        <v>Tangail-5</v>
      </c>
    </row>
    <row r="160" spans="1:4">
      <c r="A160" s="3" t="s">
        <v>492</v>
      </c>
      <c r="B160" t="str">
        <f>IF(COUNTIF(Constituency_Level_Data!$A:$A,A160)&gt;0,"Found","Missing")</f>
        <v>Found</v>
      </c>
      <c r="C160" t="str">
        <f>IF(COUNTIF(Constituency_Level_Data!$A:$A,B160)&gt;0,"Found","Missing")</f>
        <v>Missing</v>
      </c>
      <c r="D160" t="str">
        <f t="shared" si="2"/>
        <v>Tangail-6</v>
      </c>
    </row>
    <row r="161" spans="1:4">
      <c r="A161" s="2" t="s">
        <v>495</v>
      </c>
      <c r="B161" t="str">
        <f>IF(COUNTIF(Constituency_Level_Data!$A:$A,A161)&gt;0,"Found","Missing")</f>
        <v>Found</v>
      </c>
      <c r="C161" t="str">
        <f>IF(COUNTIF(Constituency_Level_Data!$A:$A,B161)&gt;0,"Found","Missing")</f>
        <v>Missing</v>
      </c>
      <c r="D161" t="str">
        <f t="shared" si="2"/>
        <v>Tangail-7</v>
      </c>
    </row>
    <row r="162" spans="1:4">
      <c r="A162" s="3" t="s">
        <v>498</v>
      </c>
      <c r="B162" t="str">
        <f>IF(COUNTIF(Constituency_Level_Data!$A:$A,A162)&gt;0,"Found","Missing")</f>
        <v>Found</v>
      </c>
      <c r="C162" t="str">
        <f>IF(COUNTIF(Constituency_Level_Data!$A:$A,B162)&gt;0,"Found","Missing")</f>
        <v>Missing</v>
      </c>
      <c r="D162" t="str">
        <f t="shared" si="2"/>
        <v>Tangail-8</v>
      </c>
    </row>
    <row r="163" spans="1:4">
      <c r="A163" s="2" t="s">
        <v>501</v>
      </c>
      <c r="B163" t="str">
        <f>IF(COUNTIF(Constituency_Level_Data!$A:$A,A163)&gt;0,"Found","Missing")</f>
        <v>Found</v>
      </c>
      <c r="C163" t="str">
        <f>IF(COUNTIF(Constituency_Level_Data!$A:$A,B163)&gt;0,"Found","Missing")</f>
        <v>Missing</v>
      </c>
      <c r="D163" t="str">
        <f t="shared" si="2"/>
        <v>Kishoreganj-1</v>
      </c>
    </row>
    <row r="164" spans="1:4">
      <c r="A164" s="3" t="s">
        <v>504</v>
      </c>
      <c r="B164" t="str">
        <f>IF(COUNTIF(Constituency_Level_Data!$A:$A,A164)&gt;0,"Found","Missing")</f>
        <v>Found</v>
      </c>
      <c r="C164" t="str">
        <f>IF(COUNTIF(Constituency_Level_Data!$A:$A,B164)&gt;0,"Found","Missing")</f>
        <v>Missing</v>
      </c>
      <c r="D164" t="str">
        <f t="shared" si="2"/>
        <v>Kishoreganj-2</v>
      </c>
    </row>
    <row r="165" spans="1:4">
      <c r="A165" s="2" t="s">
        <v>507</v>
      </c>
      <c r="B165" t="str">
        <f>IF(COUNTIF(Constituency_Level_Data!$A:$A,A165)&gt;0,"Found","Missing")</f>
        <v>Found</v>
      </c>
      <c r="C165" t="str">
        <f>IF(COUNTIF(Constituency_Level_Data!$A:$A,B165)&gt;0,"Found","Missing")</f>
        <v>Missing</v>
      </c>
      <c r="D165" t="str">
        <f t="shared" si="2"/>
        <v>Kishoreganj-3</v>
      </c>
    </row>
    <row r="166" spans="1:4">
      <c r="A166" s="3" t="s">
        <v>510</v>
      </c>
      <c r="B166" t="str">
        <f>IF(COUNTIF(Constituency_Level_Data!$A:$A,A166)&gt;0,"Found","Missing")</f>
        <v>Found</v>
      </c>
      <c r="C166" t="str">
        <f>IF(COUNTIF(Constituency_Level_Data!$A:$A,B166)&gt;0,"Found","Missing")</f>
        <v>Missing</v>
      </c>
      <c r="D166" t="str">
        <f t="shared" si="2"/>
        <v>Kishoreganj-4</v>
      </c>
    </row>
    <row r="167" spans="1:4">
      <c r="A167" s="2" t="s">
        <v>513</v>
      </c>
      <c r="B167" t="str">
        <f>IF(COUNTIF(Constituency_Level_Data!$A:$A,A167)&gt;0,"Found","Missing")</f>
        <v>Found</v>
      </c>
      <c r="C167" t="str">
        <f>IF(COUNTIF(Constituency_Level_Data!$A:$A,B167)&gt;0,"Found","Missing")</f>
        <v>Missing</v>
      </c>
      <c r="D167" t="str">
        <f t="shared" si="2"/>
        <v>Kishoreganj-5</v>
      </c>
    </row>
    <row r="168" spans="1:4">
      <c r="A168" s="3" t="s">
        <v>516</v>
      </c>
      <c r="B168" t="str">
        <f>IF(COUNTIF(Constituency_Level_Data!$A:$A,A168)&gt;0,"Found","Missing")</f>
        <v>Found</v>
      </c>
      <c r="C168" t="str">
        <f>IF(COUNTIF(Constituency_Level_Data!$A:$A,B168)&gt;0,"Found","Missing")</f>
        <v>Missing</v>
      </c>
      <c r="D168" t="str">
        <f t="shared" si="2"/>
        <v>Kishoreganj-6</v>
      </c>
    </row>
    <row r="169" spans="1:4">
      <c r="A169" s="2" t="s">
        <v>519</v>
      </c>
      <c r="B169" t="str">
        <f>IF(COUNTIF(Constituency_Level_Data!$A:$A,A169)&gt;0,"Found","Missing")</f>
        <v>Found</v>
      </c>
      <c r="C169" t="str">
        <f>IF(COUNTIF(Constituency_Level_Data!$A:$A,B169)&gt;0,"Found","Missing")</f>
        <v>Missing</v>
      </c>
      <c r="D169" t="str">
        <f t="shared" si="2"/>
        <v>Manikganj-1</v>
      </c>
    </row>
    <row r="170" spans="1:4">
      <c r="A170" s="3" t="s">
        <v>522</v>
      </c>
      <c r="B170" t="str">
        <f>IF(COUNTIF(Constituency_Level_Data!$A:$A,A170)&gt;0,"Found","Missing")</f>
        <v>Found</v>
      </c>
      <c r="C170" t="str">
        <f>IF(COUNTIF(Constituency_Level_Data!$A:$A,B170)&gt;0,"Found","Missing")</f>
        <v>Missing</v>
      </c>
      <c r="D170" t="str">
        <f t="shared" si="2"/>
        <v>Manikganj-2</v>
      </c>
    </row>
    <row r="171" spans="1:4">
      <c r="A171" s="2" t="s">
        <v>525</v>
      </c>
      <c r="B171" t="str">
        <f>IF(COUNTIF(Constituency_Level_Data!$A:$A,A171)&gt;0,"Found","Missing")</f>
        <v>Found</v>
      </c>
      <c r="C171" t="str">
        <f>IF(COUNTIF(Constituency_Level_Data!$A:$A,B171)&gt;0,"Found","Missing")</f>
        <v>Missing</v>
      </c>
      <c r="D171" t="str">
        <f t="shared" si="2"/>
        <v>Manikganj-3</v>
      </c>
    </row>
    <row r="172" spans="1:4">
      <c r="A172" s="3" t="s">
        <v>528</v>
      </c>
      <c r="B172" t="str">
        <f>IF(COUNTIF(Constituency_Level_Data!$A:$A,A172)&gt;0,"Found","Missing")</f>
        <v>Found</v>
      </c>
      <c r="C172" t="str">
        <f>IF(COUNTIF(Constituency_Level_Data!$A:$A,B172)&gt;0,"Found","Missing")</f>
        <v>Missing</v>
      </c>
      <c r="D172" t="str">
        <f t="shared" si="2"/>
        <v>Munshiganj-1</v>
      </c>
    </row>
    <row r="173" spans="1:4">
      <c r="A173" s="2" t="s">
        <v>531</v>
      </c>
      <c r="B173" t="str">
        <f>IF(COUNTIF(Constituency_Level_Data!$A:$A,A173)&gt;0,"Found","Missing")</f>
        <v>Found</v>
      </c>
      <c r="C173" t="str">
        <f>IF(COUNTIF(Constituency_Level_Data!$A:$A,B173)&gt;0,"Found","Missing")</f>
        <v>Missing</v>
      </c>
      <c r="D173" t="str">
        <f t="shared" si="2"/>
        <v>Munshiganj-2</v>
      </c>
    </row>
    <row r="174" spans="1:4">
      <c r="A174" s="3" t="s">
        <v>534</v>
      </c>
      <c r="B174" t="str">
        <f>IF(COUNTIF(Constituency_Level_Data!$A:$A,A174)&gt;0,"Found","Missing")</f>
        <v>Found</v>
      </c>
      <c r="C174" t="str">
        <f>IF(COUNTIF(Constituency_Level_Data!$A:$A,B174)&gt;0,"Found","Missing")</f>
        <v>Missing</v>
      </c>
      <c r="D174" t="str">
        <f t="shared" si="2"/>
        <v>Munshiganj-3</v>
      </c>
    </row>
    <row r="175" spans="1:4">
      <c r="A175" s="2" t="s">
        <v>537</v>
      </c>
      <c r="B175" t="str">
        <f>IF(COUNTIF(Constituency_Level_Data!$A:$A,A175)&gt;0,"Found","Missing")</f>
        <v>Found</v>
      </c>
      <c r="C175" t="str">
        <f>IF(COUNTIF(Constituency_Level_Data!$A:$A,B175)&gt;0,"Found","Missing")</f>
        <v>Missing</v>
      </c>
      <c r="D175" t="str">
        <f t="shared" si="2"/>
        <v>Dhaka-1</v>
      </c>
    </row>
    <row r="176" spans="1:4">
      <c r="A176" s="3" t="s">
        <v>539</v>
      </c>
      <c r="B176" t="str">
        <f>IF(COUNTIF(Constituency_Level_Data!$A:$A,A176)&gt;0,"Found","Missing")</f>
        <v>Found</v>
      </c>
      <c r="C176" t="str">
        <f>IF(COUNTIF(Constituency_Level_Data!$A:$A,B176)&gt;0,"Found","Missing")</f>
        <v>Missing</v>
      </c>
      <c r="D176" t="str">
        <f t="shared" si="2"/>
        <v>Dhaka-2</v>
      </c>
    </row>
    <row r="177" spans="1:4">
      <c r="A177" s="2" t="s">
        <v>542</v>
      </c>
      <c r="B177" t="str">
        <f>IF(COUNTIF(Constituency_Level_Data!$A:$A,A177)&gt;0,"Found","Missing")</f>
        <v>Found</v>
      </c>
      <c r="C177" t="str">
        <f>IF(COUNTIF(Constituency_Level_Data!$A:$A,B177)&gt;0,"Found","Missing")</f>
        <v>Missing</v>
      </c>
      <c r="D177" t="str">
        <f t="shared" si="2"/>
        <v>Dhaka-3</v>
      </c>
    </row>
    <row r="178" spans="1:4">
      <c r="A178" s="3" t="s">
        <v>545</v>
      </c>
      <c r="B178" t="str">
        <f>IF(COUNTIF(Constituency_Level_Data!$A:$A,A178)&gt;0,"Found","Missing")</f>
        <v>Found</v>
      </c>
      <c r="C178" t="str">
        <f>IF(COUNTIF(Constituency_Level_Data!$A:$A,B178)&gt;0,"Found","Missing")</f>
        <v>Missing</v>
      </c>
      <c r="D178" t="str">
        <f t="shared" si="2"/>
        <v>Dhaka-4</v>
      </c>
    </row>
    <row r="179" spans="1:4">
      <c r="A179" s="2" t="s">
        <v>548</v>
      </c>
      <c r="B179" t="str">
        <f>IF(COUNTIF(Constituency_Level_Data!$A:$A,A179)&gt;0,"Found","Missing")</f>
        <v>Found</v>
      </c>
      <c r="C179" t="str">
        <f>IF(COUNTIF(Constituency_Level_Data!$A:$A,B179)&gt;0,"Found","Missing")</f>
        <v>Missing</v>
      </c>
      <c r="D179" t="str">
        <f t="shared" si="2"/>
        <v>Dhaka-5</v>
      </c>
    </row>
    <row r="180" spans="1:4">
      <c r="A180" s="3" t="s">
        <v>551</v>
      </c>
      <c r="B180" t="str">
        <f>IF(COUNTIF(Constituency_Level_Data!$A:$A,A180)&gt;0,"Found","Missing")</f>
        <v>Found</v>
      </c>
      <c r="C180" t="str">
        <f>IF(COUNTIF(Constituency_Level_Data!$A:$A,B180)&gt;0,"Found","Missing")</f>
        <v>Missing</v>
      </c>
      <c r="D180" t="str">
        <f t="shared" si="2"/>
        <v>Dhaka-6</v>
      </c>
    </row>
    <row r="181" spans="1:4">
      <c r="A181" s="2" t="s">
        <v>554</v>
      </c>
      <c r="B181" t="str">
        <f>IF(COUNTIF(Constituency_Level_Data!$A:$A,A181)&gt;0,"Found","Missing")</f>
        <v>Found</v>
      </c>
      <c r="C181" t="str">
        <f>IF(COUNTIF(Constituency_Level_Data!$A:$A,B181)&gt;0,"Found","Missing")</f>
        <v>Missing</v>
      </c>
      <c r="D181" t="str">
        <f t="shared" si="2"/>
        <v>Dhaka-7</v>
      </c>
    </row>
    <row r="182" spans="1:4">
      <c r="A182" s="3" t="s">
        <v>557</v>
      </c>
      <c r="B182" t="str">
        <f>IF(COUNTIF(Constituency_Level_Data!$A:$A,A182)&gt;0,"Found","Missing")</f>
        <v>Found</v>
      </c>
      <c r="C182" t="str">
        <f>IF(COUNTIF(Constituency_Level_Data!$A:$A,B182)&gt;0,"Found","Missing")</f>
        <v>Missing</v>
      </c>
      <c r="D182" t="str">
        <f t="shared" si="2"/>
        <v>Dhaka-8</v>
      </c>
    </row>
    <row r="183" spans="1:4">
      <c r="A183" s="2" t="s">
        <v>560</v>
      </c>
      <c r="B183" t="str">
        <f>IF(COUNTIF(Constituency_Level_Data!$A:$A,A183)&gt;0,"Found","Missing")</f>
        <v>Found</v>
      </c>
      <c r="C183" t="str">
        <f>IF(COUNTIF(Constituency_Level_Data!$A:$A,B183)&gt;0,"Found","Missing")</f>
        <v>Missing</v>
      </c>
      <c r="D183" t="str">
        <f t="shared" si="2"/>
        <v>Dhaka-9</v>
      </c>
    </row>
    <row r="184" spans="1:4">
      <c r="A184" s="3" t="s">
        <v>563</v>
      </c>
      <c r="B184" t="str">
        <f>IF(COUNTIF(Constituency_Level_Data!$A:$A,A184)&gt;0,"Found","Missing")</f>
        <v>Found</v>
      </c>
      <c r="C184" t="str">
        <f>IF(COUNTIF(Constituency_Level_Data!$A:$A,B184)&gt;0,"Found","Missing")</f>
        <v>Missing</v>
      </c>
      <c r="D184" t="str">
        <f t="shared" si="2"/>
        <v>Dhaka-10</v>
      </c>
    </row>
    <row r="185" spans="1:4">
      <c r="A185" s="2" t="s">
        <v>566</v>
      </c>
      <c r="B185" t="str">
        <f>IF(COUNTIF(Constituency_Level_Data!$A:$A,A185)&gt;0,"Found","Missing")</f>
        <v>Found</v>
      </c>
      <c r="C185" t="str">
        <f>IF(COUNTIF(Constituency_Level_Data!$A:$A,B185)&gt;0,"Found","Missing")</f>
        <v>Missing</v>
      </c>
      <c r="D185" t="str">
        <f t="shared" si="2"/>
        <v>Dhaka-11</v>
      </c>
    </row>
    <row r="186" spans="1:4">
      <c r="A186" s="3" t="s">
        <v>569</v>
      </c>
      <c r="B186" t="str">
        <f>IF(COUNTIF(Constituency_Level_Data!$A:$A,A186)&gt;0,"Found","Missing")</f>
        <v>Found</v>
      </c>
      <c r="C186" t="str">
        <f>IF(COUNTIF(Constituency_Level_Data!$A:$A,B186)&gt;0,"Found","Missing")</f>
        <v>Missing</v>
      </c>
      <c r="D186" t="str">
        <f t="shared" si="2"/>
        <v>Dhaka-12</v>
      </c>
    </row>
    <row r="187" spans="1:4">
      <c r="A187" s="2" t="s">
        <v>573</v>
      </c>
      <c r="B187" t="str">
        <f>IF(COUNTIF(Constituency_Level_Data!$A:$A,A187)&gt;0,"Found","Missing")</f>
        <v>Found</v>
      </c>
      <c r="C187" t="str">
        <f>IF(COUNTIF(Constituency_Level_Data!$A:$A,B187)&gt;0,"Found","Missing")</f>
        <v>Missing</v>
      </c>
      <c r="D187" t="str">
        <f t="shared" si="2"/>
        <v>Dhaka-13</v>
      </c>
    </row>
    <row r="188" spans="1:4">
      <c r="A188" s="3" t="s">
        <v>576</v>
      </c>
      <c r="B188" t="str">
        <f>IF(COUNTIF(Constituency_Level_Data!$A:$A,A188)&gt;0,"Found","Missing")</f>
        <v>Found</v>
      </c>
      <c r="C188" t="str">
        <f>IF(COUNTIF(Constituency_Level_Data!$A:$A,B188)&gt;0,"Found","Missing")</f>
        <v>Missing</v>
      </c>
      <c r="D188" t="str">
        <f t="shared" si="2"/>
        <v>Dhaka-14</v>
      </c>
    </row>
    <row r="189" spans="1:4">
      <c r="A189" s="2" t="s">
        <v>579</v>
      </c>
      <c r="B189" t="str">
        <f>IF(COUNTIF(Constituency_Level_Data!$A:$A,A189)&gt;0,"Found","Missing")</f>
        <v>Found</v>
      </c>
      <c r="C189" t="str">
        <f>IF(COUNTIF(Constituency_Level_Data!$A:$A,B189)&gt;0,"Found","Missing")</f>
        <v>Missing</v>
      </c>
      <c r="D189" t="str">
        <f t="shared" si="2"/>
        <v>Dhaka-15</v>
      </c>
    </row>
    <row r="190" spans="1:4">
      <c r="A190" s="3" t="s">
        <v>582</v>
      </c>
      <c r="B190" t="str">
        <f>IF(COUNTIF(Constituency_Level_Data!$A:$A,A190)&gt;0,"Found","Missing")</f>
        <v>Found</v>
      </c>
      <c r="C190" t="str">
        <f>IF(COUNTIF(Constituency_Level_Data!$A:$A,B190)&gt;0,"Found","Missing")</f>
        <v>Missing</v>
      </c>
      <c r="D190" t="str">
        <f t="shared" si="2"/>
        <v>Dhaka-16</v>
      </c>
    </row>
    <row r="191" spans="1:4">
      <c r="A191" s="2" t="s">
        <v>585</v>
      </c>
      <c r="B191" t="str">
        <f>IF(COUNTIF(Constituency_Level_Data!$A:$A,A191)&gt;0,"Found","Missing")</f>
        <v>Found</v>
      </c>
      <c r="C191" t="str">
        <f>IF(COUNTIF(Constituency_Level_Data!$A:$A,B191)&gt;0,"Found","Missing")</f>
        <v>Missing</v>
      </c>
      <c r="D191" t="str">
        <f t="shared" si="2"/>
        <v>Dhaka-17</v>
      </c>
    </row>
    <row r="192" spans="1:4">
      <c r="A192" s="3" t="s">
        <v>587</v>
      </c>
      <c r="B192" t="str">
        <f>IF(COUNTIF(Constituency_Level_Data!$A:$A,A192)&gt;0,"Found","Missing")</f>
        <v>Found</v>
      </c>
      <c r="C192" t="str">
        <f>IF(COUNTIF(Constituency_Level_Data!$A:$A,B192)&gt;0,"Found","Missing")</f>
        <v>Missing</v>
      </c>
      <c r="D192" t="str">
        <f t="shared" si="2"/>
        <v>Dhaka-18</v>
      </c>
    </row>
    <row r="193" spans="1:4">
      <c r="A193" s="2" t="s">
        <v>590</v>
      </c>
      <c r="B193" t="str">
        <f>IF(COUNTIF(Constituency_Level_Data!$A:$A,A193)&gt;0,"Found","Missing")</f>
        <v>Found</v>
      </c>
      <c r="C193" t="str">
        <f>IF(COUNTIF(Constituency_Level_Data!$A:$A,B193)&gt;0,"Found","Missing")</f>
        <v>Missing</v>
      </c>
      <c r="D193" t="str">
        <f t="shared" si="2"/>
        <v>Dhaka-19</v>
      </c>
    </row>
    <row r="194" spans="1:4">
      <c r="A194" s="3" t="s">
        <v>593</v>
      </c>
      <c r="B194" t="str">
        <f>IF(COUNTIF(Constituency_Level_Data!$A:$A,A194)&gt;0,"Found","Missing")</f>
        <v>Found</v>
      </c>
      <c r="C194" t="str">
        <f>IF(COUNTIF(Constituency_Level_Data!$A:$A,B194)&gt;0,"Found","Missing")</f>
        <v>Missing</v>
      </c>
      <c r="D194" t="str">
        <f t="shared" si="2"/>
        <v>Dhaka-20</v>
      </c>
    </row>
    <row r="195" spans="1:4">
      <c r="A195" s="2" t="s">
        <v>596</v>
      </c>
      <c r="B195" t="str">
        <f>IF(COUNTIF(Constituency_Level_Data!$A:$A,A195)&gt;0,"Found","Missing")</f>
        <v>Found</v>
      </c>
      <c r="C195" t="str">
        <f>IF(COUNTIF(Constituency_Level_Data!$A:$A,B195)&gt;0,"Found","Missing")</f>
        <v>Missing</v>
      </c>
      <c r="D195" t="str">
        <f t="shared" ref="D195:D258" si="3">SUBSTITUTE(SUBSTITUTE(SUBSTITUTE(SUBSTITUTE(TRIM(A195),"Barisal","Barishal"),"Jessore","Jashore"),"Bogra","Bogura"),"Chapai Nawabganj","Chapainawabganj")</f>
        <v>Gazipur-1</v>
      </c>
    </row>
    <row r="196" spans="1:4">
      <c r="A196" s="3" t="s">
        <v>599</v>
      </c>
      <c r="B196" t="str">
        <f>IF(COUNTIF(Constituency_Level_Data!$A:$A,A196)&gt;0,"Found","Missing")</f>
        <v>Found</v>
      </c>
      <c r="C196" t="str">
        <f>IF(COUNTIF(Constituency_Level_Data!$A:$A,B196)&gt;0,"Found","Missing")</f>
        <v>Missing</v>
      </c>
      <c r="D196" t="str">
        <f t="shared" si="3"/>
        <v>Gazipur-2</v>
      </c>
    </row>
    <row r="197" spans="1:4">
      <c r="A197" s="2" t="s">
        <v>602</v>
      </c>
      <c r="B197" t="str">
        <f>IF(COUNTIF(Constituency_Level_Data!$A:$A,A197)&gt;0,"Found","Missing")</f>
        <v>Found</v>
      </c>
      <c r="C197" t="str">
        <f>IF(COUNTIF(Constituency_Level_Data!$A:$A,B197)&gt;0,"Found","Missing")</f>
        <v>Missing</v>
      </c>
      <c r="D197" t="str">
        <f t="shared" si="3"/>
        <v>Gazipur-3</v>
      </c>
    </row>
    <row r="198" spans="1:4">
      <c r="A198" s="3" t="s">
        <v>605</v>
      </c>
      <c r="B198" t="str">
        <f>IF(COUNTIF(Constituency_Level_Data!$A:$A,A198)&gt;0,"Found","Missing")</f>
        <v>Found</v>
      </c>
      <c r="C198" t="str">
        <f>IF(COUNTIF(Constituency_Level_Data!$A:$A,B198)&gt;0,"Found","Missing")</f>
        <v>Missing</v>
      </c>
      <c r="D198" t="str">
        <f t="shared" si="3"/>
        <v>Gazipur-4</v>
      </c>
    </row>
    <row r="199" spans="1:4">
      <c r="A199" s="2" t="s">
        <v>608</v>
      </c>
      <c r="B199" t="str">
        <f>IF(COUNTIF(Constituency_Level_Data!$A:$A,A199)&gt;0,"Found","Missing")</f>
        <v>Found</v>
      </c>
      <c r="C199" t="str">
        <f>IF(COUNTIF(Constituency_Level_Data!$A:$A,B199)&gt;0,"Found","Missing")</f>
        <v>Missing</v>
      </c>
      <c r="D199" t="str">
        <f t="shared" si="3"/>
        <v>Gazipur-5</v>
      </c>
    </row>
    <row r="200" spans="1:4">
      <c r="A200" s="3" t="s">
        <v>611</v>
      </c>
      <c r="B200" t="str">
        <f>IF(COUNTIF(Constituency_Level_Data!$A:$A,A200)&gt;0,"Found","Missing")</f>
        <v>Found</v>
      </c>
      <c r="C200" t="str">
        <f>IF(COUNTIF(Constituency_Level_Data!$A:$A,B200)&gt;0,"Found","Missing")</f>
        <v>Missing</v>
      </c>
      <c r="D200" t="str">
        <f t="shared" si="3"/>
        <v>Narsingdi-1</v>
      </c>
    </row>
    <row r="201" spans="1:4">
      <c r="A201" s="2" t="s">
        <v>614</v>
      </c>
      <c r="B201" t="str">
        <f>IF(COUNTIF(Constituency_Level_Data!$A:$A,A201)&gt;0,"Found","Missing")</f>
        <v>Found</v>
      </c>
      <c r="C201" t="str">
        <f>IF(COUNTIF(Constituency_Level_Data!$A:$A,B201)&gt;0,"Found","Missing")</f>
        <v>Missing</v>
      </c>
      <c r="D201" t="str">
        <f t="shared" si="3"/>
        <v>Narsingdi-2</v>
      </c>
    </row>
    <row r="202" spans="1:4">
      <c r="A202" s="3" t="s">
        <v>616</v>
      </c>
      <c r="B202" t="str">
        <f>IF(COUNTIF(Constituency_Level_Data!$A:$A,A202)&gt;0,"Found","Missing")</f>
        <v>Found</v>
      </c>
      <c r="C202" t="str">
        <f>IF(COUNTIF(Constituency_Level_Data!$A:$A,B202)&gt;0,"Found","Missing")</f>
        <v>Missing</v>
      </c>
      <c r="D202" t="str">
        <f t="shared" si="3"/>
        <v>Narsingdi-3</v>
      </c>
    </row>
    <row r="203" spans="1:4">
      <c r="A203" s="2" t="s">
        <v>619</v>
      </c>
      <c r="B203" t="str">
        <f>IF(COUNTIF(Constituency_Level_Data!$A:$A,A203)&gt;0,"Found","Missing")</f>
        <v>Found</v>
      </c>
      <c r="C203" t="str">
        <f>IF(COUNTIF(Constituency_Level_Data!$A:$A,B203)&gt;0,"Found","Missing")</f>
        <v>Missing</v>
      </c>
      <c r="D203" t="str">
        <f t="shared" si="3"/>
        <v>Narsingdi-4</v>
      </c>
    </row>
    <row r="204" spans="1:4">
      <c r="A204" s="3" t="s">
        <v>622</v>
      </c>
      <c r="B204" t="str">
        <f>IF(COUNTIF(Constituency_Level_Data!$A:$A,A204)&gt;0,"Found","Missing")</f>
        <v>Found</v>
      </c>
      <c r="C204" t="str">
        <f>IF(COUNTIF(Constituency_Level_Data!$A:$A,B204)&gt;0,"Found","Missing")</f>
        <v>Missing</v>
      </c>
      <c r="D204" t="str">
        <f t="shared" si="3"/>
        <v>Narsingdi-5</v>
      </c>
    </row>
    <row r="205" spans="1:4">
      <c r="A205" s="2" t="s">
        <v>625</v>
      </c>
      <c r="B205" t="str">
        <f>IF(COUNTIF(Constituency_Level_Data!$A:$A,A205)&gt;0,"Found","Missing")</f>
        <v>Found</v>
      </c>
      <c r="C205" t="str">
        <f>IF(COUNTIF(Constituency_Level_Data!$A:$A,B205)&gt;0,"Found","Missing")</f>
        <v>Missing</v>
      </c>
      <c r="D205" t="str">
        <f t="shared" si="3"/>
        <v>Narayanganj-1</v>
      </c>
    </row>
    <row r="206" spans="1:4">
      <c r="A206" s="3" t="s">
        <v>628</v>
      </c>
      <c r="B206" t="str">
        <f>IF(COUNTIF(Constituency_Level_Data!$A:$A,A206)&gt;0,"Found","Missing")</f>
        <v>Found</v>
      </c>
      <c r="C206" t="str">
        <f>IF(COUNTIF(Constituency_Level_Data!$A:$A,B206)&gt;0,"Found","Missing")</f>
        <v>Missing</v>
      </c>
      <c r="D206" t="str">
        <f t="shared" si="3"/>
        <v>Narayanganj-2</v>
      </c>
    </row>
    <row r="207" spans="1:4">
      <c r="A207" s="2" t="s">
        <v>631</v>
      </c>
      <c r="B207" t="str">
        <f>IF(COUNTIF(Constituency_Level_Data!$A:$A,A207)&gt;0,"Found","Missing")</f>
        <v>Found</v>
      </c>
      <c r="C207" t="str">
        <f>IF(COUNTIF(Constituency_Level_Data!$A:$A,B207)&gt;0,"Found","Missing")</f>
        <v>Missing</v>
      </c>
      <c r="D207" t="str">
        <f t="shared" si="3"/>
        <v>Narayanganj-3</v>
      </c>
    </row>
    <row r="208" spans="1:4">
      <c r="A208" s="3" t="s">
        <v>634</v>
      </c>
      <c r="B208" t="str">
        <f>IF(COUNTIF(Constituency_Level_Data!$A:$A,A208)&gt;0,"Found","Missing")</f>
        <v>Found</v>
      </c>
      <c r="C208" t="str">
        <f>IF(COUNTIF(Constituency_Level_Data!$A:$A,B208)&gt;0,"Found","Missing")</f>
        <v>Missing</v>
      </c>
      <c r="D208" t="str">
        <f t="shared" si="3"/>
        <v>Narayanganj-4</v>
      </c>
    </row>
    <row r="209" spans="1:4">
      <c r="A209" s="2" t="s">
        <v>637</v>
      </c>
      <c r="B209" t="str">
        <f>IF(COUNTIF(Constituency_Level_Data!$A:$A,A209)&gt;0,"Found","Missing")</f>
        <v>Found</v>
      </c>
      <c r="C209" t="str">
        <f>IF(COUNTIF(Constituency_Level_Data!$A:$A,B209)&gt;0,"Found","Missing")</f>
        <v>Missing</v>
      </c>
      <c r="D209" t="str">
        <f t="shared" si="3"/>
        <v>Narayanganj-5</v>
      </c>
    </row>
    <row r="210" spans="1:4">
      <c r="A210" s="3" t="s">
        <v>640</v>
      </c>
      <c r="B210" t="str">
        <f>IF(COUNTIF(Constituency_Level_Data!$A:$A,A210)&gt;0,"Found","Missing")</f>
        <v>Found</v>
      </c>
      <c r="C210" t="str">
        <f>IF(COUNTIF(Constituency_Level_Data!$A:$A,B210)&gt;0,"Found","Missing")</f>
        <v>Missing</v>
      </c>
      <c r="D210" t="str">
        <f t="shared" si="3"/>
        <v>Rajbari-1</v>
      </c>
    </row>
    <row r="211" spans="1:4">
      <c r="A211" s="2" t="s">
        <v>642</v>
      </c>
      <c r="B211" t="str">
        <f>IF(COUNTIF(Constituency_Level_Data!$A:$A,A211)&gt;0,"Found","Missing")</f>
        <v>Found</v>
      </c>
      <c r="C211" t="str">
        <f>IF(COUNTIF(Constituency_Level_Data!$A:$A,B211)&gt;0,"Found","Missing")</f>
        <v>Missing</v>
      </c>
      <c r="D211" t="str">
        <f t="shared" si="3"/>
        <v>Rajbari-2</v>
      </c>
    </row>
    <row r="212" spans="1:4">
      <c r="A212" s="3" t="s">
        <v>645</v>
      </c>
      <c r="B212" t="str">
        <f>IF(COUNTIF(Constituency_Level_Data!$A:$A,A212)&gt;0,"Found","Missing")</f>
        <v>Found</v>
      </c>
      <c r="C212" t="str">
        <f>IF(COUNTIF(Constituency_Level_Data!$A:$A,B212)&gt;0,"Found","Missing")</f>
        <v>Missing</v>
      </c>
      <c r="D212" t="str">
        <f t="shared" si="3"/>
        <v>Faridpur-1</v>
      </c>
    </row>
    <row r="213" spans="1:4">
      <c r="A213" s="2" t="s">
        <v>648</v>
      </c>
      <c r="B213" t="str">
        <f>IF(COUNTIF(Constituency_Level_Data!$A:$A,A213)&gt;0,"Found","Missing")</f>
        <v>Found</v>
      </c>
      <c r="C213" t="str">
        <f>IF(COUNTIF(Constituency_Level_Data!$A:$A,B213)&gt;0,"Found","Missing")</f>
        <v>Missing</v>
      </c>
      <c r="D213" t="str">
        <f t="shared" si="3"/>
        <v>Faridpur-2</v>
      </c>
    </row>
    <row r="214" spans="1:4">
      <c r="A214" s="3" t="s">
        <v>651</v>
      </c>
      <c r="B214" t="str">
        <f>IF(COUNTIF(Constituency_Level_Data!$A:$A,A214)&gt;0,"Found","Missing")</f>
        <v>Found</v>
      </c>
      <c r="C214" t="str">
        <f>IF(COUNTIF(Constituency_Level_Data!$A:$A,B214)&gt;0,"Found","Missing")</f>
        <v>Missing</v>
      </c>
      <c r="D214" t="str">
        <f t="shared" si="3"/>
        <v>Faridpur-3</v>
      </c>
    </row>
    <row r="215" spans="1:4">
      <c r="A215" s="2" t="s">
        <v>654</v>
      </c>
      <c r="B215" t="str">
        <f>IF(COUNTIF(Constituency_Level_Data!$A:$A,A215)&gt;0,"Found","Missing")</f>
        <v>Found</v>
      </c>
      <c r="C215" t="str">
        <f>IF(COUNTIF(Constituency_Level_Data!$A:$A,B215)&gt;0,"Found","Missing")</f>
        <v>Missing</v>
      </c>
      <c r="D215" t="str">
        <f t="shared" si="3"/>
        <v>Faridpur-4</v>
      </c>
    </row>
    <row r="216" spans="1:4">
      <c r="A216" s="3" t="s">
        <v>657</v>
      </c>
      <c r="B216" t="str">
        <f>IF(COUNTIF(Constituency_Level_Data!$A:$A,A216)&gt;0,"Found","Missing")</f>
        <v>Found</v>
      </c>
      <c r="C216" t="str">
        <f>IF(COUNTIF(Constituency_Level_Data!$A:$A,B216)&gt;0,"Found","Missing")</f>
        <v>Missing</v>
      </c>
      <c r="D216" t="str">
        <f t="shared" si="3"/>
        <v>Gopalganj-1</v>
      </c>
    </row>
    <row r="217" spans="1:4">
      <c r="A217" s="2" t="s">
        <v>660</v>
      </c>
      <c r="B217" t="str">
        <f>IF(COUNTIF(Constituency_Level_Data!$A:$A,A217)&gt;0,"Found","Missing")</f>
        <v>Found</v>
      </c>
      <c r="C217" t="str">
        <f>IF(COUNTIF(Constituency_Level_Data!$A:$A,B217)&gt;0,"Found","Missing")</f>
        <v>Missing</v>
      </c>
      <c r="D217" t="str">
        <f t="shared" si="3"/>
        <v>Gopalganj-2</v>
      </c>
    </row>
    <row r="218" spans="1:4">
      <c r="A218" s="3" t="s">
        <v>663</v>
      </c>
      <c r="B218" t="str">
        <f>IF(COUNTIF(Constituency_Level_Data!$A:$A,A218)&gt;0,"Found","Missing")</f>
        <v>Found</v>
      </c>
      <c r="C218" t="str">
        <f>IF(COUNTIF(Constituency_Level_Data!$A:$A,B218)&gt;0,"Found","Missing")</f>
        <v>Missing</v>
      </c>
      <c r="D218" t="str">
        <f t="shared" si="3"/>
        <v>Gopalganj-3</v>
      </c>
    </row>
    <row r="219" spans="1:4">
      <c r="A219" s="2" t="s">
        <v>666</v>
      </c>
      <c r="B219" t="str">
        <f>IF(COUNTIF(Constituency_Level_Data!$A:$A,A219)&gt;0,"Found","Missing")</f>
        <v>Found</v>
      </c>
      <c r="C219" t="str">
        <f>IF(COUNTIF(Constituency_Level_Data!$A:$A,B219)&gt;0,"Found","Missing")</f>
        <v>Missing</v>
      </c>
      <c r="D219" t="str">
        <f t="shared" si="3"/>
        <v>Madaripur-1</v>
      </c>
    </row>
    <row r="220" spans="1:4">
      <c r="A220" s="3" t="s">
        <v>669</v>
      </c>
      <c r="B220" t="str">
        <f>IF(COUNTIF(Constituency_Level_Data!$A:$A,A220)&gt;0,"Found","Missing")</f>
        <v>Found</v>
      </c>
      <c r="C220" t="str">
        <f>IF(COUNTIF(Constituency_Level_Data!$A:$A,B220)&gt;0,"Found","Missing")</f>
        <v>Missing</v>
      </c>
      <c r="D220" t="str">
        <f t="shared" si="3"/>
        <v>Madaripur-2</v>
      </c>
    </row>
    <row r="221" spans="1:4">
      <c r="A221" s="2" t="s">
        <v>672</v>
      </c>
      <c r="B221" t="str">
        <f>IF(COUNTIF(Constituency_Level_Data!$A:$A,A221)&gt;0,"Found","Missing")</f>
        <v>Found</v>
      </c>
      <c r="C221" t="str">
        <f>IF(COUNTIF(Constituency_Level_Data!$A:$A,B221)&gt;0,"Found","Missing")</f>
        <v>Missing</v>
      </c>
      <c r="D221" t="str">
        <f t="shared" si="3"/>
        <v>Madaripur-3</v>
      </c>
    </row>
    <row r="222" spans="1:4">
      <c r="A222" s="3" t="s">
        <v>675</v>
      </c>
      <c r="B222" t="str">
        <f>IF(COUNTIF(Constituency_Level_Data!$A:$A,A222)&gt;0,"Found","Missing")</f>
        <v>Found</v>
      </c>
      <c r="C222" t="str">
        <f>IF(COUNTIF(Constituency_Level_Data!$A:$A,B222)&gt;0,"Found","Missing")</f>
        <v>Missing</v>
      </c>
      <c r="D222" t="str">
        <f t="shared" si="3"/>
        <v>Shariatpur-1</v>
      </c>
    </row>
    <row r="223" spans="1:4">
      <c r="A223" s="2" t="s">
        <v>678</v>
      </c>
      <c r="B223" t="str">
        <f>IF(COUNTIF(Constituency_Level_Data!$A:$A,A223)&gt;0,"Found","Missing")</f>
        <v>Found</v>
      </c>
      <c r="C223" t="str">
        <f>IF(COUNTIF(Constituency_Level_Data!$A:$A,B223)&gt;0,"Found","Missing")</f>
        <v>Missing</v>
      </c>
      <c r="D223" t="str">
        <f t="shared" si="3"/>
        <v>Shariatpur-2</v>
      </c>
    </row>
    <row r="224" spans="1:4">
      <c r="A224" s="3" t="s">
        <v>681</v>
      </c>
      <c r="B224" t="str">
        <f>IF(COUNTIF(Constituency_Level_Data!$A:$A,A224)&gt;0,"Found","Missing")</f>
        <v>Found</v>
      </c>
      <c r="C224" t="str">
        <f>IF(COUNTIF(Constituency_Level_Data!$A:$A,B224)&gt;0,"Found","Missing")</f>
        <v>Missing</v>
      </c>
      <c r="D224" t="str">
        <f t="shared" si="3"/>
        <v>Shariatpur-3</v>
      </c>
    </row>
    <row r="225" spans="1:4">
      <c r="A225" s="2" t="s">
        <v>685</v>
      </c>
      <c r="B225" t="str">
        <f>IF(COUNTIF(Constituency_Level_Data!$A:$A,A225)&gt;0,"Found","Missing")</f>
        <v>Found</v>
      </c>
      <c r="C225" t="str">
        <f>IF(COUNTIF(Constituency_Level_Data!$A:$A,B225)&gt;0,"Found","Missing")</f>
        <v>Missing</v>
      </c>
      <c r="D225" t="str">
        <f t="shared" si="3"/>
        <v>Sunamganj-1</v>
      </c>
    </row>
    <row r="226" spans="1:4">
      <c r="A226" s="3" t="s">
        <v>688</v>
      </c>
      <c r="B226" t="str">
        <f>IF(COUNTIF(Constituency_Level_Data!$A:$A,A226)&gt;0,"Found","Missing")</f>
        <v>Found</v>
      </c>
      <c r="C226" t="str">
        <f>IF(COUNTIF(Constituency_Level_Data!$A:$A,B226)&gt;0,"Found","Missing")</f>
        <v>Missing</v>
      </c>
      <c r="D226" t="str">
        <f t="shared" si="3"/>
        <v>Sunamganj-2</v>
      </c>
    </row>
    <row r="227" spans="1:4">
      <c r="A227" s="2" t="s">
        <v>691</v>
      </c>
      <c r="B227" t="str">
        <f>IF(COUNTIF(Constituency_Level_Data!$A:$A,A227)&gt;0,"Found","Missing")</f>
        <v>Found</v>
      </c>
      <c r="C227" t="str">
        <f>IF(COUNTIF(Constituency_Level_Data!$A:$A,B227)&gt;0,"Found","Missing")</f>
        <v>Missing</v>
      </c>
      <c r="D227" t="str">
        <f t="shared" si="3"/>
        <v>Sunamganj-3</v>
      </c>
    </row>
    <row r="228" spans="1:4">
      <c r="A228" s="3" t="s">
        <v>694</v>
      </c>
      <c r="B228" t="str">
        <f>IF(COUNTIF(Constituency_Level_Data!$A:$A,A228)&gt;0,"Found","Missing")</f>
        <v>Found</v>
      </c>
      <c r="C228" t="str">
        <f>IF(COUNTIF(Constituency_Level_Data!$A:$A,B228)&gt;0,"Found","Missing")</f>
        <v>Missing</v>
      </c>
      <c r="D228" t="str">
        <f t="shared" si="3"/>
        <v>Sunamganj-4</v>
      </c>
    </row>
    <row r="229" spans="1:4">
      <c r="A229" s="2" t="s">
        <v>697</v>
      </c>
      <c r="B229" t="str">
        <f>IF(COUNTIF(Constituency_Level_Data!$A:$A,A229)&gt;0,"Found","Missing")</f>
        <v>Found</v>
      </c>
      <c r="C229" t="str">
        <f>IF(COUNTIF(Constituency_Level_Data!$A:$A,B229)&gt;0,"Found","Missing")</f>
        <v>Missing</v>
      </c>
      <c r="D229" t="str">
        <f t="shared" si="3"/>
        <v>Sunamganj-5</v>
      </c>
    </row>
    <row r="230" spans="1:4">
      <c r="A230" s="3" t="s">
        <v>700</v>
      </c>
      <c r="B230" t="str">
        <f>IF(COUNTIF(Constituency_Level_Data!$A:$A,A230)&gt;0,"Found","Missing")</f>
        <v>Found</v>
      </c>
      <c r="C230" t="str">
        <f>IF(COUNTIF(Constituency_Level_Data!$A:$A,B230)&gt;0,"Found","Missing")</f>
        <v>Missing</v>
      </c>
      <c r="D230" t="str">
        <f t="shared" si="3"/>
        <v>Sylhet-1</v>
      </c>
    </row>
    <row r="231" spans="1:4">
      <c r="A231" s="2" t="s">
        <v>703</v>
      </c>
      <c r="B231" t="str">
        <f>IF(COUNTIF(Constituency_Level_Data!$A:$A,A231)&gt;0,"Found","Missing")</f>
        <v>Found</v>
      </c>
      <c r="C231" t="str">
        <f>IF(COUNTIF(Constituency_Level_Data!$A:$A,B231)&gt;0,"Found","Missing")</f>
        <v>Missing</v>
      </c>
      <c r="D231" t="str">
        <f t="shared" si="3"/>
        <v>Sylhet-2</v>
      </c>
    </row>
    <row r="232" spans="1:4">
      <c r="A232" s="3" t="s">
        <v>706</v>
      </c>
      <c r="B232" t="str">
        <f>IF(COUNTIF(Constituency_Level_Data!$A:$A,A232)&gt;0,"Found","Missing")</f>
        <v>Found</v>
      </c>
      <c r="C232" t="str">
        <f>IF(COUNTIF(Constituency_Level_Data!$A:$A,B232)&gt;0,"Found","Missing")</f>
        <v>Missing</v>
      </c>
      <c r="D232" t="str">
        <f t="shared" si="3"/>
        <v>Sylhet-3</v>
      </c>
    </row>
    <row r="233" spans="1:4">
      <c r="A233" s="2" t="s">
        <v>709</v>
      </c>
      <c r="B233" t="str">
        <f>IF(COUNTIF(Constituency_Level_Data!$A:$A,A233)&gt;0,"Found","Missing")</f>
        <v>Found</v>
      </c>
      <c r="C233" t="str">
        <f>IF(COUNTIF(Constituency_Level_Data!$A:$A,B233)&gt;0,"Found","Missing")</f>
        <v>Missing</v>
      </c>
      <c r="D233" t="str">
        <f t="shared" si="3"/>
        <v>Sylhet-4</v>
      </c>
    </row>
    <row r="234" spans="1:4">
      <c r="A234" s="3" t="s">
        <v>712</v>
      </c>
      <c r="B234" t="str">
        <f>IF(COUNTIF(Constituency_Level_Data!$A:$A,A234)&gt;0,"Found","Missing")</f>
        <v>Found</v>
      </c>
      <c r="C234" t="str">
        <f>IF(COUNTIF(Constituency_Level_Data!$A:$A,B234)&gt;0,"Found","Missing")</f>
        <v>Missing</v>
      </c>
      <c r="D234" t="str">
        <f t="shared" si="3"/>
        <v>Sylhet-5</v>
      </c>
    </row>
    <row r="235" spans="1:4">
      <c r="A235" s="2" t="s">
        <v>715</v>
      </c>
      <c r="B235" t="str">
        <f>IF(COUNTIF(Constituency_Level_Data!$A:$A,A235)&gt;0,"Found","Missing")</f>
        <v>Found</v>
      </c>
      <c r="C235" t="str">
        <f>IF(COUNTIF(Constituency_Level_Data!$A:$A,B235)&gt;0,"Found","Missing")</f>
        <v>Missing</v>
      </c>
      <c r="D235" t="str">
        <f t="shared" si="3"/>
        <v>Sylhet-6</v>
      </c>
    </row>
    <row r="236" spans="1:4">
      <c r="A236" s="3" t="s">
        <v>718</v>
      </c>
      <c r="B236" t="str">
        <f>IF(COUNTIF(Constituency_Level_Data!$A:$A,A236)&gt;0,"Found","Missing")</f>
        <v>Found</v>
      </c>
      <c r="C236" t="str">
        <f>IF(COUNTIF(Constituency_Level_Data!$A:$A,B236)&gt;0,"Found","Missing")</f>
        <v>Missing</v>
      </c>
      <c r="D236" t="str">
        <f t="shared" si="3"/>
        <v>Moulvibazar-1</v>
      </c>
    </row>
    <row r="237" spans="1:4">
      <c r="A237" s="2" t="s">
        <v>721</v>
      </c>
      <c r="B237" t="str">
        <f>IF(COUNTIF(Constituency_Level_Data!$A:$A,A237)&gt;0,"Found","Missing")</f>
        <v>Found</v>
      </c>
      <c r="C237" t="str">
        <f>IF(COUNTIF(Constituency_Level_Data!$A:$A,B237)&gt;0,"Found","Missing")</f>
        <v>Missing</v>
      </c>
      <c r="D237" t="str">
        <f t="shared" si="3"/>
        <v>Moulvibazar-2</v>
      </c>
    </row>
    <row r="238" spans="1:4">
      <c r="A238" s="3" t="s">
        <v>724</v>
      </c>
      <c r="B238" t="str">
        <f>IF(COUNTIF(Constituency_Level_Data!$A:$A,A238)&gt;0,"Found","Missing")</f>
        <v>Found</v>
      </c>
      <c r="C238" t="str">
        <f>IF(COUNTIF(Constituency_Level_Data!$A:$A,B238)&gt;0,"Found","Missing")</f>
        <v>Missing</v>
      </c>
      <c r="D238" t="str">
        <f t="shared" si="3"/>
        <v>Moulvibazar-3</v>
      </c>
    </row>
    <row r="239" spans="1:4">
      <c r="A239" s="2" t="s">
        <v>726</v>
      </c>
      <c r="B239" t="str">
        <f>IF(COUNTIF(Constituency_Level_Data!$A:$A,A239)&gt;0,"Found","Missing")</f>
        <v>Found</v>
      </c>
      <c r="C239" t="str">
        <f>IF(COUNTIF(Constituency_Level_Data!$A:$A,B239)&gt;0,"Found","Missing")</f>
        <v>Missing</v>
      </c>
      <c r="D239" t="str">
        <f t="shared" si="3"/>
        <v>Moulvibazar-4</v>
      </c>
    </row>
    <row r="240" spans="1:4">
      <c r="A240" s="3" t="s">
        <v>729</v>
      </c>
      <c r="B240" t="str">
        <f>IF(COUNTIF(Constituency_Level_Data!$A:$A,A240)&gt;0,"Found","Missing")</f>
        <v>Found</v>
      </c>
      <c r="C240" t="str">
        <f>IF(COUNTIF(Constituency_Level_Data!$A:$A,B240)&gt;0,"Found","Missing")</f>
        <v>Missing</v>
      </c>
      <c r="D240" t="str">
        <f t="shared" si="3"/>
        <v>Habiganj-1</v>
      </c>
    </row>
    <row r="241" spans="1:4">
      <c r="A241" s="2" t="s">
        <v>732</v>
      </c>
      <c r="B241" t="str">
        <f>IF(COUNTIF(Constituency_Level_Data!$A:$A,A241)&gt;0,"Found","Missing")</f>
        <v>Found</v>
      </c>
      <c r="C241" t="str">
        <f>IF(COUNTIF(Constituency_Level_Data!$A:$A,B241)&gt;0,"Found","Missing")</f>
        <v>Missing</v>
      </c>
      <c r="D241" t="str">
        <f t="shared" si="3"/>
        <v>Habiganj-2</v>
      </c>
    </row>
    <row r="242" spans="1:4">
      <c r="A242" s="3" t="s">
        <v>735</v>
      </c>
      <c r="B242" t="str">
        <f>IF(COUNTIF(Constituency_Level_Data!$A:$A,A242)&gt;0,"Found","Missing")</f>
        <v>Found</v>
      </c>
      <c r="C242" t="str">
        <f>IF(COUNTIF(Constituency_Level_Data!$A:$A,B242)&gt;0,"Found","Missing")</f>
        <v>Missing</v>
      </c>
      <c r="D242" t="str">
        <f t="shared" si="3"/>
        <v>Habiganj-3</v>
      </c>
    </row>
    <row r="243" spans="1:4">
      <c r="A243" s="2" t="s">
        <v>738</v>
      </c>
      <c r="B243" t="str">
        <f>IF(COUNTIF(Constituency_Level_Data!$A:$A,A243)&gt;0,"Found","Missing")</f>
        <v>Found</v>
      </c>
      <c r="C243" t="str">
        <f>IF(COUNTIF(Constituency_Level_Data!$A:$A,B243)&gt;0,"Found","Missing")</f>
        <v>Missing</v>
      </c>
      <c r="D243" t="str">
        <f t="shared" si="3"/>
        <v>Habiganj-4</v>
      </c>
    </row>
    <row r="244" spans="1:4">
      <c r="A244" s="3" t="s">
        <v>743</v>
      </c>
      <c r="B244" t="str">
        <f>IF(COUNTIF(Constituency_Level_Data!$A:$A,A244)&gt;0,"Found","Missing")</f>
        <v>Found</v>
      </c>
      <c r="C244" t="str">
        <f>IF(COUNTIF(Constituency_Level_Data!$A:$A,B244)&gt;0,"Found","Missing")</f>
        <v>Missing</v>
      </c>
      <c r="D244" t="str">
        <f t="shared" si="3"/>
        <v>Brahmanbaria-1</v>
      </c>
    </row>
    <row r="245" spans="1:4">
      <c r="A245" s="2" t="s">
        <v>746</v>
      </c>
      <c r="B245" t="str">
        <f>IF(COUNTIF(Constituency_Level_Data!$A:$A,A245)&gt;0,"Found","Missing")</f>
        <v>Found</v>
      </c>
      <c r="C245" t="str">
        <f>IF(COUNTIF(Constituency_Level_Data!$A:$A,B245)&gt;0,"Found","Missing")</f>
        <v>Missing</v>
      </c>
      <c r="D245" t="str">
        <f t="shared" si="3"/>
        <v>Brahmanbaria-2</v>
      </c>
    </row>
    <row r="246" spans="1:4">
      <c r="A246" s="3" t="s">
        <v>749</v>
      </c>
      <c r="B246" t="str">
        <f>IF(COUNTIF(Constituency_Level_Data!$A:$A,A246)&gt;0,"Found","Missing")</f>
        <v>Found</v>
      </c>
      <c r="C246" t="str">
        <f>IF(COUNTIF(Constituency_Level_Data!$A:$A,B246)&gt;0,"Found","Missing")</f>
        <v>Missing</v>
      </c>
      <c r="D246" t="str">
        <f t="shared" si="3"/>
        <v>Brahmanbaria-3</v>
      </c>
    </row>
    <row r="247" spans="1:4">
      <c r="A247" s="2" t="s">
        <v>752</v>
      </c>
      <c r="B247" t="str">
        <f>IF(COUNTIF(Constituency_Level_Data!$A:$A,A247)&gt;0,"Found","Missing")</f>
        <v>Found</v>
      </c>
      <c r="C247" t="str">
        <f>IF(COUNTIF(Constituency_Level_Data!$A:$A,B247)&gt;0,"Found","Missing")</f>
        <v>Missing</v>
      </c>
      <c r="D247" t="str">
        <f t="shared" si="3"/>
        <v>Brahmanbaria-4</v>
      </c>
    </row>
    <row r="248" spans="1:4">
      <c r="A248" s="3" t="s">
        <v>755</v>
      </c>
      <c r="B248" t="str">
        <f>IF(COUNTIF(Constituency_Level_Data!$A:$A,A248)&gt;0,"Found","Missing")</f>
        <v>Found</v>
      </c>
      <c r="C248" t="str">
        <f>IF(COUNTIF(Constituency_Level_Data!$A:$A,B248)&gt;0,"Found","Missing")</f>
        <v>Missing</v>
      </c>
      <c r="D248" t="str">
        <f t="shared" si="3"/>
        <v>Brahmanbaria-5</v>
      </c>
    </row>
    <row r="249" spans="1:4">
      <c r="A249" s="2" t="s">
        <v>758</v>
      </c>
      <c r="B249" t="str">
        <f>IF(COUNTIF(Constituency_Level_Data!$A:$A,A249)&gt;0,"Found","Missing")</f>
        <v>Found</v>
      </c>
      <c r="C249" t="str">
        <f>IF(COUNTIF(Constituency_Level_Data!$A:$A,B249)&gt;0,"Found","Missing")</f>
        <v>Missing</v>
      </c>
      <c r="D249" t="str">
        <f t="shared" si="3"/>
        <v>Brahmanbaria-6</v>
      </c>
    </row>
    <row r="250" spans="1:4">
      <c r="A250" s="3" t="s">
        <v>762</v>
      </c>
      <c r="B250" t="str">
        <f>IF(COUNTIF(Constituency_Level_Data!$A:$A,A250)&gt;0,"Found","Missing")</f>
        <v>Found</v>
      </c>
      <c r="C250" t="str">
        <f>IF(COUNTIF(Constituency_Level_Data!$A:$A,B250)&gt;0,"Found","Missing")</f>
        <v>Missing</v>
      </c>
      <c r="D250" t="str">
        <f t="shared" si="3"/>
        <v>Comilla-1</v>
      </c>
    </row>
    <row r="251" spans="1:4">
      <c r="A251" s="2" t="s">
        <v>764</v>
      </c>
      <c r="B251" t="str">
        <f>IF(COUNTIF(Constituency_Level_Data!$A:$A,A251)&gt;0,"Found","Missing")</f>
        <v>Found</v>
      </c>
      <c r="C251" t="str">
        <f>IF(COUNTIF(Constituency_Level_Data!$A:$A,B251)&gt;0,"Found","Missing")</f>
        <v>Missing</v>
      </c>
      <c r="D251" t="str">
        <f t="shared" si="3"/>
        <v>Comilla-2</v>
      </c>
    </row>
    <row r="252" spans="1:4">
      <c r="A252" s="3" t="s">
        <v>766</v>
      </c>
      <c r="B252" t="str">
        <f>IF(COUNTIF(Constituency_Level_Data!$A:$A,A252)&gt;0,"Found","Missing")</f>
        <v>Found</v>
      </c>
      <c r="C252" t="str">
        <f>IF(COUNTIF(Constituency_Level_Data!$A:$A,B252)&gt;0,"Found","Missing")</f>
        <v>Missing</v>
      </c>
      <c r="D252" t="str">
        <f t="shared" si="3"/>
        <v>Comilla-3</v>
      </c>
    </row>
    <row r="253" spans="1:4">
      <c r="A253" s="2" t="s">
        <v>769</v>
      </c>
      <c r="B253" t="str">
        <f>IF(COUNTIF(Constituency_Level_Data!$A:$A,A253)&gt;0,"Found","Missing")</f>
        <v>Found</v>
      </c>
      <c r="C253" t="str">
        <f>IF(COUNTIF(Constituency_Level_Data!$A:$A,B253)&gt;0,"Found","Missing")</f>
        <v>Missing</v>
      </c>
      <c r="D253" t="str">
        <f t="shared" si="3"/>
        <v>Comilla-4</v>
      </c>
    </row>
    <row r="254" spans="1:4">
      <c r="A254" s="3" t="s">
        <v>772</v>
      </c>
      <c r="B254" t="str">
        <f>IF(COUNTIF(Constituency_Level_Data!$A:$A,A254)&gt;0,"Found","Missing")</f>
        <v>Found</v>
      </c>
      <c r="C254" t="str">
        <f>IF(COUNTIF(Constituency_Level_Data!$A:$A,B254)&gt;0,"Found","Missing")</f>
        <v>Missing</v>
      </c>
      <c r="D254" t="str">
        <f t="shared" si="3"/>
        <v>Comilla-5</v>
      </c>
    </row>
    <row r="255" spans="1:4">
      <c r="A255" s="2" t="s">
        <v>775</v>
      </c>
      <c r="B255" t="str">
        <f>IF(COUNTIF(Constituency_Level_Data!$A:$A,A255)&gt;0,"Found","Missing")</f>
        <v>Found</v>
      </c>
      <c r="C255" t="str">
        <f>IF(COUNTIF(Constituency_Level_Data!$A:$A,B255)&gt;0,"Found","Missing")</f>
        <v>Missing</v>
      </c>
      <c r="D255" t="str">
        <f t="shared" si="3"/>
        <v>Comilla-6</v>
      </c>
    </row>
    <row r="256" spans="1:4">
      <c r="A256" s="3" t="s">
        <v>778</v>
      </c>
      <c r="B256" t="str">
        <f>IF(COUNTIF(Constituency_Level_Data!$A:$A,A256)&gt;0,"Found","Missing")</f>
        <v>Found</v>
      </c>
      <c r="C256" t="str">
        <f>IF(COUNTIF(Constituency_Level_Data!$A:$A,B256)&gt;0,"Found","Missing")</f>
        <v>Missing</v>
      </c>
      <c r="D256" t="str">
        <f t="shared" si="3"/>
        <v>Comilla-7</v>
      </c>
    </row>
    <row r="257" spans="1:4">
      <c r="A257" s="2" t="s">
        <v>781</v>
      </c>
      <c r="B257" t="str">
        <f>IF(COUNTIF(Constituency_Level_Data!$A:$A,A257)&gt;0,"Found","Missing")</f>
        <v>Found</v>
      </c>
      <c r="C257" t="str">
        <f>IF(COUNTIF(Constituency_Level_Data!$A:$A,B257)&gt;0,"Found","Missing")</f>
        <v>Missing</v>
      </c>
      <c r="D257" t="str">
        <f t="shared" si="3"/>
        <v>Comilla-8</v>
      </c>
    </row>
    <row r="258" spans="1:4">
      <c r="A258" s="3" t="s">
        <v>784</v>
      </c>
      <c r="B258" t="str">
        <f>IF(COUNTIF(Constituency_Level_Data!$A:$A,A258)&gt;0,"Found","Missing")</f>
        <v>Found</v>
      </c>
      <c r="C258" t="str">
        <f>IF(COUNTIF(Constituency_Level_Data!$A:$A,B258)&gt;0,"Found","Missing")</f>
        <v>Missing</v>
      </c>
      <c r="D258" t="str">
        <f t="shared" si="3"/>
        <v>Comilla-9</v>
      </c>
    </row>
    <row r="259" spans="1:4">
      <c r="A259" s="2" t="s">
        <v>787</v>
      </c>
      <c r="B259" t="str">
        <f>IF(COUNTIF(Constituency_Level_Data!$A:$A,A259)&gt;0,"Found","Missing")</f>
        <v>Found</v>
      </c>
      <c r="C259" t="str">
        <f>IF(COUNTIF(Constituency_Level_Data!$A:$A,B259)&gt;0,"Found","Missing")</f>
        <v>Missing</v>
      </c>
      <c r="D259" t="str">
        <f t="shared" ref="D259:D303" si="4">SUBSTITUTE(SUBSTITUTE(SUBSTITUTE(SUBSTITUTE(TRIM(A259),"Barisal","Barishal"),"Jessore","Jashore"),"Bogra","Bogura"),"Chapai Nawabganj","Chapainawabganj")</f>
        <v>Comilla-10</v>
      </c>
    </row>
    <row r="260" spans="1:4">
      <c r="A260" s="3" t="s">
        <v>790</v>
      </c>
      <c r="B260" t="str">
        <f>IF(COUNTIF(Constituency_Level_Data!$A:$A,A260)&gt;0,"Found","Missing")</f>
        <v>Found</v>
      </c>
      <c r="C260" t="str">
        <f>IF(COUNTIF(Constituency_Level_Data!$A:$A,B260)&gt;0,"Found","Missing")</f>
        <v>Missing</v>
      </c>
      <c r="D260" t="str">
        <f t="shared" si="4"/>
        <v>Comilla-11</v>
      </c>
    </row>
    <row r="261" spans="1:4">
      <c r="A261" s="2" t="s">
        <v>793</v>
      </c>
      <c r="B261" t="str">
        <f>IF(COUNTIF(Constituency_Level_Data!$A:$A,A261)&gt;0,"Found","Missing")</f>
        <v>Found</v>
      </c>
      <c r="C261" t="str">
        <f>IF(COUNTIF(Constituency_Level_Data!$A:$A,B261)&gt;0,"Found","Missing")</f>
        <v>Missing</v>
      </c>
      <c r="D261" t="str">
        <f t="shared" si="4"/>
        <v>Chandpur-1</v>
      </c>
    </row>
    <row r="262" spans="1:4">
      <c r="A262" s="3" t="s">
        <v>796</v>
      </c>
      <c r="B262" t="str">
        <f>IF(COUNTIF(Constituency_Level_Data!$A:$A,A262)&gt;0,"Found","Missing")</f>
        <v>Found</v>
      </c>
      <c r="C262" t="str">
        <f>IF(COUNTIF(Constituency_Level_Data!$A:$A,B262)&gt;0,"Found","Missing")</f>
        <v>Missing</v>
      </c>
      <c r="D262" t="str">
        <f t="shared" si="4"/>
        <v>Chandpur-2</v>
      </c>
    </row>
    <row r="263" spans="1:4">
      <c r="A263" s="2" t="s">
        <v>799</v>
      </c>
      <c r="B263" t="str">
        <f>IF(COUNTIF(Constituency_Level_Data!$A:$A,A263)&gt;0,"Found","Missing")</f>
        <v>Found</v>
      </c>
      <c r="C263" t="str">
        <f>IF(COUNTIF(Constituency_Level_Data!$A:$A,B263)&gt;0,"Found","Missing")</f>
        <v>Missing</v>
      </c>
      <c r="D263" t="str">
        <f t="shared" si="4"/>
        <v>Chandpur-3</v>
      </c>
    </row>
    <row r="264" spans="1:4">
      <c r="A264" s="3" t="s">
        <v>801</v>
      </c>
      <c r="B264" t="str">
        <f>IF(COUNTIF(Constituency_Level_Data!$A:$A,A264)&gt;0,"Found","Missing")</f>
        <v>Found</v>
      </c>
      <c r="C264" t="str">
        <f>IF(COUNTIF(Constituency_Level_Data!$A:$A,B264)&gt;0,"Found","Missing")</f>
        <v>Missing</v>
      </c>
      <c r="D264" t="str">
        <f t="shared" si="4"/>
        <v>Chandpur-4</v>
      </c>
    </row>
    <row r="265" spans="1:4">
      <c r="A265" s="2" t="s">
        <v>804</v>
      </c>
      <c r="B265" t="str">
        <f>IF(COUNTIF(Constituency_Level_Data!$A:$A,A265)&gt;0,"Found","Missing")</f>
        <v>Found</v>
      </c>
      <c r="C265" t="str">
        <f>IF(COUNTIF(Constituency_Level_Data!$A:$A,B265)&gt;0,"Found","Missing")</f>
        <v>Missing</v>
      </c>
      <c r="D265" t="str">
        <f t="shared" si="4"/>
        <v>Chandpur-5</v>
      </c>
    </row>
    <row r="266" spans="1:4">
      <c r="A266" s="3" t="s">
        <v>807</v>
      </c>
      <c r="B266" t="str">
        <f>IF(COUNTIF(Constituency_Level_Data!$A:$A,A266)&gt;0,"Found","Missing")</f>
        <v>Found</v>
      </c>
      <c r="C266" t="str">
        <f>IF(COUNTIF(Constituency_Level_Data!$A:$A,B266)&gt;0,"Found","Missing")</f>
        <v>Missing</v>
      </c>
      <c r="D266" t="str">
        <f t="shared" si="4"/>
        <v>Feni-1</v>
      </c>
    </row>
    <row r="267" spans="1:4">
      <c r="A267" s="2" t="s">
        <v>810</v>
      </c>
      <c r="B267" t="str">
        <f>IF(COUNTIF(Constituency_Level_Data!$A:$A,A267)&gt;0,"Found","Missing")</f>
        <v>Found</v>
      </c>
      <c r="C267" t="str">
        <f>IF(COUNTIF(Constituency_Level_Data!$A:$A,B267)&gt;0,"Found","Missing")</f>
        <v>Missing</v>
      </c>
      <c r="D267" t="str">
        <f t="shared" si="4"/>
        <v>Feni-2</v>
      </c>
    </row>
    <row r="268" spans="1:4">
      <c r="A268" s="3" t="s">
        <v>813</v>
      </c>
      <c r="B268" t="str">
        <f>IF(COUNTIF(Constituency_Level_Data!$A:$A,A268)&gt;0,"Found","Missing")</f>
        <v>Found</v>
      </c>
      <c r="C268" t="str">
        <f>IF(COUNTIF(Constituency_Level_Data!$A:$A,B268)&gt;0,"Found","Missing")</f>
        <v>Missing</v>
      </c>
      <c r="D268" t="str">
        <f t="shared" si="4"/>
        <v>Feni-3</v>
      </c>
    </row>
    <row r="269" spans="1:4">
      <c r="A269" s="2" t="s">
        <v>816</v>
      </c>
      <c r="B269" t="str">
        <f>IF(COUNTIF(Constituency_Level_Data!$A:$A,A269)&gt;0,"Found","Missing")</f>
        <v>Found</v>
      </c>
      <c r="C269" t="str">
        <f>IF(COUNTIF(Constituency_Level_Data!$A:$A,B269)&gt;0,"Found","Missing")</f>
        <v>Missing</v>
      </c>
      <c r="D269" t="str">
        <f t="shared" si="4"/>
        <v>Noakhali-1</v>
      </c>
    </row>
    <row r="270" spans="1:4">
      <c r="A270" s="3" t="s">
        <v>819</v>
      </c>
      <c r="B270" t="str">
        <f>IF(COUNTIF(Constituency_Level_Data!$A:$A,A270)&gt;0,"Found","Missing")</f>
        <v>Found</v>
      </c>
      <c r="C270" t="str">
        <f>IF(COUNTIF(Constituency_Level_Data!$A:$A,B270)&gt;0,"Found","Missing")</f>
        <v>Missing</v>
      </c>
      <c r="D270" t="str">
        <f t="shared" si="4"/>
        <v>Noakhali-2</v>
      </c>
    </row>
    <row r="271" spans="1:4">
      <c r="A271" s="2" t="s">
        <v>822</v>
      </c>
      <c r="B271" t="str">
        <f>IF(COUNTIF(Constituency_Level_Data!$A:$A,A271)&gt;0,"Found","Missing")</f>
        <v>Found</v>
      </c>
      <c r="C271" t="str">
        <f>IF(COUNTIF(Constituency_Level_Data!$A:$A,B271)&gt;0,"Found","Missing")</f>
        <v>Missing</v>
      </c>
      <c r="D271" t="str">
        <f t="shared" si="4"/>
        <v>Noakhali-3</v>
      </c>
    </row>
    <row r="272" spans="1:4">
      <c r="A272" s="3" t="s">
        <v>825</v>
      </c>
      <c r="B272" t="str">
        <f>IF(COUNTIF(Constituency_Level_Data!$A:$A,A272)&gt;0,"Found","Missing")</f>
        <v>Found</v>
      </c>
      <c r="C272" t="str">
        <f>IF(COUNTIF(Constituency_Level_Data!$A:$A,B272)&gt;0,"Found","Missing")</f>
        <v>Missing</v>
      </c>
      <c r="D272" t="str">
        <f t="shared" si="4"/>
        <v>Noakhali-4</v>
      </c>
    </row>
    <row r="273" spans="1:4">
      <c r="A273" s="2" t="s">
        <v>828</v>
      </c>
      <c r="B273" t="str">
        <f>IF(COUNTIF(Constituency_Level_Data!$A:$A,A273)&gt;0,"Found","Missing")</f>
        <v>Found</v>
      </c>
      <c r="C273" t="str">
        <f>IF(COUNTIF(Constituency_Level_Data!$A:$A,B273)&gt;0,"Found","Missing")</f>
        <v>Missing</v>
      </c>
      <c r="D273" t="str">
        <f t="shared" si="4"/>
        <v>Noakhali-5</v>
      </c>
    </row>
    <row r="274" spans="1:4">
      <c r="A274" s="3" t="s">
        <v>831</v>
      </c>
      <c r="B274" t="str">
        <f>IF(COUNTIF(Constituency_Level_Data!$A:$A,A274)&gt;0,"Found","Missing")</f>
        <v>Found</v>
      </c>
      <c r="C274" t="str">
        <f>IF(COUNTIF(Constituency_Level_Data!$A:$A,B274)&gt;0,"Found","Missing")</f>
        <v>Missing</v>
      </c>
      <c r="D274" t="str">
        <f t="shared" si="4"/>
        <v>Noakhali-6</v>
      </c>
    </row>
    <row r="275" spans="1:4">
      <c r="A275" s="2" t="s">
        <v>834</v>
      </c>
      <c r="B275" t="str">
        <f>IF(COUNTIF(Constituency_Level_Data!$A:$A,A275)&gt;0,"Found","Missing")</f>
        <v>Found</v>
      </c>
      <c r="C275" t="str">
        <f>IF(COUNTIF(Constituency_Level_Data!$A:$A,B275)&gt;0,"Found","Missing")</f>
        <v>Missing</v>
      </c>
      <c r="D275" t="str">
        <f t="shared" si="4"/>
        <v>Lakshmipur-1</v>
      </c>
    </row>
    <row r="276" spans="1:4">
      <c r="A276" s="3" t="s">
        <v>837</v>
      </c>
      <c r="B276" t="str">
        <f>IF(COUNTIF(Constituency_Level_Data!$A:$A,A276)&gt;0,"Found","Missing")</f>
        <v>Found</v>
      </c>
      <c r="C276" t="str">
        <f>IF(COUNTIF(Constituency_Level_Data!$A:$A,B276)&gt;0,"Found","Missing")</f>
        <v>Missing</v>
      </c>
      <c r="D276" t="str">
        <f t="shared" si="4"/>
        <v>Lakshmipur-2</v>
      </c>
    </row>
    <row r="277" spans="1:4">
      <c r="A277" s="2" t="s">
        <v>840</v>
      </c>
      <c r="B277" t="str">
        <f>IF(COUNTIF(Constituency_Level_Data!$A:$A,A277)&gt;0,"Found","Missing")</f>
        <v>Found</v>
      </c>
      <c r="C277" t="str">
        <f>IF(COUNTIF(Constituency_Level_Data!$A:$A,B277)&gt;0,"Found","Missing")</f>
        <v>Missing</v>
      </c>
      <c r="D277" t="str">
        <f t="shared" si="4"/>
        <v>Lakshmipur-3</v>
      </c>
    </row>
    <row r="278" spans="1:4">
      <c r="A278" s="3" t="s">
        <v>843</v>
      </c>
      <c r="B278" t="str">
        <f>IF(COUNTIF(Constituency_Level_Data!$A:$A,A278)&gt;0,"Found","Missing")</f>
        <v>Found</v>
      </c>
      <c r="C278" t="str">
        <f>IF(COUNTIF(Constituency_Level_Data!$A:$A,B278)&gt;0,"Found","Missing")</f>
        <v>Missing</v>
      </c>
      <c r="D278" t="str">
        <f t="shared" si="4"/>
        <v>Lakshmipur-4</v>
      </c>
    </row>
    <row r="279" spans="1:4">
      <c r="A279" s="2" t="s">
        <v>846</v>
      </c>
      <c r="B279" t="str">
        <f>IF(COUNTIF(Constituency_Level_Data!$A:$A,A279)&gt;0,"Found","Missing")</f>
        <v>Found</v>
      </c>
      <c r="C279" t="str">
        <f>IF(COUNTIF(Constituency_Level_Data!$A:$A,B279)&gt;0,"Found","Missing")</f>
        <v>Missing</v>
      </c>
      <c r="D279" t="str">
        <f t="shared" si="4"/>
        <v>Chittagong-1</v>
      </c>
    </row>
    <row r="280" spans="1:4">
      <c r="A280" s="3" t="s">
        <v>849</v>
      </c>
      <c r="B280" t="str">
        <f>IF(COUNTIF(Constituency_Level_Data!$A:$A,A280)&gt;0,"Found","Missing")</f>
        <v>Found</v>
      </c>
      <c r="C280" t="str">
        <f>IF(COUNTIF(Constituency_Level_Data!$A:$A,B280)&gt;0,"Found","Missing")</f>
        <v>Missing</v>
      </c>
      <c r="D280" t="str">
        <f t="shared" si="4"/>
        <v>Chittagong-2</v>
      </c>
    </row>
    <row r="281" spans="1:4">
      <c r="A281" s="2" t="s">
        <v>851</v>
      </c>
      <c r="B281" t="str">
        <f>IF(COUNTIF(Constituency_Level_Data!$A:$A,A281)&gt;0,"Found","Missing")</f>
        <v>Found</v>
      </c>
      <c r="C281" t="str">
        <f>IF(COUNTIF(Constituency_Level_Data!$A:$A,B281)&gt;0,"Found","Missing")</f>
        <v>Missing</v>
      </c>
      <c r="D281" t="str">
        <f t="shared" si="4"/>
        <v>Chittagong-3</v>
      </c>
    </row>
    <row r="282" spans="1:4">
      <c r="A282" s="3" t="s">
        <v>854</v>
      </c>
      <c r="B282" t="str">
        <f>IF(COUNTIF(Constituency_Level_Data!$A:$A,A282)&gt;0,"Found","Missing")</f>
        <v>Found</v>
      </c>
      <c r="C282" t="str">
        <f>IF(COUNTIF(Constituency_Level_Data!$A:$A,B282)&gt;0,"Found","Missing")</f>
        <v>Missing</v>
      </c>
      <c r="D282" t="str">
        <f t="shared" si="4"/>
        <v>Chittagong-4</v>
      </c>
    </row>
    <row r="283" spans="1:4">
      <c r="A283" s="2" t="s">
        <v>855</v>
      </c>
      <c r="B283" t="str">
        <f>IF(COUNTIF(Constituency_Level_Data!$A:$A,A283)&gt;0,"Found","Missing")</f>
        <v>Found</v>
      </c>
      <c r="C283" t="str">
        <f>IF(COUNTIF(Constituency_Level_Data!$A:$A,B283)&gt;0,"Found","Missing")</f>
        <v>Missing</v>
      </c>
      <c r="D283" t="str">
        <f t="shared" si="4"/>
        <v>Chittagong-5</v>
      </c>
    </row>
    <row r="284" spans="1:4">
      <c r="A284" s="3" t="s">
        <v>858</v>
      </c>
      <c r="B284" t="str">
        <f>IF(COUNTIF(Constituency_Level_Data!$A:$A,A284)&gt;0,"Found","Missing")</f>
        <v>Found</v>
      </c>
      <c r="C284" t="str">
        <f>IF(COUNTIF(Constituency_Level_Data!$A:$A,B284)&gt;0,"Found","Missing")</f>
        <v>Missing</v>
      </c>
      <c r="D284" t="str">
        <f t="shared" si="4"/>
        <v>Chittagong-6</v>
      </c>
    </row>
    <row r="285" spans="1:4">
      <c r="A285" s="2" t="s">
        <v>861</v>
      </c>
      <c r="B285" t="str">
        <f>IF(COUNTIF(Constituency_Level_Data!$A:$A,A285)&gt;0,"Found","Missing")</f>
        <v>Found</v>
      </c>
      <c r="C285" t="str">
        <f>IF(COUNTIF(Constituency_Level_Data!$A:$A,B285)&gt;0,"Found","Missing")</f>
        <v>Missing</v>
      </c>
      <c r="D285" t="str">
        <f t="shared" si="4"/>
        <v>Chittagong-7</v>
      </c>
    </row>
    <row r="286" spans="1:4">
      <c r="A286" s="3" t="s">
        <v>864</v>
      </c>
      <c r="B286" t="str">
        <f>IF(COUNTIF(Constituency_Level_Data!$A:$A,A286)&gt;0,"Found","Missing")</f>
        <v>Found</v>
      </c>
      <c r="C286" t="str">
        <f>IF(COUNTIF(Constituency_Level_Data!$A:$A,B286)&gt;0,"Found","Missing")</f>
        <v>Missing</v>
      </c>
      <c r="D286" t="str">
        <f t="shared" si="4"/>
        <v>Chittagong-8</v>
      </c>
    </row>
    <row r="287" spans="1:4">
      <c r="A287" s="2" t="s">
        <v>867</v>
      </c>
      <c r="B287" t="str">
        <f>IF(COUNTIF(Constituency_Level_Data!$A:$A,A287)&gt;0,"Found","Missing")</f>
        <v>Found</v>
      </c>
      <c r="C287" t="str">
        <f>IF(COUNTIF(Constituency_Level_Data!$A:$A,B287)&gt;0,"Found","Missing")</f>
        <v>Missing</v>
      </c>
      <c r="D287" t="str">
        <f t="shared" si="4"/>
        <v>Chittagong-9</v>
      </c>
    </row>
    <row r="288" spans="1:4">
      <c r="A288" s="3" t="s">
        <v>870</v>
      </c>
      <c r="B288" t="str">
        <f>IF(COUNTIF(Constituency_Level_Data!$A:$A,A288)&gt;0,"Found","Missing")</f>
        <v>Found</v>
      </c>
      <c r="C288" t="str">
        <f>IF(COUNTIF(Constituency_Level_Data!$A:$A,B288)&gt;0,"Found","Missing")</f>
        <v>Missing</v>
      </c>
      <c r="D288" t="str">
        <f t="shared" si="4"/>
        <v>Chittagong-10</v>
      </c>
    </row>
    <row r="289" spans="1:9">
      <c r="A289" s="2" t="s">
        <v>873</v>
      </c>
      <c r="B289" t="str">
        <f>IF(COUNTIF(Constituency_Level_Data!$A:$A,A289)&gt;0,"Found","Missing")</f>
        <v>Found</v>
      </c>
      <c r="C289" t="str">
        <f>IF(COUNTIF(Constituency_Level_Data!$A:$A,B289)&gt;0,"Found","Missing")</f>
        <v>Missing</v>
      </c>
      <c r="D289" t="str">
        <f t="shared" si="4"/>
        <v>Chittagong-11</v>
      </c>
    </row>
    <row r="290" spans="1:9">
      <c r="A290" s="3" t="s">
        <v>876</v>
      </c>
      <c r="B290" t="str">
        <f>IF(COUNTIF(Constituency_Level_Data!$A:$A,A290)&gt;0,"Found","Missing")</f>
        <v>Found</v>
      </c>
      <c r="C290" t="str">
        <f>IF(COUNTIF(Constituency_Level_Data!$A:$A,B290)&gt;0,"Found","Missing")</f>
        <v>Missing</v>
      </c>
      <c r="D290" t="str">
        <f t="shared" si="4"/>
        <v>Chittagong-12</v>
      </c>
    </row>
    <row r="291" spans="1:9">
      <c r="A291" s="2" t="s">
        <v>879</v>
      </c>
      <c r="B291" t="str">
        <f>IF(COUNTIF(Constituency_Level_Data!$A:$A,A291)&gt;0,"Found","Missing")</f>
        <v>Found</v>
      </c>
      <c r="C291" t="str">
        <f>IF(COUNTIF(Constituency_Level_Data!$A:$A,B291)&gt;0,"Found","Missing")</f>
        <v>Missing</v>
      </c>
      <c r="D291" t="str">
        <f t="shared" si="4"/>
        <v>Chittagong-13</v>
      </c>
    </row>
    <row r="292" spans="1:9">
      <c r="A292" s="3" t="s">
        <v>882</v>
      </c>
      <c r="B292" t="str">
        <f>IF(COUNTIF(Constituency_Level_Data!$A:$A,A292)&gt;0,"Found","Missing")</f>
        <v>Found</v>
      </c>
      <c r="C292" t="str">
        <f>IF(COUNTIF(Constituency_Level_Data!$A:$A,B292)&gt;0,"Found","Missing")</f>
        <v>Missing</v>
      </c>
      <c r="D292" t="str">
        <f t="shared" si="4"/>
        <v>Chittagong-14</v>
      </c>
    </row>
    <row r="293" spans="1:9">
      <c r="A293" s="2" t="s">
        <v>885</v>
      </c>
      <c r="B293" t="str">
        <f>IF(COUNTIF(Constituency_Level_Data!$A:$A,A293)&gt;0,"Found","Missing")</f>
        <v>Found</v>
      </c>
      <c r="C293" t="str">
        <f>IF(COUNTIF(Constituency_Level_Data!$A:$A,B293)&gt;0,"Found","Missing")</f>
        <v>Missing</v>
      </c>
      <c r="D293" t="str">
        <f t="shared" si="4"/>
        <v>Chittagong-15</v>
      </c>
    </row>
    <row r="294" spans="1:9">
      <c r="A294" s="3" t="s">
        <v>888</v>
      </c>
      <c r="B294" t="str">
        <f>IF(COUNTIF(Constituency_Level_Data!$A:$A,A294)&gt;0,"Found","Missing")</f>
        <v>Found</v>
      </c>
      <c r="C294" t="str">
        <f>IF(COUNTIF(Constituency_Level_Data!$A:$A,B294)&gt;0,"Found","Missing")</f>
        <v>Missing</v>
      </c>
      <c r="D294" t="str">
        <f t="shared" si="4"/>
        <v>Chittagong-16</v>
      </c>
    </row>
    <row r="295" spans="1:9">
      <c r="A295" s="2" t="s">
        <v>891</v>
      </c>
      <c r="B295" t="str">
        <f>IF(COUNTIF(Constituency_Level_Data!$A:$A,A295)&gt;0,"Found","Missing")</f>
        <v>Found</v>
      </c>
      <c r="C295" t="str">
        <f>IF(COUNTIF(Constituency_Level_Data!$A:$A,B295)&gt;0,"Found","Missing")</f>
        <v>Missing</v>
      </c>
      <c r="D295" t="str">
        <f t="shared" si="4"/>
        <v>Cox's Bazar-1</v>
      </c>
    </row>
    <row r="296" spans="1:9">
      <c r="A296" s="3" t="s">
        <v>894</v>
      </c>
      <c r="B296" t="str">
        <f>IF(COUNTIF(Constituency_Level_Data!$A:$A,A296)&gt;0,"Found","Missing")</f>
        <v>Found</v>
      </c>
      <c r="C296" t="str">
        <f>IF(COUNTIF(Constituency_Level_Data!$A:$A,B296)&gt;0,"Found","Missing")</f>
        <v>Missing</v>
      </c>
      <c r="D296" t="str">
        <f t="shared" si="4"/>
        <v>Cox's Bazar-2</v>
      </c>
    </row>
    <row r="297" spans="1:9">
      <c r="A297" s="2" t="s">
        <v>897</v>
      </c>
      <c r="B297" t="str">
        <f>IF(COUNTIF(Constituency_Level_Data!$A:$A,A297)&gt;0,"Found","Missing")</f>
        <v>Found</v>
      </c>
      <c r="C297" t="str">
        <f>IF(COUNTIF(Constituency_Level_Data!$A:$A,B297)&gt;0,"Found","Missing")</f>
        <v>Missing</v>
      </c>
      <c r="D297" t="str">
        <f t="shared" si="4"/>
        <v>Cox's Bazar-3</v>
      </c>
    </row>
    <row r="298" spans="1:9">
      <c r="A298" s="3" t="s">
        <v>900</v>
      </c>
      <c r="B298" t="str">
        <f>IF(COUNTIF(Constituency_Level_Data!$A:$A,A298)&gt;0,"Found","Missing")</f>
        <v>Found</v>
      </c>
      <c r="C298" t="str">
        <f>IF(COUNTIF(Constituency_Level_Data!$A:$A,B298)&gt;0,"Found","Missing")</f>
        <v>Missing</v>
      </c>
      <c r="D298" t="str">
        <f t="shared" si="4"/>
        <v>Cox's Bazar-4</v>
      </c>
    </row>
    <row r="299" spans="1:9">
      <c r="A299" s="2" t="s">
        <v>1433</v>
      </c>
      <c r="B299" t="str">
        <f>IF(COUNTIF(Constituency_Level_Data!$A:$A,A299)&gt;0,"Found","Missing")</f>
        <v>Found</v>
      </c>
      <c r="C299" t="str">
        <f>IF(COUNTIF(Constituency_Level_Data!$A:$A,B299)&gt;0,"Found","Missing")</f>
        <v>Missing</v>
      </c>
      <c r="D299" t="str">
        <f t="shared" si="4"/>
        <v>Khagrachhari-1</v>
      </c>
    </row>
    <row r="300" spans="1:9">
      <c r="A300" s="3" t="s">
        <v>1442</v>
      </c>
      <c r="B300" t="str">
        <f>IF(COUNTIF(Constituency_Level_Data!$A:$A,A300)&gt;0,"Found","Missing")</f>
        <v>Found</v>
      </c>
      <c r="C300" t="str">
        <f>IF(COUNTIF(Constituency_Level_Data!$A:$A,B300)&gt;0,"Found","Missing")</f>
        <v>Missing</v>
      </c>
      <c r="D300" t="str">
        <f t="shared" si="4"/>
        <v>Rangamati-1</v>
      </c>
    </row>
    <row r="301" spans="1:9">
      <c r="A301" s="2" t="s">
        <v>1450</v>
      </c>
      <c r="B301" t="str">
        <f>IF(COUNTIF(Constituency_Level_Data!$A:$A,A301)&gt;0,"Found","Missing")</f>
        <v>Found</v>
      </c>
      <c r="C301" t="str">
        <f>IF(COUNTIF(Constituency_Level_Data!$A:$A,B301)&gt;0,"Found","Missing")</f>
        <v>Missing</v>
      </c>
      <c r="D301" t="str">
        <f t="shared" si="4"/>
        <v>Bandarban-1</v>
      </c>
    </row>
    <row r="302" spans="1:9">
      <c r="D302" t="str">
        <f t="shared" si="4"/>
        <v/>
      </c>
    </row>
    <row r="303" spans="1:9">
      <c r="D303" t="str">
        <f t="shared" si="4"/>
        <v/>
      </c>
      <c r="I303" t="e" cm="1" vm="1">
        <f t="array" ref="I303">_xlfn._xlws.FILTER(Master_Data!C2:C301,COUNTIF(Constituency_Level_Data!A:A,Master_Data!C2:C301)=0)</f>
        <v>#VALUE!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608E-A94F-49CA-9F0E-CF42B236F9C8}">
  <dimension ref="A1:AC302"/>
  <sheetViews>
    <sheetView topLeftCell="S46" workbookViewId="0">
      <selection activeCell="A52" sqref="A52"/>
    </sheetView>
  </sheetViews>
  <sheetFormatPr defaultRowHeight="15"/>
  <cols>
    <col min="1" max="1" width="12.5703125" bestFit="1" customWidth="1"/>
    <col min="2" max="2" width="8.140625" bestFit="1" customWidth="1"/>
    <col min="3" max="3" width="8.42578125" bestFit="1" customWidth="1"/>
    <col min="4" max="4" width="14" bestFit="1" customWidth="1"/>
    <col min="5" max="5" width="10.85546875" bestFit="1" customWidth="1"/>
    <col min="6" max="6" width="10.7109375" bestFit="1" customWidth="1"/>
    <col min="7" max="7" width="18.7109375" bestFit="1" customWidth="1"/>
    <col min="8" max="8" width="15.28515625" bestFit="1" customWidth="1"/>
    <col min="9" max="9" width="12.85546875" bestFit="1" customWidth="1"/>
    <col min="10" max="10" width="12" bestFit="1" customWidth="1"/>
    <col min="11" max="11" width="21" bestFit="1" customWidth="1"/>
    <col min="12" max="12" width="23.28515625" bestFit="1" customWidth="1"/>
    <col min="13" max="13" width="14.7109375" bestFit="1" customWidth="1"/>
    <col min="14" max="14" width="7.7109375" bestFit="1" customWidth="1"/>
    <col min="15" max="15" width="14.28515625" bestFit="1" customWidth="1"/>
    <col min="16" max="16" width="20" bestFit="1" customWidth="1"/>
    <col min="17" max="17" width="14" bestFit="1" customWidth="1"/>
    <col min="18" max="18" width="19.28515625" bestFit="1" customWidth="1"/>
    <col min="19" max="19" width="11" bestFit="1" customWidth="1"/>
    <col min="20" max="20" width="17.42578125" bestFit="1" customWidth="1"/>
    <col min="21" max="21" width="22.7109375" bestFit="1" customWidth="1"/>
    <col min="22" max="22" width="13.5703125" bestFit="1" customWidth="1"/>
    <col min="23" max="23" width="18.5703125" bestFit="1" customWidth="1"/>
    <col min="24" max="24" width="16.140625" bestFit="1" customWidth="1"/>
    <col min="25" max="25" width="6.5703125" bestFit="1" customWidth="1"/>
    <col min="26" max="26" width="16.7109375" bestFit="1" customWidth="1"/>
    <col min="27" max="27" width="20.42578125" bestFit="1" customWidth="1"/>
    <col min="28" max="28" width="20.5703125" bestFit="1" customWidth="1"/>
    <col min="29" max="29" width="21.5703125" bestFit="1" customWidth="1"/>
  </cols>
  <sheetData>
    <row r="1" spans="1:29">
      <c r="A1" s="1" t="s">
        <v>2</v>
      </c>
      <c r="B1" s="1" t="s">
        <v>1579</v>
      </c>
      <c r="C1" s="1" t="s">
        <v>1580</v>
      </c>
      <c r="D1" s="1" t="s">
        <v>1581</v>
      </c>
      <c r="E1" s="1" t="s">
        <v>1568</v>
      </c>
      <c r="F1" s="1" t="s">
        <v>1464</v>
      </c>
      <c r="G1" s="1" t="s">
        <v>1569</v>
      </c>
      <c r="H1" s="1" t="s">
        <v>1465</v>
      </c>
      <c r="I1" s="1" t="s">
        <v>1466</v>
      </c>
      <c r="J1" s="1" t="s">
        <v>1582</v>
      </c>
      <c r="K1" s="1" t="s">
        <v>1565</v>
      </c>
      <c r="L1" s="1" t="s">
        <v>1566</v>
      </c>
      <c r="M1" s="1" t="s">
        <v>1587</v>
      </c>
      <c r="N1" s="1" t="s">
        <v>3</v>
      </c>
      <c r="O1" s="1" t="s">
        <v>1589</v>
      </c>
      <c r="P1" s="1" t="s">
        <v>1590</v>
      </c>
      <c r="Q1" s="1" t="s">
        <v>1591</v>
      </c>
      <c r="R1" s="1" t="s">
        <v>1458</v>
      </c>
      <c r="S1" s="1" t="s">
        <v>6</v>
      </c>
      <c r="T1" s="1" t="s">
        <v>1592</v>
      </c>
      <c r="U1" s="1" t="s">
        <v>1459</v>
      </c>
      <c r="V1" s="1" t="s">
        <v>9</v>
      </c>
      <c r="W1" s="1" t="s">
        <v>1460</v>
      </c>
      <c r="X1" s="1" t="s">
        <v>1461</v>
      </c>
      <c r="Y1" s="1" t="s">
        <v>1599</v>
      </c>
      <c r="Z1" s="1" t="s">
        <v>1600</v>
      </c>
      <c r="AA1" s="1" t="s">
        <v>1619</v>
      </c>
      <c r="AB1" t="str">
        <f>_xlfn.XLOOKUP(B1,Remittance_Data!A:A,Remittance_Data!C:C,"CHECK")</f>
        <v>CHECK</v>
      </c>
      <c r="AC1" s="1" t="s">
        <v>1621</v>
      </c>
    </row>
    <row r="2" spans="1:29">
      <c r="A2" t="str" cm="1">
        <f t="array" ref="A2:A301">_xlfn._xlws.SORT(_xlfn.UNIQUE(_xlfn._xlws.FILTER(Final_Merged_Data!$B$2:$B$1000,Final_Merged_Data!$B$2:$B$1000&lt;&gt;"")))</f>
        <v>Bagerhat-1</v>
      </c>
      <c r="B2" t="str" cm="1">
        <f t="array" ref="B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Nawabganj","Chapainawabganj"),Final_Merged_Data!$B$2:$B$1000=$A2)))</f>
        <v>Bagerhat</v>
      </c>
      <c r="C2" t="str" cm="1">
        <f t="array" ref="C2">_xlfn.TEXTJOIN(", ",TRUE,_xlfn._xlws.FILTER(Final_Merged_Data!$C$2:$C$1000,Final_Merged_Data!$B$2:$B$1000=$A2))</f>
        <v>Fakirhat, Mollahat, Chitalmari</v>
      </c>
      <c r="D2" cm="1">
        <f t="array" ref="D2">COUNTA(_xlfn._xlws.FILTER(Final_Merged_Data!$C$2:$C$1000,Final_Merged_Data!$B$2:$B$1000=$A2))</f>
        <v>3</v>
      </c>
      <c r="E2">
        <f>SUMIFS(Final_Merged_Data!$E:$E,Final_Merged_Data!$B:$B,$A2)</f>
        <v>813.53</v>
      </c>
      <c r="F2">
        <f>SUMIFS(Final_Merged_Data!$F:$F,Final_Merged_Data!$B:$B,$A2)</f>
        <v>456659</v>
      </c>
      <c r="G2">
        <f>IF(E2=0,"",F2/E2)</f>
        <v>561.3302521111699</v>
      </c>
      <c r="H2" cm="1">
        <f t="array" ref="H2">SUMPRODUCT((Final_Merged_Data!$B$2:$B$1000=$A2)*Final_Merged_Data!$H$2:$H$1000*Final_Merged_Data!$F$2:$F$1000)/F2</f>
        <v>4.0725841163756762</v>
      </c>
      <c r="I2" cm="1">
        <f t="array" ref="I2">SUMPRODUCT((Final_Merged_Data!$B$2:$B$1000=$A2)*Final_Merged_Data!$I$2:$I$1000*Final_Merged_Data!$F$2:$F$1000)/F2</f>
        <v>79.89585147779853</v>
      </c>
      <c r="J2" t="str" cm="1">
        <f t="array" ref="J2">_xlfn.TEXTJOIN(", ",TRUE,_xlfn.UNIQUE(_xlfn._xlws.FILTER(Final_Merged_Data!$J$2:$J$1000,Final_Merged_Data!$B$2:$B$1000=$A2)))</f>
        <v>Khulna Range</v>
      </c>
      <c r="K2" cm="1">
        <f t="array" ref="K2">SUMPRODUCT((Final_Merged_Data!$B$2:$B$1000=$A2)*Final_Merged_Data!$K$2:$K$1000*Final_Merged_Data!$F$2:$F$1000)/F2</f>
        <v>102.32166075410298</v>
      </c>
      <c r="L2" cm="1">
        <f t="array" ref="L2">SUMPRODUCT((Final_Merged_Data!$B$2:$B$1000=$A2)*Final_Merged_Data!$L$2:$L$1000*Final_Merged_Data!$F$2:$F$1000)/F2</f>
        <v>12.212237548443923</v>
      </c>
      <c r="M2" t="str">
        <f>IF(COUNTIF(Master_Data!$C:$C,$A2)&gt;0,"Found","Missing")</f>
        <v>Found</v>
      </c>
      <c r="N2" t="str">
        <f>_xlfn.XLOOKUP($A2,Master_Data!$C:$C,Master_Data!$D:$D,"CHECK",0)</f>
        <v>Md. Moshiur Rahman Khan</v>
      </c>
      <c r="O2" t="str">
        <f>_xlfn.XLOOKUP($A2,Master_Data!$C:$C,Master_Data!$E:$E,"CHECK",0)</f>
        <v>Jamaat</v>
      </c>
      <c r="P2">
        <f>_xlfn.XLOOKUP($A2,Master_Data!$C:$C,Master_Data!$F:$F,"CHECK",0)</f>
        <v>2</v>
      </c>
      <c r="Q2">
        <f>_xlfn.XLOOKUP($A2,Master_Data!$C:$C,Master_Data!$G:$G,"CHECK",0)</f>
        <v>117527</v>
      </c>
      <c r="R2">
        <f>IFERROR(_xlfn.XLOOKUP($A2,Master_Data!$C:$C,Master_Data!$H:$H,"CHECK",0),"")</f>
        <v>50.690963985335344</v>
      </c>
      <c r="S2" t="str">
        <f>_xlfn.XLOOKUP($A2,Master_Data!$C:$C,Master_Data!$I:$I,"CHECK",0)</f>
        <v>Kapil Krishna Mandal</v>
      </c>
      <c r="T2">
        <f>_xlfn.XLOOKUP($A2,Master_Data!$C:$C,Master_Data!$K:$K,"CHECK",0)</f>
        <v>114323</v>
      </c>
      <c r="U2">
        <f>IFERROR(_xlfn.XLOOKUP($A2,Master_Data!$C:$C,Master_Data!$L:$L,"CHECK",0),"")</f>
        <v>49.309036014664656</v>
      </c>
      <c r="V2">
        <f>_xlfn.XLOOKUP($A2,Master_Data!$C:$C,Master_Data!$M:$M,"CHECK",0)</f>
        <v>3204</v>
      </c>
      <c r="W2">
        <f>IFERROR(_xlfn.XLOOKUP($A2,Master_Data!$C:$C,Master_Data!$N:$N,"CHECK",0),"")</f>
        <v>1.3819279706706922</v>
      </c>
      <c r="X2" t="str">
        <f>IFERROR(_xlfn.XLOOKUP($A2,Master_Data!$C:$C,Master_Data!$O:$O,"CHECK",0),"No Result")</f>
        <v>Highly Competitive</v>
      </c>
      <c r="Y2">
        <f>_xlfn.XLOOKUP($A2,Master_Data!$C:$C,Master_Data!$P:$P,"CHECK",0)</f>
        <v>0</v>
      </c>
      <c r="Z2">
        <f>IF(OR(R2="",Y2="No Result",N2="Election postponed",N2="Result withheld"),0,1)</f>
        <v>1</v>
      </c>
      <c r="AA2">
        <f>_xlfn.XLOOKUP(B2,Remittance_Data!A:A,Remittance_Data!B:B,"CHECK")</f>
        <v>13393</v>
      </c>
      <c r="AB2">
        <f>_xlfn.XLOOKUP(B2,Remittance_Data!A:A,Remittance_Data!C:C,"CHECK")</f>
        <v>9102</v>
      </c>
      <c r="AC2">
        <f>_xlfn.XLOOKUP(B2,Remittance_Data!A:A,Remittance_Data!D:D,"CHECK")</f>
        <v>4291</v>
      </c>
    </row>
    <row r="3" spans="1:29">
      <c r="A3" t="str">
        <v>Bagerhat-2</v>
      </c>
      <c r="B3" t="str" cm="1">
        <f t="array" ref="B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Nawabganj","Chapainawabganj"),Final_Merged_Data!$B$2:$B$1000=$A3)))</f>
        <v>Bagerhat</v>
      </c>
      <c r="C3" t="str" cm="1">
        <f t="array" ref="C3">_xlfn.TEXTJOIN(", ",TRUE,_xlfn._xlws.FILTER(Final_Merged_Data!$C$2:$C$1000,Final_Merged_Data!$B$2:$B$1000=$A3))</f>
        <v>Bagerhat Sadar, Kachua</v>
      </c>
      <c r="D3" cm="1">
        <f t="array" ref="D3">COUNTA(_xlfn._xlws.FILTER(Final_Merged_Data!$C$2:$C$1000,Final_Merged_Data!$B$2:$B$1000=$A3))</f>
        <v>2</v>
      </c>
      <c r="E3">
        <f>SUMIFS(Final_Merged_Data!$E:$E,Final_Merged_Data!$B:$B,$A3)</f>
        <v>631</v>
      </c>
      <c r="F3">
        <f>SUMIFS(Final_Merged_Data!$F:$F,Final_Merged_Data!$B:$B,$A3)</f>
        <v>694132</v>
      </c>
      <c r="G3">
        <f t="shared" ref="G3:G66" si="0">IF(E3=0,"",F3/E3)</f>
        <v>1100.0507131537242</v>
      </c>
      <c r="H3" cm="1">
        <f t="array" ref="H3">SUMPRODUCT((Final_Merged_Data!$B$2:$B$1000=$A3)*Final_Merged_Data!$H$2:$H$1000*Final_Merged_Data!$F$2:$F$1000)/F3</f>
        <v>4.0535643364662626</v>
      </c>
      <c r="I3" cm="1">
        <f t="array" ref="I3">SUMPRODUCT((Final_Merged_Data!$B$2:$B$1000=$A3)*Final_Merged_Data!$I$2:$I$1000*Final_Merged_Data!$F$2:$F$1000)/F3</f>
        <v>78.17207974852046</v>
      </c>
      <c r="J3" t="str" cm="1">
        <f t="array" ref="J3">_xlfn.TEXTJOIN(", ",TRUE,_xlfn.UNIQUE(_xlfn._xlws.FILTER(Final_Merged_Data!$J$2:$J$1000,Final_Merged_Data!$B$2:$B$1000=$A3)))</f>
        <v>Khulna Range</v>
      </c>
      <c r="K3" cm="1">
        <f t="array" ref="K3">SUMPRODUCT((Final_Merged_Data!$B$2:$B$1000=$A3)*Final_Merged_Data!$K$2:$K$1000*Final_Merged_Data!$F$2:$F$1000)/F3</f>
        <v>102.32166075410298</v>
      </c>
      <c r="L3" cm="1">
        <f t="array" ref="L3">SUMPRODUCT((Final_Merged_Data!$B$2:$B$1000=$A3)*Final_Merged_Data!$L$2:$L$1000*Final_Merged_Data!$F$2:$F$1000)/F3</f>
        <v>12.212237548443921</v>
      </c>
      <c r="M3" t="str">
        <f>IF(COUNTIF(Master_Data!$C:$C,$A3)&gt;0,"Found","Missing")</f>
        <v>Found</v>
      </c>
      <c r="N3" t="str">
        <f>_xlfn.XLOOKUP($A3,Master_Data!$C:$C,Master_Data!$D:$D,"CHECK",0)</f>
        <v>Sheikh Manjurul Haque Rahad</v>
      </c>
      <c r="O3" t="str">
        <f>_xlfn.XLOOKUP($A3,Master_Data!$C:$C,Master_Data!$E:$E,"CHECK",0)</f>
        <v>Jamaat</v>
      </c>
      <c r="P3">
        <f>_xlfn.XLOOKUP($A3,Master_Data!$C:$C,Master_Data!$F:$F,"CHECK",0)</f>
        <v>2</v>
      </c>
      <c r="Q3">
        <f>_xlfn.XLOOKUP($A3,Master_Data!$C:$C,Master_Data!$G:$G,"CHECK",0)</f>
        <v>117709</v>
      </c>
      <c r="R3">
        <f>IFERROR(_xlfn.XLOOKUP($A3,Master_Data!$C:$C,Master_Data!$H:$H,"CHECK",0),"")</f>
        <v>63.931283198818143</v>
      </c>
      <c r="S3" t="str">
        <f>_xlfn.XLOOKUP($A3,Master_Data!$C:$C,Master_Data!$I:$I,"CHECK",0)</f>
        <v>Sheikh Mohammad Zakir Hossain</v>
      </c>
      <c r="T3">
        <f>_xlfn.XLOOKUP($A3,Master_Data!$C:$C,Master_Data!$K:$K,"CHECK",0)</f>
        <v>66409</v>
      </c>
      <c r="U3">
        <f>IFERROR(_xlfn.XLOOKUP($A3,Master_Data!$C:$C,Master_Data!$L:$L,"CHECK",0),"")</f>
        <v>36.06871680118185</v>
      </c>
      <c r="V3">
        <f>_xlfn.XLOOKUP($A3,Master_Data!$C:$C,Master_Data!$M:$M,"CHECK",0)</f>
        <v>51300</v>
      </c>
      <c r="W3">
        <f>IFERROR(_xlfn.XLOOKUP($A3,Master_Data!$C:$C,Master_Data!$N:$N,"CHECK",0),"")</f>
        <v>27.862566397636297</v>
      </c>
      <c r="X3" t="str">
        <f>IFERROR(_xlfn.XLOOKUP($A3,Master_Data!$C:$C,Master_Data!$O:$O,"CHECK",0),"No Result")</f>
        <v>Safe Seat</v>
      </c>
      <c r="Y3">
        <f>_xlfn.XLOOKUP($A3,Master_Data!$C:$C,Master_Data!$P:$P,"CHECK",0)</f>
        <v>0</v>
      </c>
      <c r="Z3">
        <f t="shared" ref="Z3:Z66" si="1">IF(OR(R3="",Y3="No Result",N3="Election postponed",N3="Result withheld"),0,1)</f>
        <v>1</v>
      </c>
      <c r="AA3">
        <f>_xlfn.XLOOKUP(B3,Remittance_Data!A:A,Remittance_Data!B:B,"CHECK")</f>
        <v>13393</v>
      </c>
      <c r="AB3">
        <f>_xlfn.XLOOKUP(B3,Remittance_Data!A:A,Remittance_Data!C:C,"CHECK")</f>
        <v>9102</v>
      </c>
      <c r="AC3">
        <f>_xlfn.XLOOKUP(B3,Remittance_Data!A:A,Remittance_Data!D:D,"CHECK")</f>
        <v>4291</v>
      </c>
    </row>
    <row r="4" spans="1:29">
      <c r="A4" t="str">
        <v>Bagerhat-3</v>
      </c>
      <c r="B4" t="str" cm="1">
        <f t="array" ref="B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Nawabganj","Chapainawabganj"),Final_Merged_Data!$B$2:$B$1000=$A4)))</f>
        <v>Bagerhat</v>
      </c>
      <c r="C4" t="str" cm="1">
        <f t="array" ref="C4">_xlfn.TEXTJOIN(", ",TRUE,_xlfn._xlws.FILTER(Final_Merged_Data!$C$2:$C$1000,Final_Merged_Data!$B$2:$B$1000=$A4))</f>
        <v>Rampal, Mongla</v>
      </c>
      <c r="D4" cm="1">
        <f t="array" ref="D4">COUNTA(_xlfn._xlws.FILTER(Final_Merged_Data!$C$2:$C$1000,Final_Merged_Data!$B$2:$B$1000=$A4))</f>
        <v>2</v>
      </c>
      <c r="E4">
        <f>SUMIFS(Final_Merged_Data!$E:$E,Final_Merged_Data!$B:$B,$A4)</f>
        <v>1753.3400000000001</v>
      </c>
      <c r="F4">
        <f>SUMIFS(Final_Merged_Data!$F:$F,Final_Merged_Data!$B:$B,$A4)</f>
        <v>334508</v>
      </c>
      <c r="G4">
        <f t="shared" si="0"/>
        <v>190.78330500644483</v>
      </c>
      <c r="H4" cm="1">
        <f t="array" ref="H4">SUMPRODUCT((Final_Merged_Data!$B$2:$B$1000=$A4)*Final_Merged_Data!$H$2:$H$1000*Final_Merged_Data!$F$2:$F$1000)/F4</f>
        <v>3.792103148504669</v>
      </c>
      <c r="I4" cm="1">
        <f t="array" ref="I4">SUMPRODUCT((Final_Merged_Data!$B$2:$B$1000=$A4)*Final_Merged_Data!$I$2:$I$1000*Final_Merged_Data!$F$2:$F$1000)/F4</f>
        <v>81.073164767359827</v>
      </c>
      <c r="J4" t="str" cm="1">
        <f t="array" ref="J4">_xlfn.TEXTJOIN(", ",TRUE,_xlfn.UNIQUE(_xlfn._xlws.FILTER(Final_Merged_Data!$J$2:$J$1000,Final_Merged_Data!$B$2:$B$1000=$A4)))</f>
        <v>Khulna Range</v>
      </c>
      <c r="K4" cm="1">
        <f t="array" ref="K4">SUMPRODUCT((Final_Merged_Data!$B$2:$B$1000=$A4)*Final_Merged_Data!$K$2:$K$1000*Final_Merged_Data!$F$2:$F$1000)/F4</f>
        <v>102.32166075410299</v>
      </c>
      <c r="L4" cm="1">
        <f t="array" ref="L4">SUMPRODUCT((Final_Merged_Data!$B$2:$B$1000=$A4)*Final_Merged_Data!$L$2:$L$1000*Final_Merged_Data!$F$2:$F$1000)/F4</f>
        <v>12.212237548443923</v>
      </c>
      <c r="M4" t="str">
        <f>IF(COUNTIF(Master_Data!$C:$C,$A4)&gt;0,"Found","Missing")</f>
        <v>Found</v>
      </c>
      <c r="N4" t="str">
        <f>_xlfn.XLOOKUP($A4,Master_Data!$C:$C,Master_Data!$D:$D,"CHECK",0)</f>
        <v>Sheikh Faridul Islam</v>
      </c>
      <c r="O4" t="str">
        <f>_xlfn.XLOOKUP($A4,Master_Data!$C:$C,Master_Data!$E:$E,"CHECK",0)</f>
        <v>BNP</v>
      </c>
      <c r="P4">
        <f>_xlfn.XLOOKUP($A4,Master_Data!$C:$C,Master_Data!$F:$F,"CHECK",0)</f>
        <v>1</v>
      </c>
      <c r="Q4">
        <f>_xlfn.XLOOKUP($A4,Master_Data!$C:$C,Master_Data!$G:$G,"CHECK",0)</f>
        <v>102661</v>
      </c>
      <c r="R4">
        <f>IFERROR(_xlfn.XLOOKUP($A4,Master_Data!$C:$C,Master_Data!$H:$H,"CHECK",0),"")</f>
        <v>55.131544323375095</v>
      </c>
      <c r="S4" t="str">
        <f>_xlfn.XLOOKUP($A4,Master_Data!$C:$C,Master_Data!$I:$I,"CHECK",0)</f>
        <v>Mohammad Abdul Wadud Sheikh</v>
      </c>
      <c r="T4">
        <f>_xlfn.XLOOKUP($A4,Master_Data!$C:$C,Master_Data!$K:$K,"CHECK",0)</f>
        <v>83550</v>
      </c>
      <c r="U4">
        <f>IFERROR(_xlfn.XLOOKUP($A4,Master_Data!$C:$C,Master_Data!$L:$L,"CHECK",0),"")</f>
        <v>44.868455676624905</v>
      </c>
      <c r="V4">
        <f>_xlfn.XLOOKUP($A4,Master_Data!$C:$C,Master_Data!$M:$M,"CHECK",0)</f>
        <v>19111</v>
      </c>
      <c r="W4">
        <f>IFERROR(_xlfn.XLOOKUP($A4,Master_Data!$C:$C,Master_Data!$N:$N,"CHECK",0),"")</f>
        <v>10.263088646750191</v>
      </c>
      <c r="X4" t="str">
        <f>IFERROR(_xlfn.XLOOKUP($A4,Master_Data!$C:$C,Master_Data!$O:$O,"CHECK",0),"No Result")</f>
        <v>Safe Seat</v>
      </c>
      <c r="Y4">
        <f>_xlfn.XLOOKUP($A4,Master_Data!$C:$C,Master_Data!$P:$P,"CHECK",0)</f>
        <v>0</v>
      </c>
      <c r="Z4">
        <f t="shared" si="1"/>
        <v>1</v>
      </c>
      <c r="AA4">
        <f>_xlfn.XLOOKUP(B4,Remittance_Data!A:A,Remittance_Data!B:B,"CHECK")</f>
        <v>13393</v>
      </c>
      <c r="AB4">
        <f>_xlfn.XLOOKUP(B4,Remittance_Data!A:A,Remittance_Data!C:C,"CHECK")</f>
        <v>9102</v>
      </c>
      <c r="AC4">
        <f>_xlfn.XLOOKUP(B4,Remittance_Data!A:A,Remittance_Data!D:D,"CHECK")</f>
        <v>4291</v>
      </c>
    </row>
    <row r="5" spans="1:29">
      <c r="A5" t="str">
        <v>Bagerhat-4</v>
      </c>
      <c r="B5" t="str" cm="1">
        <f t="array" ref="B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Nawabganj","Chapainawabganj"),Final_Merged_Data!$B$2:$B$1000=$A5)))</f>
        <v>Bagerhat</v>
      </c>
      <c r="C5" t="str" cm="1">
        <f t="array" ref="C5">_xlfn.TEXTJOIN(", ",TRUE,_xlfn._xlws.FILTER(Final_Merged_Data!$C$2:$C$1000,Final_Merged_Data!$B$2:$B$1000=$A5))</f>
        <v>Morelganj, Sharankhola</v>
      </c>
      <c r="D5" cm="1">
        <f t="array" ref="D5">COUNTA(_xlfn._xlws.FILTER(Final_Merged_Data!$C$2:$C$1000,Final_Merged_Data!$B$2:$B$1000=$A5))</f>
        <v>2</v>
      </c>
      <c r="E5">
        <f>SUMIFS(Final_Merged_Data!$E:$E,Final_Merged_Data!$B:$B,$A5)</f>
        <v>624.79999999999995</v>
      </c>
      <c r="F5">
        <f>SUMIFS(Final_Merged_Data!$F:$F,Final_Merged_Data!$B:$B,$A5)</f>
        <v>425769</v>
      </c>
      <c r="G5">
        <f t="shared" si="0"/>
        <v>681.44846350832267</v>
      </c>
      <c r="H5" cm="1">
        <f t="array" ref="H5">SUMPRODUCT((Final_Merged_Data!$B$2:$B$1000=$A5)*Final_Merged_Data!$H$2:$H$1000*Final_Merged_Data!$F$2:$F$1000)/F5</f>
        <v>3.8012396393349444</v>
      </c>
      <c r="I5" cm="1">
        <f t="array" ref="I5">SUMPRODUCT((Final_Merged_Data!$B$2:$B$1000=$A5)*Final_Merged_Data!$I$2:$I$1000*Final_Merged_Data!$F$2:$F$1000)/F5</f>
        <v>82.420112032581045</v>
      </c>
      <c r="J5" t="str" cm="1">
        <f t="array" ref="J5">_xlfn.TEXTJOIN(", ",TRUE,_xlfn.UNIQUE(_xlfn._xlws.FILTER(Final_Merged_Data!$J$2:$J$1000,Final_Merged_Data!$B$2:$B$1000=$A5)))</f>
        <v>Khulna Range</v>
      </c>
      <c r="K5" cm="1">
        <f t="array" ref="K5">SUMPRODUCT((Final_Merged_Data!$B$2:$B$1000=$A5)*Final_Merged_Data!$K$2:$K$1000*Final_Merged_Data!$F$2:$F$1000)/F5</f>
        <v>102.32166075410296</v>
      </c>
      <c r="L5" cm="1">
        <f t="array" ref="L5">SUMPRODUCT((Final_Merged_Data!$B$2:$B$1000=$A5)*Final_Merged_Data!$L$2:$L$1000*Final_Merged_Data!$F$2:$F$1000)/F5</f>
        <v>12.212237548443923</v>
      </c>
      <c r="M5" t="str">
        <f>IF(COUNTIF(Master_Data!$C:$C,$A5)&gt;0,"Found","Missing")</f>
        <v>Found</v>
      </c>
      <c r="N5" t="str">
        <f>_xlfn.XLOOKUP($A5,Master_Data!$C:$C,Master_Data!$D:$D,"CHECK",0)</f>
        <v>Md. Abdul Alim</v>
      </c>
      <c r="O5" t="str">
        <f>_xlfn.XLOOKUP($A5,Master_Data!$C:$C,Master_Data!$E:$E,"CHECK",0)</f>
        <v>Jamaat</v>
      </c>
      <c r="P5">
        <f>_xlfn.XLOOKUP($A5,Master_Data!$C:$C,Master_Data!$F:$F,"CHECK",0)</f>
        <v>2</v>
      </c>
      <c r="Q5">
        <f>_xlfn.XLOOKUP($A5,Master_Data!$C:$C,Master_Data!$G:$G,"CHECK",0)</f>
        <v>116067</v>
      </c>
      <c r="R5">
        <f>IFERROR(_xlfn.XLOOKUP($A5,Master_Data!$C:$C,Master_Data!$H:$H,"CHECK",0),"")</f>
        <v>54.137495160756174</v>
      </c>
      <c r="S5" t="str">
        <f>_xlfn.XLOOKUP($A5,Master_Data!$C:$C,Master_Data!$I:$I,"CHECK",0)</f>
        <v>Somnath Dey</v>
      </c>
      <c r="T5">
        <f>_xlfn.XLOOKUP($A5,Master_Data!$C:$C,Master_Data!$K:$K,"CHECK",0)</f>
        <v>98326</v>
      </c>
      <c r="U5">
        <f>IFERROR(_xlfn.XLOOKUP($A5,Master_Data!$C:$C,Master_Data!$L:$L,"CHECK",0),"")</f>
        <v>45.862504839243819</v>
      </c>
      <c r="V5">
        <f>_xlfn.XLOOKUP($A5,Master_Data!$C:$C,Master_Data!$M:$M,"CHECK",0)</f>
        <v>17741</v>
      </c>
      <c r="W5">
        <f>IFERROR(_xlfn.XLOOKUP($A5,Master_Data!$C:$C,Master_Data!$N:$N,"CHECK",0),"")</f>
        <v>8.2749903215123624</v>
      </c>
      <c r="X5" t="str">
        <f>IFERROR(_xlfn.XLOOKUP($A5,Master_Data!$C:$C,Master_Data!$O:$O,"CHECK",0),"No Result")</f>
        <v>Safe Seat</v>
      </c>
      <c r="Y5">
        <f>_xlfn.XLOOKUP($A5,Master_Data!$C:$C,Master_Data!$P:$P,"CHECK",0)</f>
        <v>0</v>
      </c>
      <c r="Z5">
        <f t="shared" si="1"/>
        <v>1</v>
      </c>
      <c r="AA5">
        <f>_xlfn.XLOOKUP(B5,Remittance_Data!A:A,Remittance_Data!B:B,"CHECK")</f>
        <v>13393</v>
      </c>
      <c r="AB5">
        <f>_xlfn.XLOOKUP(B5,Remittance_Data!A:A,Remittance_Data!C:C,"CHECK")</f>
        <v>9102</v>
      </c>
      <c r="AC5">
        <f>_xlfn.XLOOKUP(B5,Remittance_Data!A:A,Remittance_Data!D:D,"CHECK")</f>
        <v>4291</v>
      </c>
    </row>
    <row r="6" spans="1:29">
      <c r="A6" t="str">
        <v>Bandarban-1</v>
      </c>
      <c r="B6" t="str" cm="1">
        <f t="array" ref="B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Nawabganj","Chapainawabganj"),Final_Merged_Data!$B$2:$B$1000=$A6)))</f>
        <v>Bandarban</v>
      </c>
      <c r="C6" t="str" cm="1">
        <f t="array" ref="C6">_xlfn.TEXTJOIN(", ",TRUE,_xlfn._xlws.FILTER(Final_Merged_Data!$C$2:$C$1000,Final_Merged_Data!$B$2:$B$1000=$A6))</f>
        <v>Bandarban Sadar, Thanchi, Lama, Naikhongchhari, Ali Kadam, Rowangchhari, Ruma</v>
      </c>
      <c r="D6" cm="1">
        <f t="array" ref="D6">COUNTA(_xlfn._xlws.FILTER(Final_Merged_Data!$C$2:$C$1000,Final_Merged_Data!$B$2:$B$1000=$A6))</f>
        <v>7</v>
      </c>
      <c r="E6">
        <f>SUMIFS(Final_Merged_Data!$E:$E,Final_Merged_Data!$B:$B,$A6)</f>
        <v>4304.4299999999994</v>
      </c>
      <c r="F6">
        <f>SUMIFS(Final_Merged_Data!$F:$F,Final_Merged_Data!$B:$B,$A6)</f>
        <v>481093</v>
      </c>
      <c r="G6">
        <f t="shared" si="0"/>
        <v>111.76694707545484</v>
      </c>
      <c r="H6" cm="1">
        <f t="array" ref="H6">SUMPRODUCT((Final_Merged_Data!$B$2:$B$1000=$A6)*Final_Merged_Data!$H$2:$H$1000*Final_Merged_Data!$F$2:$F$1000)/F6</f>
        <v>4.4178075964522456</v>
      </c>
      <c r="I6" cm="1">
        <f t="array" ref="I6">SUMPRODUCT((Final_Merged_Data!$B$2:$B$1000=$A6)*Final_Merged_Data!$I$2:$I$1000*Final_Merged_Data!$F$2:$F$1000)/F6</f>
        <v>63.630035585635206</v>
      </c>
      <c r="J6" t="str" cm="1">
        <f t="array" ref="J6">_xlfn.TEXTJOIN(", ",TRUE,_xlfn.UNIQUE(_xlfn._xlws.FILTER(Final_Merged_Data!$J$2:$J$1000,Final_Merged_Data!$B$2:$B$1000=$A6)))</f>
        <v>Chittagong Range</v>
      </c>
      <c r="K6" cm="1">
        <f t="array" ref="K6">SUMPRODUCT((Final_Merged_Data!$B$2:$B$1000=$A6)*Final_Merged_Data!$K$2:$K$1000*Final_Merged_Data!$F$2:$F$1000)/F6</f>
        <v>84.879645400600879</v>
      </c>
      <c r="L6" cm="1">
        <f t="array" ref="L6">SUMPRODUCT((Final_Merged_Data!$B$2:$B$1000=$A6)*Final_Merged_Data!$L$2:$L$1000*Final_Merged_Data!$F$2:$F$1000)/F6</f>
        <v>10.309673910686193</v>
      </c>
      <c r="M6" t="str">
        <f>IF(COUNTIF(Master_Data!$C:$C,$A6)&gt;0,"Found","Missing")</f>
        <v>Found</v>
      </c>
      <c r="N6" t="str">
        <f>_xlfn.XLOOKUP($A6,Master_Data!$C:$C,Master_Data!$D:$D,"CHECK",0)</f>
        <v>Saching Prue Jerry</v>
      </c>
      <c r="O6" t="str">
        <f>_xlfn.XLOOKUP($A6,Master_Data!$C:$C,Master_Data!$E:$E,"CHECK",0)</f>
        <v>BNP</v>
      </c>
      <c r="P6">
        <f>_xlfn.XLOOKUP($A6,Master_Data!$C:$C,Master_Data!$F:$F,"CHECK",0)</f>
        <v>1</v>
      </c>
      <c r="Q6">
        <f>_xlfn.XLOOKUP($A6,Master_Data!$C:$C,Master_Data!$G:$G,"CHECK",0)</f>
        <v>141455</v>
      </c>
      <c r="R6">
        <f>IFERROR(_xlfn.XLOOKUP($A6,Master_Data!$C:$C,Master_Data!$H:$H,"CHECK",0),"")</f>
        <v>84.391797967986534</v>
      </c>
      <c r="S6" t="str">
        <f>_xlfn.XLOOKUP($A6,Master_Data!$C:$C,Master_Data!$I:$I,"CHECK",0)</f>
        <v>Abu Saeed Md. Suja Uddin</v>
      </c>
      <c r="T6">
        <f>_xlfn.XLOOKUP($A6,Master_Data!$C:$C,Master_Data!$K:$K,"CHECK",0)</f>
        <v>26162</v>
      </c>
      <c r="U6">
        <f>IFERROR(_xlfn.XLOOKUP($A6,Master_Data!$C:$C,Master_Data!$L:$L,"CHECK",0),"")</f>
        <v>15.608202032013461</v>
      </c>
      <c r="V6">
        <f>_xlfn.XLOOKUP($A6,Master_Data!$C:$C,Master_Data!$M:$M,"CHECK",0)</f>
        <v>115293</v>
      </c>
      <c r="W6">
        <f>IFERROR(_xlfn.XLOOKUP($A6,Master_Data!$C:$C,Master_Data!$N:$N,"CHECK",0),"")</f>
        <v>68.783595935973082</v>
      </c>
      <c r="X6" t="str">
        <f>IFERROR(_xlfn.XLOOKUP($A6,Master_Data!$C:$C,Master_Data!$O:$O,"CHECK",0),"No Result")</f>
        <v>Safe Seat</v>
      </c>
      <c r="Y6">
        <f>_xlfn.XLOOKUP($A6,Master_Data!$C:$C,Master_Data!$P:$P,"CHECK",0)</f>
        <v>0</v>
      </c>
      <c r="Z6">
        <f t="shared" si="1"/>
        <v>1</v>
      </c>
      <c r="AA6">
        <f>_xlfn.XLOOKUP(B6,Remittance_Data!A:A,Remittance_Data!B:B,"CHECK")</f>
        <v>4106</v>
      </c>
      <c r="AB6">
        <f>_xlfn.XLOOKUP(B6,Remittance_Data!A:A,Remittance_Data!C:C,"CHECK")</f>
        <v>2100</v>
      </c>
      <c r="AC6">
        <f>_xlfn.XLOOKUP(B6,Remittance_Data!A:A,Remittance_Data!D:D,"CHECK")</f>
        <v>2006</v>
      </c>
    </row>
    <row r="7" spans="1:29">
      <c r="A7" t="str">
        <v>Barguna-1</v>
      </c>
      <c r="B7" t="str" cm="1">
        <f t="array" ref="B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Nawabganj","Chapainawabganj"),Final_Merged_Data!$B$2:$B$1000=$A7)))</f>
        <v>Barguna</v>
      </c>
      <c r="C7" t="str" cm="1">
        <f t="array" ref="C7">_xlfn.TEXTJOIN(", ",TRUE,_xlfn._xlws.FILTER(Final_Merged_Data!$C$2:$C$1000,Final_Merged_Data!$B$2:$B$1000=$A7))</f>
        <v>Barguna Sadar, Amtali, Taltali</v>
      </c>
      <c r="D7" cm="1">
        <f t="array" ref="D7">COUNTA(_xlfn._xlws.FILTER(Final_Merged_Data!$C$2:$C$1000,Final_Merged_Data!$B$2:$B$1000=$A7))</f>
        <v>3</v>
      </c>
      <c r="E7">
        <f>SUMIFS(Final_Merged_Data!$E:$E,Final_Merged_Data!$B:$B,$A7)</f>
        <v>1273.5999999999999</v>
      </c>
      <c r="F7">
        <f>SUMIFS(Final_Merged_Data!$F:$F,Final_Merged_Data!$B:$B,$A7)</f>
        <v>628180</v>
      </c>
      <c r="G7">
        <f t="shared" si="0"/>
        <v>493.231783919598</v>
      </c>
      <c r="H7" cm="1">
        <f t="array" ref="H7">SUMPRODUCT((Final_Merged_Data!$B$2:$B$1000=$A7)*Final_Merged_Data!$H$2:$H$1000*Final_Merged_Data!$F$2:$F$1000)/F7</f>
        <v>3.972032283740329</v>
      </c>
      <c r="I7" cm="1">
        <f t="array" ref="I7">SUMPRODUCT((Final_Merged_Data!$B$2:$B$1000=$A7)*Final_Merged_Data!$I$2:$I$1000*Final_Merged_Data!$F$2:$F$1000)/F7</f>
        <v>78.903689483905879</v>
      </c>
      <c r="J7" t="str" cm="1">
        <f t="array" ref="J7">_xlfn.TEXTJOIN(", ",TRUE,_xlfn.UNIQUE(_xlfn._xlws.FILTER(Final_Merged_Data!$J$2:$J$1000,Final_Merged_Data!$B$2:$B$1000=$A7)))</f>
        <v>Barishal Range</v>
      </c>
      <c r="K7" cm="1">
        <f t="array" ref="K7">SUMPRODUCT((Final_Merged_Data!$B$2:$B$1000=$A7)*Final_Merged_Data!$K$2:$K$1000*Final_Merged_Data!$F$2:$F$1000)/F7</f>
        <v>112.01964836613054</v>
      </c>
      <c r="L7" cm="1">
        <f t="array" ref="L7">SUMPRODUCT((Final_Merged_Data!$B$2:$B$1000=$A7)*Final_Merged_Data!$L$2:$L$1000*Final_Merged_Data!$F$2:$F$1000)/F7</f>
        <v>22.37167391269287</v>
      </c>
      <c r="M7" t="str">
        <f>IF(COUNTIF(Master_Data!$C:$C,$A7)&gt;0,"Found","Missing")</f>
        <v>Found</v>
      </c>
      <c r="N7" t="str">
        <f>_xlfn.XLOOKUP($A7,Master_Data!$C:$C,Master_Data!$D:$D,"CHECK",0)</f>
        <v>Mahmudul Hossain Waliullah</v>
      </c>
      <c r="O7" t="str">
        <f>_xlfn.XLOOKUP($A7,Master_Data!$C:$C,Master_Data!$E:$E,"CHECK",0)</f>
        <v>IAB</v>
      </c>
      <c r="P7">
        <f>_xlfn.XLOOKUP($A7,Master_Data!$C:$C,Master_Data!$F:$F,"CHECK",0)</f>
        <v>0</v>
      </c>
      <c r="Q7">
        <f>_xlfn.XLOOKUP($A7,Master_Data!$C:$C,Master_Data!$G:$G,"CHECK",0)</f>
        <v>140291</v>
      </c>
      <c r="R7">
        <f>IFERROR(_xlfn.XLOOKUP($A7,Master_Data!$C:$C,Master_Data!$H:$H,"CHECK",0),"")</f>
        <v>50.749902328206161</v>
      </c>
      <c r="S7" t="str">
        <f>_xlfn.XLOOKUP($A7,Master_Data!$C:$C,Master_Data!$I:$I,"CHECK",0)</f>
        <v>Md. Nazrul Islam Mollah</v>
      </c>
      <c r="T7">
        <f>_xlfn.XLOOKUP($A7,Master_Data!$C:$C,Master_Data!$K:$K,"CHECK",0)</f>
        <v>136145</v>
      </c>
      <c r="U7">
        <f>IFERROR(_xlfn.XLOOKUP($A7,Master_Data!$C:$C,Master_Data!$L:$L,"CHECK",0),"")</f>
        <v>49.250097671793839</v>
      </c>
      <c r="V7">
        <f>_xlfn.XLOOKUP($A7,Master_Data!$C:$C,Master_Data!$M:$M,"CHECK",0)</f>
        <v>4146</v>
      </c>
      <c r="W7">
        <f>IFERROR(_xlfn.XLOOKUP($A7,Master_Data!$C:$C,Master_Data!$N:$N,"CHECK",0),"")</f>
        <v>1.4998046564123342</v>
      </c>
      <c r="X7" t="str">
        <f>IFERROR(_xlfn.XLOOKUP($A7,Master_Data!$C:$C,Master_Data!$O:$O,"CHECK",0),"No Result")</f>
        <v>Highly Competitive</v>
      </c>
      <c r="Y7">
        <f>_xlfn.XLOOKUP($A7,Master_Data!$C:$C,Master_Data!$P:$P,"CHECK",0)</f>
        <v>0</v>
      </c>
      <c r="Z7">
        <f t="shared" si="1"/>
        <v>1</v>
      </c>
      <c r="AA7">
        <f>_xlfn.XLOOKUP(B7,Remittance_Data!A:A,Remittance_Data!B:B,"CHECK")</f>
        <v>12017</v>
      </c>
      <c r="AB7">
        <f>_xlfn.XLOOKUP(B7,Remittance_Data!A:A,Remittance_Data!C:C,"CHECK")</f>
        <v>9197</v>
      </c>
      <c r="AC7">
        <f>_xlfn.XLOOKUP(B7,Remittance_Data!A:A,Remittance_Data!D:D,"CHECK")</f>
        <v>2820</v>
      </c>
    </row>
    <row r="8" spans="1:29">
      <c r="A8" t="str">
        <v>Barguna-2</v>
      </c>
      <c r="B8" t="str" cm="1">
        <f t="array" ref="B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Nawabganj","Chapainawabganj"),Final_Merged_Data!$B$2:$B$1000=$A8)))</f>
        <v>Barguna</v>
      </c>
      <c r="C8" t="str" cm="1">
        <f t="array" ref="C8">_xlfn.TEXTJOIN(", ",TRUE,_xlfn._xlws.FILTER(Final_Merged_Data!$C$2:$C$1000,Final_Merged_Data!$B$2:$B$1000=$A8))</f>
        <v>Patharghata, Bamna</v>
      </c>
      <c r="D8" cm="1">
        <f t="array" ref="D8">COUNTA(_xlfn._xlws.FILTER(Final_Merged_Data!$C$2:$C$1000,Final_Merged_Data!$B$2:$B$1000=$A8))</f>
        <v>2</v>
      </c>
      <c r="E8">
        <f>SUMIFS(Final_Merged_Data!$E:$E,Final_Merged_Data!$B:$B,$A8)</f>
        <v>487.35</v>
      </c>
      <c r="F8">
        <f>SUMIFS(Final_Merged_Data!$F:$F,Final_Merged_Data!$B:$B,$A8)</f>
        <v>256817</v>
      </c>
      <c r="G8">
        <f t="shared" si="0"/>
        <v>526.96624602441773</v>
      </c>
      <c r="H8" cm="1">
        <f t="array" ref="H8">SUMPRODUCT((Final_Merged_Data!$B$2:$B$1000=$A8)*Final_Merged_Data!$H$2:$H$1000*Final_Merged_Data!$F$2:$F$1000)/F8</f>
        <v>3.76</v>
      </c>
      <c r="I8" cm="1">
        <f t="array" ref="I8">SUMPRODUCT((Final_Merged_Data!$B$2:$B$1000=$A8)*Final_Merged_Data!$I$2:$I$1000*Final_Merged_Data!$F$2:$F$1000)/F8</f>
        <v>84.006045822511751</v>
      </c>
      <c r="J8" t="str" cm="1">
        <f t="array" ref="J8">_xlfn.TEXTJOIN(", ",TRUE,_xlfn.UNIQUE(_xlfn._xlws.FILTER(Final_Merged_Data!$J$2:$J$1000,Final_Merged_Data!$B$2:$B$1000=$A8)))</f>
        <v>Barishal Range</v>
      </c>
      <c r="K8" cm="1">
        <f t="array" ref="K8">SUMPRODUCT((Final_Merged_Data!$B$2:$B$1000=$A8)*Final_Merged_Data!$K$2:$K$1000*Final_Merged_Data!$F$2:$F$1000)/F8</f>
        <v>112.01964836613054</v>
      </c>
      <c r="L8" cm="1">
        <f t="array" ref="L8">SUMPRODUCT((Final_Merged_Data!$B$2:$B$1000=$A8)*Final_Merged_Data!$L$2:$L$1000*Final_Merged_Data!$F$2:$F$1000)/F8</f>
        <v>22.37167391269287</v>
      </c>
      <c r="M8" t="str">
        <f>IF(COUNTIF(Master_Data!$C:$C,$A8)&gt;0,"Found","Missing")</f>
        <v>Found</v>
      </c>
      <c r="N8" t="str">
        <f>_xlfn.XLOOKUP($A8,Master_Data!$C:$C,Master_Data!$D:$D,"CHECK",0)</f>
        <v>Nurul Islam Moni</v>
      </c>
      <c r="O8" t="str">
        <f>_xlfn.XLOOKUP($A8,Master_Data!$C:$C,Master_Data!$E:$E,"CHECK",0)</f>
        <v>BNP</v>
      </c>
      <c r="P8">
        <f>_xlfn.XLOOKUP($A8,Master_Data!$C:$C,Master_Data!$F:$F,"CHECK",0)</f>
        <v>1</v>
      </c>
      <c r="Q8">
        <f>_xlfn.XLOOKUP($A8,Master_Data!$C:$C,Master_Data!$G:$G,"CHECK",0)</f>
        <v>90643</v>
      </c>
      <c r="R8">
        <f>IFERROR(_xlfn.XLOOKUP($A8,Master_Data!$C:$C,Master_Data!$H:$H,"CHECK",0),"")</f>
        <v>51.533913241230309</v>
      </c>
      <c r="S8" t="str">
        <f>_xlfn.XLOOKUP($A8,Master_Data!$C:$C,Master_Data!$I:$I,"CHECK",0)</f>
        <v>Dr. Sultan Ahmad</v>
      </c>
      <c r="T8">
        <f>_xlfn.XLOOKUP($A8,Master_Data!$C:$C,Master_Data!$K:$K,"CHECK",0)</f>
        <v>85247</v>
      </c>
      <c r="U8">
        <f>IFERROR(_xlfn.XLOOKUP($A8,Master_Data!$C:$C,Master_Data!$L:$L,"CHECK",0),"")</f>
        <v>48.466086758769684</v>
      </c>
      <c r="V8">
        <f>_xlfn.XLOOKUP($A8,Master_Data!$C:$C,Master_Data!$M:$M,"CHECK",0)</f>
        <v>5396</v>
      </c>
      <c r="W8">
        <f>IFERROR(_xlfn.XLOOKUP($A8,Master_Data!$C:$C,Master_Data!$N:$N,"CHECK",0),"")</f>
        <v>3.0678264824606289</v>
      </c>
      <c r="X8" t="str">
        <f>IFERROR(_xlfn.XLOOKUP($A8,Master_Data!$C:$C,Master_Data!$O:$O,"CHECK",0),"No Result")</f>
        <v>Highly Competitive</v>
      </c>
      <c r="Y8">
        <f>_xlfn.XLOOKUP($A8,Master_Data!$C:$C,Master_Data!$P:$P,"CHECK",0)</f>
        <v>0</v>
      </c>
      <c r="Z8">
        <f t="shared" si="1"/>
        <v>1</v>
      </c>
      <c r="AA8">
        <f>_xlfn.XLOOKUP(B8,Remittance_Data!A:A,Remittance_Data!B:B,"CHECK")</f>
        <v>12017</v>
      </c>
      <c r="AB8">
        <f>_xlfn.XLOOKUP(B8,Remittance_Data!A:A,Remittance_Data!C:C,"CHECK")</f>
        <v>9197</v>
      </c>
      <c r="AC8">
        <f>_xlfn.XLOOKUP(B8,Remittance_Data!A:A,Remittance_Data!D:D,"CHECK")</f>
        <v>2820</v>
      </c>
    </row>
    <row r="9" spans="1:29">
      <c r="A9" t="str">
        <v>Barishal-1</v>
      </c>
      <c r="B9" t="str" cm="1">
        <f t="array" ref="B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Nawabganj","Chapainawabganj"),Final_Merged_Data!$B$2:$B$1000=$A9)))</f>
        <v>Barishal</v>
      </c>
      <c r="C9" t="str" cm="1">
        <f t="array" ref="C9">_xlfn.TEXTJOIN(", ",TRUE,_xlfn._xlws.FILTER(Final_Merged_Data!$C$2:$C$1000,Final_Merged_Data!$B$2:$B$1000=$A9))</f>
        <v>Gaurnadi, Agailjhara</v>
      </c>
      <c r="D9" cm="1">
        <f t="array" ref="D9">COUNTA(_xlfn._xlws.FILTER(Final_Merged_Data!$C$2:$C$1000,Final_Merged_Data!$B$2:$B$1000=$A9))</f>
        <v>2</v>
      </c>
      <c r="E9">
        <f>SUMIFS(Final_Merged_Data!$E:$E,Final_Merged_Data!$B:$B,$A9)</f>
        <v>410.4</v>
      </c>
      <c r="F9">
        <f>SUMIFS(Final_Merged_Data!$F:$F,Final_Merged_Data!$B:$B,$A9)</f>
        <v>362291</v>
      </c>
      <c r="G9">
        <f t="shared" si="0"/>
        <v>882.77534113060437</v>
      </c>
      <c r="H9" cm="1">
        <f t="array" ref="H9">SUMPRODUCT((Final_Merged_Data!$B$2:$B$1000=$A9)*Final_Merged_Data!$H$2:$H$1000*Final_Merged_Data!$F$2:$F$1000)/F9</f>
        <v>4.0684130712603954</v>
      </c>
      <c r="I9" cm="1">
        <f t="array" ref="I9">SUMPRODUCT((Final_Merged_Data!$B$2:$B$1000=$A9)*Final_Merged_Data!$I$2:$I$1000*Final_Merged_Data!$F$2:$F$1000)/F9</f>
        <v>79.912193512949528</v>
      </c>
      <c r="J9" t="str" cm="1">
        <f t="array" ref="J9">_xlfn.TEXTJOIN(", ",TRUE,_xlfn.UNIQUE(_xlfn._xlws.FILTER(Final_Merged_Data!$J$2:$J$1000,Final_Merged_Data!$B$2:$B$1000=$A9)))</f>
        <v>Barishal Range</v>
      </c>
      <c r="K9" cm="1">
        <f t="array" ref="K9">SUMPRODUCT((Final_Merged_Data!$B$2:$B$1000=$A9)*Final_Merged_Data!$K$2:$K$1000*Final_Merged_Data!$F$2:$F$1000)/F9</f>
        <v>112.01964836613054</v>
      </c>
      <c r="L9" cm="1">
        <f t="array" ref="L9">SUMPRODUCT((Final_Merged_Data!$B$2:$B$1000=$A9)*Final_Merged_Data!$L$2:$L$1000*Final_Merged_Data!$F$2:$F$1000)/F9</f>
        <v>22.371673912692874</v>
      </c>
      <c r="M9" t="str">
        <f>IF(COUNTIF(Master_Data!$C:$C,$A9)&gt;0,"Found","Missing")</f>
        <v>Found</v>
      </c>
      <c r="N9" t="str">
        <f>_xlfn.XLOOKUP($A9,Master_Data!$C:$C,Master_Data!$D:$D,"CHECK",0)</f>
        <v>Zahir Uddin Swapan</v>
      </c>
      <c r="O9" t="str">
        <f>_xlfn.XLOOKUP($A9,Master_Data!$C:$C,Master_Data!$E:$E,"CHECK",0)</f>
        <v>BNP</v>
      </c>
      <c r="P9">
        <f>_xlfn.XLOOKUP($A9,Master_Data!$C:$C,Master_Data!$F:$F,"CHECK",0)</f>
        <v>1</v>
      </c>
      <c r="Q9">
        <f>_xlfn.XLOOKUP($A9,Master_Data!$C:$C,Master_Data!$G:$G,"CHECK",0)</f>
        <v>100552</v>
      </c>
      <c r="R9">
        <f>IFERROR(_xlfn.XLOOKUP($A9,Master_Data!$C:$C,Master_Data!$H:$H,"CHECK",0),"")</f>
        <v>68.488914620440681</v>
      </c>
      <c r="S9" t="str">
        <f>_xlfn.XLOOKUP($A9,Master_Data!$C:$C,Master_Data!$I:$I,"CHECK",0)</f>
        <v>Md. Kamrul Islam Khan</v>
      </c>
      <c r="T9">
        <f>_xlfn.XLOOKUP($A9,Master_Data!$C:$C,Master_Data!$K:$K,"CHECK",0)</f>
        <v>46263</v>
      </c>
      <c r="U9">
        <f>IFERROR(_xlfn.XLOOKUP($A9,Master_Data!$C:$C,Master_Data!$L:$L,"CHECK",0),"")</f>
        <v>31.511085379559312</v>
      </c>
      <c r="V9">
        <f>_xlfn.XLOOKUP($A9,Master_Data!$C:$C,Master_Data!$M:$M,"CHECK",0)</f>
        <v>54289</v>
      </c>
      <c r="W9">
        <f>IFERROR(_xlfn.XLOOKUP($A9,Master_Data!$C:$C,Master_Data!$N:$N,"CHECK",0),"")</f>
        <v>36.977829240881384</v>
      </c>
      <c r="X9" t="str">
        <f>IFERROR(_xlfn.XLOOKUP($A9,Master_Data!$C:$C,Master_Data!$O:$O,"CHECK",0),"No Result")</f>
        <v>Safe Seat</v>
      </c>
      <c r="Y9">
        <f>_xlfn.XLOOKUP($A9,Master_Data!$C:$C,Master_Data!$P:$P,"CHECK",0)</f>
        <v>0</v>
      </c>
      <c r="Z9">
        <f t="shared" si="1"/>
        <v>1</v>
      </c>
      <c r="AA9">
        <f>_xlfn.XLOOKUP(B9,Remittance_Data!A:A,Remittance_Data!B:B,"CHECK")</f>
        <v>35831</v>
      </c>
      <c r="AB9">
        <f>_xlfn.XLOOKUP(B9,Remittance_Data!A:A,Remittance_Data!C:C,"CHECK")</f>
        <v>26117</v>
      </c>
      <c r="AC9">
        <f>_xlfn.XLOOKUP(B9,Remittance_Data!A:A,Remittance_Data!D:D,"CHECK")</f>
        <v>9714</v>
      </c>
    </row>
    <row r="10" spans="1:29">
      <c r="A10" t="str">
        <v>Barishal-2</v>
      </c>
      <c r="B10" t="str" cm="1">
        <f t="array" ref="B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Nawabganj","Chapainawabganj"),Final_Merged_Data!$B$2:$B$1000=$A10)))</f>
        <v>Barishal</v>
      </c>
      <c r="C10" t="str" cm="1">
        <f t="array" ref="C10">_xlfn.TEXTJOIN(", ",TRUE,_xlfn._xlws.FILTER(Final_Merged_Data!$C$2:$C$1000,Final_Merged_Data!$B$2:$B$1000=$A10))</f>
        <v>Uzirpur, Banaripara</v>
      </c>
      <c r="D10" cm="1">
        <f t="array" ref="D10">COUNTA(_xlfn._xlws.FILTER(Final_Merged_Data!$C$2:$C$1000,Final_Merged_Data!$B$2:$B$1000=$A10))</f>
        <v>2</v>
      </c>
      <c r="E10">
        <f>SUMIFS(Final_Merged_Data!$E:$E,Final_Merged_Data!$B:$B,$A10)</f>
        <v>408.6</v>
      </c>
      <c r="F10">
        <f>SUMIFS(Final_Merged_Data!$F:$F,Final_Merged_Data!$B:$B,$A10)</f>
        <v>424377</v>
      </c>
      <c r="G10">
        <f t="shared" si="0"/>
        <v>1038.612334801762</v>
      </c>
      <c r="H10" cm="1">
        <f t="array" ref="H10">SUMPRODUCT((Final_Merged_Data!$B$2:$B$1000=$A10)*Final_Merged_Data!$H$2:$H$1000*Final_Merged_Data!$F$2:$F$1000)/F10</f>
        <v>4.0840029030791012</v>
      </c>
      <c r="I10" cm="1">
        <f t="array" ref="I10">SUMPRODUCT((Final_Merged_Data!$B$2:$B$1000=$A10)*Final_Merged_Data!$I$2:$I$1000*Final_Merged_Data!$F$2:$F$1000)/F10</f>
        <v>81.441161231640734</v>
      </c>
      <c r="J10" t="str" cm="1">
        <f t="array" ref="J10">_xlfn.TEXTJOIN(", ",TRUE,_xlfn.UNIQUE(_xlfn._xlws.FILTER(Final_Merged_Data!$J$2:$J$1000,Final_Merged_Data!$B$2:$B$1000=$A10)))</f>
        <v>Barishal Range</v>
      </c>
      <c r="K10" cm="1">
        <f t="array" ref="K10">SUMPRODUCT((Final_Merged_Data!$B$2:$B$1000=$A10)*Final_Merged_Data!$K$2:$K$1000*Final_Merged_Data!$F$2:$F$1000)/F10</f>
        <v>112.01964836613054</v>
      </c>
      <c r="L10" cm="1">
        <f t="array" ref="L10">SUMPRODUCT((Final_Merged_Data!$B$2:$B$1000=$A10)*Final_Merged_Data!$L$2:$L$1000*Final_Merged_Data!$F$2:$F$1000)/F10</f>
        <v>22.37167391269287</v>
      </c>
      <c r="M10" t="str">
        <f>IF(COUNTIF(Master_Data!$C:$C,$A10)&gt;0,"Found","Missing")</f>
        <v>Found</v>
      </c>
      <c r="N10" t="str">
        <f>_xlfn.XLOOKUP($A10,Master_Data!$C:$C,Master_Data!$D:$D,"CHECK",0)</f>
        <v>Sardar Sarfuddin Ahmed</v>
      </c>
      <c r="O10" t="str">
        <f>_xlfn.XLOOKUP($A10,Master_Data!$C:$C,Master_Data!$E:$E,"CHECK",0)</f>
        <v>BNP</v>
      </c>
      <c r="P10">
        <f>_xlfn.XLOOKUP($A10,Master_Data!$C:$C,Master_Data!$F:$F,"CHECK",0)</f>
        <v>1</v>
      </c>
      <c r="Q10">
        <f>_xlfn.XLOOKUP($A10,Master_Data!$C:$C,Master_Data!$G:$G,"CHECK",0)</f>
        <v>141622</v>
      </c>
      <c r="R10">
        <f>IFERROR(_xlfn.XLOOKUP($A10,Master_Data!$C:$C,Master_Data!$H:$H,"CHECK",0),"")</f>
        <v>65.655713385009079</v>
      </c>
      <c r="S10" t="str">
        <f>_xlfn.XLOOKUP($A10,Master_Data!$C:$C,Master_Data!$I:$I,"CHECK",0)</f>
        <v>Abdul Mannan</v>
      </c>
      <c r="T10">
        <f>_xlfn.XLOOKUP($A10,Master_Data!$C:$C,Master_Data!$K:$K,"CHECK",0)</f>
        <v>74082</v>
      </c>
      <c r="U10">
        <f>IFERROR(_xlfn.XLOOKUP($A10,Master_Data!$C:$C,Master_Data!$L:$L,"CHECK",0),"")</f>
        <v>34.344286614990914</v>
      </c>
      <c r="V10">
        <f>_xlfn.XLOOKUP($A10,Master_Data!$C:$C,Master_Data!$M:$M,"CHECK",0)</f>
        <v>67540</v>
      </c>
      <c r="W10">
        <f>IFERROR(_xlfn.XLOOKUP($A10,Master_Data!$C:$C,Master_Data!$N:$N,"CHECK",0),"")</f>
        <v>31.311426770018176</v>
      </c>
      <c r="X10" t="str">
        <f>IFERROR(_xlfn.XLOOKUP($A10,Master_Data!$C:$C,Master_Data!$O:$O,"CHECK",0),"No Result")</f>
        <v>Safe Seat</v>
      </c>
      <c r="Y10">
        <f>_xlfn.XLOOKUP($A10,Master_Data!$C:$C,Master_Data!$P:$P,"CHECK",0)</f>
        <v>0</v>
      </c>
      <c r="Z10">
        <f t="shared" si="1"/>
        <v>1</v>
      </c>
      <c r="AA10">
        <f>_xlfn.XLOOKUP(B10,Remittance_Data!A:A,Remittance_Data!B:B,"CHECK")</f>
        <v>35831</v>
      </c>
      <c r="AB10">
        <f>_xlfn.XLOOKUP(B10,Remittance_Data!A:A,Remittance_Data!C:C,"CHECK")</f>
        <v>26117</v>
      </c>
      <c r="AC10">
        <f>_xlfn.XLOOKUP(B10,Remittance_Data!A:A,Remittance_Data!D:D,"CHECK")</f>
        <v>9714</v>
      </c>
    </row>
    <row r="11" spans="1:29">
      <c r="A11" t="str">
        <v>Barishal-3</v>
      </c>
      <c r="B11" t="str" cm="1">
        <f t="array" ref="B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Nawabganj","Chapainawabganj"),Final_Merged_Data!$B$2:$B$1000=$A11)))</f>
        <v>Barishal</v>
      </c>
      <c r="C11" t="str" cm="1">
        <f t="array" ref="C11">_xlfn.TEXTJOIN(", ",TRUE,_xlfn._xlws.FILTER(Final_Merged_Data!$C$2:$C$1000,Final_Merged_Data!$B$2:$B$1000=$A11))</f>
        <v>Barishal Sadar</v>
      </c>
      <c r="D11" cm="1">
        <f t="array" ref="D11">COUNTA(_xlfn._xlws.FILTER(Final_Merged_Data!$C$2:$C$1000,Final_Merged_Data!$B$2:$B$1000=$A11))</f>
        <v>1</v>
      </c>
      <c r="E11">
        <f>SUMIFS(Final_Merged_Data!$E:$E,Final_Merged_Data!$B:$B,$A11)</f>
        <v>54.17</v>
      </c>
      <c r="F11">
        <f>SUMIFS(Final_Merged_Data!$F:$F,Final_Merged_Data!$B:$B,$A11)</f>
        <v>237207</v>
      </c>
      <c r="G11">
        <f t="shared" si="0"/>
        <v>4378.9366808196419</v>
      </c>
      <c r="H11" cm="1">
        <f t="array" ref="H11">SUMPRODUCT((Final_Merged_Data!$B$2:$B$1000=$A11)*Final_Merged_Data!$H$2:$H$1000*Final_Merged_Data!$F$2:$F$1000)/F11</f>
        <v>4.1500000000000004</v>
      </c>
      <c r="I11" cm="1">
        <f t="array" ref="I11">SUMPRODUCT((Final_Merged_Data!$B$2:$B$1000=$A11)*Final_Merged_Data!$I$2:$I$1000*Final_Merged_Data!$F$2:$F$1000)/F11</f>
        <v>80.010000000000005</v>
      </c>
      <c r="J11" t="str" cm="1">
        <f t="array" ref="J11">_xlfn.TEXTJOIN(", ",TRUE,_xlfn.UNIQUE(_xlfn._xlws.FILTER(Final_Merged_Data!$J$2:$J$1000,Final_Merged_Data!$B$2:$B$1000=$A11)))</f>
        <v>Barishal Range</v>
      </c>
      <c r="K11" cm="1">
        <f t="array" ref="K11">SUMPRODUCT((Final_Merged_Data!$B$2:$B$1000=$A11)*Final_Merged_Data!$K$2:$K$1000*Final_Merged_Data!$F$2:$F$1000)/F11</f>
        <v>112.01964836613054</v>
      </c>
      <c r="L11" cm="1">
        <f t="array" ref="L11">SUMPRODUCT((Final_Merged_Data!$B$2:$B$1000=$A11)*Final_Merged_Data!$L$2:$L$1000*Final_Merged_Data!$F$2:$F$1000)/F11</f>
        <v>22.37167391269287</v>
      </c>
      <c r="M11" t="str">
        <f>IF(COUNTIF(Master_Data!$C:$C,$A11)&gt;0,"Found","Missing")</f>
        <v>Found</v>
      </c>
      <c r="N11" t="str">
        <f>_xlfn.XLOOKUP($A11,Master_Data!$C:$C,Master_Data!$D:$D,"CHECK",0)</f>
        <v>Zainul Abedin</v>
      </c>
      <c r="O11" t="str">
        <f>_xlfn.XLOOKUP($A11,Master_Data!$C:$C,Master_Data!$E:$E,"CHECK",0)</f>
        <v>BNP</v>
      </c>
      <c r="P11">
        <f>_xlfn.XLOOKUP($A11,Master_Data!$C:$C,Master_Data!$F:$F,"CHECK",0)</f>
        <v>1</v>
      </c>
      <c r="Q11">
        <f>_xlfn.XLOOKUP($A11,Master_Data!$C:$C,Master_Data!$G:$G,"CHECK",0)</f>
        <v>80930</v>
      </c>
      <c r="R11">
        <f>IFERROR(_xlfn.XLOOKUP($A11,Master_Data!$C:$C,Master_Data!$H:$H,"CHECK",0),"")</f>
        <v>56.944033998958645</v>
      </c>
      <c r="S11" t="str">
        <f>_xlfn.XLOOKUP($A11,Master_Data!$C:$C,Master_Data!$I:$I,"CHECK",0)</f>
        <v>Asaduzzaman Fuaad</v>
      </c>
      <c r="T11">
        <f>_xlfn.XLOOKUP($A11,Master_Data!$C:$C,Master_Data!$K:$K,"CHECK",0)</f>
        <v>61192</v>
      </c>
      <c r="U11">
        <f>IFERROR(_xlfn.XLOOKUP($A11,Master_Data!$C:$C,Master_Data!$L:$L,"CHECK",0),"")</f>
        <v>43.055966001041355</v>
      </c>
      <c r="V11">
        <f>_xlfn.XLOOKUP($A11,Master_Data!$C:$C,Master_Data!$M:$M,"CHECK",0)</f>
        <v>19738</v>
      </c>
      <c r="W11">
        <f>IFERROR(_xlfn.XLOOKUP($A11,Master_Data!$C:$C,Master_Data!$N:$N,"CHECK",0),"")</f>
        <v>13.888067997917283</v>
      </c>
      <c r="X11" t="str">
        <f>IFERROR(_xlfn.XLOOKUP($A11,Master_Data!$C:$C,Master_Data!$O:$O,"CHECK",0),"No Result")</f>
        <v>Safe Seat</v>
      </c>
      <c r="Y11">
        <f>_xlfn.XLOOKUP($A11,Master_Data!$C:$C,Master_Data!$P:$P,"CHECK",0)</f>
        <v>1</v>
      </c>
      <c r="Z11">
        <f t="shared" si="1"/>
        <v>1</v>
      </c>
      <c r="AA11">
        <f>_xlfn.XLOOKUP(B11,Remittance_Data!A:A,Remittance_Data!B:B,"CHECK")</f>
        <v>35831</v>
      </c>
      <c r="AB11">
        <f>_xlfn.XLOOKUP(B11,Remittance_Data!A:A,Remittance_Data!C:C,"CHECK")</f>
        <v>26117</v>
      </c>
      <c r="AC11">
        <f>_xlfn.XLOOKUP(B11,Remittance_Data!A:A,Remittance_Data!D:D,"CHECK")</f>
        <v>9714</v>
      </c>
    </row>
    <row r="12" spans="1:29">
      <c r="A12" t="str">
        <v>Barishal-4</v>
      </c>
      <c r="B12" t="str" cm="1">
        <f t="array" ref="B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Nawabganj","Chapainawabganj"),Final_Merged_Data!$B$2:$B$1000=$A12)))</f>
        <v>Barishal</v>
      </c>
      <c r="C12" t="str" cm="1">
        <f t="array" ref="C12">_xlfn.TEXTJOIN(", ",TRUE,_xlfn._xlws.FILTER(Final_Merged_Data!$C$2:$C$1000,Final_Merged_Data!$B$2:$B$1000=$A12))</f>
        <v>Mehendiganj</v>
      </c>
      <c r="D12" cm="1">
        <f t="array" ref="D12">COUNTA(_xlfn._xlws.FILTER(Final_Merged_Data!$C$2:$C$1000,Final_Merged_Data!$B$2:$B$1000=$A12))</f>
        <v>1</v>
      </c>
      <c r="E12">
        <f>SUMIFS(Final_Merged_Data!$E:$E,Final_Merged_Data!$B:$B,$A12)</f>
        <v>774.5</v>
      </c>
      <c r="F12">
        <f>SUMIFS(Final_Merged_Data!$F:$F,Final_Merged_Data!$B:$B,$A12)</f>
        <v>283877</v>
      </c>
      <c r="G12">
        <f t="shared" si="0"/>
        <v>366.52937378954164</v>
      </c>
      <c r="H12" cm="1">
        <f t="array" ref="H12">SUMPRODUCT((Final_Merged_Data!$B$2:$B$1000=$A12)*Final_Merged_Data!$H$2:$H$1000*Final_Merged_Data!$F$2:$F$1000)/F12</f>
        <v>4.04</v>
      </c>
      <c r="I12" cm="1">
        <f t="array" ref="I12">SUMPRODUCT((Final_Merged_Data!$B$2:$B$1000=$A12)*Final_Merged_Data!$I$2:$I$1000*Final_Merged_Data!$F$2:$F$1000)/F12</f>
        <v>71.23</v>
      </c>
      <c r="J12" t="str" cm="1">
        <f t="array" ref="J12">_xlfn.TEXTJOIN(", ",TRUE,_xlfn.UNIQUE(_xlfn._xlws.FILTER(Final_Merged_Data!$J$2:$J$1000,Final_Merged_Data!$B$2:$B$1000=$A12)))</f>
        <v>Barishal Range</v>
      </c>
      <c r="K12" cm="1">
        <f t="array" ref="K12">SUMPRODUCT((Final_Merged_Data!$B$2:$B$1000=$A12)*Final_Merged_Data!$K$2:$K$1000*Final_Merged_Data!$F$2:$F$1000)/F12</f>
        <v>112.01964836613054</v>
      </c>
      <c r="L12" cm="1">
        <f t="array" ref="L12">SUMPRODUCT((Final_Merged_Data!$B$2:$B$1000=$A12)*Final_Merged_Data!$L$2:$L$1000*Final_Merged_Data!$F$2:$F$1000)/F12</f>
        <v>22.37167391269287</v>
      </c>
      <c r="M12" t="str">
        <f>IF(COUNTIF(Master_Data!$C:$C,$A12)&gt;0,"Found","Missing")</f>
        <v>Found</v>
      </c>
      <c r="N12" t="str">
        <f>_xlfn.XLOOKUP($A12,Master_Data!$C:$C,Master_Data!$D:$D,"CHECK",0)</f>
        <v>Md. Rajib Ahsan</v>
      </c>
      <c r="O12" t="str">
        <f>_xlfn.XLOOKUP($A12,Master_Data!$C:$C,Master_Data!$E:$E,"CHECK",0)</f>
        <v>BNP</v>
      </c>
      <c r="P12">
        <f>_xlfn.XLOOKUP($A12,Master_Data!$C:$C,Master_Data!$F:$F,"CHECK",0)</f>
        <v>1</v>
      </c>
      <c r="Q12">
        <f>_xlfn.XLOOKUP($A12,Master_Data!$C:$C,Master_Data!$G:$G,"CHECK",0)</f>
        <v>128322</v>
      </c>
      <c r="R12">
        <f>IFERROR(_xlfn.XLOOKUP($A12,Master_Data!$C:$C,Master_Data!$H:$H,"CHECK",0),"")</f>
        <v>63.210939578140547</v>
      </c>
      <c r="S12" t="str">
        <f>_xlfn.XLOOKUP($A12,Master_Data!$C:$C,Master_Data!$I:$I,"CHECK",0)</f>
        <v>Mohammad Abdul Jabbar</v>
      </c>
      <c r="T12">
        <f>_xlfn.XLOOKUP($A12,Master_Data!$C:$C,Master_Data!$K:$K,"CHECK",0)</f>
        <v>74684</v>
      </c>
      <c r="U12">
        <f>IFERROR(_xlfn.XLOOKUP($A12,Master_Data!$C:$C,Master_Data!$L:$L,"CHECK",0),"")</f>
        <v>36.789060421859453</v>
      </c>
      <c r="V12">
        <f>_xlfn.XLOOKUP($A12,Master_Data!$C:$C,Master_Data!$M:$M,"CHECK",0)</f>
        <v>53638</v>
      </c>
      <c r="W12">
        <f>IFERROR(_xlfn.XLOOKUP($A12,Master_Data!$C:$C,Master_Data!$N:$N,"CHECK",0),"")</f>
        <v>26.421879156281097</v>
      </c>
      <c r="X12" t="str">
        <f>IFERROR(_xlfn.XLOOKUP($A12,Master_Data!$C:$C,Master_Data!$O:$O,"CHECK",0),"No Result")</f>
        <v>Safe Seat</v>
      </c>
      <c r="Y12">
        <f>_xlfn.XLOOKUP($A12,Master_Data!$C:$C,Master_Data!$P:$P,"CHECK",0)</f>
        <v>0</v>
      </c>
      <c r="Z12">
        <f t="shared" si="1"/>
        <v>1</v>
      </c>
      <c r="AA12">
        <f>_xlfn.XLOOKUP(B12,Remittance_Data!A:A,Remittance_Data!B:B,"CHECK")</f>
        <v>35831</v>
      </c>
      <c r="AB12">
        <f>_xlfn.XLOOKUP(B12,Remittance_Data!A:A,Remittance_Data!C:C,"CHECK")</f>
        <v>26117</v>
      </c>
      <c r="AC12">
        <f>_xlfn.XLOOKUP(B12,Remittance_Data!A:A,Remittance_Data!D:D,"CHECK")</f>
        <v>9714</v>
      </c>
    </row>
    <row r="13" spans="1:29">
      <c r="A13" t="str">
        <v>Barishal-5</v>
      </c>
      <c r="B13" t="str" cm="1">
        <f t="array" ref="B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Nawabganj","Chapainawabganj"),Final_Merged_Data!$B$2:$B$1000=$A13)))</f>
        <v>Barishal</v>
      </c>
      <c r="C13" t="str" cm="1">
        <f t="array" ref="C13">_xlfn.TEXTJOIN(", ",TRUE,_xlfn._xlws.FILTER(Final_Merged_Data!$C$2:$C$1000,Final_Merged_Data!$B$2:$B$1000=$A13))</f>
        <v>Bakerganj</v>
      </c>
      <c r="D13" cm="1">
        <f t="array" ref="D13">COUNTA(_xlfn._xlws.FILTER(Final_Merged_Data!$C$2:$C$1000,Final_Merged_Data!$B$2:$B$1000=$A13))</f>
        <v>1</v>
      </c>
      <c r="E13">
        <f>SUMIFS(Final_Merged_Data!$E:$E,Final_Merged_Data!$B:$B,$A13)</f>
        <v>259.56</v>
      </c>
      <c r="F13">
        <f>SUMIFS(Final_Merged_Data!$F:$F,Final_Merged_Data!$B:$B,$A13)</f>
        <v>356012</v>
      </c>
      <c r="G13">
        <f t="shared" si="0"/>
        <v>1371.5980890738172</v>
      </c>
      <c r="H13" cm="1">
        <f t="array" ref="H13">SUMPRODUCT((Final_Merged_Data!$B$2:$B$1000=$A13)*Final_Merged_Data!$H$2:$H$1000*Final_Merged_Data!$F$2:$F$1000)/F13</f>
        <v>3.96</v>
      </c>
      <c r="I13" cm="1">
        <f t="array" ref="I13">SUMPRODUCT((Final_Merged_Data!$B$2:$B$1000=$A13)*Final_Merged_Data!$I$2:$I$1000*Final_Merged_Data!$F$2:$F$1000)/F13</f>
        <v>79.930000000000007</v>
      </c>
      <c r="J13" t="str" cm="1">
        <f t="array" ref="J13">_xlfn.TEXTJOIN(", ",TRUE,_xlfn.UNIQUE(_xlfn._xlws.FILTER(Final_Merged_Data!$J$2:$J$1000,Final_Merged_Data!$B$2:$B$1000=$A13)))</f>
        <v>Barishal Range</v>
      </c>
      <c r="K13" cm="1">
        <f t="array" ref="K13">SUMPRODUCT((Final_Merged_Data!$B$2:$B$1000=$A13)*Final_Merged_Data!$K$2:$K$1000*Final_Merged_Data!$F$2:$F$1000)/F13</f>
        <v>112.01964836613054</v>
      </c>
      <c r="L13" cm="1">
        <f t="array" ref="L13">SUMPRODUCT((Final_Merged_Data!$B$2:$B$1000=$A13)*Final_Merged_Data!$L$2:$L$1000*Final_Merged_Data!$F$2:$F$1000)/F13</f>
        <v>22.37167391269287</v>
      </c>
      <c r="M13" t="str">
        <f>IF(COUNTIF(Master_Data!$C:$C,$A13)&gt;0,"Found","Missing")</f>
        <v>Found</v>
      </c>
      <c r="N13" t="str">
        <f>_xlfn.XLOOKUP($A13,Master_Data!$C:$C,Master_Data!$D:$D,"CHECK",0)</f>
        <v>Majibur Rahman Sarwar</v>
      </c>
      <c r="O13" t="str">
        <f>_xlfn.XLOOKUP($A13,Master_Data!$C:$C,Master_Data!$E:$E,"CHECK",0)</f>
        <v>BNP</v>
      </c>
      <c r="P13">
        <f>_xlfn.XLOOKUP($A13,Master_Data!$C:$C,Master_Data!$F:$F,"CHECK",0)</f>
        <v>1</v>
      </c>
      <c r="Q13">
        <f>_xlfn.XLOOKUP($A13,Master_Data!$C:$C,Master_Data!$G:$G,"CHECK",0)</f>
        <v>135146</v>
      </c>
      <c r="R13">
        <f>IFERROR(_xlfn.XLOOKUP($A13,Master_Data!$C:$C,Master_Data!$H:$H,"CHECK",0),"")</f>
        <v>58.710630348842265</v>
      </c>
      <c r="S13" t="str">
        <f>_xlfn.XLOOKUP($A13,Master_Data!$C:$C,Master_Data!$I:$I,"CHECK",0)</f>
        <v>Syed Faizul Karim</v>
      </c>
      <c r="T13">
        <f>_xlfn.XLOOKUP($A13,Master_Data!$C:$C,Master_Data!$K:$K,"CHECK",0)</f>
        <v>95044</v>
      </c>
      <c r="U13">
        <f>IFERROR(_xlfn.XLOOKUP($A13,Master_Data!$C:$C,Master_Data!$L:$L,"CHECK",0),"")</f>
        <v>41.289369651157735</v>
      </c>
      <c r="V13">
        <f>_xlfn.XLOOKUP($A13,Master_Data!$C:$C,Master_Data!$M:$M,"CHECK",0)</f>
        <v>40102</v>
      </c>
      <c r="W13">
        <f>IFERROR(_xlfn.XLOOKUP($A13,Master_Data!$C:$C,Master_Data!$N:$N,"CHECK",0),"")</f>
        <v>17.42126069768452</v>
      </c>
      <c r="X13" t="str">
        <f>IFERROR(_xlfn.XLOOKUP($A13,Master_Data!$C:$C,Master_Data!$O:$O,"CHECK",0),"No Result")</f>
        <v>Safe Seat</v>
      </c>
      <c r="Y13">
        <f>_xlfn.XLOOKUP($A13,Master_Data!$C:$C,Master_Data!$P:$P,"CHECK",0)</f>
        <v>0</v>
      </c>
      <c r="Z13">
        <f t="shared" si="1"/>
        <v>1</v>
      </c>
      <c r="AA13">
        <f>_xlfn.XLOOKUP(B13,Remittance_Data!A:A,Remittance_Data!B:B,"CHECK")</f>
        <v>35831</v>
      </c>
      <c r="AB13">
        <f>_xlfn.XLOOKUP(B13,Remittance_Data!A:A,Remittance_Data!C:C,"CHECK")</f>
        <v>26117</v>
      </c>
      <c r="AC13">
        <f>_xlfn.XLOOKUP(B13,Remittance_Data!A:A,Remittance_Data!D:D,"CHECK")</f>
        <v>9714</v>
      </c>
    </row>
    <row r="14" spans="1:29">
      <c r="A14" t="str">
        <v>Barishal-6</v>
      </c>
      <c r="B14" t="str" cm="1">
        <f t="array" ref="B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Nawabganj","Chapainawabganj"),Final_Merged_Data!$B$2:$B$1000=$A14)))</f>
        <v>Barishal</v>
      </c>
      <c r="C14" t="str" cm="1">
        <f t="array" ref="C14">_xlfn.TEXTJOIN(", ",TRUE,_xlfn._xlws.FILTER(Final_Merged_Data!$C$2:$C$1000,Final_Merged_Data!$B$2:$B$1000=$A14))</f>
        <v>Muladi, Hizla</v>
      </c>
      <c r="D14" cm="1">
        <f t="array" ref="D14">COUNTA(_xlfn._xlws.FILTER(Final_Merged_Data!$C$2:$C$1000,Final_Merged_Data!$B$2:$B$1000=$A14))</f>
        <v>2</v>
      </c>
      <c r="E14">
        <f>SUMIFS(Final_Merged_Data!$E:$E,Final_Merged_Data!$B:$B,$A14)</f>
        <v>373.54999999999995</v>
      </c>
      <c r="F14">
        <f>SUMIFS(Final_Merged_Data!$F:$F,Final_Merged_Data!$B:$B,$A14)</f>
        <v>332589</v>
      </c>
      <c r="G14">
        <f t="shared" si="0"/>
        <v>890.34667380538087</v>
      </c>
      <c r="H14" cm="1">
        <f t="array" ref="H14">SUMPRODUCT((Final_Merged_Data!$B$2:$B$1000=$A14)*Final_Merged_Data!$H$2:$H$1000*Final_Merged_Data!$F$2:$F$1000)/F14</f>
        <v>4.0521436367408423</v>
      </c>
      <c r="I14" cm="1">
        <f t="array" ref="I14">SUMPRODUCT((Final_Merged_Data!$B$2:$B$1000=$A14)*Final_Merged_Data!$I$2:$I$1000*Final_Merged_Data!$F$2:$F$1000)/F14</f>
        <v>72.296926837628433</v>
      </c>
      <c r="J14" t="str" cm="1">
        <f t="array" ref="J14">_xlfn.TEXTJOIN(", ",TRUE,_xlfn.UNIQUE(_xlfn._xlws.FILTER(Final_Merged_Data!$J$2:$J$1000,Final_Merged_Data!$B$2:$B$1000=$A14)))</f>
        <v>Barishal Range</v>
      </c>
      <c r="K14" cm="1">
        <f t="array" ref="K14">SUMPRODUCT((Final_Merged_Data!$B$2:$B$1000=$A14)*Final_Merged_Data!$K$2:$K$1000*Final_Merged_Data!$F$2:$F$1000)/F14</f>
        <v>112.01964836613055</v>
      </c>
      <c r="L14" cm="1">
        <f t="array" ref="L14">SUMPRODUCT((Final_Merged_Data!$B$2:$B$1000=$A14)*Final_Merged_Data!$L$2:$L$1000*Final_Merged_Data!$F$2:$F$1000)/F14</f>
        <v>22.37167391269287</v>
      </c>
      <c r="M14" t="str">
        <f>IF(COUNTIF(Master_Data!$C:$C,$A14)&gt;0,"Found","Missing")</f>
        <v>Found</v>
      </c>
      <c r="N14" t="str">
        <f>_xlfn.XLOOKUP($A14,Master_Data!$C:$C,Master_Data!$D:$D,"CHECK",0)</f>
        <v>Abul Hossain Khan</v>
      </c>
      <c r="O14" t="str">
        <f>_xlfn.XLOOKUP($A14,Master_Data!$C:$C,Master_Data!$E:$E,"CHECK",0)</f>
        <v>BNP</v>
      </c>
      <c r="P14">
        <f>_xlfn.XLOOKUP($A14,Master_Data!$C:$C,Master_Data!$F:$F,"CHECK",0)</f>
        <v>1</v>
      </c>
      <c r="Q14">
        <f>_xlfn.XLOOKUP($A14,Master_Data!$C:$C,Master_Data!$G:$G,"CHECK",0)</f>
        <v>82217</v>
      </c>
      <c r="R14">
        <f>IFERROR(_xlfn.XLOOKUP($A14,Master_Data!$C:$C,Master_Data!$H:$H,"CHECK",0),"")</f>
        <v>59.489164646720447</v>
      </c>
      <c r="S14" t="str">
        <f>_xlfn.XLOOKUP($A14,Master_Data!$C:$C,Master_Data!$I:$I,"CHECK",0)</f>
        <v>Md. Mahmudunnabi</v>
      </c>
      <c r="T14">
        <f>_xlfn.XLOOKUP($A14,Master_Data!$C:$C,Master_Data!$K:$K,"CHECK",0)</f>
        <v>55988</v>
      </c>
      <c r="U14">
        <f>IFERROR(_xlfn.XLOOKUP($A14,Master_Data!$C:$C,Master_Data!$L:$L,"CHECK",0),"")</f>
        <v>40.510835353279553</v>
      </c>
      <c r="V14">
        <f>_xlfn.XLOOKUP($A14,Master_Data!$C:$C,Master_Data!$M:$M,"CHECK",0)</f>
        <v>26229</v>
      </c>
      <c r="W14">
        <f>IFERROR(_xlfn.XLOOKUP($A14,Master_Data!$C:$C,Master_Data!$N:$N,"CHECK",0),"")</f>
        <v>18.978329293440904</v>
      </c>
      <c r="X14" t="str">
        <f>IFERROR(_xlfn.XLOOKUP($A14,Master_Data!$C:$C,Master_Data!$O:$O,"CHECK",0),"No Result")</f>
        <v>Safe Seat</v>
      </c>
      <c r="Y14">
        <f>_xlfn.XLOOKUP($A14,Master_Data!$C:$C,Master_Data!$P:$P,"CHECK",0)</f>
        <v>0</v>
      </c>
      <c r="Z14">
        <f t="shared" si="1"/>
        <v>1</v>
      </c>
      <c r="AA14">
        <f>_xlfn.XLOOKUP(B14,Remittance_Data!A:A,Remittance_Data!B:B,"CHECK")</f>
        <v>35831</v>
      </c>
      <c r="AB14">
        <f>_xlfn.XLOOKUP(B14,Remittance_Data!A:A,Remittance_Data!C:C,"CHECK")</f>
        <v>26117</v>
      </c>
      <c r="AC14">
        <f>_xlfn.XLOOKUP(B14,Remittance_Data!A:A,Remittance_Data!D:D,"CHECK")</f>
        <v>9714</v>
      </c>
    </row>
    <row r="15" spans="1:29">
      <c r="A15" t="str">
        <v>Bhola-1</v>
      </c>
      <c r="B15" t="str" cm="1">
        <f t="array" ref="B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Nawabganj","Chapainawabganj"),Final_Merged_Data!$B$2:$B$1000=$A15)))</f>
        <v>Bhola</v>
      </c>
      <c r="C15" t="str" cm="1">
        <f t="array" ref="C15">_xlfn.TEXTJOIN(", ",TRUE,_xlfn._xlws.FILTER(Final_Merged_Data!$C$2:$C$1000,Final_Merged_Data!$B$2:$B$1000=$A15))</f>
        <v>Bhola Sadar</v>
      </c>
      <c r="D15" cm="1">
        <f t="array" ref="D15">COUNTA(_xlfn._xlws.FILTER(Final_Merged_Data!$C$2:$C$1000,Final_Merged_Data!$B$2:$B$1000=$A15))</f>
        <v>1</v>
      </c>
      <c r="E15">
        <f>SUMIFS(Final_Merged_Data!$E:$E,Final_Merged_Data!$B:$B,$A15)</f>
        <v>351.87</v>
      </c>
      <c r="F15">
        <f>SUMIFS(Final_Merged_Data!$F:$F,Final_Merged_Data!$B:$B,$A15)</f>
        <v>444828</v>
      </c>
      <c r="G15">
        <f t="shared" si="0"/>
        <v>1264.1827947821639</v>
      </c>
      <c r="H15" cm="1">
        <f t="array" ref="H15">SUMPRODUCT((Final_Merged_Data!$B$2:$B$1000=$A15)*Final_Merged_Data!$H$2:$H$1000*Final_Merged_Data!$F$2:$F$1000)/F15</f>
        <v>4.29</v>
      </c>
      <c r="I15" cm="1">
        <f t="array" ref="I15">SUMPRODUCT((Final_Merged_Data!$B$2:$B$1000=$A15)*Final_Merged_Data!$I$2:$I$1000*Final_Merged_Data!$F$2:$F$1000)/F15</f>
        <v>70.41</v>
      </c>
      <c r="J15" t="str" cm="1">
        <f t="array" ref="J15">_xlfn.TEXTJOIN(", ",TRUE,_xlfn.UNIQUE(_xlfn._xlws.FILTER(Final_Merged_Data!$J$2:$J$1000,Final_Merged_Data!$B$2:$B$1000=$A15)))</f>
        <v>Barishal Range</v>
      </c>
      <c r="K15" cm="1">
        <f t="array" ref="K15">SUMPRODUCT((Final_Merged_Data!$B$2:$B$1000=$A15)*Final_Merged_Data!$K$2:$K$1000*Final_Merged_Data!$F$2:$F$1000)/F15</f>
        <v>112.01964836613054</v>
      </c>
      <c r="L15" cm="1">
        <f t="array" ref="L15">SUMPRODUCT((Final_Merged_Data!$B$2:$B$1000=$A15)*Final_Merged_Data!$L$2:$L$1000*Final_Merged_Data!$F$2:$F$1000)/F15</f>
        <v>22.37167391269287</v>
      </c>
      <c r="M15" t="str">
        <f>IF(COUNTIF(Master_Data!$C:$C,$A15)&gt;0,"Found","Missing")</f>
        <v>Found</v>
      </c>
      <c r="N15" t="str">
        <f>_xlfn.XLOOKUP($A15,Master_Data!$C:$C,Master_Data!$D:$D,"CHECK",0)</f>
        <v>Andaleeve Rahman</v>
      </c>
      <c r="O15" t="str">
        <f>_xlfn.XLOOKUP($A15,Master_Data!$C:$C,Master_Data!$E:$E,"CHECK",0)</f>
        <v>BJP</v>
      </c>
      <c r="P15">
        <f>_xlfn.XLOOKUP($A15,Master_Data!$C:$C,Master_Data!$F:$F,"CHECK",0)</f>
        <v>0</v>
      </c>
      <c r="Q15">
        <f>_xlfn.XLOOKUP($A15,Master_Data!$C:$C,Master_Data!$G:$G,"CHECK",0)</f>
        <v>105543</v>
      </c>
      <c r="R15">
        <f>IFERROR(_xlfn.XLOOKUP($A15,Master_Data!$C:$C,Master_Data!$H:$H,"CHECK",0),"")</f>
        <v>58.349734630694385</v>
      </c>
      <c r="S15" t="str">
        <f>_xlfn.XLOOKUP($A15,Master_Data!$C:$C,Master_Data!$I:$I,"CHECK",0)</f>
        <v>Md. Nazrul Islam</v>
      </c>
      <c r="T15">
        <f>_xlfn.XLOOKUP($A15,Master_Data!$C:$C,Master_Data!$K:$K,"CHECK",0)</f>
        <v>75337</v>
      </c>
      <c r="U15">
        <f>IFERROR(_xlfn.XLOOKUP($A15,Master_Data!$C:$C,Master_Data!$L:$L,"CHECK",0),"")</f>
        <v>41.650265369305615</v>
      </c>
      <c r="V15">
        <f>_xlfn.XLOOKUP($A15,Master_Data!$C:$C,Master_Data!$M:$M,"CHECK",0)</f>
        <v>30206</v>
      </c>
      <c r="W15">
        <f>IFERROR(_xlfn.XLOOKUP($A15,Master_Data!$C:$C,Master_Data!$N:$N,"CHECK",0),"")</f>
        <v>16.699469261388767</v>
      </c>
      <c r="X15" t="str">
        <f>IFERROR(_xlfn.XLOOKUP($A15,Master_Data!$C:$C,Master_Data!$O:$O,"CHECK",0),"No Result")</f>
        <v>Safe Seat</v>
      </c>
      <c r="Y15">
        <f>_xlfn.XLOOKUP($A15,Master_Data!$C:$C,Master_Data!$P:$P,"CHECK",0)</f>
        <v>0</v>
      </c>
      <c r="Z15">
        <f t="shared" si="1"/>
        <v>1</v>
      </c>
      <c r="AA15">
        <f>_xlfn.XLOOKUP(B15,Remittance_Data!A:A,Remittance_Data!B:B,"CHECK")</f>
        <v>24978</v>
      </c>
      <c r="AB15">
        <f>_xlfn.XLOOKUP(B15,Remittance_Data!A:A,Remittance_Data!C:C,"CHECK")</f>
        <v>16999</v>
      </c>
      <c r="AC15">
        <f>_xlfn.XLOOKUP(B15,Remittance_Data!A:A,Remittance_Data!D:D,"CHECK")</f>
        <v>7979</v>
      </c>
    </row>
    <row r="16" spans="1:29">
      <c r="A16" t="str">
        <v>Bhola-2</v>
      </c>
      <c r="B16" t="str" cm="1">
        <f t="array" ref="B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Nawabganj","Chapainawabganj"),Final_Merged_Data!$B$2:$B$1000=$A16)))</f>
        <v>Bhola</v>
      </c>
      <c r="C16" t="str" cm="1">
        <f t="array" ref="C16">_xlfn.TEXTJOIN(", ",TRUE,_xlfn._xlws.FILTER(Final_Merged_Data!$C$2:$C$1000,Final_Merged_Data!$B$2:$B$1000=$A16))</f>
        <v>Borhanuddin, Daulatkhan</v>
      </c>
      <c r="D16" cm="1">
        <f t="array" ref="D16">COUNTA(_xlfn._xlws.FILTER(Final_Merged_Data!$C$2:$C$1000,Final_Merged_Data!$B$2:$B$1000=$A16))</f>
        <v>2</v>
      </c>
      <c r="E16">
        <f>SUMIFS(Final_Merged_Data!$E:$E,Final_Merged_Data!$B:$B,$A16)</f>
        <v>855.22</v>
      </c>
      <c r="F16">
        <f>SUMIFS(Final_Merged_Data!$F:$F,Final_Merged_Data!$B:$B,$A16)</f>
        <v>447239</v>
      </c>
      <c r="G16">
        <f t="shared" si="0"/>
        <v>522.95198896190448</v>
      </c>
      <c r="H16" cm="1">
        <f t="array" ref="H16">SUMPRODUCT((Final_Merged_Data!$B$2:$B$1000=$A16)*Final_Merged_Data!$H$2:$H$1000*Final_Merged_Data!$F$2:$F$1000)/F16</f>
        <v>4.2621954257119796</v>
      </c>
      <c r="I16" cm="1">
        <f t="array" ref="I16">SUMPRODUCT((Final_Merged_Data!$B$2:$B$1000=$A16)*Final_Merged_Data!$I$2:$I$1000*Final_Merged_Data!$F$2:$F$1000)/F16</f>
        <v>68.242737395441807</v>
      </c>
      <c r="J16" t="str" cm="1">
        <f t="array" ref="J16">_xlfn.TEXTJOIN(", ",TRUE,_xlfn.UNIQUE(_xlfn._xlws.FILTER(Final_Merged_Data!$J$2:$J$1000,Final_Merged_Data!$B$2:$B$1000=$A16)))</f>
        <v>Barishal Range</v>
      </c>
      <c r="K16" cm="1">
        <f t="array" ref="K16">SUMPRODUCT((Final_Merged_Data!$B$2:$B$1000=$A16)*Final_Merged_Data!$K$2:$K$1000*Final_Merged_Data!$F$2:$F$1000)/F16</f>
        <v>112.01964836613054</v>
      </c>
      <c r="L16" cm="1">
        <f t="array" ref="L16">SUMPRODUCT((Final_Merged_Data!$B$2:$B$1000=$A16)*Final_Merged_Data!$L$2:$L$1000*Final_Merged_Data!$F$2:$F$1000)/F16</f>
        <v>22.371673912692867</v>
      </c>
      <c r="M16" t="str">
        <f>IF(COUNTIF(Master_Data!$C:$C,$A16)&gt;0,"Found","Missing")</f>
        <v>Found</v>
      </c>
      <c r="N16" t="str">
        <f>_xlfn.XLOOKUP($A16,Master_Data!$C:$C,Master_Data!$D:$D,"CHECK",0)</f>
        <v>Hafiz Ibrahim</v>
      </c>
      <c r="O16" t="str">
        <f>_xlfn.XLOOKUP($A16,Master_Data!$C:$C,Master_Data!$E:$E,"CHECK",0)</f>
        <v>BNP</v>
      </c>
      <c r="P16">
        <f>_xlfn.XLOOKUP($A16,Master_Data!$C:$C,Master_Data!$F:$F,"CHECK",0)</f>
        <v>1</v>
      </c>
      <c r="Q16">
        <f>_xlfn.XLOOKUP($A16,Master_Data!$C:$C,Master_Data!$G:$G,"CHECK",0)</f>
        <v>119085</v>
      </c>
      <c r="R16">
        <f>IFERROR(_xlfn.XLOOKUP($A16,Master_Data!$C:$C,Master_Data!$H:$H,"CHECK",0),"")</f>
        <v>55.964152113841003</v>
      </c>
      <c r="S16" t="str">
        <f>_xlfn.XLOOKUP($A16,Master_Data!$C:$C,Master_Data!$I:$I,"CHECK",0)</f>
        <v>Mohammad Fazlul Karim</v>
      </c>
      <c r="T16">
        <f>_xlfn.XLOOKUP($A16,Master_Data!$C:$C,Master_Data!$K:$K,"CHECK",0)</f>
        <v>93703</v>
      </c>
      <c r="U16">
        <f>IFERROR(_xlfn.XLOOKUP($A16,Master_Data!$C:$C,Master_Data!$L:$L,"CHECK",0),"")</f>
        <v>44.035847886158997</v>
      </c>
      <c r="V16">
        <f>_xlfn.XLOOKUP($A16,Master_Data!$C:$C,Master_Data!$M:$M,"CHECK",0)</f>
        <v>25382</v>
      </c>
      <c r="W16">
        <f>IFERROR(_xlfn.XLOOKUP($A16,Master_Data!$C:$C,Master_Data!$N:$N,"CHECK",0),"")</f>
        <v>11.928304227682013</v>
      </c>
      <c r="X16" t="str">
        <f>IFERROR(_xlfn.XLOOKUP($A16,Master_Data!$C:$C,Master_Data!$O:$O,"CHECK",0),"No Result")</f>
        <v>Safe Seat</v>
      </c>
      <c r="Y16">
        <f>_xlfn.XLOOKUP($A16,Master_Data!$C:$C,Master_Data!$P:$P,"CHECK",0)</f>
        <v>0</v>
      </c>
      <c r="Z16">
        <f t="shared" si="1"/>
        <v>1</v>
      </c>
      <c r="AA16">
        <f>_xlfn.XLOOKUP(B16,Remittance_Data!A:A,Remittance_Data!B:B,"CHECK")</f>
        <v>24978</v>
      </c>
      <c r="AB16">
        <f>_xlfn.XLOOKUP(B16,Remittance_Data!A:A,Remittance_Data!C:C,"CHECK")</f>
        <v>16999</v>
      </c>
      <c r="AC16">
        <f>_xlfn.XLOOKUP(B16,Remittance_Data!A:A,Remittance_Data!D:D,"CHECK")</f>
        <v>7979</v>
      </c>
    </row>
    <row r="17" spans="1:29">
      <c r="A17" t="str">
        <v>Bhola-3</v>
      </c>
      <c r="B17" t="str" cm="1">
        <f t="array" ref="B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Nawabganj","Chapainawabganj"),Final_Merged_Data!$B$2:$B$1000=$A17)))</f>
        <v>Bhola</v>
      </c>
      <c r="C17" t="str" cm="1">
        <f t="array" ref="C17">_xlfn.TEXTJOIN(", ",TRUE,_xlfn._xlws.FILTER(Final_Merged_Data!$C$2:$C$1000,Final_Merged_Data!$B$2:$B$1000=$A17))</f>
        <v>Lalmohan, Tazumuddin</v>
      </c>
      <c r="D17" cm="1">
        <f t="array" ref="D17">COUNTA(_xlfn._xlws.FILTER(Final_Merged_Data!$C$2:$C$1000,Final_Merged_Data!$B$2:$B$1000=$A17))</f>
        <v>2</v>
      </c>
      <c r="E17">
        <f>SUMIFS(Final_Merged_Data!$E:$E,Final_Merged_Data!$B:$B,$A17)</f>
        <v>854.38</v>
      </c>
      <c r="F17">
        <f>SUMIFS(Final_Merged_Data!$F:$F,Final_Merged_Data!$B:$B,$A17)</f>
        <v>431842</v>
      </c>
      <c r="G17">
        <f t="shared" si="0"/>
        <v>505.44488400945716</v>
      </c>
      <c r="H17" cm="1">
        <f t="array" ref="H17">SUMPRODUCT((Final_Merged_Data!$B$2:$B$1000=$A17)*Final_Merged_Data!$H$2:$H$1000*Final_Merged_Data!$F$2:$F$1000)/F17</f>
        <v>4.1858230788112314</v>
      </c>
      <c r="I17" cm="1">
        <f t="array" ref="I17">SUMPRODUCT((Final_Merged_Data!$B$2:$B$1000=$A17)*Final_Merged_Data!$I$2:$I$1000*Final_Merged_Data!$F$2:$F$1000)/F17</f>
        <v>63.946461576224635</v>
      </c>
      <c r="J17" t="str" cm="1">
        <f t="array" ref="J17">_xlfn.TEXTJOIN(", ",TRUE,_xlfn.UNIQUE(_xlfn._xlws.FILTER(Final_Merged_Data!$J$2:$J$1000,Final_Merged_Data!$B$2:$B$1000=$A17)))</f>
        <v>Barishal Range</v>
      </c>
      <c r="K17" cm="1">
        <f t="array" ref="K17">SUMPRODUCT((Final_Merged_Data!$B$2:$B$1000=$A17)*Final_Merged_Data!$K$2:$K$1000*Final_Merged_Data!$F$2:$F$1000)/F17</f>
        <v>112.01964836613054</v>
      </c>
      <c r="L17" cm="1">
        <f t="array" ref="L17">SUMPRODUCT((Final_Merged_Data!$B$2:$B$1000=$A17)*Final_Merged_Data!$L$2:$L$1000*Final_Merged_Data!$F$2:$F$1000)/F17</f>
        <v>22.37167391269287</v>
      </c>
      <c r="M17" t="str">
        <f>IF(COUNTIF(Master_Data!$C:$C,$A17)&gt;0,"Found","Missing")</f>
        <v>Found</v>
      </c>
      <c r="N17" t="str">
        <f>_xlfn.XLOOKUP($A17,Master_Data!$C:$C,Master_Data!$D:$D,"CHECK",0)</f>
        <v>Hafizuddin Ahmed</v>
      </c>
      <c r="O17" t="str">
        <f>_xlfn.XLOOKUP($A17,Master_Data!$C:$C,Master_Data!$E:$E,"CHECK",0)</f>
        <v>BNP</v>
      </c>
      <c r="P17">
        <f>_xlfn.XLOOKUP($A17,Master_Data!$C:$C,Master_Data!$F:$F,"CHECK",0)</f>
        <v>1</v>
      </c>
      <c r="Q17">
        <f>_xlfn.XLOOKUP($A17,Master_Data!$C:$C,Master_Data!$G:$G,"CHECK",0)</f>
        <v>145990</v>
      </c>
      <c r="R17">
        <f>IFERROR(_xlfn.XLOOKUP($A17,Master_Data!$C:$C,Master_Data!$H:$H,"CHECK",0),"")</f>
        <v>71.795653606503365</v>
      </c>
      <c r="S17" t="str">
        <f>_xlfn.XLOOKUP($A17,Master_Data!$C:$C,Master_Data!$I:$I,"CHECK",0)</f>
        <v>Muhammad Nizamul Haque</v>
      </c>
      <c r="T17">
        <f>_xlfn.XLOOKUP($A17,Master_Data!$C:$C,Master_Data!$K:$K,"CHECK",0)</f>
        <v>57351</v>
      </c>
      <c r="U17">
        <f>IFERROR(_xlfn.XLOOKUP($A17,Master_Data!$C:$C,Master_Data!$L:$L,"CHECK",0),"")</f>
        <v>28.204346393496639</v>
      </c>
      <c r="V17">
        <f>_xlfn.XLOOKUP($A17,Master_Data!$C:$C,Master_Data!$M:$M,"CHECK",0)</f>
        <v>88639</v>
      </c>
      <c r="W17">
        <f>IFERROR(_xlfn.XLOOKUP($A17,Master_Data!$C:$C,Master_Data!$N:$N,"CHECK",0),"")</f>
        <v>43.591307213006722</v>
      </c>
      <c r="X17" t="str">
        <f>IFERROR(_xlfn.XLOOKUP($A17,Master_Data!$C:$C,Master_Data!$O:$O,"CHECK",0),"No Result")</f>
        <v>Safe Seat</v>
      </c>
      <c r="Y17">
        <f>_xlfn.XLOOKUP($A17,Master_Data!$C:$C,Master_Data!$P:$P,"CHECK",0)</f>
        <v>0</v>
      </c>
      <c r="Z17">
        <f t="shared" si="1"/>
        <v>1</v>
      </c>
      <c r="AA17">
        <f>_xlfn.XLOOKUP(B17,Remittance_Data!A:A,Remittance_Data!B:B,"CHECK")</f>
        <v>24978</v>
      </c>
      <c r="AB17">
        <f>_xlfn.XLOOKUP(B17,Remittance_Data!A:A,Remittance_Data!C:C,"CHECK")</f>
        <v>16999</v>
      </c>
      <c r="AC17">
        <f>_xlfn.XLOOKUP(B17,Remittance_Data!A:A,Remittance_Data!D:D,"CHECK")</f>
        <v>7979</v>
      </c>
    </row>
    <row r="18" spans="1:29">
      <c r="A18" t="str">
        <v>Bhola-4</v>
      </c>
      <c r="B18" t="str" cm="1">
        <f t="array" ref="B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Nawabganj","Chapainawabganj"),Final_Merged_Data!$B$2:$B$1000=$A18)))</f>
        <v>Bhola</v>
      </c>
      <c r="C18" t="str" cm="1">
        <f t="array" ref="C18">_xlfn.TEXTJOIN(", ",TRUE,_xlfn._xlws.FILTER(Final_Merged_Data!$C$2:$C$1000,Final_Merged_Data!$B$2:$B$1000=$A18))</f>
        <v>Char Fasion</v>
      </c>
      <c r="D18" cm="1">
        <f t="array" ref="D18">COUNTA(_xlfn._xlws.FILTER(Final_Merged_Data!$C$2:$C$1000,Final_Merged_Data!$B$2:$B$1000=$A18))</f>
        <v>1</v>
      </c>
      <c r="E18">
        <f>SUMIFS(Final_Merged_Data!$E:$E,Final_Merged_Data!$B:$B,$A18)</f>
        <v>309</v>
      </c>
      <c r="F18">
        <f>SUMIFS(Final_Merged_Data!$F:$F,Final_Merged_Data!$B:$B,$A18)</f>
        <v>518792</v>
      </c>
      <c r="G18">
        <f t="shared" si="0"/>
        <v>1678.9385113268609</v>
      </c>
      <c r="H18" cm="1">
        <f t="array" ref="H18">SUMPRODUCT((Final_Merged_Data!$B$2:$B$1000=$A18)*Final_Merged_Data!$H$2:$H$1000*Final_Merged_Data!$F$2:$F$1000)/F18</f>
        <v>4.29</v>
      </c>
      <c r="I18" cm="1">
        <f t="array" ref="I18">SUMPRODUCT((Final_Merged_Data!$B$2:$B$1000=$A18)*Final_Merged_Data!$I$2:$I$1000*Final_Merged_Data!$F$2:$F$1000)/F18</f>
        <v>67.62</v>
      </c>
      <c r="J18" t="str" cm="1">
        <f t="array" ref="J18">_xlfn.TEXTJOIN(", ",TRUE,_xlfn.UNIQUE(_xlfn._xlws.FILTER(Final_Merged_Data!$J$2:$J$1000,Final_Merged_Data!$B$2:$B$1000=$A18)))</f>
        <v>Barishal Range</v>
      </c>
      <c r="K18" cm="1">
        <f t="array" ref="K18">SUMPRODUCT((Final_Merged_Data!$B$2:$B$1000=$A18)*Final_Merged_Data!$K$2:$K$1000*Final_Merged_Data!$F$2:$F$1000)/F18</f>
        <v>112.01964836613054</v>
      </c>
      <c r="L18" cm="1">
        <f t="array" ref="L18">SUMPRODUCT((Final_Merged_Data!$B$2:$B$1000=$A18)*Final_Merged_Data!$L$2:$L$1000*Final_Merged_Data!$F$2:$F$1000)/F18</f>
        <v>22.37167391269287</v>
      </c>
      <c r="M18" t="str">
        <f>IF(COUNTIF(Master_Data!$C:$C,$A18)&gt;0,"Found","Missing")</f>
        <v>Found</v>
      </c>
      <c r="N18" t="str">
        <f>_xlfn.XLOOKUP($A18,Master_Data!$C:$C,Master_Data!$D:$D,"CHECK",0)</f>
        <v>Mohammad Nurul Islam</v>
      </c>
      <c r="O18" t="str">
        <f>_xlfn.XLOOKUP($A18,Master_Data!$C:$C,Master_Data!$E:$E,"CHECK",0)</f>
        <v>BNP</v>
      </c>
      <c r="P18">
        <f>_xlfn.XLOOKUP($A18,Master_Data!$C:$C,Master_Data!$F:$F,"CHECK",0)</f>
        <v>1</v>
      </c>
      <c r="Q18">
        <f>_xlfn.XLOOKUP($A18,Master_Data!$C:$C,Master_Data!$G:$G,"CHECK",0)</f>
        <v>189351</v>
      </c>
      <c r="R18">
        <f>IFERROR(_xlfn.XLOOKUP($A18,Master_Data!$C:$C,Master_Data!$H:$H,"CHECK",0),"")</f>
        <v>69.925919907824579</v>
      </c>
      <c r="S18" t="str">
        <f>_xlfn.XLOOKUP($A18,Master_Data!$C:$C,Master_Data!$I:$I,"CHECK",0)</f>
        <v>Mohammad Mustafa Kamal</v>
      </c>
      <c r="T18">
        <f>_xlfn.XLOOKUP($A18,Master_Data!$C:$C,Master_Data!$K:$K,"CHECK",0)</f>
        <v>81437</v>
      </c>
      <c r="U18">
        <f>IFERROR(_xlfn.XLOOKUP($A18,Master_Data!$C:$C,Master_Data!$L:$L,"CHECK",0),"")</f>
        <v>30.074080092175432</v>
      </c>
      <c r="V18">
        <f>_xlfn.XLOOKUP($A18,Master_Data!$C:$C,Master_Data!$M:$M,"CHECK",0)</f>
        <v>107914</v>
      </c>
      <c r="W18">
        <f>IFERROR(_xlfn.XLOOKUP($A18,Master_Data!$C:$C,Master_Data!$N:$N,"CHECK",0),"")</f>
        <v>39.851839815649143</v>
      </c>
      <c r="X18" t="str">
        <f>IFERROR(_xlfn.XLOOKUP($A18,Master_Data!$C:$C,Master_Data!$O:$O,"CHECK",0),"No Result")</f>
        <v>Safe Seat</v>
      </c>
      <c r="Y18">
        <f>_xlfn.XLOOKUP($A18,Master_Data!$C:$C,Master_Data!$P:$P,"CHECK",0)</f>
        <v>0</v>
      </c>
      <c r="Z18">
        <f t="shared" si="1"/>
        <v>1</v>
      </c>
      <c r="AA18">
        <f>_xlfn.XLOOKUP(B18,Remittance_Data!A:A,Remittance_Data!B:B,"CHECK")</f>
        <v>24978</v>
      </c>
      <c r="AB18">
        <f>_xlfn.XLOOKUP(B18,Remittance_Data!A:A,Remittance_Data!C:C,"CHECK")</f>
        <v>16999</v>
      </c>
      <c r="AC18">
        <f>_xlfn.XLOOKUP(B18,Remittance_Data!A:A,Remittance_Data!D:D,"CHECK")</f>
        <v>7979</v>
      </c>
    </row>
    <row r="19" spans="1:29">
      <c r="A19" t="str">
        <v>Bogura-1</v>
      </c>
      <c r="B19" t="str" cm="1">
        <f t="array" ref="B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Nawabganj","Chapainawabganj"),Final_Merged_Data!$B$2:$B$1000=$A19)))</f>
        <v>Bogura</v>
      </c>
      <c r="C19" t="str" cm="1">
        <f t="array" ref="C19">_xlfn.TEXTJOIN(", ",TRUE,_xlfn._xlws.FILTER(Final_Merged_Data!$C$2:$C$1000,Final_Merged_Data!$B$2:$B$1000=$A19))</f>
        <v>Sariakandi, Sonatala</v>
      </c>
      <c r="D19" cm="1">
        <f t="array" ref="D19">COUNTA(_xlfn._xlws.FILTER(Final_Merged_Data!$C$2:$C$1000,Final_Merged_Data!$B$2:$B$1000=$A19))</f>
        <v>2</v>
      </c>
      <c r="E19">
        <f>SUMIFS(Final_Merged_Data!$E:$E,Final_Merged_Data!$B:$B,$A19)</f>
        <v>555.04999999999995</v>
      </c>
      <c r="F19">
        <f>SUMIFS(Final_Merged_Data!$F:$F,Final_Merged_Data!$B:$B,$A19)</f>
        <v>469650</v>
      </c>
      <c r="G19">
        <f t="shared" si="0"/>
        <v>846.13998738852365</v>
      </c>
      <c r="H19" cm="1">
        <f t="array" ref="H19">SUMPRODUCT((Final_Merged_Data!$B$2:$B$1000=$A19)*Final_Merged_Data!$H$2:$H$1000*Final_Merged_Data!$F$2:$F$1000)/F19</f>
        <v>3.4312165442350682</v>
      </c>
      <c r="I19" cm="1">
        <f t="array" ref="I19">SUMPRODUCT((Final_Merged_Data!$B$2:$B$1000=$A19)*Final_Merged_Data!$I$2:$I$1000*Final_Merged_Data!$F$2:$F$1000)/F19</f>
        <v>65.642543915681884</v>
      </c>
      <c r="J19" t="str" cm="1">
        <f t="array" ref="J19">_xlfn.TEXTJOIN(", ",TRUE,_xlfn.UNIQUE(_xlfn._xlws.FILTER(Final_Merged_Data!$J$2:$J$1000,Final_Merged_Data!$B$2:$B$1000=$A19)))</f>
        <v>Rajshahi Range</v>
      </c>
      <c r="K19" cm="1">
        <f t="array" ref="K19">SUMPRODUCT((Final_Merged_Data!$B$2:$B$1000=$A19)*Final_Merged_Data!$K$2:$K$1000*Final_Merged_Data!$F$2:$F$1000)/F19</f>
        <v>112.81411131450233</v>
      </c>
      <c r="L19" cm="1">
        <f t="array" ref="L19">SUMPRODUCT((Final_Merged_Data!$B$2:$B$1000=$A19)*Final_Merged_Data!$L$2:$L$1000*Final_Merged_Data!$F$2:$F$1000)/F19</f>
        <v>14.272851259111949</v>
      </c>
      <c r="M19" t="str">
        <f>IF(COUNTIF(Master_Data!$C:$C,$A19)&gt;0,"Found","Missing")</f>
        <v>Found</v>
      </c>
      <c r="N19" t="str">
        <f>_xlfn.XLOOKUP($A19,Master_Data!$C:$C,Master_Data!$D:$D,"CHECK",0)</f>
        <v>Kazi Rafiqul Islam</v>
      </c>
      <c r="O19" t="str">
        <f>_xlfn.XLOOKUP($A19,Master_Data!$C:$C,Master_Data!$E:$E,"CHECK",0)</f>
        <v>BNP</v>
      </c>
      <c r="P19">
        <f>_xlfn.XLOOKUP($A19,Master_Data!$C:$C,Master_Data!$F:$F,"CHECK",0)</f>
        <v>1</v>
      </c>
      <c r="Q19">
        <f>_xlfn.XLOOKUP($A19,Master_Data!$C:$C,Master_Data!$G:$G,"CHECK",0)</f>
        <v>171440</v>
      </c>
      <c r="R19">
        <f>IFERROR(_xlfn.XLOOKUP($A19,Master_Data!$C:$C,Master_Data!$H:$H,"CHECK",0),"")</f>
        <v>74.734414709741543</v>
      </c>
      <c r="S19" t="str">
        <f>_xlfn.XLOOKUP($A19,Master_Data!$C:$C,Master_Data!$I:$I,"CHECK",0)</f>
        <v>Md. Shahabuddin</v>
      </c>
      <c r="T19">
        <f>_xlfn.XLOOKUP($A19,Master_Data!$C:$C,Master_Data!$K:$K,"CHECK",0)</f>
        <v>57959</v>
      </c>
      <c r="U19">
        <f>IFERROR(_xlfn.XLOOKUP($A19,Master_Data!$C:$C,Master_Data!$L:$L,"CHECK",0),"")</f>
        <v>25.265585290258457</v>
      </c>
      <c r="V19">
        <f>_xlfn.XLOOKUP($A19,Master_Data!$C:$C,Master_Data!$M:$M,"CHECK",0)</f>
        <v>113481</v>
      </c>
      <c r="W19">
        <f>IFERROR(_xlfn.XLOOKUP($A19,Master_Data!$C:$C,Master_Data!$N:$N,"CHECK",0),"")</f>
        <v>49.468829419483086</v>
      </c>
      <c r="X19" t="str">
        <f>IFERROR(_xlfn.XLOOKUP($A19,Master_Data!$C:$C,Master_Data!$O:$O,"CHECK",0),"No Result")</f>
        <v>Safe Seat</v>
      </c>
      <c r="Y19">
        <f>_xlfn.XLOOKUP($A19,Master_Data!$C:$C,Master_Data!$P:$P,"CHECK",0)</f>
        <v>0</v>
      </c>
      <c r="Z19">
        <f t="shared" si="1"/>
        <v>1</v>
      </c>
      <c r="AA19">
        <f>_xlfn.XLOOKUP(B19,Remittance_Data!A:A,Remittance_Data!B:B,"CHECK")</f>
        <v>55243</v>
      </c>
      <c r="AB19">
        <f>_xlfn.XLOOKUP(B19,Remittance_Data!A:A,Remittance_Data!C:C,"CHECK")</f>
        <v>45976</v>
      </c>
      <c r="AC19">
        <f>_xlfn.XLOOKUP(B19,Remittance_Data!A:A,Remittance_Data!D:D,"CHECK")</f>
        <v>9267</v>
      </c>
    </row>
    <row r="20" spans="1:29">
      <c r="A20" t="str">
        <v>Bogura-2</v>
      </c>
      <c r="B20" t="str" cm="1">
        <f t="array" ref="B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Nawabganj","Chapainawabganj"),Final_Merged_Data!$B$2:$B$1000=$A20)))</f>
        <v>Bogura</v>
      </c>
      <c r="C20" t="str" cm="1">
        <f t="array" ref="C20">_xlfn.TEXTJOIN(", ",TRUE,_xlfn._xlws.FILTER(Final_Merged_Data!$C$2:$C$1000,Final_Merged_Data!$B$2:$B$1000=$A20))</f>
        <v>Shibganj</v>
      </c>
      <c r="D20" cm="1">
        <f t="array" ref="D20">COUNTA(_xlfn._xlws.FILTER(Final_Merged_Data!$C$2:$C$1000,Final_Merged_Data!$B$2:$B$1000=$A20))</f>
        <v>1</v>
      </c>
      <c r="E20">
        <f>SUMIFS(Final_Merged_Data!$E:$E,Final_Merged_Data!$B:$B,$A20)</f>
        <v>516.70000000000005</v>
      </c>
      <c r="F20">
        <f>SUMIFS(Final_Merged_Data!$F:$F,Final_Merged_Data!$B:$B,$A20)</f>
        <v>400407</v>
      </c>
      <c r="G20">
        <f t="shared" si="0"/>
        <v>774.93129475517696</v>
      </c>
      <c r="H20" cm="1">
        <f t="array" ref="H20">SUMPRODUCT((Final_Merged_Data!$B$2:$B$1000=$A20)*Final_Merged_Data!$H$2:$H$1000*Final_Merged_Data!$F$2:$F$1000)/F20</f>
        <v>3.46</v>
      </c>
      <c r="I20" cm="1">
        <f t="array" ref="I20">SUMPRODUCT((Final_Merged_Data!$B$2:$B$1000=$A20)*Final_Merged_Data!$I$2:$I$1000*Final_Merged_Data!$F$2:$F$1000)/F20</f>
        <v>67.760000000000005</v>
      </c>
      <c r="J20" t="str" cm="1">
        <f t="array" ref="J20">_xlfn.TEXTJOIN(", ",TRUE,_xlfn.UNIQUE(_xlfn._xlws.FILTER(Final_Merged_Data!$J$2:$J$1000,Final_Merged_Data!$B$2:$B$1000=$A20)))</f>
        <v>Rajshahi Range</v>
      </c>
      <c r="K20" cm="1">
        <f t="array" ref="K20">SUMPRODUCT((Final_Merged_Data!$B$2:$B$1000=$A20)*Final_Merged_Data!$K$2:$K$1000*Final_Merged_Data!$F$2:$F$1000)/F20</f>
        <v>112.81411131450233</v>
      </c>
      <c r="L20" cm="1">
        <f t="array" ref="L20">SUMPRODUCT((Final_Merged_Data!$B$2:$B$1000=$A20)*Final_Merged_Data!$L$2:$L$1000*Final_Merged_Data!$F$2:$F$1000)/F20</f>
        <v>14.272851259111951</v>
      </c>
      <c r="M20" t="str">
        <f>IF(COUNTIF(Master_Data!$C:$C,$A20)&gt;0,"Found","Missing")</f>
        <v>Found</v>
      </c>
      <c r="N20" t="str">
        <f>_xlfn.XLOOKUP($A20,Master_Data!$C:$C,Master_Data!$D:$D,"CHECK",0)</f>
        <v>Mir Shahe Alam</v>
      </c>
      <c r="O20" t="str">
        <f>_xlfn.XLOOKUP($A20,Master_Data!$C:$C,Master_Data!$E:$E,"CHECK",0)</f>
        <v>BNP</v>
      </c>
      <c r="P20">
        <f>_xlfn.XLOOKUP($A20,Master_Data!$C:$C,Master_Data!$F:$F,"CHECK",0)</f>
        <v>1</v>
      </c>
      <c r="Q20">
        <f>_xlfn.XLOOKUP($A20,Master_Data!$C:$C,Master_Data!$G:$G,"CHECK",0)</f>
        <v>145024</v>
      </c>
      <c r="R20">
        <f>IFERROR(_xlfn.XLOOKUP($A20,Master_Data!$C:$C,Master_Data!$H:$H,"CHECK",0),"")</f>
        <v>60.788357393155948</v>
      </c>
      <c r="S20" t="str">
        <f>_xlfn.XLOOKUP($A20,Master_Data!$C:$C,Master_Data!$I:$I,"CHECK",0)</f>
        <v>Abul Azad Md Shahaduzzaman</v>
      </c>
      <c r="T20">
        <f>_xlfn.XLOOKUP($A20,Master_Data!$C:$C,Master_Data!$K:$K,"CHECK",0)</f>
        <v>93548</v>
      </c>
      <c r="U20">
        <f>IFERROR(_xlfn.XLOOKUP($A20,Master_Data!$C:$C,Master_Data!$L:$L,"CHECK",0),"")</f>
        <v>39.211642606844052</v>
      </c>
      <c r="V20">
        <f>_xlfn.XLOOKUP($A20,Master_Data!$C:$C,Master_Data!$M:$M,"CHECK",0)</f>
        <v>51476</v>
      </c>
      <c r="W20">
        <f>IFERROR(_xlfn.XLOOKUP($A20,Master_Data!$C:$C,Master_Data!$N:$N,"CHECK",0),"")</f>
        <v>21.576714786311889</v>
      </c>
      <c r="X20" t="str">
        <f>IFERROR(_xlfn.XLOOKUP($A20,Master_Data!$C:$C,Master_Data!$O:$O,"CHECK",0),"No Result")</f>
        <v>Safe Seat</v>
      </c>
      <c r="Y20">
        <f>_xlfn.XLOOKUP($A20,Master_Data!$C:$C,Master_Data!$P:$P,"CHECK",0)</f>
        <v>0</v>
      </c>
      <c r="Z20">
        <f t="shared" si="1"/>
        <v>1</v>
      </c>
      <c r="AA20">
        <f>_xlfn.XLOOKUP(B20,Remittance_Data!A:A,Remittance_Data!B:B,"CHECK")</f>
        <v>55243</v>
      </c>
      <c r="AB20">
        <f>_xlfn.XLOOKUP(B20,Remittance_Data!A:A,Remittance_Data!C:C,"CHECK")</f>
        <v>45976</v>
      </c>
      <c r="AC20">
        <f>_xlfn.XLOOKUP(B20,Remittance_Data!A:A,Remittance_Data!D:D,"CHECK")</f>
        <v>9267</v>
      </c>
    </row>
    <row r="21" spans="1:29">
      <c r="A21" t="str">
        <v>Bogura-3</v>
      </c>
      <c r="B21" t="str" cm="1">
        <f t="array" ref="B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Nawabganj","Chapainawabganj"),Final_Merged_Data!$B$2:$B$1000=$A21)))</f>
        <v>Bogura</v>
      </c>
      <c r="C21" t="str" cm="1">
        <f t="array" ref="C21">_xlfn.TEXTJOIN(", ",TRUE,_xlfn._xlws.FILTER(Final_Merged_Data!$C$2:$C$1000,Final_Merged_Data!$B$2:$B$1000=$A21))</f>
        <v>Bogura Sadar</v>
      </c>
      <c r="D21" cm="1">
        <f t="array" ref="D21">COUNTA(_xlfn._xlws.FILTER(Final_Merged_Data!$C$2:$C$1000,Final_Merged_Data!$B$2:$B$1000=$A21))</f>
        <v>1</v>
      </c>
      <c r="E21">
        <f>SUMIFS(Final_Merged_Data!$E:$E,Final_Merged_Data!$B:$B,$A21)</f>
        <v>286.22000000000003</v>
      </c>
      <c r="F21">
        <f>SUMIFS(Final_Merged_Data!$F:$F,Final_Merged_Data!$B:$B,$A21)</f>
        <v>657688</v>
      </c>
      <c r="G21">
        <f t="shared" si="0"/>
        <v>2297.8408217455103</v>
      </c>
      <c r="H21" cm="1">
        <f t="array" ref="H21">SUMPRODUCT((Final_Merged_Data!$B$2:$B$1000=$A21)*Final_Merged_Data!$H$2:$H$1000*Final_Merged_Data!$F$2:$F$1000)/F21</f>
        <v>3.67</v>
      </c>
      <c r="I21" cm="1">
        <f t="array" ref="I21">SUMPRODUCT((Final_Merged_Data!$B$2:$B$1000=$A21)*Final_Merged_Data!$I$2:$I$1000*Final_Merged_Data!$F$2:$F$1000)/F21</f>
        <v>83.63</v>
      </c>
      <c r="J21" t="str" cm="1">
        <f t="array" ref="J21">_xlfn.TEXTJOIN(", ",TRUE,_xlfn.UNIQUE(_xlfn._xlws.FILTER(Final_Merged_Data!$J$2:$J$1000,Final_Merged_Data!$B$2:$B$1000=$A21)))</f>
        <v>Rajshahi Range</v>
      </c>
      <c r="K21" cm="1">
        <f t="array" ref="K21">SUMPRODUCT((Final_Merged_Data!$B$2:$B$1000=$A21)*Final_Merged_Data!$K$2:$K$1000*Final_Merged_Data!$F$2:$F$1000)/F21</f>
        <v>112.81411131450231</v>
      </c>
      <c r="L21" cm="1">
        <f t="array" ref="L21">SUMPRODUCT((Final_Merged_Data!$B$2:$B$1000=$A21)*Final_Merged_Data!$L$2:$L$1000*Final_Merged_Data!$F$2:$F$1000)/F21</f>
        <v>14.272851259111949</v>
      </c>
      <c r="M21" t="str">
        <f>IF(COUNTIF(Master_Data!$C:$C,$A21)&gt;0,"Found","Missing")</f>
        <v>Found</v>
      </c>
      <c r="N21" t="str">
        <f>_xlfn.XLOOKUP($A21,Master_Data!$C:$C,Master_Data!$D:$D,"CHECK",0)</f>
        <v>Md. Abdul Mohit Talukder</v>
      </c>
      <c r="O21" t="str">
        <f>_xlfn.XLOOKUP($A21,Master_Data!$C:$C,Master_Data!$E:$E,"CHECK",0)</f>
        <v>BNP</v>
      </c>
      <c r="P21">
        <f>_xlfn.XLOOKUP($A21,Master_Data!$C:$C,Master_Data!$F:$F,"CHECK",0)</f>
        <v>1</v>
      </c>
      <c r="Q21">
        <f>_xlfn.XLOOKUP($A21,Master_Data!$C:$C,Master_Data!$G:$G,"CHECK",0)</f>
        <v>127406</v>
      </c>
      <c r="R21">
        <f>IFERROR(_xlfn.XLOOKUP($A21,Master_Data!$C:$C,Master_Data!$H:$H,"CHECK",0),"")</f>
        <v>53.434941618574683</v>
      </c>
      <c r="S21" t="str">
        <f>_xlfn.XLOOKUP($A21,Master_Data!$C:$C,Master_Data!$I:$I,"CHECK",0)</f>
        <v>Noor Mohammad</v>
      </c>
      <c r="T21">
        <f>_xlfn.XLOOKUP($A21,Master_Data!$C:$C,Master_Data!$K:$K,"CHECK",0)</f>
        <v>111026</v>
      </c>
      <c r="U21">
        <f>IFERROR(_xlfn.XLOOKUP($A21,Master_Data!$C:$C,Master_Data!$L:$L,"CHECK",0),"")</f>
        <v>46.56505838142531</v>
      </c>
      <c r="V21">
        <f>_xlfn.XLOOKUP($A21,Master_Data!$C:$C,Master_Data!$M:$M,"CHECK",0)</f>
        <v>16380</v>
      </c>
      <c r="W21">
        <f>IFERROR(_xlfn.XLOOKUP($A21,Master_Data!$C:$C,Master_Data!$N:$N,"CHECK",0),"")</f>
        <v>6.8698832371493754</v>
      </c>
      <c r="X21" t="str">
        <f>IFERROR(_xlfn.XLOOKUP($A21,Master_Data!$C:$C,Master_Data!$O:$O,"CHECK",0),"No Result")</f>
        <v>Safe Seat</v>
      </c>
      <c r="Y21">
        <f>_xlfn.XLOOKUP($A21,Master_Data!$C:$C,Master_Data!$P:$P,"CHECK",0)</f>
        <v>0</v>
      </c>
      <c r="Z21">
        <f t="shared" si="1"/>
        <v>1</v>
      </c>
      <c r="AA21">
        <f>_xlfn.XLOOKUP(B21,Remittance_Data!A:A,Remittance_Data!B:B,"CHECK")</f>
        <v>55243</v>
      </c>
      <c r="AB21">
        <f>_xlfn.XLOOKUP(B21,Remittance_Data!A:A,Remittance_Data!C:C,"CHECK")</f>
        <v>45976</v>
      </c>
      <c r="AC21">
        <f>_xlfn.XLOOKUP(B21,Remittance_Data!A:A,Remittance_Data!D:D,"CHECK")</f>
        <v>9267</v>
      </c>
    </row>
    <row r="22" spans="1:29">
      <c r="A22" t="str">
        <v>Bogura-4</v>
      </c>
      <c r="B22" t="str" cm="1">
        <f t="array" ref="B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Nawabganj","Chapainawabganj"),Final_Merged_Data!$B$2:$B$1000=$A22)))</f>
        <v>Bogura</v>
      </c>
      <c r="C22" t="str" cm="1">
        <f t="array" ref="C22">_xlfn.TEXTJOIN(", ",TRUE,_xlfn._xlws.FILTER(Final_Merged_Data!$C$2:$C$1000,Final_Merged_Data!$B$2:$B$1000=$A22))</f>
        <v>Kahalu, Nandigram</v>
      </c>
      <c r="D22" cm="1">
        <f t="array" ref="D22">COUNTA(_xlfn._xlws.FILTER(Final_Merged_Data!$C$2:$C$1000,Final_Merged_Data!$B$2:$B$1000=$A22))</f>
        <v>2</v>
      </c>
      <c r="E22">
        <f>SUMIFS(Final_Merged_Data!$E:$E,Final_Merged_Data!$B:$B,$A22)</f>
        <v>522.6400000000001</v>
      </c>
      <c r="F22">
        <f>SUMIFS(Final_Merged_Data!$F:$F,Final_Merged_Data!$B:$B,$A22)</f>
        <v>434835</v>
      </c>
      <c r="G22">
        <f t="shared" si="0"/>
        <v>831.99716822286837</v>
      </c>
      <c r="H22" cm="1">
        <f t="array" ref="H22">SUMPRODUCT((Final_Merged_Data!$B$2:$B$1000=$A22)*Final_Merged_Data!$H$2:$H$1000*Final_Merged_Data!$F$2:$F$1000)/F22</f>
        <v>3.6206647348994445</v>
      </c>
      <c r="I22" cm="1">
        <f t="array" ref="I22">SUMPRODUCT((Final_Merged_Data!$B$2:$B$1000=$A22)*Final_Merged_Data!$I$2:$I$1000*Final_Merged_Data!$F$2:$F$1000)/F22</f>
        <v>73.605869812687573</v>
      </c>
      <c r="J22" t="str" cm="1">
        <f t="array" ref="J22">_xlfn.TEXTJOIN(", ",TRUE,_xlfn.UNIQUE(_xlfn._xlws.FILTER(Final_Merged_Data!$J$2:$J$1000,Final_Merged_Data!$B$2:$B$1000=$A22)))</f>
        <v>Rajshahi Range</v>
      </c>
      <c r="K22" cm="1">
        <f t="array" ref="K22">SUMPRODUCT((Final_Merged_Data!$B$2:$B$1000=$A22)*Final_Merged_Data!$K$2:$K$1000*Final_Merged_Data!$F$2:$F$1000)/F22</f>
        <v>112.81411131450233</v>
      </c>
      <c r="L22" cm="1">
        <f t="array" ref="L22">SUMPRODUCT((Final_Merged_Data!$B$2:$B$1000=$A22)*Final_Merged_Data!$L$2:$L$1000*Final_Merged_Data!$F$2:$F$1000)/F22</f>
        <v>14.272851259111949</v>
      </c>
      <c r="M22" t="str">
        <f>IF(COUNTIF(Master_Data!$C:$C,$A22)&gt;0,"Found","Missing")</f>
        <v>Found</v>
      </c>
      <c r="N22" t="str">
        <f>_xlfn.XLOOKUP($A22,Master_Data!$C:$C,Master_Data!$D:$D,"CHECK",0)</f>
        <v>Md. Mosharraf Hossain</v>
      </c>
      <c r="O22" t="str">
        <f>_xlfn.XLOOKUP($A22,Master_Data!$C:$C,Master_Data!$E:$E,"CHECK",0)</f>
        <v>BNP</v>
      </c>
      <c r="P22">
        <f>_xlfn.XLOOKUP($A22,Master_Data!$C:$C,Master_Data!$F:$F,"CHECK",0)</f>
        <v>1</v>
      </c>
      <c r="Q22">
        <f>_xlfn.XLOOKUP($A22,Master_Data!$C:$C,Master_Data!$G:$G,"CHECK",0)</f>
        <v>155339</v>
      </c>
      <c r="R22">
        <f>IFERROR(_xlfn.XLOOKUP($A22,Master_Data!$C:$C,Master_Data!$H:$H,"CHECK",0),"")</f>
        <v>58.76996182614058</v>
      </c>
      <c r="S22" t="str">
        <f>_xlfn.XLOOKUP($A22,Master_Data!$C:$C,Master_Data!$I:$I,"CHECK",0)</f>
        <v>Md. Mustafa Faisal</v>
      </c>
      <c r="T22">
        <f>_xlfn.XLOOKUP($A22,Master_Data!$C:$C,Master_Data!$K:$K,"CHECK",0)</f>
        <v>108978</v>
      </c>
      <c r="U22">
        <f>IFERROR(_xlfn.XLOOKUP($A22,Master_Data!$C:$C,Master_Data!$L:$L,"CHECK",0),"")</f>
        <v>41.23003817385942</v>
      </c>
      <c r="V22">
        <f>_xlfn.XLOOKUP($A22,Master_Data!$C:$C,Master_Data!$M:$M,"CHECK",0)</f>
        <v>46361</v>
      </c>
      <c r="W22">
        <f>IFERROR(_xlfn.XLOOKUP($A22,Master_Data!$C:$C,Master_Data!$N:$N,"CHECK",0),"")</f>
        <v>17.539923652281161</v>
      </c>
      <c r="X22" t="str">
        <f>IFERROR(_xlfn.XLOOKUP($A22,Master_Data!$C:$C,Master_Data!$O:$O,"CHECK",0),"No Result")</f>
        <v>Safe Seat</v>
      </c>
      <c r="Y22">
        <f>_xlfn.XLOOKUP($A22,Master_Data!$C:$C,Master_Data!$P:$P,"CHECK",0)</f>
        <v>0</v>
      </c>
      <c r="Z22">
        <f t="shared" si="1"/>
        <v>1</v>
      </c>
      <c r="AA22">
        <f>_xlfn.XLOOKUP(B22,Remittance_Data!A:A,Remittance_Data!B:B,"CHECK")</f>
        <v>55243</v>
      </c>
      <c r="AB22">
        <f>_xlfn.XLOOKUP(B22,Remittance_Data!A:A,Remittance_Data!C:C,"CHECK")</f>
        <v>45976</v>
      </c>
      <c r="AC22">
        <f>_xlfn.XLOOKUP(B22,Remittance_Data!A:A,Remittance_Data!D:D,"CHECK")</f>
        <v>9267</v>
      </c>
    </row>
    <row r="23" spans="1:29">
      <c r="A23" t="str">
        <v>Bogura-5</v>
      </c>
      <c r="B23" t="str" cm="1">
        <f t="array" ref="B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Nawabganj","Chapainawabganj"),Final_Merged_Data!$B$2:$B$1000=$A23)))</f>
        <v>Bogura</v>
      </c>
      <c r="C23" t="str" cm="1">
        <f t="array" ref="C23">_xlfn.TEXTJOIN(", ",TRUE,_xlfn._xlws.FILTER(Final_Merged_Data!$C$2:$C$1000,Final_Merged_Data!$B$2:$B$1000=$A23))</f>
        <v>Dhunat, Sherpur</v>
      </c>
      <c r="D23" cm="1">
        <f t="array" ref="D23">COUNTA(_xlfn._xlws.FILTER(Final_Merged_Data!$C$2:$C$1000,Final_Merged_Data!$B$2:$B$1000=$A23))</f>
        <v>2</v>
      </c>
      <c r="E23">
        <f>SUMIFS(Final_Merged_Data!$E:$E,Final_Merged_Data!$B:$B,$A23)</f>
        <v>581.42999999999995</v>
      </c>
      <c r="F23">
        <f>SUMIFS(Final_Merged_Data!$F:$F,Final_Merged_Data!$B:$B,$A23)</f>
        <v>691019</v>
      </c>
      <c r="G23">
        <f t="shared" si="0"/>
        <v>1188.4818464819498</v>
      </c>
      <c r="H23" cm="1">
        <f t="array" ref="H23">SUMPRODUCT((Final_Merged_Data!$B$2:$B$1000=$A23)*Final_Merged_Data!$H$2:$H$1000*Final_Merged_Data!$F$2:$F$1000)/F23</f>
        <v>3.6366496290261199</v>
      </c>
      <c r="I23" cm="1">
        <f t="array" ref="I23">SUMPRODUCT((Final_Merged_Data!$B$2:$B$1000=$A23)*Final_Merged_Data!$I$2:$I$1000*Final_Merged_Data!$F$2:$F$1000)/F23</f>
        <v>65.565731246174124</v>
      </c>
      <c r="J23" t="str" cm="1">
        <f t="array" ref="J23">_xlfn.TEXTJOIN(", ",TRUE,_xlfn.UNIQUE(_xlfn._xlws.FILTER(Final_Merged_Data!$J$2:$J$1000,Final_Merged_Data!$B$2:$B$1000=$A23)))</f>
        <v>Rajshahi Range</v>
      </c>
      <c r="K23" cm="1">
        <f t="array" ref="K23">SUMPRODUCT((Final_Merged_Data!$B$2:$B$1000=$A23)*Final_Merged_Data!$K$2:$K$1000*Final_Merged_Data!$F$2:$F$1000)/F23</f>
        <v>112.81411131450231</v>
      </c>
      <c r="L23" cm="1">
        <f t="array" ref="L23">SUMPRODUCT((Final_Merged_Data!$B$2:$B$1000=$A23)*Final_Merged_Data!$L$2:$L$1000*Final_Merged_Data!$F$2:$F$1000)/F23</f>
        <v>14.272851259111949</v>
      </c>
      <c r="M23" t="str">
        <f>IF(COUNTIF(Master_Data!$C:$C,$A23)&gt;0,"Found","Missing")</f>
        <v>Found</v>
      </c>
      <c r="N23" t="str">
        <f>_xlfn.XLOOKUP($A23,Master_Data!$C:$C,Master_Data!$D:$D,"CHECK",0)</f>
        <v>Gholam Mohammad Siraj</v>
      </c>
      <c r="O23" t="str">
        <f>_xlfn.XLOOKUP($A23,Master_Data!$C:$C,Master_Data!$E:$E,"CHECK",0)</f>
        <v>BNP</v>
      </c>
      <c r="P23">
        <f>_xlfn.XLOOKUP($A23,Master_Data!$C:$C,Master_Data!$F:$F,"CHECK",0)</f>
        <v>1</v>
      </c>
      <c r="Q23">
        <f>_xlfn.XLOOKUP($A23,Master_Data!$C:$C,Master_Data!$G:$G,"CHECK",0)</f>
        <v>248841</v>
      </c>
      <c r="R23">
        <f>IFERROR(_xlfn.XLOOKUP($A23,Master_Data!$C:$C,Master_Data!$H:$H,"CHECK",0),"")</f>
        <v>63.452329346966877</v>
      </c>
      <c r="S23" t="str">
        <f>_xlfn.XLOOKUP($A23,Master_Data!$C:$C,Master_Data!$I:$I,"CHECK",0)</f>
        <v>Md. Dabibur Rahman</v>
      </c>
      <c r="T23">
        <f>_xlfn.XLOOKUP($A23,Master_Data!$C:$C,Master_Data!$K:$K,"CHECK",0)</f>
        <v>143329</v>
      </c>
      <c r="U23">
        <f>IFERROR(_xlfn.XLOOKUP($A23,Master_Data!$C:$C,Master_Data!$L:$L,"CHECK",0),"")</f>
        <v>36.547670653033123</v>
      </c>
      <c r="V23">
        <f>_xlfn.XLOOKUP($A23,Master_Data!$C:$C,Master_Data!$M:$M,"CHECK",0)</f>
        <v>105512</v>
      </c>
      <c r="W23">
        <f>IFERROR(_xlfn.XLOOKUP($A23,Master_Data!$C:$C,Master_Data!$N:$N,"CHECK",0),"")</f>
        <v>26.904658693933754</v>
      </c>
      <c r="X23" t="str">
        <f>IFERROR(_xlfn.XLOOKUP($A23,Master_Data!$C:$C,Master_Data!$O:$O,"CHECK",0),"No Result")</f>
        <v>Safe Seat</v>
      </c>
      <c r="Y23">
        <f>_xlfn.XLOOKUP($A23,Master_Data!$C:$C,Master_Data!$P:$P,"CHECK",0)</f>
        <v>0</v>
      </c>
      <c r="Z23">
        <f t="shared" si="1"/>
        <v>1</v>
      </c>
      <c r="AA23">
        <f>_xlfn.XLOOKUP(B23,Remittance_Data!A:A,Remittance_Data!B:B,"CHECK")</f>
        <v>55243</v>
      </c>
      <c r="AB23">
        <f>_xlfn.XLOOKUP(B23,Remittance_Data!A:A,Remittance_Data!C:C,"CHECK")</f>
        <v>45976</v>
      </c>
      <c r="AC23">
        <f>_xlfn.XLOOKUP(B23,Remittance_Data!A:A,Remittance_Data!D:D,"CHECK")</f>
        <v>9267</v>
      </c>
    </row>
    <row r="24" spans="1:29">
      <c r="A24" t="str">
        <v>Bogura-6</v>
      </c>
      <c r="B24" t="str" cm="1">
        <f t="array" ref="B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Nawabganj","Chapainawabganj"),Final_Merged_Data!$B$2:$B$1000=$A24)))</f>
        <v>Bogura</v>
      </c>
      <c r="C24" t="str" cm="1">
        <f t="array" ref="C24">_xlfn.TEXTJOIN(", ",TRUE,_xlfn._xlws.FILTER(Final_Merged_Data!$C$2:$C$1000,Final_Merged_Data!$B$2:$B$1000=$A24))</f>
        <v>Shajahanpur</v>
      </c>
      <c r="D24" cm="1">
        <f t="array" ref="D24">COUNTA(_xlfn._xlws.FILTER(Final_Merged_Data!$C$2:$C$1000,Final_Merged_Data!$B$2:$B$1000=$A24))</f>
        <v>1</v>
      </c>
      <c r="E24">
        <f>SUMIFS(Final_Merged_Data!$E:$E,Final_Merged_Data!$B:$B,$A24)</f>
        <v>310.75</v>
      </c>
      <c r="F24">
        <f>SUMIFS(Final_Merged_Data!$F:$F,Final_Merged_Data!$B:$B,$A24)</f>
        <v>333653</v>
      </c>
      <c r="G24">
        <f t="shared" si="0"/>
        <v>1073.702333065165</v>
      </c>
      <c r="H24" cm="1">
        <f t="array" ref="H24">SUMPRODUCT((Final_Merged_Data!$B$2:$B$1000=$A24)*Final_Merged_Data!$H$2:$H$1000*Final_Merged_Data!$F$2:$F$1000)/F24</f>
        <v>3.65</v>
      </c>
      <c r="I24" cm="1">
        <f t="array" ref="I24">SUMPRODUCT((Final_Merged_Data!$B$2:$B$1000=$A24)*Final_Merged_Data!$I$2:$I$1000*Final_Merged_Data!$F$2:$F$1000)/F24</f>
        <v>78.849999999999994</v>
      </c>
      <c r="J24" t="str" cm="1">
        <f t="array" ref="J24">_xlfn.TEXTJOIN(", ",TRUE,_xlfn.UNIQUE(_xlfn._xlws.FILTER(Final_Merged_Data!$J$2:$J$1000,Final_Merged_Data!$B$2:$B$1000=$A24)))</f>
        <v>Rajshahi Range</v>
      </c>
      <c r="K24" cm="1">
        <f t="array" ref="K24">SUMPRODUCT((Final_Merged_Data!$B$2:$B$1000=$A24)*Final_Merged_Data!$K$2:$K$1000*Final_Merged_Data!$F$2:$F$1000)/F24</f>
        <v>112.81411131450233</v>
      </c>
      <c r="L24" cm="1">
        <f t="array" ref="L24">SUMPRODUCT((Final_Merged_Data!$B$2:$B$1000=$A24)*Final_Merged_Data!$L$2:$L$1000*Final_Merged_Data!$F$2:$F$1000)/F24</f>
        <v>14.272851259111947</v>
      </c>
      <c r="M24" t="str">
        <f>IF(COUNTIF(Master_Data!$C:$C,$A24)&gt;0,"Found","Missing")</f>
        <v>Found</v>
      </c>
      <c r="N24" t="str">
        <f>_xlfn.XLOOKUP($A24,Master_Data!$C:$C,Master_Data!$D:$D,"CHECK",0)</f>
        <v>Tarique Rahman</v>
      </c>
      <c r="O24" t="str">
        <f>_xlfn.XLOOKUP($A24,Master_Data!$C:$C,Master_Data!$E:$E,"CHECK",0)</f>
        <v>BNP</v>
      </c>
      <c r="P24">
        <f>_xlfn.XLOOKUP($A24,Master_Data!$C:$C,Master_Data!$F:$F,"CHECK",0)</f>
        <v>1</v>
      </c>
      <c r="Q24">
        <f>_xlfn.XLOOKUP($A24,Master_Data!$C:$C,Master_Data!$G:$G,"CHECK",0)</f>
        <v>216284</v>
      </c>
      <c r="R24">
        <f>IFERROR(_xlfn.XLOOKUP($A24,Master_Data!$C:$C,Master_Data!$H:$H,"CHECK",0),"")</f>
        <v>68.90000318562646</v>
      </c>
      <c r="S24" t="str">
        <f>_xlfn.XLOOKUP($A24,Master_Data!$C:$C,Master_Data!$I:$I,"CHECK",0)</f>
        <v>Md. Abidur Rahman</v>
      </c>
      <c r="T24">
        <f>_xlfn.XLOOKUP($A24,Master_Data!$C:$C,Master_Data!$K:$K,"CHECK",0)</f>
        <v>97626</v>
      </c>
      <c r="U24">
        <f>IFERROR(_xlfn.XLOOKUP($A24,Master_Data!$C:$C,Master_Data!$L:$L,"CHECK",0),"")</f>
        <v>31.099996814373547</v>
      </c>
      <c r="V24">
        <f>_xlfn.XLOOKUP($A24,Master_Data!$C:$C,Master_Data!$M:$M,"CHECK",0)</f>
        <v>118658</v>
      </c>
      <c r="W24">
        <f>IFERROR(_xlfn.XLOOKUP($A24,Master_Data!$C:$C,Master_Data!$N:$N,"CHECK",0),"")</f>
        <v>37.800006371252906</v>
      </c>
      <c r="X24" t="str">
        <f>IFERROR(_xlfn.XLOOKUP($A24,Master_Data!$C:$C,Master_Data!$O:$O,"CHECK",0),"No Result")</f>
        <v>Safe Seat</v>
      </c>
      <c r="Y24">
        <f>_xlfn.XLOOKUP($A24,Master_Data!$C:$C,Master_Data!$P:$P,"CHECK",0)</f>
        <v>0</v>
      </c>
      <c r="Z24">
        <f t="shared" si="1"/>
        <v>1</v>
      </c>
      <c r="AA24">
        <f>_xlfn.XLOOKUP(B24,Remittance_Data!A:A,Remittance_Data!B:B,"CHECK")</f>
        <v>55243</v>
      </c>
      <c r="AB24">
        <f>_xlfn.XLOOKUP(B24,Remittance_Data!A:A,Remittance_Data!C:C,"CHECK")</f>
        <v>45976</v>
      </c>
      <c r="AC24">
        <f>_xlfn.XLOOKUP(B24,Remittance_Data!A:A,Remittance_Data!D:D,"CHECK")</f>
        <v>9267</v>
      </c>
    </row>
    <row r="25" spans="1:29">
      <c r="A25" t="str">
        <v>Bogura-7</v>
      </c>
      <c r="B25" t="str" cm="1">
        <f t="array" ref="B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Nawabganj","Chapainawabganj"),Final_Merged_Data!$B$2:$B$1000=$A25)))</f>
        <v>Bogura</v>
      </c>
      <c r="C25" t="str" cm="1">
        <f t="array" ref="C25">_xlfn.TEXTJOIN(", ",TRUE,_xlfn._xlws.FILTER(Final_Merged_Data!$C$2:$C$1000,Final_Merged_Data!$B$2:$B$1000=$A25))</f>
        <v>Gabtali, Shajahanpur</v>
      </c>
      <c r="D25" cm="1">
        <f t="array" ref="D25">COUNTA(_xlfn._xlws.FILTER(Final_Merged_Data!$C$2:$C$1000,Final_Merged_Data!$B$2:$B$1000=$A25))</f>
        <v>2</v>
      </c>
      <c r="E25">
        <f>SUMIFS(Final_Merged_Data!$E:$E,Final_Merged_Data!$B:$B,$A25)</f>
        <v>636.29999999999995</v>
      </c>
      <c r="F25">
        <f>SUMIFS(Final_Merged_Data!$F:$F,Final_Merged_Data!$B:$B,$A25)</f>
        <v>678536</v>
      </c>
      <c r="G25">
        <f t="shared" si="0"/>
        <v>1066.3774948923465</v>
      </c>
      <c r="H25" cm="1">
        <f t="array" ref="H25">SUMPRODUCT((Final_Merged_Data!$B$2:$B$1000=$A25)*Final_Merged_Data!$H$2:$H$1000*Final_Merged_Data!$F$2:$F$1000)/F25</f>
        <v>3.6550827516889304</v>
      </c>
      <c r="I25" cm="1">
        <f t="array" ref="I25">SUMPRODUCT((Final_Merged_Data!$B$2:$B$1000=$A25)*Final_Merged_Data!$I$2:$I$1000*Final_Merged_Data!$F$2:$F$1000)/F25</f>
        <v>74.087461667472326</v>
      </c>
      <c r="J25" t="str" cm="1">
        <f t="array" ref="J25">_xlfn.TEXTJOIN(", ",TRUE,_xlfn.UNIQUE(_xlfn._xlws.FILTER(Final_Merged_Data!$J$2:$J$1000,Final_Merged_Data!$B$2:$B$1000=$A25)))</f>
        <v>Rajshahi Range</v>
      </c>
      <c r="K25" cm="1">
        <f t="array" ref="K25">SUMPRODUCT((Final_Merged_Data!$B$2:$B$1000=$A25)*Final_Merged_Data!$K$2:$K$1000*Final_Merged_Data!$F$2:$F$1000)/F25</f>
        <v>112.81411131450234</v>
      </c>
      <c r="L25" cm="1">
        <f t="array" ref="L25">SUMPRODUCT((Final_Merged_Data!$B$2:$B$1000=$A25)*Final_Merged_Data!$L$2:$L$1000*Final_Merged_Data!$F$2:$F$1000)/F25</f>
        <v>14.272851259111947</v>
      </c>
      <c r="M25" t="str">
        <f>IF(COUNTIF(Master_Data!$C:$C,$A25)&gt;0,"Found","Missing")</f>
        <v>Found</v>
      </c>
      <c r="N25" t="str">
        <f>_xlfn.XLOOKUP($A25,Master_Data!$C:$C,Master_Data!$D:$D,"CHECK",0)</f>
        <v>Morshed Milton</v>
      </c>
      <c r="O25" t="str">
        <f>_xlfn.XLOOKUP($A25,Master_Data!$C:$C,Master_Data!$E:$E,"CHECK",0)</f>
        <v>BNP</v>
      </c>
      <c r="P25">
        <f>_xlfn.XLOOKUP($A25,Master_Data!$C:$C,Master_Data!$F:$F,"CHECK",0)</f>
        <v>1</v>
      </c>
      <c r="Q25">
        <f>_xlfn.XLOOKUP($A25,Master_Data!$C:$C,Master_Data!$G:$G,"CHECK",0)</f>
        <v>264212</v>
      </c>
      <c r="R25">
        <f>IFERROR(_xlfn.XLOOKUP($A25,Master_Data!$C:$C,Master_Data!$H:$H,"CHECK",0),"")</f>
        <v>69.369376465368077</v>
      </c>
      <c r="S25" t="str">
        <f>_xlfn.XLOOKUP($A25,Master_Data!$C:$C,Master_Data!$I:$I,"CHECK",0)</f>
        <v>Md. Golam Rabbani</v>
      </c>
      <c r="T25">
        <f>_xlfn.XLOOKUP($A25,Master_Data!$C:$C,Master_Data!$K:$K,"CHECK",0)</f>
        <v>116665</v>
      </c>
      <c r="U25">
        <f>IFERROR(_xlfn.XLOOKUP($A25,Master_Data!$C:$C,Master_Data!$L:$L,"CHECK",0),"")</f>
        <v>30.630623534631919</v>
      </c>
      <c r="V25">
        <f>_xlfn.XLOOKUP($A25,Master_Data!$C:$C,Master_Data!$M:$M,"CHECK",0)</f>
        <v>147547</v>
      </c>
      <c r="W25">
        <f>IFERROR(_xlfn.XLOOKUP($A25,Master_Data!$C:$C,Master_Data!$N:$N,"CHECK",0),"")</f>
        <v>38.738752930736169</v>
      </c>
      <c r="X25" t="str">
        <f>IFERROR(_xlfn.XLOOKUP($A25,Master_Data!$C:$C,Master_Data!$O:$O,"CHECK",0),"No Result")</f>
        <v>Safe Seat</v>
      </c>
      <c r="Y25">
        <f>_xlfn.XLOOKUP($A25,Master_Data!$C:$C,Master_Data!$P:$P,"CHECK",0)</f>
        <v>0</v>
      </c>
      <c r="Z25">
        <f t="shared" si="1"/>
        <v>1</v>
      </c>
      <c r="AA25">
        <f>_xlfn.XLOOKUP(B25,Remittance_Data!A:A,Remittance_Data!B:B,"CHECK")</f>
        <v>55243</v>
      </c>
      <c r="AB25">
        <f>_xlfn.XLOOKUP(B25,Remittance_Data!A:A,Remittance_Data!C:C,"CHECK")</f>
        <v>45976</v>
      </c>
      <c r="AC25">
        <f>_xlfn.XLOOKUP(B25,Remittance_Data!A:A,Remittance_Data!D:D,"CHECK")</f>
        <v>9267</v>
      </c>
    </row>
    <row r="26" spans="1:29">
      <c r="A26" t="str">
        <v>Brahmanbaria-1</v>
      </c>
      <c r="B26" t="str" cm="1">
        <f t="array" ref="B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Nawabganj","Chapainawabganj"),Final_Merged_Data!$B$2:$B$1000=$A26)))</f>
        <v>Brahmanbaria</v>
      </c>
      <c r="C26" t="str" cm="1">
        <f t="array" ref="C26">_xlfn.TEXTJOIN(", ",TRUE,_xlfn._xlws.FILTER(Final_Merged_Data!$C$2:$C$1000,Final_Merged_Data!$B$2:$B$1000=$A26))</f>
        <v>Nabinagar</v>
      </c>
      <c r="D26" cm="1">
        <f t="array" ref="D26">COUNTA(_xlfn._xlws.FILTER(Final_Merged_Data!$C$2:$C$1000,Final_Merged_Data!$B$2:$B$1000=$A26))</f>
        <v>1</v>
      </c>
      <c r="E26">
        <f>SUMIFS(Final_Merged_Data!$E:$E,Final_Merged_Data!$B:$B,$A26)</f>
        <v>869.55</v>
      </c>
      <c r="F26">
        <f>SUMIFS(Final_Merged_Data!$F:$F,Final_Merged_Data!$B:$B,$A26)</f>
        <v>555807</v>
      </c>
      <c r="G26">
        <f t="shared" si="0"/>
        <v>639.18923581162676</v>
      </c>
      <c r="H26" cm="1">
        <f t="array" ref="H26">SUMPRODUCT((Final_Merged_Data!$B$2:$B$1000=$A26)*Final_Merged_Data!$H$2:$H$1000*Final_Merged_Data!$F$2:$F$1000)/F26</f>
        <v>4.4800000000000004</v>
      </c>
      <c r="I26" cm="1">
        <f t="array" ref="I26">SUMPRODUCT((Final_Merged_Data!$B$2:$B$1000=$A26)*Final_Merged_Data!$I$2:$I$1000*Final_Merged_Data!$F$2:$F$1000)/F26</f>
        <v>70.87</v>
      </c>
      <c r="J26" t="str" cm="1">
        <f t="array" ref="J26">_xlfn.TEXTJOIN(", ",TRUE,_xlfn.UNIQUE(_xlfn._xlws.FILTER(Final_Merged_Data!$J$2:$J$1000,Final_Merged_Data!$B$2:$B$1000=$A26)))</f>
        <v>Chittagong Range</v>
      </c>
      <c r="K26" cm="1">
        <f t="array" ref="K26">SUMPRODUCT((Final_Merged_Data!$B$2:$B$1000=$A26)*Final_Merged_Data!$K$2:$K$1000*Final_Merged_Data!$F$2:$F$1000)/F26</f>
        <v>84.879645400600893</v>
      </c>
      <c r="L26" cm="1">
        <f t="array" ref="L26">SUMPRODUCT((Final_Merged_Data!$B$2:$B$1000=$A26)*Final_Merged_Data!$L$2:$L$1000*Final_Merged_Data!$F$2:$F$1000)/F26</f>
        <v>10.309673910686193</v>
      </c>
      <c r="M26" t="str">
        <f>IF(COUNTIF(Master_Data!$C:$C,$A26)&gt;0,"Found","Missing")</f>
        <v>Found</v>
      </c>
      <c r="N26" t="str">
        <f>_xlfn.XLOOKUP($A26,Master_Data!$C:$C,Master_Data!$D:$D,"CHECK",0)</f>
        <v>M. A. Hannan</v>
      </c>
      <c r="O26" t="str">
        <f>_xlfn.XLOOKUP($A26,Master_Data!$C:$C,Master_Data!$E:$E,"CHECK",0)</f>
        <v>BNP</v>
      </c>
      <c r="P26">
        <f>_xlfn.XLOOKUP($A26,Master_Data!$C:$C,Master_Data!$F:$F,"CHECK",0)</f>
        <v>1</v>
      </c>
      <c r="Q26">
        <f>_xlfn.XLOOKUP($A26,Master_Data!$C:$C,Master_Data!$G:$G,"CHECK",0)</f>
        <v>68092</v>
      </c>
      <c r="R26">
        <f>IFERROR(_xlfn.XLOOKUP($A26,Master_Data!$C:$C,Master_Data!$H:$H,"CHECK",0),"")</f>
        <v>65.909090909090907</v>
      </c>
      <c r="S26" t="str">
        <f>_xlfn.XLOOKUP($A26,Master_Data!$C:$C,Master_Data!$I:$I,"CHECK",0)</f>
        <v>A. K. M. Aminul Islam</v>
      </c>
      <c r="T26">
        <f>_xlfn.XLOOKUP($A26,Master_Data!$C:$C,Master_Data!$K:$K,"CHECK",0)</f>
        <v>35220</v>
      </c>
      <c r="U26">
        <f>IFERROR(_xlfn.XLOOKUP($A26,Master_Data!$C:$C,Master_Data!$L:$L,"CHECK",0),"")</f>
        <v>34.090909090909086</v>
      </c>
      <c r="V26">
        <f>_xlfn.XLOOKUP($A26,Master_Data!$C:$C,Master_Data!$M:$M,"CHECK",0)</f>
        <v>32872</v>
      </c>
      <c r="W26">
        <f>IFERROR(_xlfn.XLOOKUP($A26,Master_Data!$C:$C,Master_Data!$N:$N,"CHECK",0),"")</f>
        <v>31.818181818181817</v>
      </c>
      <c r="X26" t="str">
        <f>IFERROR(_xlfn.XLOOKUP($A26,Master_Data!$C:$C,Master_Data!$O:$O,"CHECK",0),"No Result")</f>
        <v>Safe Seat</v>
      </c>
      <c r="Y26">
        <f>_xlfn.XLOOKUP($A26,Master_Data!$C:$C,Master_Data!$P:$P,"CHECK",0)</f>
        <v>0</v>
      </c>
      <c r="Z26">
        <f t="shared" si="1"/>
        <v>1</v>
      </c>
      <c r="AA26">
        <f>_xlfn.XLOOKUP(B26,Remittance_Data!A:A,Remittance_Data!B:B,"CHECK")</f>
        <v>236366</v>
      </c>
      <c r="AB26">
        <f>_xlfn.XLOOKUP(B26,Remittance_Data!A:A,Remittance_Data!C:C,"CHECK")</f>
        <v>192635</v>
      </c>
      <c r="AC26">
        <f>_xlfn.XLOOKUP(B26,Remittance_Data!A:A,Remittance_Data!D:D,"CHECK")</f>
        <v>43731</v>
      </c>
    </row>
    <row r="27" spans="1:29">
      <c r="A27" t="str">
        <v>Brahmanbaria-2</v>
      </c>
      <c r="B27" t="str" cm="1">
        <f t="array" ref="B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Nawabganj","Chapainawabganj"),Final_Merged_Data!$B$2:$B$1000=$A27)))</f>
        <v>Brahmanbaria</v>
      </c>
      <c r="C27" t="str" cm="1">
        <f t="array" ref="C27">_xlfn.TEXTJOIN(", ",TRUE,_xlfn._xlws.FILTER(Final_Merged_Data!$C$2:$C$1000,Final_Merged_Data!$B$2:$B$1000=$A27))</f>
        <v>Sarail, Ashuganj</v>
      </c>
      <c r="D27" cm="1">
        <f t="array" ref="D27">COUNTA(_xlfn._xlws.FILTER(Final_Merged_Data!$C$2:$C$1000,Final_Merged_Data!$B$2:$B$1000=$A27))</f>
        <v>2</v>
      </c>
      <c r="E27">
        <f>SUMIFS(Final_Merged_Data!$E:$E,Final_Merged_Data!$B:$B,$A27)</f>
        <v>294.8</v>
      </c>
      <c r="F27">
        <f>SUMIFS(Final_Merged_Data!$F:$F,Final_Merged_Data!$B:$B,$A27)</f>
        <v>574699</v>
      </c>
      <c r="G27">
        <f t="shared" si="0"/>
        <v>1949.4538670284937</v>
      </c>
      <c r="H27" cm="1">
        <f t="array" ref="H27">SUMPRODUCT((Final_Merged_Data!$B$2:$B$1000=$A27)*Final_Merged_Data!$H$2:$H$1000*Final_Merged_Data!$F$2:$F$1000)/F27</f>
        <v>4.784379127160479</v>
      </c>
      <c r="I27" cm="1">
        <f t="array" ref="I27">SUMPRODUCT((Final_Merged_Data!$B$2:$B$1000=$A27)*Final_Merged_Data!$I$2:$I$1000*Final_Merged_Data!$F$2:$F$1000)/F27</f>
        <v>70.091238056791468</v>
      </c>
      <c r="J27" t="str" cm="1">
        <f t="array" ref="J27">_xlfn.TEXTJOIN(", ",TRUE,_xlfn.UNIQUE(_xlfn._xlws.FILTER(Final_Merged_Data!$J$2:$J$1000,Final_Merged_Data!$B$2:$B$1000=$A27)))</f>
        <v>Chittagong Range</v>
      </c>
      <c r="K27" cm="1">
        <f t="array" ref="K27">SUMPRODUCT((Final_Merged_Data!$B$2:$B$1000=$A27)*Final_Merged_Data!$K$2:$K$1000*Final_Merged_Data!$F$2:$F$1000)/F27</f>
        <v>84.879645400600893</v>
      </c>
      <c r="L27" cm="1">
        <f t="array" ref="L27">SUMPRODUCT((Final_Merged_Data!$B$2:$B$1000=$A27)*Final_Merged_Data!$L$2:$L$1000*Final_Merged_Data!$F$2:$F$1000)/F27</f>
        <v>10.309673910686193</v>
      </c>
      <c r="M27" t="str">
        <f>IF(COUNTIF(Master_Data!$C:$C,$A27)&gt;0,"Found","Missing")</f>
        <v>Found</v>
      </c>
      <c r="N27" t="str">
        <f>_xlfn.XLOOKUP($A27,Master_Data!$C:$C,Master_Data!$D:$D,"CHECK",0)</f>
        <v>Rumeen Farhana</v>
      </c>
      <c r="O27" t="str">
        <f>_xlfn.XLOOKUP($A27,Master_Data!$C:$C,Master_Data!$E:$E,"CHECK",0)</f>
        <v>IND</v>
      </c>
      <c r="P27">
        <f>_xlfn.XLOOKUP($A27,Master_Data!$C:$C,Master_Data!$F:$F,"CHECK",0)</f>
        <v>5</v>
      </c>
      <c r="Q27">
        <f>_xlfn.XLOOKUP($A27,Master_Data!$C:$C,Master_Data!$G:$G,"CHECK",0)</f>
        <v>118547</v>
      </c>
      <c r="R27">
        <f>IFERROR(_xlfn.XLOOKUP($A27,Master_Data!$C:$C,Master_Data!$H:$H,"CHECK",0),"")</f>
        <v>59.577045044501745</v>
      </c>
      <c r="S27" t="str">
        <f>_xlfn.XLOOKUP($A27,Master_Data!$C:$C,Master_Data!$I:$I,"CHECK",0)</f>
        <v>Mohammad Junaid Al Habib</v>
      </c>
      <c r="T27">
        <f>_xlfn.XLOOKUP($A27,Master_Data!$C:$C,Master_Data!$K:$K,"CHECK",0)</f>
        <v>80434</v>
      </c>
      <c r="U27">
        <f>IFERROR(_xlfn.XLOOKUP($A27,Master_Data!$C:$C,Master_Data!$L:$L,"CHECK",0),"")</f>
        <v>40.422954955498263</v>
      </c>
      <c r="V27">
        <f>_xlfn.XLOOKUP($A27,Master_Data!$C:$C,Master_Data!$M:$M,"CHECK",0)</f>
        <v>38113</v>
      </c>
      <c r="W27">
        <f>IFERROR(_xlfn.XLOOKUP($A27,Master_Data!$C:$C,Master_Data!$N:$N,"CHECK",0),"")</f>
        <v>19.154090089003471</v>
      </c>
      <c r="X27" t="str">
        <f>IFERROR(_xlfn.XLOOKUP($A27,Master_Data!$C:$C,Master_Data!$O:$O,"CHECK",0),"No Result")</f>
        <v>Safe Seat</v>
      </c>
      <c r="Y27">
        <f>_xlfn.XLOOKUP($A27,Master_Data!$C:$C,Master_Data!$P:$P,"CHECK",0)</f>
        <v>0</v>
      </c>
      <c r="Z27">
        <f t="shared" si="1"/>
        <v>1</v>
      </c>
      <c r="AA27">
        <f>_xlfn.XLOOKUP(B27,Remittance_Data!A:A,Remittance_Data!B:B,"CHECK")</f>
        <v>236366</v>
      </c>
      <c r="AB27">
        <f>_xlfn.XLOOKUP(B27,Remittance_Data!A:A,Remittance_Data!C:C,"CHECK")</f>
        <v>192635</v>
      </c>
      <c r="AC27">
        <f>_xlfn.XLOOKUP(B27,Remittance_Data!A:A,Remittance_Data!D:D,"CHECK")</f>
        <v>43731</v>
      </c>
    </row>
    <row r="28" spans="1:29">
      <c r="A28" t="str">
        <v>Brahmanbaria-3</v>
      </c>
      <c r="B28" t="str" cm="1">
        <f t="array" ref="B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Nawabganj","Chapainawabganj"),Final_Merged_Data!$B$2:$B$1000=$A28)))</f>
        <v>Brahmanbaria</v>
      </c>
      <c r="C28" t="str" cm="1">
        <f t="array" ref="C28">_xlfn.TEXTJOIN(", ",TRUE,_xlfn._xlws.FILTER(Final_Merged_Data!$C$2:$C$1000,Final_Merged_Data!$B$2:$B$1000=$A28))</f>
        <v>Brahmanbaria Sadar, Bijoynagar</v>
      </c>
      <c r="D28" cm="1">
        <f t="array" ref="D28">COUNTA(_xlfn._xlws.FILTER(Final_Merged_Data!$C$2:$C$1000,Final_Merged_Data!$B$2:$B$1000=$A28))</f>
        <v>2</v>
      </c>
      <c r="E28">
        <f>SUMIFS(Final_Merged_Data!$E:$E,Final_Merged_Data!$B:$B,$A28)</f>
        <v>600.71</v>
      </c>
      <c r="F28">
        <f>SUMIFS(Final_Merged_Data!$F:$F,Final_Merged_Data!$B:$B,$A28)</f>
        <v>967637</v>
      </c>
      <c r="G28">
        <f t="shared" si="0"/>
        <v>1610.8221937374105</v>
      </c>
      <c r="H28" cm="1">
        <f t="array" ref="H28">SUMPRODUCT((Final_Merged_Data!$B$2:$B$1000=$A28)*Final_Merged_Data!$H$2:$H$1000*Final_Merged_Data!$F$2:$F$1000)/F28</f>
        <v>4.6500000000000004</v>
      </c>
      <c r="I28" cm="1">
        <f t="array" ref="I28">SUMPRODUCT((Final_Merged_Data!$B$2:$B$1000=$A28)*Final_Merged_Data!$I$2:$I$1000*Final_Merged_Data!$F$2:$F$1000)/F28</f>
        <v>76.171140220971296</v>
      </c>
      <c r="J28" t="str" cm="1">
        <f t="array" ref="J28">_xlfn.TEXTJOIN(", ",TRUE,_xlfn.UNIQUE(_xlfn._xlws.FILTER(Final_Merged_Data!$J$2:$J$1000,Final_Merged_Data!$B$2:$B$1000=$A28)))</f>
        <v>Chittagong Range</v>
      </c>
      <c r="K28" cm="1">
        <f t="array" ref="K28">SUMPRODUCT((Final_Merged_Data!$B$2:$B$1000=$A28)*Final_Merged_Data!$K$2:$K$1000*Final_Merged_Data!$F$2:$F$1000)/F28</f>
        <v>84.879645400600893</v>
      </c>
      <c r="L28" cm="1">
        <f t="array" ref="L28">SUMPRODUCT((Final_Merged_Data!$B$2:$B$1000=$A28)*Final_Merged_Data!$L$2:$L$1000*Final_Merged_Data!$F$2:$F$1000)/F28</f>
        <v>10.309673910686193</v>
      </c>
      <c r="M28" t="str">
        <f>IF(COUNTIF(Master_Data!$C:$C,$A28)&gt;0,"Found","Missing")</f>
        <v>Found</v>
      </c>
      <c r="N28" t="str">
        <f>_xlfn.XLOOKUP($A28,Master_Data!$C:$C,Master_Data!$D:$D,"CHECK",0)</f>
        <v>Md. Khaled Hossain Mahbub</v>
      </c>
      <c r="O28" t="str">
        <f>_xlfn.XLOOKUP($A28,Master_Data!$C:$C,Master_Data!$E:$E,"CHECK",0)</f>
        <v>BNP</v>
      </c>
      <c r="P28">
        <f>_xlfn.XLOOKUP($A28,Master_Data!$C:$C,Master_Data!$F:$F,"CHECK",0)</f>
        <v>1</v>
      </c>
      <c r="Q28">
        <f>_xlfn.XLOOKUP($A28,Master_Data!$C:$C,Master_Data!$G:$G,"CHECK",0)</f>
        <v>209636</v>
      </c>
      <c r="R28">
        <f>IFERROR(_xlfn.XLOOKUP($A28,Master_Data!$C:$C,Master_Data!$H:$H,"CHECK",0),"")</f>
        <v>77.020240059077906</v>
      </c>
      <c r="S28" t="str">
        <f>_xlfn.XLOOKUP($A28,Master_Data!$C:$C,Master_Data!$I:$I,"CHECK",0)</f>
        <v>Md. Ataullah</v>
      </c>
      <c r="T28">
        <f>_xlfn.XLOOKUP($A28,Master_Data!$C:$C,Master_Data!$K:$K,"CHECK",0)</f>
        <v>62547</v>
      </c>
      <c r="U28">
        <f>IFERROR(_xlfn.XLOOKUP($A28,Master_Data!$C:$C,Master_Data!$L:$L,"CHECK",0),"")</f>
        <v>22.979759940922101</v>
      </c>
      <c r="V28">
        <f>_xlfn.XLOOKUP($A28,Master_Data!$C:$C,Master_Data!$M:$M,"CHECK",0)</f>
        <v>147089</v>
      </c>
      <c r="W28">
        <f>IFERROR(_xlfn.XLOOKUP($A28,Master_Data!$C:$C,Master_Data!$N:$N,"CHECK",0),"")</f>
        <v>54.040480118155799</v>
      </c>
      <c r="X28" t="str">
        <f>IFERROR(_xlfn.XLOOKUP($A28,Master_Data!$C:$C,Master_Data!$O:$O,"CHECK",0),"No Result")</f>
        <v>Safe Seat</v>
      </c>
      <c r="Y28">
        <f>_xlfn.XLOOKUP($A28,Master_Data!$C:$C,Master_Data!$P:$P,"CHECK",0)</f>
        <v>0</v>
      </c>
      <c r="Z28">
        <f t="shared" si="1"/>
        <v>1</v>
      </c>
      <c r="AA28">
        <f>_xlfn.XLOOKUP(B28,Remittance_Data!A:A,Remittance_Data!B:B,"CHECK")</f>
        <v>236366</v>
      </c>
      <c r="AB28">
        <f>_xlfn.XLOOKUP(B28,Remittance_Data!A:A,Remittance_Data!C:C,"CHECK")</f>
        <v>192635</v>
      </c>
      <c r="AC28">
        <f>_xlfn.XLOOKUP(B28,Remittance_Data!A:A,Remittance_Data!D:D,"CHECK")</f>
        <v>43731</v>
      </c>
    </row>
    <row r="29" spans="1:29">
      <c r="A29" t="str">
        <v>Brahmanbaria-4</v>
      </c>
      <c r="B29" t="str" cm="1">
        <f t="array" ref="B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Nawabganj","Chapainawabganj"),Final_Merged_Data!$B$2:$B$1000=$A29)))</f>
        <v>Brahmanbaria</v>
      </c>
      <c r="C29" t="str" cm="1">
        <f t="array" ref="C29">_xlfn.TEXTJOIN(", ",TRUE,_xlfn._xlws.FILTER(Final_Merged_Data!$C$2:$C$1000,Final_Merged_Data!$B$2:$B$1000=$A29))</f>
        <v>Kasba, Akhaura</v>
      </c>
      <c r="D29" cm="1">
        <f t="array" ref="D29">COUNTA(_xlfn._xlws.FILTER(Final_Merged_Data!$C$2:$C$1000,Final_Merged_Data!$B$2:$B$1000=$A29))</f>
        <v>2</v>
      </c>
      <c r="E29">
        <f>SUMIFS(Final_Merged_Data!$E:$E,Final_Merged_Data!$B:$B,$A29)</f>
        <v>707.31</v>
      </c>
      <c r="F29">
        <f>SUMIFS(Final_Merged_Data!$F:$F,Final_Merged_Data!$B:$B,$A29)</f>
        <v>526405</v>
      </c>
      <c r="G29">
        <f t="shared" si="0"/>
        <v>744.23520097269943</v>
      </c>
      <c r="H29" cm="1">
        <f t="array" ref="H29">SUMPRODUCT((Final_Merged_Data!$B$2:$B$1000=$A29)*Final_Merged_Data!$H$2:$H$1000*Final_Merged_Data!$F$2:$F$1000)/F29</f>
        <v>4.4260001329774603</v>
      </c>
      <c r="I29" cm="1">
        <f t="array" ref="I29">SUMPRODUCT((Final_Merged_Data!$B$2:$B$1000=$A29)*Final_Merged_Data!$I$2:$I$1000*Final_Merged_Data!$F$2:$F$1000)/F29</f>
        <v>76.933598617034406</v>
      </c>
      <c r="J29" t="str" cm="1">
        <f t="array" ref="J29">_xlfn.TEXTJOIN(", ",TRUE,_xlfn.UNIQUE(_xlfn._xlws.FILTER(Final_Merged_Data!$J$2:$J$1000,Final_Merged_Data!$B$2:$B$1000=$A29)))</f>
        <v>Chittagong Range</v>
      </c>
      <c r="K29" cm="1">
        <f t="array" ref="K29">SUMPRODUCT((Final_Merged_Data!$B$2:$B$1000=$A29)*Final_Merged_Data!$K$2:$K$1000*Final_Merged_Data!$F$2:$F$1000)/F29</f>
        <v>84.879645400600893</v>
      </c>
      <c r="L29" cm="1">
        <f t="array" ref="L29">SUMPRODUCT((Final_Merged_Data!$B$2:$B$1000=$A29)*Final_Merged_Data!$L$2:$L$1000*Final_Merged_Data!$F$2:$F$1000)/F29</f>
        <v>10.309673910686193</v>
      </c>
      <c r="M29" t="str">
        <f>IF(COUNTIF(Master_Data!$C:$C,$A29)&gt;0,"Found","Missing")</f>
        <v>Found</v>
      </c>
      <c r="N29" t="str">
        <f>_xlfn.XLOOKUP($A29,Master_Data!$C:$C,Master_Data!$D:$D,"CHECK",0)</f>
        <v>Mushfiqur Rahman</v>
      </c>
      <c r="O29" t="str">
        <f>_xlfn.XLOOKUP($A29,Master_Data!$C:$C,Master_Data!$E:$E,"CHECK",0)</f>
        <v>BNP</v>
      </c>
      <c r="P29">
        <f>_xlfn.XLOOKUP($A29,Master_Data!$C:$C,Master_Data!$F:$F,"CHECK",0)</f>
        <v>1</v>
      </c>
      <c r="Q29">
        <f>_xlfn.XLOOKUP($A29,Master_Data!$C:$C,Master_Data!$G:$G,"CHECK",0)</f>
        <v>139842</v>
      </c>
      <c r="R29">
        <f>IFERROR(_xlfn.XLOOKUP($A29,Master_Data!$C:$C,Master_Data!$H:$H,"CHECK",0),"")</f>
        <v>60.370923596301132</v>
      </c>
      <c r="S29" t="str">
        <f>_xlfn.XLOOKUP($A29,Master_Data!$C:$C,Master_Data!$I:$I,"CHECK",0)</f>
        <v>Md. Ataur Rahman Sarkar</v>
      </c>
      <c r="T29">
        <f>_xlfn.XLOOKUP($A29,Master_Data!$C:$C,Master_Data!$K:$K,"CHECK",0)</f>
        <v>91796</v>
      </c>
      <c r="U29">
        <f>IFERROR(_xlfn.XLOOKUP($A29,Master_Data!$C:$C,Master_Data!$L:$L,"CHECK",0),"")</f>
        <v>39.629076403698875</v>
      </c>
      <c r="V29">
        <f>_xlfn.XLOOKUP($A29,Master_Data!$C:$C,Master_Data!$M:$M,"CHECK",0)</f>
        <v>48046</v>
      </c>
      <c r="W29">
        <f>IFERROR(_xlfn.XLOOKUP($A29,Master_Data!$C:$C,Master_Data!$N:$N,"CHECK",0),"")</f>
        <v>20.741847192602251</v>
      </c>
      <c r="X29" t="str">
        <f>IFERROR(_xlfn.XLOOKUP($A29,Master_Data!$C:$C,Master_Data!$O:$O,"CHECK",0),"No Result")</f>
        <v>Safe Seat</v>
      </c>
      <c r="Y29">
        <f>_xlfn.XLOOKUP($A29,Master_Data!$C:$C,Master_Data!$P:$P,"CHECK",0)</f>
        <v>0</v>
      </c>
      <c r="Z29">
        <f t="shared" si="1"/>
        <v>1</v>
      </c>
      <c r="AA29">
        <f>_xlfn.XLOOKUP(B29,Remittance_Data!A:A,Remittance_Data!B:B,"CHECK")</f>
        <v>236366</v>
      </c>
      <c r="AB29">
        <f>_xlfn.XLOOKUP(B29,Remittance_Data!A:A,Remittance_Data!C:C,"CHECK")</f>
        <v>192635</v>
      </c>
      <c r="AC29">
        <f>_xlfn.XLOOKUP(B29,Remittance_Data!A:A,Remittance_Data!D:D,"CHECK")</f>
        <v>43731</v>
      </c>
    </row>
    <row r="30" spans="1:29">
      <c r="A30" t="str">
        <v>Brahmanbaria-5</v>
      </c>
      <c r="B30" t="str" cm="1">
        <f t="array" ref="B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Nawabganj","Chapainawabganj"),Final_Merged_Data!$B$2:$B$1000=$A30)))</f>
        <v>Brahmanbaria</v>
      </c>
      <c r="C30" t="str" cm="1">
        <f t="array" ref="C30">_xlfn.TEXTJOIN(", ",TRUE,_xlfn._xlws.FILTER(Final_Merged_Data!$C$2:$C$1000,Final_Merged_Data!$B$2:$B$1000=$A30))</f>
        <v>Bancharampur</v>
      </c>
      <c r="D30" cm="1">
        <f t="array" ref="D30">COUNTA(_xlfn._xlws.FILTER(Final_Merged_Data!$C$2:$C$1000,Final_Merged_Data!$B$2:$B$1000=$A30))</f>
        <v>1</v>
      </c>
      <c r="E30">
        <f>SUMIFS(Final_Merged_Data!$E:$E,Final_Merged_Data!$B:$B,$A30)</f>
        <v>217.88</v>
      </c>
      <c r="F30">
        <f>SUMIFS(Final_Merged_Data!$F:$F,Final_Merged_Data!$B:$B,$A30)</f>
        <v>335102</v>
      </c>
      <c r="G30">
        <f t="shared" si="0"/>
        <v>1538.0117495869285</v>
      </c>
      <c r="H30" cm="1">
        <f t="array" ref="H30">SUMPRODUCT((Final_Merged_Data!$B$2:$B$1000=$A30)*Final_Merged_Data!$H$2:$H$1000*Final_Merged_Data!$F$2:$F$1000)/F30</f>
        <v>4.22</v>
      </c>
      <c r="I30" cm="1">
        <f t="array" ref="I30">SUMPRODUCT((Final_Merged_Data!$B$2:$B$1000=$A30)*Final_Merged_Data!$I$2:$I$1000*Final_Merged_Data!$F$2:$F$1000)/F30</f>
        <v>68.55</v>
      </c>
      <c r="J30" t="str" cm="1">
        <f t="array" ref="J30">_xlfn.TEXTJOIN(", ",TRUE,_xlfn.UNIQUE(_xlfn._xlws.FILTER(Final_Merged_Data!$J$2:$J$1000,Final_Merged_Data!$B$2:$B$1000=$A30)))</f>
        <v>Chittagong Range</v>
      </c>
      <c r="K30" cm="1">
        <f t="array" ref="K30">SUMPRODUCT((Final_Merged_Data!$B$2:$B$1000=$A30)*Final_Merged_Data!$K$2:$K$1000*Final_Merged_Data!$F$2:$F$1000)/F30</f>
        <v>84.879645400600893</v>
      </c>
      <c r="L30" cm="1">
        <f t="array" ref="L30">SUMPRODUCT((Final_Merged_Data!$B$2:$B$1000=$A30)*Final_Merged_Data!$L$2:$L$1000*Final_Merged_Data!$F$2:$F$1000)/F30</f>
        <v>10.309673910686193</v>
      </c>
      <c r="M30" t="str">
        <f>IF(COUNTIF(Master_Data!$C:$C,$A30)&gt;0,"Found","Missing")</f>
        <v>Found</v>
      </c>
      <c r="N30" t="str">
        <f>_xlfn.XLOOKUP($A30,Master_Data!$C:$C,Master_Data!$D:$D,"CHECK",0)</f>
        <v>Md. Abdul Mannan[disambiguation needed]</v>
      </c>
      <c r="O30" t="str">
        <f>_xlfn.XLOOKUP($A30,Master_Data!$C:$C,Master_Data!$E:$E,"CHECK",0)</f>
        <v>BNP</v>
      </c>
      <c r="P30">
        <f>_xlfn.XLOOKUP($A30,Master_Data!$C:$C,Master_Data!$F:$F,"CHECK",0)</f>
        <v>1</v>
      </c>
      <c r="Q30">
        <f>_xlfn.XLOOKUP($A30,Master_Data!$C:$C,Master_Data!$G:$G,"CHECK",0)</f>
        <v>85769</v>
      </c>
      <c r="R30">
        <f>IFERROR(_xlfn.XLOOKUP($A30,Master_Data!$C:$C,Master_Data!$H:$H,"CHECK",0),"")</f>
        <v>50.311185673140656</v>
      </c>
      <c r="S30" t="str">
        <f>_xlfn.XLOOKUP($A30,Master_Data!$C:$C,Master_Data!$I:$I,"CHECK",0)</f>
        <v>Kazi Nazmul Hossain</v>
      </c>
      <c r="T30">
        <f>_xlfn.XLOOKUP($A30,Master_Data!$C:$C,Master_Data!$K:$K,"CHECK",0)</f>
        <v>84708</v>
      </c>
      <c r="U30">
        <f>IFERROR(_xlfn.XLOOKUP($A30,Master_Data!$C:$C,Master_Data!$L:$L,"CHECK",0),"")</f>
        <v>49.688814326859344</v>
      </c>
      <c r="V30">
        <f>_xlfn.XLOOKUP($A30,Master_Data!$C:$C,Master_Data!$M:$M,"CHECK",0)</f>
        <v>1061</v>
      </c>
      <c r="W30">
        <f>IFERROR(_xlfn.XLOOKUP($A30,Master_Data!$C:$C,Master_Data!$N:$N,"CHECK",0),"")</f>
        <v>0.62237134628131652</v>
      </c>
      <c r="X30" t="str">
        <f>IFERROR(_xlfn.XLOOKUP($A30,Master_Data!$C:$C,Master_Data!$O:$O,"CHECK",0),"No Result")</f>
        <v>Highly Competitive</v>
      </c>
      <c r="Y30">
        <f>_xlfn.XLOOKUP($A30,Master_Data!$C:$C,Master_Data!$P:$P,"CHECK",0)</f>
        <v>0</v>
      </c>
      <c r="Z30">
        <f t="shared" si="1"/>
        <v>1</v>
      </c>
      <c r="AA30">
        <f>_xlfn.XLOOKUP(B30,Remittance_Data!A:A,Remittance_Data!B:B,"CHECK")</f>
        <v>236366</v>
      </c>
      <c r="AB30">
        <f>_xlfn.XLOOKUP(B30,Remittance_Data!A:A,Remittance_Data!C:C,"CHECK")</f>
        <v>192635</v>
      </c>
      <c r="AC30">
        <f>_xlfn.XLOOKUP(B30,Remittance_Data!A:A,Remittance_Data!D:D,"CHECK")</f>
        <v>43731</v>
      </c>
    </row>
    <row r="31" spans="1:29">
      <c r="A31" t="str">
        <v>Brahmanbaria-6</v>
      </c>
      <c r="B31" t="str" cm="1">
        <f t="array" ref="B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Nawabganj","Chapainawabganj"),Final_Merged_Data!$B$2:$B$1000=$A31)))</f>
        <v>Brahmanbaria</v>
      </c>
      <c r="C31" t="str" cm="1">
        <f t="array" ref="C31">_xlfn.TEXTJOIN(", ",TRUE,_xlfn._xlws.FILTER(Final_Merged_Data!$C$2:$C$1000,Final_Merged_Data!$B$2:$B$1000=$A31))</f>
        <v>Nasirnagar</v>
      </c>
      <c r="D31" cm="1">
        <f t="array" ref="D31">COUNTA(_xlfn._xlws.FILTER(Final_Merged_Data!$C$2:$C$1000,Final_Merged_Data!$B$2:$B$1000=$A31))</f>
        <v>1</v>
      </c>
      <c r="E31">
        <f>SUMIFS(Final_Merged_Data!$E:$E,Final_Merged_Data!$B:$B,$A31)</f>
        <v>331.61</v>
      </c>
      <c r="F31">
        <f>SUMIFS(Final_Merged_Data!$F:$F,Final_Merged_Data!$B:$B,$A31)</f>
        <v>346757</v>
      </c>
      <c r="G31">
        <f t="shared" si="0"/>
        <v>1045.6771508699978</v>
      </c>
      <c r="H31" cm="1">
        <f t="array" ref="H31">SUMPRODUCT((Final_Merged_Data!$B$2:$B$1000=$A31)*Final_Merged_Data!$H$2:$H$1000*Final_Merged_Data!$F$2:$F$1000)/F31</f>
        <v>4.83</v>
      </c>
      <c r="I31" cm="1">
        <f t="array" ref="I31">SUMPRODUCT((Final_Merged_Data!$B$2:$B$1000=$A31)*Final_Merged_Data!$I$2:$I$1000*Final_Merged_Data!$F$2:$F$1000)/F31</f>
        <v>61.97</v>
      </c>
      <c r="J31" t="str" cm="1">
        <f t="array" ref="J31">_xlfn.TEXTJOIN(", ",TRUE,_xlfn.UNIQUE(_xlfn._xlws.FILTER(Final_Merged_Data!$J$2:$J$1000,Final_Merged_Data!$B$2:$B$1000=$A31)))</f>
        <v>Chittagong Range</v>
      </c>
      <c r="K31" cm="1">
        <f t="array" ref="K31">SUMPRODUCT((Final_Merged_Data!$B$2:$B$1000=$A31)*Final_Merged_Data!$K$2:$K$1000*Final_Merged_Data!$F$2:$F$1000)/F31</f>
        <v>84.879645400600893</v>
      </c>
      <c r="L31" cm="1">
        <f t="array" ref="L31">SUMPRODUCT((Final_Merged_Data!$B$2:$B$1000=$A31)*Final_Merged_Data!$L$2:$L$1000*Final_Merged_Data!$F$2:$F$1000)/F31</f>
        <v>10.309673910686193</v>
      </c>
      <c r="M31" t="str">
        <f>IF(COUNTIF(Master_Data!$C:$C,$A31)&gt;0,"Found","Missing")</f>
        <v>Found</v>
      </c>
      <c r="N31" t="str">
        <f>_xlfn.XLOOKUP($A31,Master_Data!$C:$C,Master_Data!$D:$D,"CHECK",0)</f>
        <v>Zonayed Saki</v>
      </c>
      <c r="O31" t="str">
        <f>_xlfn.XLOOKUP($A31,Master_Data!$C:$C,Master_Data!$E:$E,"CHECK",0)</f>
        <v>GSA</v>
      </c>
      <c r="P31">
        <f>_xlfn.XLOOKUP($A31,Master_Data!$C:$C,Master_Data!$F:$F,"CHECK",0)</f>
        <v>0</v>
      </c>
      <c r="Q31">
        <f>_xlfn.XLOOKUP($A31,Master_Data!$C:$C,Master_Data!$G:$G,"CHECK",0)</f>
        <v>95342</v>
      </c>
      <c r="R31">
        <f>IFERROR(_xlfn.XLOOKUP($A31,Master_Data!$C:$C,Master_Data!$H:$H,"CHECK",0),"")</f>
        <v>70.457736590845272</v>
      </c>
      <c r="S31" t="str">
        <f>_xlfn.XLOOKUP($A31,Master_Data!$C:$C,Master_Data!$I:$I,"CHECK",0)</f>
        <v>Md. Mohsin</v>
      </c>
      <c r="T31">
        <f>_xlfn.XLOOKUP($A31,Master_Data!$C:$C,Master_Data!$K:$K,"CHECK",0)</f>
        <v>39976</v>
      </c>
      <c r="U31">
        <f>IFERROR(_xlfn.XLOOKUP($A31,Master_Data!$C:$C,Master_Data!$L:$L,"CHECK",0),"")</f>
        <v>29.542263409154735</v>
      </c>
      <c r="V31">
        <f>_xlfn.XLOOKUP($A31,Master_Data!$C:$C,Master_Data!$M:$M,"CHECK",0)</f>
        <v>55366</v>
      </c>
      <c r="W31">
        <f>IFERROR(_xlfn.XLOOKUP($A31,Master_Data!$C:$C,Master_Data!$N:$N,"CHECK",0),"")</f>
        <v>40.915473181690537</v>
      </c>
      <c r="X31" t="str">
        <f>IFERROR(_xlfn.XLOOKUP($A31,Master_Data!$C:$C,Master_Data!$O:$O,"CHECK",0),"No Result")</f>
        <v>Safe Seat</v>
      </c>
      <c r="Y31">
        <f>_xlfn.XLOOKUP($A31,Master_Data!$C:$C,Master_Data!$P:$P,"CHECK",0)</f>
        <v>0</v>
      </c>
      <c r="Z31">
        <f t="shared" si="1"/>
        <v>1</v>
      </c>
      <c r="AA31">
        <f>_xlfn.XLOOKUP(B31,Remittance_Data!A:A,Remittance_Data!B:B,"CHECK")</f>
        <v>236366</v>
      </c>
      <c r="AB31">
        <f>_xlfn.XLOOKUP(B31,Remittance_Data!A:A,Remittance_Data!C:C,"CHECK")</f>
        <v>192635</v>
      </c>
      <c r="AC31">
        <f>_xlfn.XLOOKUP(B31,Remittance_Data!A:A,Remittance_Data!D:D,"CHECK")</f>
        <v>43731</v>
      </c>
    </row>
    <row r="32" spans="1:29">
      <c r="A32" t="str">
        <v>Chandpur-1</v>
      </c>
      <c r="B32" t="str" cm="1">
        <f t="array" ref="B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Nawabganj","Chapainawabganj"),Final_Merged_Data!$B$2:$B$1000=$A32)))</f>
        <v>Chandpur</v>
      </c>
      <c r="C32" t="str" cm="1">
        <f t="array" ref="C32">_xlfn.TEXTJOIN(", ",TRUE,_xlfn._xlws.FILTER(Final_Merged_Data!$C$2:$C$1000,Final_Merged_Data!$B$2:$B$1000=$A32))</f>
        <v>Kachua</v>
      </c>
      <c r="D32" cm="1">
        <f t="array" ref="D32">COUNTA(_xlfn._xlws.FILTER(Final_Merged_Data!$C$2:$C$1000,Final_Merged_Data!$B$2:$B$1000=$A32))</f>
        <v>1</v>
      </c>
      <c r="E32">
        <f>SUMIFS(Final_Merged_Data!$E:$E,Final_Merged_Data!$B:$B,$A32)</f>
        <v>235.82</v>
      </c>
      <c r="F32">
        <f>SUMIFS(Final_Merged_Data!$F:$F,Final_Merged_Data!$B:$B,$A32)</f>
        <v>405483</v>
      </c>
      <c r="G32">
        <f t="shared" si="0"/>
        <v>1719.4597574421168</v>
      </c>
      <c r="H32" cm="1">
        <f t="array" ref="H32">SUMPRODUCT((Final_Merged_Data!$B$2:$B$1000=$A32)*Final_Merged_Data!$H$2:$H$1000*Final_Merged_Data!$F$2:$F$1000)/F32</f>
        <v>4.17</v>
      </c>
      <c r="I32" cm="1">
        <f t="array" ref="I32">SUMPRODUCT((Final_Merged_Data!$B$2:$B$1000=$A32)*Final_Merged_Data!$I$2:$I$1000*Final_Merged_Data!$F$2:$F$1000)/F32</f>
        <v>75.02</v>
      </c>
      <c r="J32" t="str" cm="1">
        <f t="array" ref="J32">_xlfn.TEXTJOIN(", ",TRUE,_xlfn.UNIQUE(_xlfn._xlws.FILTER(Final_Merged_Data!$J$2:$J$1000,Final_Merged_Data!$B$2:$B$1000=$A32)))</f>
        <v>Chittagong Range</v>
      </c>
      <c r="K32" cm="1">
        <f t="array" ref="K32">SUMPRODUCT((Final_Merged_Data!$B$2:$B$1000=$A32)*Final_Merged_Data!$K$2:$K$1000*Final_Merged_Data!$F$2:$F$1000)/F32</f>
        <v>84.879645400600879</v>
      </c>
      <c r="L32" cm="1">
        <f t="array" ref="L32">SUMPRODUCT((Final_Merged_Data!$B$2:$B$1000=$A32)*Final_Merged_Data!$L$2:$L$1000*Final_Merged_Data!$F$2:$F$1000)/F32</f>
        <v>10.309673910686193</v>
      </c>
      <c r="M32" t="str">
        <f>IF(COUNTIF(Master_Data!$C:$C,$A32)&gt;0,"Found","Missing")</f>
        <v>Found</v>
      </c>
      <c r="N32" t="str">
        <f>_xlfn.XLOOKUP($A32,Master_Data!$C:$C,Master_Data!$D:$D,"CHECK",0)</f>
        <v>A. N. M. Ehsanul Hoque Milan</v>
      </c>
      <c r="O32" t="str">
        <f>_xlfn.XLOOKUP($A32,Master_Data!$C:$C,Master_Data!$E:$E,"CHECK",0)</f>
        <v>BNP</v>
      </c>
      <c r="P32">
        <f>_xlfn.XLOOKUP($A32,Master_Data!$C:$C,Master_Data!$F:$F,"CHECK",0)</f>
        <v>1</v>
      </c>
      <c r="Q32">
        <f>_xlfn.XLOOKUP($A32,Master_Data!$C:$C,Master_Data!$G:$G,"CHECK",0)</f>
        <v>133032</v>
      </c>
      <c r="R32">
        <f>IFERROR(_xlfn.XLOOKUP($A32,Master_Data!$C:$C,Master_Data!$H:$H,"CHECK",0),"")</f>
        <v>65.404129793510322</v>
      </c>
      <c r="S32" t="str">
        <f>_xlfn.XLOOKUP($A32,Master_Data!$C:$C,Master_Data!$I:$I,"CHECK",0)</f>
        <v>Abu Nashar Maqbool Ahmad</v>
      </c>
      <c r="T32">
        <f>_xlfn.XLOOKUP($A32,Master_Data!$C:$C,Master_Data!$K:$K,"CHECK",0)</f>
        <v>70368</v>
      </c>
      <c r="U32">
        <f>IFERROR(_xlfn.XLOOKUP($A32,Master_Data!$C:$C,Master_Data!$L:$L,"CHECK",0),"")</f>
        <v>34.595870206489678</v>
      </c>
      <c r="V32">
        <f>_xlfn.XLOOKUP($A32,Master_Data!$C:$C,Master_Data!$M:$M,"CHECK",0)</f>
        <v>62664</v>
      </c>
      <c r="W32">
        <f>IFERROR(_xlfn.XLOOKUP($A32,Master_Data!$C:$C,Master_Data!$N:$N,"CHECK",0),"")</f>
        <v>30.808259587020647</v>
      </c>
      <c r="X32" t="str">
        <f>IFERROR(_xlfn.XLOOKUP($A32,Master_Data!$C:$C,Master_Data!$O:$O,"CHECK",0),"No Result")</f>
        <v>Safe Seat</v>
      </c>
      <c r="Y32">
        <f>_xlfn.XLOOKUP($A32,Master_Data!$C:$C,Master_Data!$P:$P,"CHECK",0)</f>
        <v>0</v>
      </c>
      <c r="Z32">
        <f t="shared" si="1"/>
        <v>1</v>
      </c>
      <c r="AA32">
        <f>_xlfn.XLOOKUP(B32,Remittance_Data!A:A,Remittance_Data!B:B,"CHECK")</f>
        <v>153319</v>
      </c>
      <c r="AB32">
        <f>_xlfn.XLOOKUP(B32,Remittance_Data!A:A,Remittance_Data!C:C,"CHECK")</f>
        <v>122150</v>
      </c>
      <c r="AC32">
        <f>_xlfn.XLOOKUP(B32,Remittance_Data!A:A,Remittance_Data!D:D,"CHECK")</f>
        <v>31169</v>
      </c>
    </row>
    <row r="33" spans="1:29">
      <c r="A33" t="str">
        <v>Chandpur-2</v>
      </c>
      <c r="B33" t="str" cm="1">
        <f t="array" ref="B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Nawabganj","Chapainawabganj"),Final_Merged_Data!$B$2:$B$1000=$A33)))</f>
        <v>Chandpur</v>
      </c>
      <c r="C33" t="str" cm="1">
        <f t="array" ref="C33">_xlfn.TEXTJOIN(", ",TRUE,_xlfn._xlws.FILTER(Final_Merged_Data!$C$2:$C$1000,Final_Merged_Data!$B$2:$B$1000=$A33))</f>
        <v>Matlab Uttar, Matlab Dakkhin</v>
      </c>
      <c r="D33" cm="1">
        <f t="array" ref="D33">COUNTA(_xlfn._xlws.FILTER(Final_Merged_Data!$C$2:$C$1000,Final_Merged_Data!$B$2:$B$1000=$A33))</f>
        <v>2</v>
      </c>
      <c r="E33">
        <f>SUMIFS(Final_Merged_Data!$E:$E,Final_Merged_Data!$B:$B,$A33)</f>
        <v>590.70000000000005</v>
      </c>
      <c r="F33">
        <f>SUMIFS(Final_Merged_Data!$F:$F,Final_Merged_Data!$B:$B,$A33)</f>
        <v>522532</v>
      </c>
      <c r="G33">
        <f t="shared" si="0"/>
        <v>884.59793465380051</v>
      </c>
      <c r="H33" cm="1">
        <f t="array" ref="H33">SUMPRODUCT((Final_Merged_Data!$B$2:$B$1000=$A33)*Final_Merged_Data!$H$2:$H$1000*Final_Merged_Data!$F$2:$F$1000)/F33</f>
        <v>3.9760330085047424</v>
      </c>
      <c r="I33" cm="1">
        <f t="array" ref="I33">SUMPRODUCT((Final_Merged_Data!$B$2:$B$1000=$A33)*Final_Merged_Data!$I$2:$I$1000*Final_Merged_Data!$F$2:$F$1000)/F33</f>
        <v>76.471034003659099</v>
      </c>
      <c r="J33" t="str" cm="1">
        <f t="array" ref="J33">_xlfn.TEXTJOIN(", ",TRUE,_xlfn.UNIQUE(_xlfn._xlws.FILTER(Final_Merged_Data!$J$2:$J$1000,Final_Merged_Data!$B$2:$B$1000=$A33)))</f>
        <v>Chittagong Range</v>
      </c>
      <c r="K33" cm="1">
        <f t="array" ref="K33">SUMPRODUCT((Final_Merged_Data!$B$2:$B$1000=$A33)*Final_Merged_Data!$K$2:$K$1000*Final_Merged_Data!$F$2:$F$1000)/F33</f>
        <v>84.879645400600893</v>
      </c>
      <c r="L33" cm="1">
        <f t="array" ref="L33">SUMPRODUCT((Final_Merged_Data!$B$2:$B$1000=$A33)*Final_Merged_Data!$L$2:$L$1000*Final_Merged_Data!$F$2:$F$1000)/F33</f>
        <v>10.309673910686195</v>
      </c>
      <c r="M33" t="str">
        <f>IF(COUNTIF(Master_Data!$C:$C,$A33)&gt;0,"Found","Missing")</f>
        <v>Found</v>
      </c>
      <c r="N33" t="str">
        <f>_xlfn.XLOOKUP($A33,Master_Data!$C:$C,Master_Data!$D:$D,"CHECK",0)</f>
        <v>Md. Jalal Uddin</v>
      </c>
      <c r="O33" t="str">
        <f>_xlfn.XLOOKUP($A33,Master_Data!$C:$C,Master_Data!$E:$E,"CHECK",0)</f>
        <v>BNP</v>
      </c>
      <c r="P33">
        <f>_xlfn.XLOOKUP($A33,Master_Data!$C:$C,Master_Data!$F:$F,"CHECK",0)</f>
        <v>1</v>
      </c>
      <c r="Q33">
        <f>_xlfn.XLOOKUP($A33,Master_Data!$C:$C,Master_Data!$G:$G,"CHECK",0)</f>
        <v>172506</v>
      </c>
      <c r="R33">
        <f>IFERROR(_xlfn.XLOOKUP($A33,Master_Data!$C:$C,Master_Data!$H:$H,"CHECK",0),"")</f>
        <v>75.009457385239514</v>
      </c>
      <c r="S33" t="str">
        <f>_xlfn.XLOOKUP($A33,Master_Data!$C:$C,Master_Data!$I:$I,"CHECK",0)</f>
        <v>Md. Bilal Hossain</v>
      </c>
      <c r="T33">
        <f>_xlfn.XLOOKUP($A33,Master_Data!$C:$C,Master_Data!$K:$K,"CHECK",0)</f>
        <v>57473</v>
      </c>
      <c r="U33">
        <f>IFERROR(_xlfn.XLOOKUP($A33,Master_Data!$C:$C,Master_Data!$L:$L,"CHECK",0),"")</f>
        <v>24.990542614760479</v>
      </c>
      <c r="V33">
        <f>_xlfn.XLOOKUP($A33,Master_Data!$C:$C,Master_Data!$M:$M,"CHECK",0)</f>
        <v>115033</v>
      </c>
      <c r="W33">
        <f>IFERROR(_xlfn.XLOOKUP($A33,Master_Data!$C:$C,Master_Data!$N:$N,"CHECK",0),"")</f>
        <v>50.018914770479043</v>
      </c>
      <c r="X33" t="str">
        <f>IFERROR(_xlfn.XLOOKUP($A33,Master_Data!$C:$C,Master_Data!$O:$O,"CHECK",0),"No Result")</f>
        <v>Safe Seat</v>
      </c>
      <c r="Y33">
        <f>_xlfn.XLOOKUP($A33,Master_Data!$C:$C,Master_Data!$P:$P,"CHECK",0)</f>
        <v>0</v>
      </c>
      <c r="Z33">
        <f t="shared" si="1"/>
        <v>1</v>
      </c>
      <c r="AA33">
        <f>_xlfn.XLOOKUP(B33,Remittance_Data!A:A,Remittance_Data!B:B,"CHECK")</f>
        <v>153319</v>
      </c>
      <c r="AB33">
        <f>_xlfn.XLOOKUP(B33,Remittance_Data!A:A,Remittance_Data!C:C,"CHECK")</f>
        <v>122150</v>
      </c>
      <c r="AC33">
        <f>_xlfn.XLOOKUP(B33,Remittance_Data!A:A,Remittance_Data!D:D,"CHECK")</f>
        <v>31169</v>
      </c>
    </row>
    <row r="34" spans="1:29">
      <c r="A34" t="str">
        <v>Chandpur-3</v>
      </c>
      <c r="B34" t="str" cm="1">
        <f t="array" ref="B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Nawabganj","Chapainawabganj"),Final_Merged_Data!$B$2:$B$1000=$A34)))</f>
        <v>Chandpur</v>
      </c>
      <c r="C34" t="str" cm="1">
        <f t="array" ref="C34">_xlfn.TEXTJOIN(", ",TRUE,_xlfn._xlws.FILTER(Final_Merged_Data!$C$2:$C$1000,Final_Merged_Data!$B$2:$B$1000=$A34))</f>
        <v>Chandpur Sadar</v>
      </c>
      <c r="D34" cm="1">
        <f t="array" ref="D34">COUNTA(_xlfn._xlws.FILTER(Final_Merged_Data!$C$2:$C$1000,Final_Merged_Data!$B$2:$B$1000=$A34))</f>
        <v>1</v>
      </c>
      <c r="E34">
        <f>SUMIFS(Final_Merged_Data!$E:$E,Final_Merged_Data!$B:$B,$A34)</f>
        <v>308.77</v>
      </c>
      <c r="F34">
        <f>SUMIFS(Final_Merged_Data!$F:$F,Final_Merged_Data!$B:$B,$A34)</f>
        <v>534577</v>
      </c>
      <c r="G34">
        <f t="shared" si="0"/>
        <v>1731.3113320594618</v>
      </c>
      <c r="H34" cm="1">
        <f t="array" ref="H34">SUMPRODUCT((Final_Merged_Data!$B$2:$B$1000=$A34)*Final_Merged_Data!$H$2:$H$1000*Final_Merged_Data!$F$2:$F$1000)/F34</f>
        <v>4.0999999999999996</v>
      </c>
      <c r="I34" cm="1">
        <f t="array" ref="I34">SUMPRODUCT((Final_Merged_Data!$B$2:$B$1000=$A34)*Final_Merged_Data!$I$2:$I$1000*Final_Merged_Data!$F$2:$F$1000)/F34</f>
        <v>79.03</v>
      </c>
      <c r="J34" t="str" cm="1">
        <f t="array" ref="J34">_xlfn.TEXTJOIN(", ",TRUE,_xlfn.UNIQUE(_xlfn._xlws.FILTER(Final_Merged_Data!$J$2:$J$1000,Final_Merged_Data!$B$2:$B$1000=$A34)))</f>
        <v>Chittagong Range</v>
      </c>
      <c r="K34" cm="1">
        <f t="array" ref="K34">SUMPRODUCT((Final_Merged_Data!$B$2:$B$1000=$A34)*Final_Merged_Data!$K$2:$K$1000*Final_Merged_Data!$F$2:$F$1000)/F34</f>
        <v>84.879645400600893</v>
      </c>
      <c r="L34" cm="1">
        <f t="array" ref="L34">SUMPRODUCT((Final_Merged_Data!$B$2:$B$1000=$A34)*Final_Merged_Data!$L$2:$L$1000*Final_Merged_Data!$F$2:$F$1000)/F34</f>
        <v>10.309673910686193</v>
      </c>
      <c r="M34" t="str">
        <f>IF(COUNTIF(Master_Data!$C:$C,$A34)&gt;0,"Found","Missing")</f>
        <v>Found</v>
      </c>
      <c r="N34" t="str">
        <f>_xlfn.XLOOKUP($A34,Master_Data!$C:$C,Master_Data!$D:$D,"CHECK",0)</f>
        <v>Sheikh Farid Ahmed</v>
      </c>
      <c r="O34" t="str">
        <f>_xlfn.XLOOKUP($A34,Master_Data!$C:$C,Master_Data!$E:$E,"CHECK",0)</f>
        <v>BNP</v>
      </c>
      <c r="P34">
        <f>_xlfn.XLOOKUP($A34,Master_Data!$C:$C,Master_Data!$F:$F,"CHECK",0)</f>
        <v>1</v>
      </c>
      <c r="Q34">
        <f>_xlfn.XLOOKUP($A34,Master_Data!$C:$C,Master_Data!$G:$G,"CHECK",0)</f>
        <v>165404</v>
      </c>
      <c r="R34">
        <f>IFERROR(_xlfn.XLOOKUP($A34,Master_Data!$C:$C,Master_Data!$H:$H,"CHECK",0),"")</f>
        <v>62.119135160307806</v>
      </c>
      <c r="S34" t="str">
        <f>_xlfn.XLOOKUP($A34,Master_Data!$C:$C,Master_Data!$I:$I,"CHECK",0)</f>
        <v>Md. Shahjahan Mia</v>
      </c>
      <c r="T34">
        <f>_xlfn.XLOOKUP($A34,Master_Data!$C:$C,Master_Data!$K:$K,"CHECK",0)</f>
        <v>100865</v>
      </c>
      <c r="U34">
        <f>IFERROR(_xlfn.XLOOKUP($A34,Master_Data!$C:$C,Master_Data!$L:$L,"CHECK",0),"")</f>
        <v>37.880864839692194</v>
      </c>
      <c r="V34">
        <f>_xlfn.XLOOKUP($A34,Master_Data!$C:$C,Master_Data!$M:$M,"CHECK",0)</f>
        <v>64539</v>
      </c>
      <c r="W34">
        <f>IFERROR(_xlfn.XLOOKUP($A34,Master_Data!$C:$C,Master_Data!$N:$N,"CHECK",0),"")</f>
        <v>24.238270320615619</v>
      </c>
      <c r="X34" t="str">
        <f>IFERROR(_xlfn.XLOOKUP($A34,Master_Data!$C:$C,Master_Data!$O:$O,"CHECK",0),"No Result")</f>
        <v>Safe Seat</v>
      </c>
      <c r="Y34">
        <f>_xlfn.XLOOKUP($A34,Master_Data!$C:$C,Master_Data!$P:$P,"CHECK",0)</f>
        <v>0</v>
      </c>
      <c r="Z34">
        <f t="shared" si="1"/>
        <v>1</v>
      </c>
      <c r="AA34">
        <f>_xlfn.XLOOKUP(B34,Remittance_Data!A:A,Remittance_Data!B:B,"CHECK")</f>
        <v>153319</v>
      </c>
      <c r="AB34">
        <f>_xlfn.XLOOKUP(B34,Remittance_Data!A:A,Remittance_Data!C:C,"CHECK")</f>
        <v>122150</v>
      </c>
      <c r="AC34">
        <f>_xlfn.XLOOKUP(B34,Remittance_Data!A:A,Remittance_Data!D:D,"CHECK")</f>
        <v>31169</v>
      </c>
    </row>
    <row r="35" spans="1:29">
      <c r="A35" t="str">
        <v>Chandpur-4</v>
      </c>
      <c r="B35" t="str" cm="1">
        <f t="array" ref="B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Nawabganj","Chapainawabganj"),Final_Merged_Data!$B$2:$B$1000=$A35)))</f>
        <v>Chandpur</v>
      </c>
      <c r="C35" t="str" cm="1">
        <f t="array" ref="C35">_xlfn.TEXTJOIN(", ",TRUE,_xlfn._xlws.FILTER(Final_Merged_Data!$C$2:$C$1000,Final_Merged_Data!$B$2:$B$1000=$A35))</f>
        <v>Faridganj</v>
      </c>
      <c r="D35" cm="1">
        <f t="array" ref="D35">COUNTA(_xlfn._xlws.FILTER(Final_Merged_Data!$C$2:$C$1000,Final_Merged_Data!$B$2:$B$1000=$A35))</f>
        <v>1</v>
      </c>
      <c r="E35">
        <f>SUMIFS(Final_Merged_Data!$E:$E,Final_Merged_Data!$B:$B,$A35)</f>
        <v>427.79</v>
      </c>
      <c r="F35">
        <f>SUMIFS(Final_Merged_Data!$F:$F,Final_Merged_Data!$B:$B,$A35)</f>
        <v>433244</v>
      </c>
      <c r="G35">
        <f t="shared" si="0"/>
        <v>1012.7492461254353</v>
      </c>
      <c r="H35" cm="1">
        <f t="array" ref="H35">SUMPRODUCT((Final_Merged_Data!$B$2:$B$1000=$A35)*Final_Merged_Data!$H$2:$H$1000*Final_Merged_Data!$F$2:$F$1000)/F35</f>
        <v>4</v>
      </c>
      <c r="I35" cm="1">
        <f t="array" ref="I35">SUMPRODUCT((Final_Merged_Data!$B$2:$B$1000=$A35)*Final_Merged_Data!$I$2:$I$1000*Final_Merged_Data!$F$2:$F$1000)/F35</f>
        <v>79.890000000000015</v>
      </c>
      <c r="J35" t="str" cm="1">
        <f t="array" ref="J35">_xlfn.TEXTJOIN(", ",TRUE,_xlfn.UNIQUE(_xlfn._xlws.FILTER(Final_Merged_Data!$J$2:$J$1000,Final_Merged_Data!$B$2:$B$1000=$A35)))</f>
        <v>Chittagong Range</v>
      </c>
      <c r="K35" cm="1">
        <f t="array" ref="K35">SUMPRODUCT((Final_Merged_Data!$B$2:$B$1000=$A35)*Final_Merged_Data!$K$2:$K$1000*Final_Merged_Data!$F$2:$F$1000)/F35</f>
        <v>84.879645400600907</v>
      </c>
      <c r="L35" cm="1">
        <f t="array" ref="L35">SUMPRODUCT((Final_Merged_Data!$B$2:$B$1000=$A35)*Final_Merged_Data!$L$2:$L$1000*Final_Merged_Data!$F$2:$F$1000)/F35</f>
        <v>10.309673910686193</v>
      </c>
      <c r="M35" t="str">
        <f>IF(COUNTIF(Master_Data!$C:$C,$A35)&gt;0,"Found","Missing")</f>
        <v>Found</v>
      </c>
      <c r="N35" t="str">
        <f>_xlfn.XLOOKUP($A35,Master_Data!$C:$C,Master_Data!$D:$D,"CHECK",0)</f>
        <v>Md. Abdul Hannan</v>
      </c>
      <c r="O35" t="str">
        <f>_xlfn.XLOOKUP($A35,Master_Data!$C:$C,Master_Data!$E:$E,"CHECK",0)</f>
        <v>IND</v>
      </c>
      <c r="P35">
        <f>_xlfn.XLOOKUP($A35,Master_Data!$C:$C,Master_Data!$F:$F,"CHECK",0)</f>
        <v>5</v>
      </c>
      <c r="Q35">
        <f>_xlfn.XLOOKUP($A35,Master_Data!$C:$C,Master_Data!$G:$G,"CHECK",0)</f>
        <v>74175</v>
      </c>
      <c r="R35">
        <f>IFERROR(_xlfn.XLOOKUP($A35,Master_Data!$C:$C,Master_Data!$H:$H,"CHECK",0),"")</f>
        <v>51.751203516360846</v>
      </c>
      <c r="S35" t="str">
        <f>_xlfn.XLOOKUP($A35,Master_Data!$C:$C,Master_Data!$I:$I,"CHECK",0)</f>
        <v>Md. Harunur Rashid</v>
      </c>
      <c r="T35">
        <f>_xlfn.XLOOKUP($A35,Master_Data!$C:$C,Master_Data!$K:$K,"CHECK",0)</f>
        <v>69155</v>
      </c>
      <c r="U35">
        <f>IFERROR(_xlfn.XLOOKUP($A35,Master_Data!$C:$C,Master_Data!$L:$L,"CHECK",0),"")</f>
        <v>48.248796483639154</v>
      </c>
      <c r="V35">
        <f>_xlfn.XLOOKUP($A35,Master_Data!$C:$C,Master_Data!$M:$M,"CHECK",0)</f>
        <v>5020</v>
      </c>
      <c r="W35">
        <f>IFERROR(_xlfn.XLOOKUP($A35,Master_Data!$C:$C,Master_Data!$N:$N,"CHECK",0),"")</f>
        <v>3.502407032721691</v>
      </c>
      <c r="X35" t="str">
        <f>IFERROR(_xlfn.XLOOKUP($A35,Master_Data!$C:$C,Master_Data!$O:$O,"CHECK",0),"No Result")</f>
        <v>Highly Competitive</v>
      </c>
      <c r="Y35">
        <f>_xlfn.XLOOKUP($A35,Master_Data!$C:$C,Master_Data!$P:$P,"CHECK",0)</f>
        <v>0</v>
      </c>
      <c r="Z35">
        <f t="shared" si="1"/>
        <v>1</v>
      </c>
      <c r="AA35">
        <f>_xlfn.XLOOKUP(B35,Remittance_Data!A:A,Remittance_Data!B:B,"CHECK")</f>
        <v>153319</v>
      </c>
      <c r="AB35">
        <f>_xlfn.XLOOKUP(B35,Remittance_Data!A:A,Remittance_Data!C:C,"CHECK")</f>
        <v>122150</v>
      </c>
      <c r="AC35">
        <f>_xlfn.XLOOKUP(B35,Remittance_Data!A:A,Remittance_Data!D:D,"CHECK")</f>
        <v>31169</v>
      </c>
    </row>
    <row r="36" spans="1:29">
      <c r="A36" t="str">
        <v>Chandpur-5</v>
      </c>
      <c r="B36" t="str" cm="1">
        <f t="array" ref="B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Nawabganj","Chapainawabganj"),Final_Merged_Data!$B$2:$B$1000=$A36)))</f>
        <v>Chandpur</v>
      </c>
      <c r="C36" t="str" cm="1">
        <f t="array" ref="C36">_xlfn.TEXTJOIN(", ",TRUE,_xlfn._xlws.FILTER(Final_Merged_Data!$C$2:$C$1000,Final_Merged_Data!$B$2:$B$1000=$A36))</f>
        <v>Hajiganj, Shahrasti</v>
      </c>
      <c r="D36" cm="1">
        <f t="array" ref="D36">COUNTA(_xlfn._xlws.FILTER(Final_Merged_Data!$C$2:$C$1000,Final_Merged_Data!$B$2:$B$1000=$A36))</f>
        <v>2</v>
      </c>
      <c r="E36">
        <f>SUMIFS(Final_Merged_Data!$E:$E,Final_Merged_Data!$B:$B,$A36)</f>
        <v>348</v>
      </c>
      <c r="F36">
        <f>SUMIFS(Final_Merged_Data!$F:$F,Final_Merged_Data!$B:$B,$A36)</f>
        <v>614999</v>
      </c>
      <c r="G36">
        <f t="shared" si="0"/>
        <v>1767.2385057471265</v>
      </c>
      <c r="H36" cm="1">
        <f t="array" ref="H36">SUMPRODUCT((Final_Merged_Data!$B$2:$B$1000=$A36)*Final_Merged_Data!$H$2:$H$1000*Final_Merged_Data!$F$2:$F$1000)/F36</f>
        <v>4.2531256473587753</v>
      </c>
      <c r="I36" cm="1">
        <f t="array" ref="I36">SUMPRODUCT((Final_Merged_Data!$B$2:$B$1000=$A36)*Final_Merged_Data!$I$2:$I$1000*Final_Merged_Data!$F$2:$F$1000)/F36</f>
        <v>81.234312007011383</v>
      </c>
      <c r="J36" t="str" cm="1">
        <f t="array" ref="J36">_xlfn.TEXTJOIN(", ",TRUE,_xlfn.UNIQUE(_xlfn._xlws.FILTER(Final_Merged_Data!$J$2:$J$1000,Final_Merged_Data!$B$2:$B$1000=$A36)))</f>
        <v>Chittagong Range</v>
      </c>
      <c r="K36" cm="1">
        <f t="array" ref="K36">SUMPRODUCT((Final_Merged_Data!$B$2:$B$1000=$A36)*Final_Merged_Data!$K$2:$K$1000*Final_Merged_Data!$F$2:$F$1000)/F36</f>
        <v>84.879645400600893</v>
      </c>
      <c r="L36" cm="1">
        <f t="array" ref="L36">SUMPRODUCT((Final_Merged_Data!$B$2:$B$1000=$A36)*Final_Merged_Data!$L$2:$L$1000*Final_Merged_Data!$F$2:$F$1000)/F36</f>
        <v>10.309673910686195</v>
      </c>
      <c r="M36" t="str">
        <f>IF(COUNTIF(Master_Data!$C:$C,$A36)&gt;0,"Found","Missing")</f>
        <v>Found</v>
      </c>
      <c r="N36" t="str">
        <f>_xlfn.XLOOKUP($A36,Master_Data!$C:$C,Master_Data!$D:$D,"CHECK",0)</f>
        <v>Md. Mominul Haque</v>
      </c>
      <c r="O36" t="str">
        <f>_xlfn.XLOOKUP($A36,Master_Data!$C:$C,Master_Data!$E:$E,"CHECK",0)</f>
        <v>BNP</v>
      </c>
      <c r="P36">
        <f>_xlfn.XLOOKUP($A36,Master_Data!$C:$C,Master_Data!$F:$F,"CHECK",0)</f>
        <v>1</v>
      </c>
      <c r="Q36">
        <f>_xlfn.XLOOKUP($A36,Master_Data!$C:$C,Master_Data!$G:$G,"CHECK",0)</f>
        <v>185404</v>
      </c>
      <c r="R36">
        <f>IFERROR(_xlfn.XLOOKUP($A36,Master_Data!$C:$C,Master_Data!$H:$H,"CHECK",0),"")</f>
        <v>71.018600802868264</v>
      </c>
      <c r="S36" t="str">
        <f>_xlfn.XLOOKUP($A36,Master_Data!$C:$C,Master_Data!$I:$I,"CHECK",0)</f>
        <v>Md. Neyamul Bashir</v>
      </c>
      <c r="T36">
        <f>_xlfn.XLOOKUP($A36,Master_Data!$C:$C,Master_Data!$K:$K,"CHECK",0)</f>
        <v>75660</v>
      </c>
      <c r="U36">
        <f>IFERROR(_xlfn.XLOOKUP($A36,Master_Data!$C:$C,Master_Data!$L:$L,"CHECK",0),"")</f>
        <v>28.981399197131736</v>
      </c>
      <c r="V36">
        <f>_xlfn.XLOOKUP($A36,Master_Data!$C:$C,Master_Data!$M:$M,"CHECK",0)</f>
        <v>109744</v>
      </c>
      <c r="W36">
        <f>IFERROR(_xlfn.XLOOKUP($A36,Master_Data!$C:$C,Master_Data!$N:$N,"CHECK",0),"")</f>
        <v>42.037201605736527</v>
      </c>
      <c r="X36" t="str">
        <f>IFERROR(_xlfn.XLOOKUP($A36,Master_Data!$C:$C,Master_Data!$O:$O,"CHECK",0),"No Result")</f>
        <v>Safe Seat</v>
      </c>
      <c r="Y36">
        <f>_xlfn.XLOOKUP($A36,Master_Data!$C:$C,Master_Data!$P:$P,"CHECK",0)</f>
        <v>0</v>
      </c>
      <c r="Z36">
        <f t="shared" si="1"/>
        <v>1</v>
      </c>
      <c r="AA36">
        <f>_xlfn.XLOOKUP(B36,Remittance_Data!A:A,Remittance_Data!B:B,"CHECK")</f>
        <v>153319</v>
      </c>
      <c r="AB36">
        <f>_xlfn.XLOOKUP(B36,Remittance_Data!A:A,Remittance_Data!C:C,"CHECK")</f>
        <v>122150</v>
      </c>
      <c r="AC36">
        <f>_xlfn.XLOOKUP(B36,Remittance_Data!A:A,Remittance_Data!D:D,"CHECK")</f>
        <v>31169</v>
      </c>
    </row>
    <row r="37" spans="1:29">
      <c r="A37" t="str">
        <v>Chapainawabganj-1</v>
      </c>
      <c r="B37" t="str" cm="1">
        <f t="array" ref="B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Nawabganj","Chapainawabganj"),Final_Merged_Data!$B$2:$B$1000=$A37)))</f>
        <v>Chapainawabganj</v>
      </c>
      <c r="C37" t="str" cm="1">
        <f t="array" ref="C37">_xlfn.TEXTJOIN(", ",TRUE,_xlfn._xlws.FILTER(Final_Merged_Data!$C$2:$C$1000,Final_Merged_Data!$B$2:$B$1000=$A37))</f>
        <v>Shibganj</v>
      </c>
      <c r="D37" cm="1">
        <f t="array" ref="D37">COUNTA(_xlfn._xlws.FILTER(Final_Merged_Data!$C$2:$C$1000,Final_Merged_Data!$B$2:$B$1000=$A37))</f>
        <v>1</v>
      </c>
      <c r="E37">
        <f>SUMIFS(Final_Merged_Data!$E:$E,Final_Merged_Data!$B:$B,$A37)</f>
        <v>516.70000000000005</v>
      </c>
      <c r="F37">
        <f>SUMIFS(Final_Merged_Data!$F:$F,Final_Merged_Data!$B:$B,$A37)</f>
        <v>400407</v>
      </c>
      <c r="G37">
        <f t="shared" si="0"/>
        <v>774.93129475517696</v>
      </c>
      <c r="H37" cm="1">
        <f t="array" ref="H37">SUMPRODUCT((Final_Merged_Data!$B$2:$B$1000=$A37)*Final_Merged_Data!$H$2:$H$1000*Final_Merged_Data!$F$2:$F$1000)/F37</f>
        <v>3.46</v>
      </c>
      <c r="I37" cm="1">
        <f t="array" ref="I37">SUMPRODUCT((Final_Merged_Data!$B$2:$B$1000=$A37)*Final_Merged_Data!$I$2:$I$1000*Final_Merged_Data!$F$2:$F$1000)/F37</f>
        <v>67.760000000000005</v>
      </c>
      <c r="J37" t="str" cm="1">
        <f t="array" ref="J37">_xlfn.TEXTJOIN(", ",TRUE,_xlfn.UNIQUE(_xlfn._xlws.FILTER(Final_Merged_Data!$J$2:$J$1000,Final_Merged_Data!$B$2:$B$1000=$A37)))</f>
        <v>Rajshahi Range</v>
      </c>
      <c r="K37" cm="1">
        <f t="array" ref="K37">SUMPRODUCT((Final_Merged_Data!$B$2:$B$1000=$A37)*Final_Merged_Data!$K$2:$K$1000*Final_Merged_Data!$F$2:$F$1000)/F37</f>
        <v>112.81411131450233</v>
      </c>
      <c r="L37" cm="1">
        <f t="array" ref="L37">SUMPRODUCT((Final_Merged_Data!$B$2:$B$1000=$A37)*Final_Merged_Data!$L$2:$L$1000*Final_Merged_Data!$F$2:$F$1000)/F37</f>
        <v>14.272851259111951</v>
      </c>
      <c r="M37" t="str">
        <f>IF(COUNTIF(Master_Data!$C:$C,$A37)&gt;0,"Found","Missing")</f>
        <v>Found</v>
      </c>
      <c r="N37" t="str">
        <f>_xlfn.XLOOKUP($A37,Master_Data!$C:$C,Master_Data!$D:$D,"CHECK",0)</f>
        <v>Md. Keramat Ali</v>
      </c>
      <c r="O37" t="str">
        <f>_xlfn.XLOOKUP($A37,Master_Data!$C:$C,Master_Data!$E:$E,"CHECK",0)</f>
        <v>Jamaat</v>
      </c>
      <c r="P37">
        <f>_xlfn.XLOOKUP($A37,Master_Data!$C:$C,Master_Data!$F:$F,"CHECK",0)</f>
        <v>2</v>
      </c>
      <c r="Q37">
        <f>_xlfn.XLOOKUP($A37,Master_Data!$C:$C,Master_Data!$G:$G,"CHECK",0)</f>
        <v>206893</v>
      </c>
      <c r="R37">
        <f>IFERROR(_xlfn.XLOOKUP($A37,Master_Data!$C:$C,Master_Data!$H:$H,"CHECK",0),"")</f>
        <v>56.00663764726265</v>
      </c>
      <c r="S37" t="str">
        <f>_xlfn.XLOOKUP($A37,Master_Data!$C:$C,Master_Data!$I:$I,"CHECK",0)</f>
        <v>Md. Shahjahan Mia</v>
      </c>
      <c r="T37">
        <f>_xlfn.XLOOKUP($A37,Master_Data!$C:$C,Master_Data!$K:$K,"CHECK",0)</f>
        <v>162515</v>
      </c>
      <c r="U37">
        <f>IFERROR(_xlfn.XLOOKUP($A37,Master_Data!$C:$C,Master_Data!$L:$L,"CHECK",0),"")</f>
        <v>43.99336235273735</v>
      </c>
      <c r="V37">
        <f>_xlfn.XLOOKUP($A37,Master_Data!$C:$C,Master_Data!$M:$M,"CHECK",0)</f>
        <v>44378</v>
      </c>
      <c r="W37">
        <f>IFERROR(_xlfn.XLOOKUP($A37,Master_Data!$C:$C,Master_Data!$N:$N,"CHECK",0),"")</f>
        <v>12.013275294525293</v>
      </c>
      <c r="X37" t="str">
        <f>IFERROR(_xlfn.XLOOKUP($A37,Master_Data!$C:$C,Master_Data!$O:$O,"CHECK",0),"No Result")</f>
        <v>Safe Seat</v>
      </c>
      <c r="Y37">
        <f>_xlfn.XLOOKUP($A37,Master_Data!$C:$C,Master_Data!$P:$P,"CHECK",0)</f>
        <v>0</v>
      </c>
      <c r="Z37">
        <f t="shared" si="1"/>
        <v>1</v>
      </c>
      <c r="AA37">
        <f>_xlfn.XLOOKUP(B37,Remittance_Data!A:A,Remittance_Data!B:B,"CHECK")</f>
        <v>28493</v>
      </c>
      <c r="AB37">
        <f>_xlfn.XLOOKUP(B37,Remittance_Data!A:A,Remittance_Data!C:C,"CHECK")</f>
        <v>16072</v>
      </c>
      <c r="AC37">
        <f>_xlfn.XLOOKUP(B37,Remittance_Data!A:A,Remittance_Data!D:D,"CHECK")</f>
        <v>12421</v>
      </c>
    </row>
    <row r="38" spans="1:29">
      <c r="A38" t="str">
        <v>Chapainawabganj-2</v>
      </c>
      <c r="B38" t="str" cm="1">
        <f t="array" ref="B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Nawabganj","Chapainawabganj"),Final_Merged_Data!$B$2:$B$1000=$A38)))</f>
        <v>Chapainawabganj</v>
      </c>
      <c r="C38" t="str" cm="1">
        <f t="array" ref="C38">_xlfn.TEXTJOIN(", ",TRUE,_xlfn._xlws.FILTER(Final_Merged_Data!$C$2:$C$1000,Final_Merged_Data!$B$2:$B$1000=$A38))</f>
        <v>Nachole, Gomastapur, Bholahat</v>
      </c>
      <c r="D38" cm="1">
        <f t="array" ref="D38">COUNTA(_xlfn._xlws.FILTER(Final_Merged_Data!$C$2:$C$1000,Final_Merged_Data!$B$2:$B$1000=$A38))</f>
        <v>3</v>
      </c>
      <c r="E38">
        <f>SUMIFS(Final_Merged_Data!$E:$E,Final_Merged_Data!$B:$B,$A38)</f>
        <v>980.43999999999994</v>
      </c>
      <c r="F38">
        <f>SUMIFS(Final_Merged_Data!$F:$F,Final_Merged_Data!$B:$B,$A38)</f>
        <v>585160</v>
      </c>
      <c r="G38">
        <f t="shared" si="0"/>
        <v>596.83407449716458</v>
      </c>
      <c r="H38" cm="1">
        <f t="array" ref="H38">SUMPRODUCT((Final_Merged_Data!$B$2:$B$1000=$A38)*Final_Merged_Data!$H$2:$H$1000*Final_Merged_Data!$F$2:$F$1000)/F38</f>
        <v>3.9259906692186757</v>
      </c>
      <c r="I38" cm="1">
        <f t="array" ref="I38">SUMPRODUCT((Final_Merged_Data!$B$2:$B$1000=$A38)*Final_Merged_Data!$I$2:$I$1000*Final_Merged_Data!$F$2:$F$1000)/F38</f>
        <v>72.07763162212045</v>
      </c>
      <c r="J38" t="str" cm="1">
        <f t="array" ref="J38">_xlfn.TEXTJOIN(", ",TRUE,_xlfn.UNIQUE(_xlfn._xlws.FILTER(Final_Merged_Data!$J$2:$J$1000,Final_Merged_Data!$B$2:$B$1000=$A38)))</f>
        <v>Rajshahi Range</v>
      </c>
      <c r="K38" cm="1">
        <f t="array" ref="K38">SUMPRODUCT((Final_Merged_Data!$B$2:$B$1000=$A38)*Final_Merged_Data!$K$2:$K$1000*Final_Merged_Data!$F$2:$F$1000)/F38</f>
        <v>112.81411131450234</v>
      </c>
      <c r="L38" cm="1">
        <f t="array" ref="L38">SUMPRODUCT((Final_Merged_Data!$B$2:$B$1000=$A38)*Final_Merged_Data!$L$2:$L$1000*Final_Merged_Data!$F$2:$F$1000)/F38</f>
        <v>14.272851259111949</v>
      </c>
      <c r="M38" t="str">
        <f>IF(COUNTIF(Master_Data!$C:$C,$A38)&gt;0,"Found","Missing")</f>
        <v>Found</v>
      </c>
      <c r="N38" t="str">
        <f>_xlfn.XLOOKUP($A38,Master_Data!$C:$C,Master_Data!$D:$D,"CHECK",0)</f>
        <v>Md. Mizanur Rahman</v>
      </c>
      <c r="O38" t="str">
        <f>_xlfn.XLOOKUP($A38,Master_Data!$C:$C,Master_Data!$E:$E,"CHECK",0)</f>
        <v>Jamaat</v>
      </c>
      <c r="P38">
        <f>_xlfn.XLOOKUP($A38,Master_Data!$C:$C,Master_Data!$F:$F,"CHECK",0)</f>
        <v>2</v>
      </c>
      <c r="Q38">
        <f>_xlfn.XLOOKUP($A38,Master_Data!$C:$C,Master_Data!$G:$G,"CHECK",0)</f>
        <v>171227</v>
      </c>
      <c r="R38">
        <f>IFERROR(_xlfn.XLOOKUP($A38,Master_Data!$C:$C,Master_Data!$H:$H,"CHECK",0),"")</f>
        <v>52.46793280751104</v>
      </c>
      <c r="S38" t="str">
        <f>_xlfn.XLOOKUP($A38,Master_Data!$C:$C,Master_Data!$I:$I,"CHECK",0)</f>
        <v>Md. Aminul Islam</v>
      </c>
      <c r="T38">
        <f>_xlfn.XLOOKUP($A38,Master_Data!$C:$C,Master_Data!$K:$K,"CHECK",0)</f>
        <v>155119</v>
      </c>
      <c r="U38">
        <f>IFERROR(_xlfn.XLOOKUP($A38,Master_Data!$C:$C,Master_Data!$L:$L,"CHECK",0),"")</f>
        <v>47.532067192488952</v>
      </c>
      <c r="V38">
        <f>_xlfn.XLOOKUP($A38,Master_Data!$C:$C,Master_Data!$M:$M,"CHECK",0)</f>
        <v>16108</v>
      </c>
      <c r="W38">
        <f>IFERROR(_xlfn.XLOOKUP($A38,Master_Data!$C:$C,Master_Data!$N:$N,"CHECK",0),"")</f>
        <v>4.9358656150220934</v>
      </c>
      <c r="X38" t="str">
        <f>IFERROR(_xlfn.XLOOKUP($A38,Master_Data!$C:$C,Master_Data!$O:$O,"CHECK",0),"No Result")</f>
        <v>Highly Competitive</v>
      </c>
      <c r="Y38">
        <f>_xlfn.XLOOKUP($A38,Master_Data!$C:$C,Master_Data!$P:$P,"CHECK",0)</f>
        <v>0</v>
      </c>
      <c r="Z38">
        <f t="shared" si="1"/>
        <v>1</v>
      </c>
      <c r="AA38">
        <f>_xlfn.XLOOKUP(B38,Remittance_Data!A:A,Remittance_Data!B:B,"CHECK")</f>
        <v>28493</v>
      </c>
      <c r="AB38">
        <f>_xlfn.XLOOKUP(B38,Remittance_Data!A:A,Remittance_Data!C:C,"CHECK")</f>
        <v>16072</v>
      </c>
      <c r="AC38">
        <f>_xlfn.XLOOKUP(B38,Remittance_Data!A:A,Remittance_Data!D:D,"CHECK")</f>
        <v>12421</v>
      </c>
    </row>
    <row r="39" spans="1:29">
      <c r="A39" t="str">
        <v>Chapainawabganj-3</v>
      </c>
      <c r="B39" t="str" cm="1">
        <f t="array" ref="B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Nawabganj","Chapainawabganj"),Final_Merged_Data!$B$2:$B$1000=$A39)))</f>
        <v>Chapainawabganj</v>
      </c>
      <c r="C39" t="str" cm="1">
        <f t="array" ref="C39">_xlfn.TEXTJOIN(", ",TRUE,_xlfn._xlws.FILTER(Final_Merged_Data!$C$2:$C$1000,Final_Merged_Data!$B$2:$B$1000=$A39))</f>
        <v>Chapainawabganj Sadar</v>
      </c>
      <c r="D39" cm="1">
        <f t="array" ref="D39">COUNTA(_xlfn._xlws.FILTER(Final_Merged_Data!$C$2:$C$1000,Final_Merged_Data!$B$2:$B$1000=$A39))</f>
        <v>1</v>
      </c>
      <c r="E39">
        <f>SUMIFS(Final_Merged_Data!$E:$E,Final_Merged_Data!$B:$B,$A39)</f>
        <v>472.13</v>
      </c>
      <c r="F39">
        <f>SUMIFS(Final_Merged_Data!$F:$F,Final_Merged_Data!$B:$B,$A39)</f>
        <v>583423</v>
      </c>
      <c r="G39">
        <f t="shared" si="0"/>
        <v>1235.7253298879546</v>
      </c>
      <c r="H39" cm="1">
        <f t="array" ref="H39">SUMPRODUCT((Final_Merged_Data!$B$2:$B$1000=$A39)*Final_Merged_Data!$H$2:$H$1000*Final_Merged_Data!$F$2:$F$1000)/F39</f>
        <v>4.09</v>
      </c>
      <c r="I39" cm="1">
        <f t="array" ref="I39">SUMPRODUCT((Final_Merged_Data!$B$2:$B$1000=$A39)*Final_Merged_Data!$I$2:$I$1000*Final_Merged_Data!$F$2:$F$1000)/F39</f>
        <v>74.23</v>
      </c>
      <c r="J39" t="str" cm="1">
        <f t="array" ref="J39">_xlfn.TEXTJOIN(", ",TRUE,_xlfn.UNIQUE(_xlfn._xlws.FILTER(Final_Merged_Data!$J$2:$J$1000,Final_Merged_Data!$B$2:$B$1000=$A39)))</f>
        <v>Rajshahi Range</v>
      </c>
      <c r="K39" cm="1">
        <f t="array" ref="K39">SUMPRODUCT((Final_Merged_Data!$B$2:$B$1000=$A39)*Final_Merged_Data!$K$2:$K$1000*Final_Merged_Data!$F$2:$F$1000)/F39</f>
        <v>112.81411131450233</v>
      </c>
      <c r="L39" cm="1">
        <f t="array" ref="L39">SUMPRODUCT((Final_Merged_Data!$B$2:$B$1000=$A39)*Final_Merged_Data!$L$2:$L$1000*Final_Merged_Data!$F$2:$F$1000)/F39</f>
        <v>14.272851259111949</v>
      </c>
      <c r="M39" t="str">
        <f>IF(COUNTIF(Master_Data!$C:$C,$A39)&gt;0,"Found","Missing")</f>
        <v>Found</v>
      </c>
      <c r="N39" t="str">
        <f>_xlfn.XLOOKUP($A39,Master_Data!$C:$C,Master_Data!$D:$D,"CHECK",0)</f>
        <v>Md. Nurul Islam</v>
      </c>
      <c r="O39" t="str">
        <f>_xlfn.XLOOKUP($A39,Master_Data!$C:$C,Master_Data!$E:$E,"CHECK",0)</f>
        <v>Jamaat</v>
      </c>
      <c r="P39">
        <f>_xlfn.XLOOKUP($A39,Master_Data!$C:$C,Master_Data!$F:$F,"CHECK",0)</f>
        <v>2</v>
      </c>
      <c r="Q39">
        <f>_xlfn.XLOOKUP($A39,Master_Data!$C:$C,Master_Data!$G:$G,"CHECK",0)</f>
        <v>189640</v>
      </c>
      <c r="R39">
        <f>IFERROR(_xlfn.XLOOKUP($A39,Master_Data!$C:$C,Master_Data!$H:$H,"CHECK",0),"")</f>
        <v>59.884361668198196</v>
      </c>
      <c r="S39" t="str">
        <f>_xlfn.XLOOKUP($A39,Master_Data!$C:$C,Master_Data!$I:$I,"CHECK",0)</f>
        <v>Harunur Rashid</v>
      </c>
      <c r="T39">
        <f>_xlfn.XLOOKUP($A39,Master_Data!$C:$C,Master_Data!$K:$K,"CHECK",0)</f>
        <v>127037</v>
      </c>
      <c r="U39">
        <f>IFERROR(_xlfn.XLOOKUP($A39,Master_Data!$C:$C,Master_Data!$L:$L,"CHECK",0),"")</f>
        <v>40.115638331801804</v>
      </c>
      <c r="V39">
        <f>_xlfn.XLOOKUP($A39,Master_Data!$C:$C,Master_Data!$M:$M,"CHECK",0)</f>
        <v>62603</v>
      </c>
      <c r="W39">
        <f>IFERROR(_xlfn.XLOOKUP($A39,Master_Data!$C:$C,Master_Data!$N:$N,"CHECK",0),"")</f>
        <v>19.768723336396391</v>
      </c>
      <c r="X39" t="str">
        <f>IFERROR(_xlfn.XLOOKUP($A39,Master_Data!$C:$C,Master_Data!$O:$O,"CHECK",0),"No Result")</f>
        <v>Safe Seat</v>
      </c>
      <c r="Y39">
        <f>_xlfn.XLOOKUP($A39,Master_Data!$C:$C,Master_Data!$P:$P,"CHECK",0)</f>
        <v>0</v>
      </c>
      <c r="Z39">
        <f t="shared" si="1"/>
        <v>1</v>
      </c>
      <c r="AA39">
        <f>_xlfn.XLOOKUP(B39,Remittance_Data!A:A,Remittance_Data!B:B,"CHECK")</f>
        <v>28493</v>
      </c>
      <c r="AB39">
        <f>_xlfn.XLOOKUP(B39,Remittance_Data!A:A,Remittance_Data!C:C,"CHECK")</f>
        <v>16072</v>
      </c>
      <c r="AC39">
        <f>_xlfn.XLOOKUP(B39,Remittance_Data!A:A,Remittance_Data!D:D,"CHECK")</f>
        <v>12421</v>
      </c>
    </row>
    <row r="40" spans="1:29">
      <c r="A40" t="str">
        <v>Chittagong-1</v>
      </c>
      <c r="B40" t="str" cm="1">
        <f t="array" ref="B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Nawabganj","Chapainawabganj"),Final_Merged_Data!$B$2:$B$1000=$A40)))</f>
        <v>Chittagong</v>
      </c>
      <c r="C40" t="str" cm="1">
        <f t="array" ref="C40">_xlfn.TEXTJOIN(", ",TRUE,_xlfn._xlws.FILTER(Final_Merged_Data!$C$2:$C$1000,Final_Merged_Data!$B$2:$B$1000=$A40))</f>
        <v>Mirsharai</v>
      </c>
      <c r="D40" cm="1">
        <f t="array" ref="D40">COUNTA(_xlfn._xlws.FILTER(Final_Merged_Data!$C$2:$C$1000,Final_Merged_Data!$B$2:$B$1000=$A40))</f>
        <v>1</v>
      </c>
      <c r="E40">
        <f>SUMIFS(Final_Merged_Data!$E:$E,Final_Merged_Data!$B:$B,$A40)</f>
        <v>324.13</v>
      </c>
      <c r="F40">
        <f>SUMIFS(Final_Merged_Data!$F:$F,Final_Merged_Data!$B:$B,$A40)</f>
        <v>472777</v>
      </c>
      <c r="G40">
        <f t="shared" si="0"/>
        <v>1458.6030296485978</v>
      </c>
      <c r="H40" cm="1">
        <f t="array" ref="H40">SUMPRODUCT((Final_Merged_Data!$B$2:$B$1000=$A40)*Final_Merged_Data!$H$2:$H$1000*Final_Merged_Data!$F$2:$F$1000)/F40</f>
        <v>4.1900000000000004</v>
      </c>
      <c r="I40" cm="1">
        <f t="array" ref="I40">SUMPRODUCT((Final_Merged_Data!$B$2:$B$1000=$A40)*Final_Merged_Data!$I$2:$I$1000*Final_Merged_Data!$F$2:$F$1000)/F40</f>
        <v>79.61</v>
      </c>
      <c r="J40" t="str" cm="1">
        <f t="array" ref="J40">_xlfn.TEXTJOIN(", ",TRUE,_xlfn.UNIQUE(_xlfn._xlws.FILTER(Final_Merged_Data!$J$2:$J$1000,Final_Merged_Data!$B$2:$B$1000=$A40)))</f>
        <v>Chittagong Range</v>
      </c>
      <c r="K40" cm="1">
        <f t="array" ref="K40">SUMPRODUCT((Final_Merged_Data!$B$2:$B$1000=$A40)*Final_Merged_Data!$K$2:$K$1000*Final_Merged_Data!$F$2:$F$1000)/F40</f>
        <v>84.879645400600893</v>
      </c>
      <c r="L40" cm="1">
        <f t="array" ref="L40">SUMPRODUCT((Final_Merged_Data!$B$2:$B$1000=$A40)*Final_Merged_Data!$L$2:$L$1000*Final_Merged_Data!$F$2:$F$1000)/F40</f>
        <v>10.309673910686193</v>
      </c>
      <c r="M40" t="str">
        <f>IF(COUNTIF(Master_Data!$C:$C,$A40)&gt;0,"Found","Missing")</f>
        <v>Found</v>
      </c>
      <c r="N40" t="str">
        <f>_xlfn.XLOOKUP($A40,Master_Data!$C:$C,Master_Data!$D:$D,"CHECK",0)</f>
        <v>Nurul Amin</v>
      </c>
      <c r="O40" t="str">
        <f>_xlfn.XLOOKUP($A40,Master_Data!$C:$C,Master_Data!$E:$E,"CHECK",0)</f>
        <v>BNP</v>
      </c>
      <c r="P40">
        <f>_xlfn.XLOOKUP($A40,Master_Data!$C:$C,Master_Data!$F:$F,"CHECK",0)</f>
        <v>1</v>
      </c>
      <c r="Q40">
        <f>_xlfn.XLOOKUP($A40,Master_Data!$C:$C,Master_Data!$G:$G,"CHECK",0)</f>
        <v>128799</v>
      </c>
      <c r="R40">
        <f>IFERROR(_xlfn.XLOOKUP($A40,Master_Data!$C:$C,Master_Data!$H:$H,"CHECK",0),"")</f>
        <v>60.373493580579087</v>
      </c>
      <c r="S40" t="str">
        <f>_xlfn.XLOOKUP($A40,Master_Data!$C:$C,Master_Data!$I:$I,"CHECK",0)</f>
        <v>Mohammad Shaifur Rahman</v>
      </c>
      <c r="T40">
        <f>_xlfn.XLOOKUP($A40,Master_Data!$C:$C,Master_Data!$K:$K,"CHECK",0)</f>
        <v>84538</v>
      </c>
      <c r="U40">
        <f>IFERROR(_xlfn.XLOOKUP($A40,Master_Data!$C:$C,Master_Data!$L:$L,"CHECK",0),"")</f>
        <v>39.626506419420913</v>
      </c>
      <c r="V40">
        <f>_xlfn.XLOOKUP($A40,Master_Data!$C:$C,Master_Data!$M:$M,"CHECK",0)</f>
        <v>44261</v>
      </c>
      <c r="W40">
        <f>IFERROR(_xlfn.XLOOKUP($A40,Master_Data!$C:$C,Master_Data!$N:$N,"CHECK",0),"")</f>
        <v>20.746987161158167</v>
      </c>
      <c r="X40" t="str">
        <f>IFERROR(_xlfn.XLOOKUP($A40,Master_Data!$C:$C,Master_Data!$O:$O,"CHECK",0),"No Result")</f>
        <v>Safe Seat</v>
      </c>
      <c r="Y40">
        <f>_xlfn.XLOOKUP($A40,Master_Data!$C:$C,Master_Data!$P:$P,"CHECK",0)</f>
        <v>0</v>
      </c>
      <c r="Z40">
        <f t="shared" si="1"/>
        <v>1</v>
      </c>
      <c r="AA40">
        <f>_xlfn.XLOOKUP(B40,Remittance_Data!A:A,Remittance_Data!B:B,"CHECK")</f>
        <v>354531</v>
      </c>
      <c r="AB40">
        <f>_xlfn.XLOOKUP(B40,Remittance_Data!A:A,Remittance_Data!C:C,"CHECK")</f>
        <v>215856</v>
      </c>
      <c r="AC40">
        <f>_xlfn.XLOOKUP(B40,Remittance_Data!A:A,Remittance_Data!D:D,"CHECK")</f>
        <v>138675</v>
      </c>
    </row>
    <row r="41" spans="1:29">
      <c r="A41" t="str">
        <v>Chittagong-10</v>
      </c>
      <c r="B41" t="str" cm="1">
        <f t="array" ref="B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Nawabganj","Chapainawabganj"),Final_Merged_Data!$B$2:$B$1000=$A41)))</f>
        <v>Chittagong</v>
      </c>
      <c r="C41" t="str" cm="1">
        <f t="array" ref="C41">_xlfn.TEXTJOIN(", ",TRUE,_xlfn._xlws.FILTER(Final_Merged_Data!$C$2:$C$1000,Final_Merged_Data!$B$2:$B$1000=$A41))</f>
        <v>Double Mooring</v>
      </c>
      <c r="D41" cm="1">
        <f t="array" ref="D41">COUNTA(_xlfn._xlws.FILTER(Final_Merged_Data!$C$2:$C$1000,Final_Merged_Data!$B$2:$B$1000=$A41))</f>
        <v>1</v>
      </c>
      <c r="E41">
        <f>SUMIFS(Final_Merged_Data!$E:$E,Final_Merged_Data!$B:$B,$A41)</f>
        <v>11.99</v>
      </c>
      <c r="F41">
        <f>SUMIFS(Final_Merged_Data!$F:$F,Final_Merged_Data!$B:$B,$A41)</f>
        <v>249327</v>
      </c>
      <c r="G41">
        <f t="shared" si="0"/>
        <v>20794.578815679732</v>
      </c>
      <c r="H41" cm="1">
        <f t="array" ref="H41">SUMPRODUCT((Final_Merged_Data!$B$2:$B$1000=$A41)*Final_Merged_Data!$H$2:$H$1000*Final_Merged_Data!$F$2:$F$1000)/F41</f>
        <v>4.0199999999999996</v>
      </c>
      <c r="I41" cm="1">
        <f t="array" ref="I41">SUMPRODUCT((Final_Merged_Data!$B$2:$B$1000=$A41)*Final_Merged_Data!$I$2:$I$1000*Final_Merged_Data!$F$2:$F$1000)/F41</f>
        <v>84.57</v>
      </c>
      <c r="J41" t="str" cm="1">
        <f t="array" ref="J41">_xlfn.TEXTJOIN(", ",TRUE,_xlfn.UNIQUE(_xlfn._xlws.FILTER(Final_Merged_Data!$J$2:$J$1000,Final_Merged_Data!$B$2:$B$1000=$A41)))</f>
        <v>Chittagong Range</v>
      </c>
      <c r="K41" cm="1">
        <f t="array" ref="K41">SUMPRODUCT((Final_Merged_Data!$B$2:$B$1000=$A41)*Final_Merged_Data!$K$2:$K$1000*Final_Merged_Data!$F$2:$F$1000)/F41</f>
        <v>84.879645400600893</v>
      </c>
      <c r="L41" cm="1">
        <f t="array" ref="L41">SUMPRODUCT((Final_Merged_Data!$B$2:$B$1000=$A41)*Final_Merged_Data!$L$2:$L$1000*Final_Merged_Data!$F$2:$F$1000)/F41</f>
        <v>10.309673910686193</v>
      </c>
      <c r="M41" t="str">
        <f>IF(COUNTIF(Master_Data!$C:$C,$A41)&gt;0,"Found","Missing")</f>
        <v>Found</v>
      </c>
      <c r="N41" t="str">
        <f>_xlfn.XLOOKUP($A41,Master_Data!$C:$C,Master_Data!$D:$D,"CHECK",0)</f>
        <v>Sayeed Al Noman</v>
      </c>
      <c r="O41" t="str">
        <f>_xlfn.XLOOKUP($A41,Master_Data!$C:$C,Master_Data!$E:$E,"CHECK",0)</f>
        <v>BNP</v>
      </c>
      <c r="P41">
        <f>_xlfn.XLOOKUP($A41,Master_Data!$C:$C,Master_Data!$F:$F,"CHECK",0)</f>
        <v>1</v>
      </c>
      <c r="Q41">
        <f>_xlfn.XLOOKUP($A41,Master_Data!$C:$C,Master_Data!$G:$G,"CHECK",0)</f>
        <v>122978</v>
      </c>
      <c r="R41">
        <f>IFERROR(_xlfn.XLOOKUP($A41,Master_Data!$C:$C,Master_Data!$H:$H,"CHECK",0),"")</f>
        <v>61.520683151823185</v>
      </c>
      <c r="S41" t="str">
        <f>_xlfn.XLOOKUP($A41,Master_Data!$C:$C,Master_Data!$I:$I,"CHECK",0)</f>
        <v>Muhammad Shamsuzzaman Helaly</v>
      </c>
      <c r="T41">
        <f>_xlfn.XLOOKUP($A41,Master_Data!$C:$C,Master_Data!$K:$K,"CHECK",0)</f>
        <v>76919</v>
      </c>
      <c r="U41">
        <f>IFERROR(_xlfn.XLOOKUP($A41,Master_Data!$C:$C,Master_Data!$L:$L,"CHECK",0),"")</f>
        <v>38.479316848176808</v>
      </c>
      <c r="V41">
        <f>_xlfn.XLOOKUP($A41,Master_Data!$C:$C,Master_Data!$M:$M,"CHECK",0)</f>
        <v>46059</v>
      </c>
      <c r="W41">
        <f>IFERROR(_xlfn.XLOOKUP($A41,Master_Data!$C:$C,Master_Data!$N:$N,"CHECK",0),"")</f>
        <v>23.041366303646377</v>
      </c>
      <c r="X41" t="str">
        <f>IFERROR(_xlfn.XLOOKUP($A41,Master_Data!$C:$C,Master_Data!$O:$O,"CHECK",0),"No Result")</f>
        <v>Safe Seat</v>
      </c>
      <c r="Y41">
        <f>_xlfn.XLOOKUP($A41,Master_Data!$C:$C,Master_Data!$P:$P,"CHECK",0)</f>
        <v>1</v>
      </c>
      <c r="Z41">
        <f t="shared" si="1"/>
        <v>1</v>
      </c>
      <c r="AA41">
        <f>_xlfn.XLOOKUP(B41,Remittance_Data!A:A,Remittance_Data!B:B,"CHECK")</f>
        <v>354531</v>
      </c>
      <c r="AB41">
        <f>_xlfn.XLOOKUP(B41,Remittance_Data!A:A,Remittance_Data!C:C,"CHECK")</f>
        <v>215856</v>
      </c>
      <c r="AC41">
        <f>_xlfn.XLOOKUP(B41,Remittance_Data!A:A,Remittance_Data!D:D,"CHECK")</f>
        <v>138675</v>
      </c>
    </row>
    <row r="42" spans="1:29">
      <c r="A42" t="str">
        <v>Chittagong-11</v>
      </c>
      <c r="B42" t="str" cm="1">
        <f t="array" ref="B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Nawabganj","Chapainawabganj"),Final_Merged_Data!$B$2:$B$1000=$A42)))</f>
        <v>Chittagong</v>
      </c>
      <c r="C42" t="str" cm="1">
        <f t="array" ref="C42">_xlfn.TEXTJOIN(", ",TRUE,_xlfn._xlws.FILTER(Final_Merged_Data!$C$2:$C$1000,Final_Merged_Data!$B$2:$B$1000=$A42))</f>
        <v>Bandar</v>
      </c>
      <c r="D42" cm="1">
        <f t="array" ref="D42">COUNTA(_xlfn._xlws.FILTER(Final_Merged_Data!$C$2:$C$1000,Final_Merged_Data!$B$2:$B$1000=$A42))</f>
        <v>1</v>
      </c>
      <c r="E42">
        <f>SUMIFS(Final_Merged_Data!$E:$E,Final_Merged_Data!$B:$B,$A42)</f>
        <v>55.84</v>
      </c>
      <c r="F42">
        <f>SUMIFS(Final_Merged_Data!$F:$F,Final_Merged_Data!$B:$B,$A42)</f>
        <v>204768</v>
      </c>
      <c r="G42">
        <f t="shared" si="0"/>
        <v>3667.048710601719</v>
      </c>
      <c r="H42" cm="1">
        <f t="array" ref="H42">SUMPRODUCT((Final_Merged_Data!$B$2:$B$1000=$A42)*Final_Merged_Data!$H$2:$H$1000*Final_Merged_Data!$F$2:$F$1000)/F42</f>
        <v>3.91</v>
      </c>
      <c r="I42" cm="1">
        <f t="array" ref="I42">SUMPRODUCT((Final_Merged_Data!$B$2:$B$1000=$A42)*Final_Merged_Data!$I$2:$I$1000*Final_Merged_Data!$F$2:$F$1000)/F42</f>
        <v>78.5</v>
      </c>
      <c r="J42" t="str" cm="1">
        <f t="array" ref="J42">_xlfn.TEXTJOIN(", ",TRUE,_xlfn.UNIQUE(_xlfn._xlws.FILTER(Final_Merged_Data!$J$2:$J$1000,Final_Merged_Data!$B$2:$B$1000=$A42)))</f>
        <v>Chittagong Range</v>
      </c>
      <c r="K42" cm="1">
        <f t="array" ref="K42">SUMPRODUCT((Final_Merged_Data!$B$2:$B$1000=$A42)*Final_Merged_Data!$K$2:$K$1000*Final_Merged_Data!$F$2:$F$1000)/F42</f>
        <v>84.879645400600893</v>
      </c>
      <c r="L42" cm="1">
        <f t="array" ref="L42">SUMPRODUCT((Final_Merged_Data!$B$2:$B$1000=$A42)*Final_Merged_Data!$L$2:$L$1000*Final_Merged_Data!$F$2:$F$1000)/F42</f>
        <v>10.309673910686193</v>
      </c>
      <c r="M42" t="str">
        <f>IF(COUNTIF(Master_Data!$C:$C,$A42)&gt;0,"Found","Missing")</f>
        <v>Found</v>
      </c>
      <c r="N42" t="str">
        <f>_xlfn.XLOOKUP($A42,Master_Data!$C:$C,Master_Data!$D:$D,"CHECK",0)</f>
        <v>Amir Khasru Mahmud Chowdhury</v>
      </c>
      <c r="O42" t="str">
        <f>_xlfn.XLOOKUP($A42,Master_Data!$C:$C,Master_Data!$E:$E,"CHECK",0)</f>
        <v>BNP</v>
      </c>
      <c r="P42">
        <f>_xlfn.XLOOKUP($A42,Master_Data!$C:$C,Master_Data!$F:$F,"CHECK",0)</f>
        <v>1</v>
      </c>
      <c r="Q42">
        <f>_xlfn.XLOOKUP($A42,Master_Data!$C:$C,Master_Data!$G:$G,"CHECK",0)</f>
        <v>115999</v>
      </c>
      <c r="R42">
        <f>IFERROR(_xlfn.XLOOKUP($A42,Master_Data!$C:$C,Master_Data!$H:$H,"CHECK",0),"")</f>
        <v>60.202927133070375</v>
      </c>
      <c r="S42" t="str">
        <f>_xlfn.XLOOKUP($A42,Master_Data!$C:$C,Master_Data!$I:$I,"CHECK",0)</f>
        <v>Mohammad Shafiul Alam</v>
      </c>
      <c r="T42">
        <f>_xlfn.XLOOKUP($A42,Master_Data!$C:$C,Master_Data!$K:$K,"CHECK",0)</f>
        <v>76681</v>
      </c>
      <c r="U42">
        <f>IFERROR(_xlfn.XLOOKUP($A42,Master_Data!$C:$C,Master_Data!$L:$L,"CHECK",0),"")</f>
        <v>39.797072866929625</v>
      </c>
      <c r="V42">
        <f>_xlfn.XLOOKUP($A42,Master_Data!$C:$C,Master_Data!$M:$M,"CHECK",0)</f>
        <v>39318</v>
      </c>
      <c r="W42">
        <f>IFERROR(_xlfn.XLOOKUP($A42,Master_Data!$C:$C,Master_Data!$N:$N,"CHECK",0),"")</f>
        <v>20.405854266140754</v>
      </c>
      <c r="X42" t="str">
        <f>IFERROR(_xlfn.XLOOKUP($A42,Master_Data!$C:$C,Master_Data!$O:$O,"CHECK",0),"No Result")</f>
        <v>Safe Seat</v>
      </c>
      <c r="Y42">
        <f>_xlfn.XLOOKUP($A42,Master_Data!$C:$C,Master_Data!$P:$P,"CHECK",0)</f>
        <v>1</v>
      </c>
      <c r="Z42">
        <f t="shared" si="1"/>
        <v>1</v>
      </c>
      <c r="AA42">
        <f>_xlfn.XLOOKUP(B42,Remittance_Data!A:A,Remittance_Data!B:B,"CHECK")</f>
        <v>354531</v>
      </c>
      <c r="AB42">
        <f>_xlfn.XLOOKUP(B42,Remittance_Data!A:A,Remittance_Data!C:C,"CHECK")</f>
        <v>215856</v>
      </c>
      <c r="AC42">
        <f>_xlfn.XLOOKUP(B42,Remittance_Data!A:A,Remittance_Data!D:D,"CHECK")</f>
        <v>138675</v>
      </c>
    </row>
    <row r="43" spans="1:29">
      <c r="A43" t="str">
        <v>Chittagong-12</v>
      </c>
      <c r="B43" t="str" cm="1">
        <f t="array" ref="B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Nawabganj","Chapainawabganj"),Final_Merged_Data!$B$2:$B$1000=$A43)))</f>
        <v>Chittagong</v>
      </c>
      <c r="C43" t="str" cm="1">
        <f t="array" ref="C43">_xlfn.TEXTJOIN(", ",TRUE,_xlfn._xlws.FILTER(Final_Merged_Data!$C$2:$C$1000,Final_Merged_Data!$B$2:$B$1000=$A43))</f>
        <v>Patiya</v>
      </c>
      <c r="D43" cm="1">
        <f t="array" ref="D43">COUNTA(_xlfn._xlws.FILTER(Final_Merged_Data!$C$2:$C$1000,Final_Merged_Data!$B$2:$B$1000=$A43))</f>
        <v>1</v>
      </c>
      <c r="E43">
        <f>SUMIFS(Final_Merged_Data!$E:$E,Final_Merged_Data!$B:$B,$A43)</f>
        <v>203.92</v>
      </c>
      <c r="F43">
        <f>SUMIFS(Final_Merged_Data!$F:$F,Final_Merged_Data!$B:$B,$A43)</f>
        <v>397672</v>
      </c>
      <c r="G43">
        <f t="shared" si="0"/>
        <v>1950.137308748529</v>
      </c>
      <c r="H43" cm="1">
        <f t="array" ref="H43">SUMPRODUCT((Final_Merged_Data!$B$2:$B$1000=$A43)*Final_Merged_Data!$H$2:$H$1000*Final_Merged_Data!$F$2:$F$1000)/F43</f>
        <v>4.4800000000000004</v>
      </c>
      <c r="I43" cm="1">
        <f t="array" ref="I43">SUMPRODUCT((Final_Merged_Data!$B$2:$B$1000=$A43)*Final_Merged_Data!$I$2:$I$1000*Final_Merged_Data!$F$2:$F$1000)/F43</f>
        <v>81.099999999999994</v>
      </c>
      <c r="J43" t="str" cm="1">
        <f t="array" ref="J43">_xlfn.TEXTJOIN(", ",TRUE,_xlfn.UNIQUE(_xlfn._xlws.FILTER(Final_Merged_Data!$J$2:$J$1000,Final_Merged_Data!$B$2:$B$1000=$A43)))</f>
        <v>Chittagong Range</v>
      </c>
      <c r="K43" cm="1">
        <f t="array" ref="K43">SUMPRODUCT((Final_Merged_Data!$B$2:$B$1000=$A43)*Final_Merged_Data!$K$2:$K$1000*Final_Merged_Data!$F$2:$F$1000)/F43</f>
        <v>84.879645400600907</v>
      </c>
      <c r="L43" cm="1">
        <f t="array" ref="L43">SUMPRODUCT((Final_Merged_Data!$B$2:$B$1000=$A43)*Final_Merged_Data!$L$2:$L$1000*Final_Merged_Data!$F$2:$F$1000)/F43</f>
        <v>10.309673910686193</v>
      </c>
      <c r="M43" t="str">
        <f>IF(COUNTIF(Master_Data!$C:$C,$A43)&gt;0,"Found","Missing")</f>
        <v>Found</v>
      </c>
      <c r="N43" t="str">
        <f>_xlfn.XLOOKUP($A43,Master_Data!$C:$C,Master_Data!$D:$D,"CHECK",0)</f>
        <v>Mohammad Enamul Haque</v>
      </c>
      <c r="O43" t="str">
        <f>_xlfn.XLOOKUP($A43,Master_Data!$C:$C,Master_Data!$E:$E,"CHECK",0)</f>
        <v>BNP</v>
      </c>
      <c r="P43">
        <f>_xlfn.XLOOKUP($A43,Master_Data!$C:$C,Master_Data!$F:$F,"CHECK",0)</f>
        <v>1</v>
      </c>
      <c r="Q43">
        <f>_xlfn.XLOOKUP($A43,Master_Data!$C:$C,Master_Data!$G:$G,"CHECK",0)</f>
        <v>135044</v>
      </c>
      <c r="R43">
        <f>IFERROR(_xlfn.XLOOKUP($A43,Master_Data!$C:$C,Master_Data!$H:$H,"CHECK",0),"")</f>
        <v>82.32231792883573</v>
      </c>
      <c r="S43" t="str">
        <f>_xlfn.XLOOKUP($A43,Master_Data!$C:$C,Master_Data!$I:$I,"CHECK",0)</f>
        <v>Syed Air Mohammad Payaru</v>
      </c>
      <c r="T43">
        <f>_xlfn.XLOOKUP($A43,Master_Data!$C:$C,Master_Data!$K:$K,"CHECK",0)</f>
        <v>28999</v>
      </c>
      <c r="U43">
        <f>IFERROR(_xlfn.XLOOKUP($A43,Master_Data!$C:$C,Master_Data!$L:$L,"CHECK",0),"")</f>
        <v>17.67768207116427</v>
      </c>
      <c r="V43">
        <f>_xlfn.XLOOKUP($A43,Master_Data!$C:$C,Master_Data!$M:$M,"CHECK",0)</f>
        <v>106045</v>
      </c>
      <c r="W43">
        <f>IFERROR(_xlfn.XLOOKUP($A43,Master_Data!$C:$C,Master_Data!$N:$N,"CHECK",0),"")</f>
        <v>64.64463585767146</v>
      </c>
      <c r="X43" t="str">
        <f>IFERROR(_xlfn.XLOOKUP($A43,Master_Data!$C:$C,Master_Data!$O:$O,"CHECK",0),"No Result")</f>
        <v>Safe Seat</v>
      </c>
      <c r="Y43">
        <f>_xlfn.XLOOKUP($A43,Master_Data!$C:$C,Master_Data!$P:$P,"CHECK",0)</f>
        <v>0</v>
      </c>
      <c r="Z43">
        <f t="shared" si="1"/>
        <v>1</v>
      </c>
      <c r="AA43">
        <f>_xlfn.XLOOKUP(B43,Remittance_Data!A:A,Remittance_Data!B:B,"CHECK")</f>
        <v>354531</v>
      </c>
      <c r="AB43">
        <f>_xlfn.XLOOKUP(B43,Remittance_Data!A:A,Remittance_Data!C:C,"CHECK")</f>
        <v>215856</v>
      </c>
      <c r="AC43">
        <f>_xlfn.XLOOKUP(B43,Remittance_Data!A:A,Remittance_Data!D:D,"CHECK")</f>
        <v>138675</v>
      </c>
    </row>
    <row r="44" spans="1:29">
      <c r="A44" t="str">
        <v>Chittagong-13</v>
      </c>
      <c r="B44" t="str" cm="1">
        <f t="array" ref="B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Nawabganj","Chapainawabganj"),Final_Merged_Data!$B$2:$B$1000=$A44)))</f>
        <v>Chittagong</v>
      </c>
      <c r="C44" t="str" cm="1">
        <f t="array" ref="C44">_xlfn.TEXTJOIN(", ",TRUE,_xlfn._xlws.FILTER(Final_Merged_Data!$C$2:$C$1000,Final_Merged_Data!$B$2:$B$1000=$A44))</f>
        <v>Anwara, Karnaphuli</v>
      </c>
      <c r="D44" cm="1">
        <f t="array" ref="D44">COUNTA(_xlfn._xlws.FILTER(Final_Merged_Data!$C$2:$C$1000,Final_Merged_Data!$B$2:$B$1000=$A44))</f>
        <v>2</v>
      </c>
      <c r="E44">
        <f>SUMIFS(Final_Merged_Data!$E:$E,Final_Merged_Data!$B:$B,$A44)</f>
        <v>264</v>
      </c>
      <c r="F44">
        <f>SUMIFS(Final_Merged_Data!$F:$F,Final_Merged_Data!$B:$B,$A44)</f>
        <v>523179</v>
      </c>
      <c r="G44">
        <f t="shared" si="0"/>
        <v>1981.7386363636363</v>
      </c>
      <c r="H44" cm="1">
        <f t="array" ref="H44">SUMPRODUCT((Final_Merged_Data!$B$2:$B$1000=$A44)*Final_Merged_Data!$H$2:$H$1000*Final_Merged_Data!$F$2:$F$1000)/F44</f>
        <v>4.5772541329067105</v>
      </c>
      <c r="I44" cm="1">
        <f t="array" ref="I44">SUMPRODUCT((Final_Merged_Data!$B$2:$B$1000=$A44)*Final_Merged_Data!$I$2:$I$1000*Final_Merged_Data!$F$2:$F$1000)/F44</f>
        <v>76.386680944762688</v>
      </c>
      <c r="J44" t="str" cm="1">
        <f t="array" ref="J44">_xlfn.TEXTJOIN(", ",TRUE,_xlfn.UNIQUE(_xlfn._xlws.FILTER(Final_Merged_Data!$J$2:$J$1000,Final_Merged_Data!$B$2:$B$1000=$A44)))</f>
        <v>Chittagong Range</v>
      </c>
      <c r="K44" cm="1">
        <f t="array" ref="K44">SUMPRODUCT((Final_Merged_Data!$B$2:$B$1000=$A44)*Final_Merged_Data!$K$2:$K$1000*Final_Merged_Data!$F$2:$F$1000)/F44</f>
        <v>84.879645400600907</v>
      </c>
      <c r="L44" cm="1">
        <f t="array" ref="L44">SUMPRODUCT((Final_Merged_Data!$B$2:$B$1000=$A44)*Final_Merged_Data!$L$2:$L$1000*Final_Merged_Data!$F$2:$F$1000)/F44</f>
        <v>10.309673910686191</v>
      </c>
      <c r="M44" t="str">
        <f>IF(COUNTIF(Master_Data!$C:$C,$A44)&gt;0,"Found","Missing")</f>
        <v>Found</v>
      </c>
      <c r="N44" t="str">
        <f>_xlfn.XLOOKUP($A44,Master_Data!$C:$C,Master_Data!$D:$D,"CHECK",0)</f>
        <v>Sarwar Jamal Nizam</v>
      </c>
      <c r="O44" t="str">
        <f>_xlfn.XLOOKUP($A44,Master_Data!$C:$C,Master_Data!$E:$E,"CHECK",0)</f>
        <v>BNP</v>
      </c>
      <c r="P44">
        <f>_xlfn.XLOOKUP($A44,Master_Data!$C:$C,Master_Data!$F:$F,"CHECK",0)</f>
        <v>1</v>
      </c>
      <c r="Q44">
        <f>_xlfn.XLOOKUP($A44,Master_Data!$C:$C,Master_Data!$G:$G,"CHECK",0)</f>
        <v>126192</v>
      </c>
      <c r="R44">
        <f>IFERROR(_xlfn.XLOOKUP($A44,Master_Data!$C:$C,Master_Data!$H:$H,"CHECK",0),"")</f>
        <v>71.037254703279629</v>
      </c>
      <c r="S44" t="str">
        <f>_xlfn.XLOOKUP($A44,Master_Data!$C:$C,Master_Data!$I:$I,"CHECK",0)</f>
        <v>S. M. Shah Jahan</v>
      </c>
      <c r="T44">
        <f>_xlfn.XLOOKUP($A44,Master_Data!$C:$C,Master_Data!$K:$K,"CHECK",0)</f>
        <v>51450</v>
      </c>
      <c r="U44">
        <f>IFERROR(_xlfn.XLOOKUP($A44,Master_Data!$C:$C,Master_Data!$L:$L,"CHECK",0),"")</f>
        <v>28.962745296720371</v>
      </c>
      <c r="V44">
        <f>_xlfn.XLOOKUP($A44,Master_Data!$C:$C,Master_Data!$M:$M,"CHECK",0)</f>
        <v>74742</v>
      </c>
      <c r="W44">
        <f>IFERROR(_xlfn.XLOOKUP($A44,Master_Data!$C:$C,Master_Data!$N:$N,"CHECK",0),"")</f>
        <v>42.074509406559258</v>
      </c>
      <c r="X44" t="str">
        <f>IFERROR(_xlfn.XLOOKUP($A44,Master_Data!$C:$C,Master_Data!$O:$O,"CHECK",0),"No Result")</f>
        <v>Safe Seat</v>
      </c>
      <c r="Y44">
        <f>_xlfn.XLOOKUP($A44,Master_Data!$C:$C,Master_Data!$P:$P,"CHECK",0)</f>
        <v>0</v>
      </c>
      <c r="Z44">
        <f t="shared" si="1"/>
        <v>1</v>
      </c>
      <c r="AA44">
        <f>_xlfn.XLOOKUP(B44,Remittance_Data!A:A,Remittance_Data!B:B,"CHECK")</f>
        <v>354531</v>
      </c>
      <c r="AB44">
        <f>_xlfn.XLOOKUP(B44,Remittance_Data!A:A,Remittance_Data!C:C,"CHECK")</f>
        <v>215856</v>
      </c>
      <c r="AC44">
        <f>_xlfn.XLOOKUP(B44,Remittance_Data!A:A,Remittance_Data!D:D,"CHECK")</f>
        <v>138675</v>
      </c>
    </row>
    <row r="45" spans="1:29">
      <c r="A45" t="str">
        <v>Chittagong-14</v>
      </c>
      <c r="B45" t="str" cm="1">
        <f t="array" ref="B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Nawabganj","Chapainawabganj"),Final_Merged_Data!$B$2:$B$1000=$A45)))</f>
        <v>Chittagong</v>
      </c>
      <c r="C45" t="str" cm="1">
        <f t="array" ref="C45">_xlfn.TEXTJOIN(", ",TRUE,_xlfn._xlws.FILTER(Final_Merged_Data!$C$2:$C$1000,Final_Merged_Data!$B$2:$B$1000=$A45))</f>
        <v>Chandanaish, Satkania</v>
      </c>
      <c r="D45" cm="1">
        <f t="array" ref="D45">COUNTA(_xlfn._xlws.FILTER(Final_Merged_Data!$C$2:$C$1000,Final_Merged_Data!$B$2:$B$1000=$A45))</f>
        <v>2</v>
      </c>
      <c r="E45">
        <f>SUMIFS(Final_Merged_Data!$E:$E,Final_Merged_Data!$B:$B,$A45)</f>
        <v>736.82999999999993</v>
      </c>
      <c r="F45">
        <f>SUMIFS(Final_Merged_Data!$F:$F,Final_Merged_Data!$B:$B,$A45)</f>
        <v>706289</v>
      </c>
      <c r="G45">
        <f t="shared" si="0"/>
        <v>958.55081904917017</v>
      </c>
      <c r="H45" cm="1">
        <f t="array" ref="H45">SUMPRODUCT((Final_Merged_Data!$B$2:$B$1000=$A45)*Final_Merged_Data!$H$2:$H$1000*Final_Merged_Data!$F$2:$F$1000)/F45</f>
        <v>4.4335713142920259</v>
      </c>
      <c r="I45" cm="1">
        <f t="array" ref="I45">SUMPRODUCT((Final_Merged_Data!$B$2:$B$1000=$A45)*Final_Merged_Data!$I$2:$I$1000*Final_Merged_Data!$F$2:$F$1000)/F45</f>
        <v>80.429298856417134</v>
      </c>
      <c r="J45" t="str" cm="1">
        <f t="array" ref="J45">_xlfn.TEXTJOIN(", ",TRUE,_xlfn.UNIQUE(_xlfn._xlws.FILTER(Final_Merged_Data!$J$2:$J$1000,Final_Merged_Data!$B$2:$B$1000=$A45)))</f>
        <v>Chittagong Range</v>
      </c>
      <c r="K45" cm="1">
        <f t="array" ref="K45">SUMPRODUCT((Final_Merged_Data!$B$2:$B$1000=$A45)*Final_Merged_Data!$K$2:$K$1000*Final_Merged_Data!$F$2:$F$1000)/F45</f>
        <v>84.879645400600893</v>
      </c>
      <c r="L45" cm="1">
        <f t="array" ref="L45">SUMPRODUCT((Final_Merged_Data!$B$2:$B$1000=$A45)*Final_Merged_Data!$L$2:$L$1000*Final_Merged_Data!$F$2:$F$1000)/F45</f>
        <v>10.309673910686193</v>
      </c>
      <c r="M45" t="str">
        <f>IF(COUNTIF(Master_Data!$C:$C,$A45)&gt;0,"Found","Missing")</f>
        <v>Found</v>
      </c>
      <c r="N45" t="str">
        <f>_xlfn.XLOOKUP($A45,Master_Data!$C:$C,Master_Data!$D:$D,"CHECK",0)</f>
        <v>Jashim Uddin Ahammed</v>
      </c>
      <c r="O45" t="str">
        <f>_xlfn.XLOOKUP($A45,Master_Data!$C:$C,Master_Data!$E:$E,"CHECK",0)</f>
        <v>BNP</v>
      </c>
      <c r="P45">
        <f>_xlfn.XLOOKUP($A45,Master_Data!$C:$C,Master_Data!$F:$F,"CHECK",0)</f>
        <v>1</v>
      </c>
      <c r="Q45">
        <f>_xlfn.XLOOKUP($A45,Master_Data!$C:$C,Master_Data!$G:$G,"CHECK",0)</f>
        <v>76493</v>
      </c>
      <c r="R45">
        <f>IFERROR(_xlfn.XLOOKUP($A45,Master_Data!$C:$C,Master_Data!$H:$H,"CHECK",0),"")</f>
        <v>50.337588839168198</v>
      </c>
      <c r="S45" t="str">
        <f>_xlfn.XLOOKUP($A45,Master_Data!$C:$C,Master_Data!$I:$I,"CHECK",0)</f>
        <v>Omar Farooq</v>
      </c>
      <c r="T45">
        <f>_xlfn.XLOOKUP($A45,Master_Data!$C:$C,Master_Data!$K:$K,"CHECK",0)</f>
        <v>75467</v>
      </c>
      <c r="U45">
        <f>IFERROR(_xlfn.XLOOKUP($A45,Master_Data!$C:$C,Master_Data!$L:$L,"CHECK",0),"")</f>
        <v>49.662411160831802</v>
      </c>
      <c r="V45">
        <f>_xlfn.XLOOKUP($A45,Master_Data!$C:$C,Master_Data!$M:$M,"CHECK",0)</f>
        <v>1026</v>
      </c>
      <c r="W45">
        <f>IFERROR(_xlfn.XLOOKUP($A45,Master_Data!$C:$C,Master_Data!$N:$N,"CHECK",0),"")</f>
        <v>0.6751776783364043</v>
      </c>
      <c r="X45" t="str">
        <f>IFERROR(_xlfn.XLOOKUP($A45,Master_Data!$C:$C,Master_Data!$O:$O,"CHECK",0),"No Result")</f>
        <v>Highly Competitive</v>
      </c>
      <c r="Y45">
        <f>_xlfn.XLOOKUP($A45,Master_Data!$C:$C,Master_Data!$P:$P,"CHECK",0)</f>
        <v>0</v>
      </c>
      <c r="Z45">
        <f t="shared" si="1"/>
        <v>1</v>
      </c>
      <c r="AA45">
        <f>_xlfn.XLOOKUP(B45,Remittance_Data!A:A,Remittance_Data!B:B,"CHECK")</f>
        <v>354531</v>
      </c>
      <c r="AB45">
        <f>_xlfn.XLOOKUP(B45,Remittance_Data!A:A,Remittance_Data!C:C,"CHECK")</f>
        <v>215856</v>
      </c>
      <c r="AC45">
        <f>_xlfn.XLOOKUP(B45,Remittance_Data!A:A,Remittance_Data!D:D,"CHECK")</f>
        <v>138675</v>
      </c>
    </row>
    <row r="46" spans="1:29">
      <c r="A46" t="str">
        <v>Chittagong-15</v>
      </c>
      <c r="B46" t="str" cm="1">
        <f t="array" ref="B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Nawabganj","Chapainawabganj"),Final_Merged_Data!$B$2:$B$1000=$A46)))</f>
        <v>Chittagong</v>
      </c>
      <c r="C46" t="str" cm="1">
        <f t="array" ref="C46">_xlfn.TEXTJOIN(", ",TRUE,_xlfn._xlws.FILTER(Final_Merged_Data!$C$2:$C$1000,Final_Merged_Data!$B$2:$B$1000=$A46))</f>
        <v>Lohagara</v>
      </c>
      <c r="D46" cm="1">
        <f t="array" ref="D46">COUNTA(_xlfn._xlws.FILTER(Final_Merged_Data!$C$2:$C$1000,Final_Merged_Data!$B$2:$B$1000=$A46))</f>
        <v>1</v>
      </c>
      <c r="E46">
        <f>SUMIFS(Final_Merged_Data!$E:$E,Final_Merged_Data!$B:$B,$A46)</f>
        <v>258.87</v>
      </c>
      <c r="F46">
        <f>SUMIFS(Final_Merged_Data!$F:$F,Final_Merged_Data!$B:$B,$A46)</f>
        <v>328206</v>
      </c>
      <c r="G46">
        <f t="shared" si="0"/>
        <v>1267.8410012747711</v>
      </c>
      <c r="H46" cm="1">
        <f t="array" ref="H46">SUMPRODUCT((Final_Merged_Data!$B$2:$B$1000=$A46)*Final_Merged_Data!$H$2:$H$1000*Final_Merged_Data!$F$2:$F$1000)/F46</f>
        <v>4.5</v>
      </c>
      <c r="I46" cm="1">
        <f t="array" ref="I46">SUMPRODUCT((Final_Merged_Data!$B$2:$B$1000=$A46)*Final_Merged_Data!$I$2:$I$1000*Final_Merged_Data!$F$2:$F$1000)/F46</f>
        <v>82.41</v>
      </c>
      <c r="J46" t="str" cm="1">
        <f t="array" ref="J46">_xlfn.TEXTJOIN(", ",TRUE,_xlfn.UNIQUE(_xlfn._xlws.FILTER(Final_Merged_Data!$J$2:$J$1000,Final_Merged_Data!$B$2:$B$1000=$A46)))</f>
        <v>Chittagong Range</v>
      </c>
      <c r="K46" cm="1">
        <f t="array" ref="K46">SUMPRODUCT((Final_Merged_Data!$B$2:$B$1000=$A46)*Final_Merged_Data!$K$2:$K$1000*Final_Merged_Data!$F$2:$F$1000)/F46</f>
        <v>84.879645400600893</v>
      </c>
      <c r="L46" cm="1">
        <f t="array" ref="L46">SUMPRODUCT((Final_Merged_Data!$B$2:$B$1000=$A46)*Final_Merged_Data!$L$2:$L$1000*Final_Merged_Data!$F$2:$F$1000)/F46</f>
        <v>10.309673910686193</v>
      </c>
      <c r="M46" t="str">
        <f>IF(COUNTIF(Master_Data!$C:$C,$A46)&gt;0,"Found","Missing")</f>
        <v>Found</v>
      </c>
      <c r="N46" t="str">
        <f>_xlfn.XLOOKUP($A46,Master_Data!$C:$C,Master_Data!$D:$D,"CHECK",0)</f>
        <v>Shajahan Chowdhury</v>
      </c>
      <c r="O46" t="str">
        <f>_xlfn.XLOOKUP($A46,Master_Data!$C:$C,Master_Data!$E:$E,"CHECK",0)</f>
        <v>Jamaat</v>
      </c>
      <c r="P46">
        <f>_xlfn.XLOOKUP($A46,Master_Data!$C:$C,Master_Data!$F:$F,"CHECK",0)</f>
        <v>2</v>
      </c>
      <c r="Q46">
        <f>_xlfn.XLOOKUP($A46,Master_Data!$C:$C,Master_Data!$G:$G,"CHECK",0)</f>
        <v>172061</v>
      </c>
      <c r="R46">
        <f>IFERROR(_xlfn.XLOOKUP($A46,Master_Data!$C:$C,Master_Data!$H:$H,"CHECK",0),"")</f>
        <v>57.528938164942524</v>
      </c>
      <c r="S46" t="str">
        <f>_xlfn.XLOOKUP($A46,Master_Data!$C:$C,Master_Data!$I:$I,"CHECK",0)</f>
        <v>Nazmul Mustafa Amin</v>
      </c>
      <c r="T46">
        <f>_xlfn.XLOOKUP($A46,Master_Data!$C:$C,Master_Data!$K:$K,"CHECK",0)</f>
        <v>127025</v>
      </c>
      <c r="U46">
        <f>IFERROR(_xlfn.XLOOKUP($A46,Master_Data!$C:$C,Master_Data!$L:$L,"CHECK",0),"")</f>
        <v>42.471061835057476</v>
      </c>
      <c r="V46">
        <f>_xlfn.XLOOKUP($A46,Master_Data!$C:$C,Master_Data!$M:$M,"CHECK",0)</f>
        <v>50577</v>
      </c>
      <c r="W46">
        <f>IFERROR(_xlfn.XLOOKUP($A46,Master_Data!$C:$C,Master_Data!$N:$N,"CHECK",0),"")</f>
        <v>15.057876329885051</v>
      </c>
      <c r="X46" t="str">
        <f>IFERROR(_xlfn.XLOOKUP($A46,Master_Data!$C:$C,Master_Data!$O:$O,"CHECK",0),"No Result")</f>
        <v>Safe Seat</v>
      </c>
      <c r="Y46">
        <f>_xlfn.XLOOKUP($A46,Master_Data!$C:$C,Master_Data!$P:$P,"CHECK",0)</f>
        <v>0</v>
      </c>
      <c r="Z46">
        <f t="shared" si="1"/>
        <v>1</v>
      </c>
      <c r="AA46">
        <f>_xlfn.XLOOKUP(B46,Remittance_Data!A:A,Remittance_Data!B:B,"CHECK")</f>
        <v>354531</v>
      </c>
      <c r="AB46">
        <f>_xlfn.XLOOKUP(B46,Remittance_Data!A:A,Remittance_Data!C:C,"CHECK")</f>
        <v>215856</v>
      </c>
      <c r="AC46">
        <f>_xlfn.XLOOKUP(B46,Remittance_Data!A:A,Remittance_Data!D:D,"CHECK")</f>
        <v>138675</v>
      </c>
    </row>
    <row r="47" spans="1:29">
      <c r="A47" t="str">
        <v>Chittagong-16</v>
      </c>
      <c r="B47" t="str" cm="1">
        <f t="array" ref="B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Nawabganj","Chapainawabganj"),Final_Merged_Data!$B$2:$B$1000=$A47)))</f>
        <v>Chittagong</v>
      </c>
      <c r="C47" t="str" cm="1">
        <f t="array" ref="C47">_xlfn.TEXTJOIN(", ",TRUE,_xlfn._xlws.FILTER(Final_Merged_Data!$C$2:$C$1000,Final_Merged_Data!$B$2:$B$1000=$A47))</f>
        <v>Banshkhali</v>
      </c>
      <c r="D47" cm="1">
        <f t="array" ref="D47">COUNTA(_xlfn._xlws.FILTER(Final_Merged_Data!$C$2:$C$1000,Final_Merged_Data!$B$2:$B$1000=$A47))</f>
        <v>1</v>
      </c>
      <c r="E47">
        <f>SUMIFS(Final_Merged_Data!$E:$E,Final_Merged_Data!$B:$B,$A47)</f>
        <v>390.5</v>
      </c>
      <c r="F47">
        <f>SUMIFS(Final_Merged_Data!$F:$F,Final_Merged_Data!$B:$B,$A47)</f>
        <v>537555</v>
      </c>
      <c r="G47">
        <f t="shared" si="0"/>
        <v>1376.5813060179257</v>
      </c>
      <c r="H47" cm="1">
        <f t="array" ref="H47">SUMPRODUCT((Final_Merged_Data!$B$2:$B$1000=$A47)*Final_Merged_Data!$H$2:$H$1000*Final_Merged_Data!$F$2:$F$1000)/F47</f>
        <v>4.75</v>
      </c>
      <c r="I47" cm="1">
        <f t="array" ref="I47">SUMPRODUCT((Final_Merged_Data!$B$2:$B$1000=$A47)*Final_Merged_Data!$I$2:$I$1000*Final_Merged_Data!$F$2:$F$1000)/F47</f>
        <v>71.319999999999993</v>
      </c>
      <c r="J47" t="str" cm="1">
        <f t="array" ref="J47">_xlfn.TEXTJOIN(", ",TRUE,_xlfn.UNIQUE(_xlfn._xlws.FILTER(Final_Merged_Data!$J$2:$J$1000,Final_Merged_Data!$B$2:$B$1000=$A47)))</f>
        <v>Chittagong Range</v>
      </c>
      <c r="K47" cm="1">
        <f t="array" ref="K47">SUMPRODUCT((Final_Merged_Data!$B$2:$B$1000=$A47)*Final_Merged_Data!$K$2:$K$1000*Final_Merged_Data!$F$2:$F$1000)/F47</f>
        <v>84.879645400600893</v>
      </c>
      <c r="L47" cm="1">
        <f t="array" ref="L47">SUMPRODUCT((Final_Merged_Data!$B$2:$B$1000=$A47)*Final_Merged_Data!$L$2:$L$1000*Final_Merged_Data!$F$2:$F$1000)/F47</f>
        <v>10.309673910686193</v>
      </c>
      <c r="M47" t="str">
        <f>IF(COUNTIF(Master_Data!$C:$C,$A47)&gt;0,"Found","Missing")</f>
        <v>Found</v>
      </c>
      <c r="N47" t="str">
        <f>_xlfn.XLOOKUP($A47,Master_Data!$C:$C,Master_Data!$D:$D,"CHECK",0)</f>
        <v>Mohammad Zahirul Islam</v>
      </c>
      <c r="O47" t="str">
        <f>_xlfn.XLOOKUP($A47,Master_Data!$C:$C,Master_Data!$E:$E,"CHECK",0)</f>
        <v>Jamaat</v>
      </c>
      <c r="P47">
        <f>_xlfn.XLOOKUP($A47,Master_Data!$C:$C,Master_Data!$F:$F,"CHECK",0)</f>
        <v>2</v>
      </c>
      <c r="Q47">
        <f>_xlfn.XLOOKUP($A47,Master_Data!$C:$C,Master_Data!$G:$G,"CHECK",0)</f>
        <v>93167</v>
      </c>
      <c r="R47">
        <f>IFERROR(_xlfn.XLOOKUP($A47,Master_Data!$C:$C,Master_Data!$H:$H,"CHECK",0),"")</f>
        <v>52.854111827176183</v>
      </c>
      <c r="S47" t="str">
        <f>_xlfn.XLOOKUP($A47,Master_Data!$C:$C,Master_Data!$I:$I,"CHECK",0)</f>
        <v>Miskatul Islam Chowdhury</v>
      </c>
      <c r="T47">
        <f>_xlfn.XLOOKUP($A47,Master_Data!$C:$C,Master_Data!$K:$K,"CHECK",0)</f>
        <v>83105</v>
      </c>
      <c r="U47">
        <f>IFERROR(_xlfn.XLOOKUP($A47,Master_Data!$C:$C,Master_Data!$L:$L,"CHECK",0),"")</f>
        <v>47.145888172823817</v>
      </c>
      <c r="V47">
        <f>_xlfn.XLOOKUP($A47,Master_Data!$C:$C,Master_Data!$M:$M,"CHECK",0)</f>
        <v>10062</v>
      </c>
      <c r="W47">
        <f>IFERROR(_xlfn.XLOOKUP($A47,Master_Data!$C:$C,Master_Data!$N:$N,"CHECK",0),"")</f>
        <v>5.7082236543523646</v>
      </c>
      <c r="X47" t="str">
        <f>IFERROR(_xlfn.XLOOKUP($A47,Master_Data!$C:$C,Master_Data!$O:$O,"CHECK",0),"No Result")</f>
        <v>Safe Seat</v>
      </c>
      <c r="Y47">
        <f>_xlfn.XLOOKUP($A47,Master_Data!$C:$C,Master_Data!$P:$P,"CHECK",0)</f>
        <v>0</v>
      </c>
      <c r="Z47">
        <f t="shared" si="1"/>
        <v>1</v>
      </c>
      <c r="AA47">
        <f>_xlfn.XLOOKUP(B47,Remittance_Data!A:A,Remittance_Data!B:B,"CHECK")</f>
        <v>354531</v>
      </c>
      <c r="AB47">
        <f>_xlfn.XLOOKUP(B47,Remittance_Data!A:A,Remittance_Data!C:C,"CHECK")</f>
        <v>215856</v>
      </c>
      <c r="AC47">
        <f>_xlfn.XLOOKUP(B47,Remittance_Data!A:A,Remittance_Data!D:D,"CHECK")</f>
        <v>138675</v>
      </c>
    </row>
    <row r="48" spans="1:29">
      <c r="A48" t="str">
        <v>Chittagong-2</v>
      </c>
      <c r="B48" t="str" cm="1">
        <f t="array" ref="B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Nawabganj","Chapainawabganj"),Final_Merged_Data!$B$2:$B$1000=$A48)))</f>
        <v>Chittagong</v>
      </c>
      <c r="C48" t="str" cm="1">
        <f t="array" ref="C48">_xlfn.TEXTJOIN(", ",TRUE,_xlfn._xlws.FILTER(Final_Merged_Data!$C$2:$C$1000,Final_Merged_Data!$B$2:$B$1000=$A48))</f>
        <v>Fatikchhari</v>
      </c>
      <c r="D48" cm="1">
        <f t="array" ref="D48">COUNTA(_xlfn._xlws.FILTER(Final_Merged_Data!$C$2:$C$1000,Final_Merged_Data!$B$2:$B$1000=$A48))</f>
        <v>1</v>
      </c>
      <c r="E48">
        <f>SUMIFS(Final_Merged_Data!$E:$E,Final_Merged_Data!$B:$B,$A48)</f>
        <v>773.55</v>
      </c>
      <c r="F48">
        <f>SUMIFS(Final_Merged_Data!$F:$F,Final_Merged_Data!$B:$B,$A48)</f>
        <v>642076</v>
      </c>
      <c r="G48">
        <f t="shared" si="0"/>
        <v>830.03813586710623</v>
      </c>
      <c r="H48" cm="1">
        <f t="array" ref="H48">SUMPRODUCT((Final_Merged_Data!$B$2:$B$1000=$A48)*Final_Merged_Data!$H$2:$H$1000*Final_Merged_Data!$F$2:$F$1000)/F48</f>
        <v>4.3899999999999997</v>
      </c>
      <c r="I48" cm="1">
        <f t="array" ref="I48">SUMPRODUCT((Final_Merged_Data!$B$2:$B$1000=$A48)*Final_Merged_Data!$I$2:$I$1000*Final_Merged_Data!$F$2:$F$1000)/F48</f>
        <v>76.11</v>
      </c>
      <c r="J48" t="str" cm="1">
        <f t="array" ref="J48">_xlfn.TEXTJOIN(", ",TRUE,_xlfn.UNIQUE(_xlfn._xlws.FILTER(Final_Merged_Data!$J$2:$J$1000,Final_Merged_Data!$B$2:$B$1000=$A48)))</f>
        <v>Chittagong Range</v>
      </c>
      <c r="K48" cm="1">
        <f t="array" ref="K48">SUMPRODUCT((Final_Merged_Data!$B$2:$B$1000=$A48)*Final_Merged_Data!$K$2:$K$1000*Final_Merged_Data!$F$2:$F$1000)/F48</f>
        <v>84.879645400600893</v>
      </c>
      <c r="L48" cm="1">
        <f t="array" ref="L48">SUMPRODUCT((Final_Merged_Data!$B$2:$B$1000=$A48)*Final_Merged_Data!$L$2:$L$1000*Final_Merged_Data!$F$2:$F$1000)/F48</f>
        <v>10.309673910686193</v>
      </c>
      <c r="M48" t="str">
        <f>IF(COUNTIF(Master_Data!$C:$C,$A48)&gt;0,"Found","Missing")</f>
        <v>Found</v>
      </c>
      <c r="N48" t="str">
        <f>_xlfn.XLOOKUP($A48,Master_Data!$C:$C,Master_Data!$D:$D,"CHECK",0)</f>
        <v>Result withhold by Bangladesh Supreme Court.[211]</v>
      </c>
      <c r="O48" t="str">
        <f>_xlfn.XLOOKUP($A48,Master_Data!$C:$C,Master_Data!$E:$E,"CHECK",0)</f>
        <v>Result withhold by Bangladesh Supreme Court.[211]</v>
      </c>
      <c r="P48">
        <f>_xlfn.XLOOKUP($A48,Master_Data!$C:$C,Master_Data!$F:$F,"CHECK",0)</f>
        <v>0</v>
      </c>
      <c r="Q48">
        <f>_xlfn.XLOOKUP($A48,Master_Data!$C:$C,Master_Data!$G:$G,"CHECK",0)</f>
        <v>0</v>
      </c>
      <c r="R48" t="str">
        <f>IFERROR(_xlfn.XLOOKUP($A48,Master_Data!$C:$C,Master_Data!$H:$H,"CHECK",0),"")</f>
        <v/>
      </c>
      <c r="S48" t="str">
        <f>_xlfn.XLOOKUP($A48,Master_Data!$C:$C,Master_Data!$I:$I,"CHECK",0)</f>
        <v>Result withhold by Bangladesh Supreme Court.[211]</v>
      </c>
      <c r="T48">
        <f>_xlfn.XLOOKUP($A48,Master_Data!$C:$C,Master_Data!$K:$K,"CHECK",0)</f>
        <v>0</v>
      </c>
      <c r="U48" t="str">
        <f>IFERROR(_xlfn.XLOOKUP($A48,Master_Data!$C:$C,Master_Data!$L:$L,"CHECK",0),"")</f>
        <v/>
      </c>
      <c r="V48">
        <f>_xlfn.XLOOKUP($A48,Master_Data!$C:$C,Master_Data!$M:$M,"CHECK",0)</f>
        <v>0</v>
      </c>
      <c r="W48" t="str">
        <f>IFERROR(_xlfn.XLOOKUP($A48,Master_Data!$C:$C,Master_Data!$N:$N,"CHECK",0),"")</f>
        <v/>
      </c>
      <c r="X48" t="str">
        <f>IFERROR(_xlfn.XLOOKUP($A48,Master_Data!$C:$C,Master_Data!$O:$O,"CHECK",0),"No Result")</f>
        <v>No Result</v>
      </c>
      <c r="Y48">
        <f>_xlfn.XLOOKUP($A48,Master_Data!$C:$C,Master_Data!$P:$P,"CHECK",0)</f>
        <v>0</v>
      </c>
      <c r="Z48">
        <f t="shared" si="1"/>
        <v>0</v>
      </c>
      <c r="AA48">
        <f>_xlfn.XLOOKUP(B48,Remittance_Data!A:A,Remittance_Data!B:B,"CHECK")</f>
        <v>354531</v>
      </c>
      <c r="AB48">
        <f>_xlfn.XLOOKUP(B48,Remittance_Data!A:A,Remittance_Data!C:C,"CHECK")</f>
        <v>215856</v>
      </c>
      <c r="AC48">
        <f>_xlfn.XLOOKUP(B48,Remittance_Data!A:A,Remittance_Data!D:D,"CHECK")</f>
        <v>138675</v>
      </c>
    </row>
    <row r="49" spans="1:29">
      <c r="A49" t="str">
        <v>Chittagong-3</v>
      </c>
      <c r="B49" t="str" cm="1">
        <f t="array" ref="B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Nawabganj","Chapainawabganj"),Final_Merged_Data!$B$2:$B$1000=$A49)))</f>
        <v>Chittagong</v>
      </c>
      <c r="C49" t="str" cm="1">
        <f t="array" ref="C49">_xlfn.TEXTJOIN(", ",TRUE,_xlfn._xlws.FILTER(Final_Merged_Data!$C$2:$C$1000,Final_Merged_Data!$B$2:$B$1000=$A49))</f>
        <v>Sandwip</v>
      </c>
      <c r="D49" cm="1">
        <f t="array" ref="D49">COUNTA(_xlfn._xlws.FILTER(Final_Merged_Data!$C$2:$C$1000,Final_Merged_Data!$B$2:$B$1000=$A49))</f>
        <v>1</v>
      </c>
      <c r="E49">
        <f>SUMIFS(Final_Merged_Data!$E:$E,Final_Merged_Data!$B:$B,$A49)</f>
        <v>762.42</v>
      </c>
      <c r="F49">
        <f>SUMIFS(Final_Merged_Data!$F:$F,Final_Merged_Data!$B:$B,$A49)</f>
        <v>327553</v>
      </c>
      <c r="G49">
        <f t="shared" si="0"/>
        <v>429.62278009496083</v>
      </c>
      <c r="H49" cm="1">
        <f t="array" ref="H49">SUMPRODUCT((Final_Merged_Data!$B$2:$B$1000=$A49)*Final_Merged_Data!$H$2:$H$1000*Final_Merged_Data!$F$2:$F$1000)/F49</f>
        <v>4.4000000000000004</v>
      </c>
      <c r="I49" cm="1">
        <f t="array" ref="I49">SUMPRODUCT((Final_Merged_Data!$B$2:$B$1000=$A49)*Final_Merged_Data!$I$2:$I$1000*Final_Merged_Data!$F$2:$F$1000)/F49</f>
        <v>74.14</v>
      </c>
      <c r="J49" t="str" cm="1">
        <f t="array" ref="J49">_xlfn.TEXTJOIN(", ",TRUE,_xlfn.UNIQUE(_xlfn._xlws.FILTER(Final_Merged_Data!$J$2:$J$1000,Final_Merged_Data!$B$2:$B$1000=$A49)))</f>
        <v>Chittagong Range</v>
      </c>
      <c r="K49" cm="1">
        <f t="array" ref="K49">SUMPRODUCT((Final_Merged_Data!$B$2:$B$1000=$A49)*Final_Merged_Data!$K$2:$K$1000*Final_Merged_Data!$F$2:$F$1000)/F49</f>
        <v>84.879645400600893</v>
      </c>
      <c r="L49" cm="1">
        <f t="array" ref="L49">SUMPRODUCT((Final_Merged_Data!$B$2:$B$1000=$A49)*Final_Merged_Data!$L$2:$L$1000*Final_Merged_Data!$F$2:$F$1000)/F49</f>
        <v>10.309673910686193</v>
      </c>
      <c r="M49" t="str">
        <f>IF(COUNTIF(Master_Data!$C:$C,$A49)&gt;0,"Found","Missing")</f>
        <v>Found</v>
      </c>
      <c r="N49" t="str">
        <f>_xlfn.XLOOKUP($A49,Master_Data!$C:$C,Master_Data!$D:$D,"CHECK",0)</f>
        <v>Mostafa Kamal Pasha</v>
      </c>
      <c r="O49" t="str">
        <f>_xlfn.XLOOKUP($A49,Master_Data!$C:$C,Master_Data!$E:$E,"CHECK",0)</f>
        <v>BNP</v>
      </c>
      <c r="P49">
        <f>_xlfn.XLOOKUP($A49,Master_Data!$C:$C,Master_Data!$F:$F,"CHECK",0)</f>
        <v>1</v>
      </c>
      <c r="Q49">
        <f>_xlfn.XLOOKUP($A49,Master_Data!$C:$C,Master_Data!$G:$G,"CHECK",0)</f>
        <v>73037</v>
      </c>
      <c r="R49">
        <f>IFERROR(_xlfn.XLOOKUP($A49,Master_Data!$C:$C,Master_Data!$H:$H,"CHECK",0),"")</f>
        <v>64.807141145884174</v>
      </c>
      <c r="S49" t="str">
        <f>_xlfn.XLOOKUP($A49,Master_Data!$C:$C,Master_Data!$I:$I,"CHECK",0)</f>
        <v>Mohammad Alauddin Sikder</v>
      </c>
      <c r="T49">
        <f>_xlfn.XLOOKUP($A49,Master_Data!$C:$C,Master_Data!$K:$K,"CHECK",0)</f>
        <v>39662</v>
      </c>
      <c r="U49">
        <f>IFERROR(_xlfn.XLOOKUP($A49,Master_Data!$C:$C,Master_Data!$L:$L,"CHECK",0),"")</f>
        <v>35.192858854115833</v>
      </c>
      <c r="V49">
        <f>_xlfn.XLOOKUP($A49,Master_Data!$C:$C,Master_Data!$M:$M,"CHECK",0)</f>
        <v>33375</v>
      </c>
      <c r="W49">
        <f>IFERROR(_xlfn.XLOOKUP($A49,Master_Data!$C:$C,Master_Data!$N:$N,"CHECK",0),"")</f>
        <v>29.61428229176834</v>
      </c>
      <c r="X49" t="str">
        <f>IFERROR(_xlfn.XLOOKUP($A49,Master_Data!$C:$C,Master_Data!$O:$O,"CHECK",0),"No Result")</f>
        <v>Safe Seat</v>
      </c>
      <c r="Y49">
        <f>_xlfn.XLOOKUP($A49,Master_Data!$C:$C,Master_Data!$P:$P,"CHECK",0)</f>
        <v>0</v>
      </c>
      <c r="Z49">
        <f t="shared" si="1"/>
        <v>1</v>
      </c>
      <c r="AA49">
        <f>_xlfn.XLOOKUP(B49,Remittance_Data!A:A,Remittance_Data!B:B,"CHECK")</f>
        <v>354531</v>
      </c>
      <c r="AB49">
        <f>_xlfn.XLOOKUP(B49,Remittance_Data!A:A,Remittance_Data!C:C,"CHECK")</f>
        <v>215856</v>
      </c>
      <c r="AC49">
        <f>_xlfn.XLOOKUP(B49,Remittance_Data!A:A,Remittance_Data!D:D,"CHECK")</f>
        <v>138675</v>
      </c>
    </row>
    <row r="50" spans="1:29">
      <c r="A50" t="str">
        <v>Chittagong-4</v>
      </c>
      <c r="B50" t="str" cm="1">
        <f t="array" ref="B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Nawabganj","Chapainawabganj"),Final_Merged_Data!$B$2:$B$1000=$A50)))</f>
        <v>Chittagong</v>
      </c>
      <c r="C50" t="str" cm="1">
        <f t="array" ref="C50">_xlfn.TEXTJOIN(", ",TRUE,_xlfn._xlws.FILTER(Final_Merged_Data!$C$2:$C$1000,Final_Merged_Data!$B$2:$B$1000=$A50))</f>
        <v>Sitakunda</v>
      </c>
      <c r="D50" cm="1">
        <f t="array" ref="D50">COUNTA(_xlfn._xlws.FILTER(Final_Merged_Data!$C$2:$C$1000,Final_Merged_Data!$B$2:$B$1000=$A50))</f>
        <v>1</v>
      </c>
      <c r="E50">
        <f>SUMIFS(Final_Merged_Data!$E:$E,Final_Merged_Data!$B:$B,$A50)</f>
        <v>336.59</v>
      </c>
      <c r="F50">
        <f>SUMIFS(Final_Merged_Data!$F:$F,Final_Merged_Data!$B:$B,$A50)</f>
        <v>457368</v>
      </c>
      <c r="G50">
        <f t="shared" si="0"/>
        <v>1358.8282480168752</v>
      </c>
      <c r="H50" cm="1">
        <f t="array" ref="H50">SUMPRODUCT((Final_Merged_Data!$B$2:$B$1000=$A50)*Final_Merged_Data!$H$2:$H$1000*Final_Merged_Data!$F$2:$F$1000)/F50</f>
        <v>4.3</v>
      </c>
      <c r="I50" cm="1">
        <f t="array" ref="I50">SUMPRODUCT((Final_Merged_Data!$B$2:$B$1000=$A50)*Final_Merged_Data!$I$2:$I$1000*Final_Merged_Data!$F$2:$F$1000)/F50</f>
        <v>78.33</v>
      </c>
      <c r="J50" t="str" cm="1">
        <f t="array" ref="J50">_xlfn.TEXTJOIN(", ",TRUE,_xlfn.UNIQUE(_xlfn._xlws.FILTER(Final_Merged_Data!$J$2:$J$1000,Final_Merged_Data!$B$2:$B$1000=$A50)))</f>
        <v>Chittagong Range</v>
      </c>
      <c r="K50" cm="1">
        <f t="array" ref="K50">SUMPRODUCT((Final_Merged_Data!$B$2:$B$1000=$A50)*Final_Merged_Data!$K$2:$K$1000*Final_Merged_Data!$F$2:$F$1000)/F50</f>
        <v>84.879645400600893</v>
      </c>
      <c r="L50" cm="1">
        <f t="array" ref="L50">SUMPRODUCT((Final_Merged_Data!$B$2:$B$1000=$A50)*Final_Merged_Data!$L$2:$L$1000*Final_Merged_Data!$F$2:$F$1000)/F50</f>
        <v>10.309673910686193</v>
      </c>
      <c r="M50" t="str">
        <f>IF(COUNTIF(Master_Data!$C:$C,$A50)&gt;0,"Found","Missing")</f>
        <v>Found</v>
      </c>
      <c r="N50" t="str">
        <f>_xlfn.XLOOKUP($A50,Master_Data!$C:$C,Master_Data!$D:$D,"CHECK",0)</f>
        <v>Result withhold by Bangladesh Supreme Court.[211]</v>
      </c>
      <c r="O50" t="str">
        <f>_xlfn.XLOOKUP($A50,Master_Data!$C:$C,Master_Data!$E:$E,"CHECK",0)</f>
        <v>Result withhold by Bangladesh Supreme Court.[211]</v>
      </c>
      <c r="P50">
        <f>_xlfn.XLOOKUP($A50,Master_Data!$C:$C,Master_Data!$F:$F,"CHECK",0)</f>
        <v>0</v>
      </c>
      <c r="Q50">
        <f>_xlfn.XLOOKUP($A50,Master_Data!$C:$C,Master_Data!$G:$G,"CHECK",0)</f>
        <v>0</v>
      </c>
      <c r="R50" t="str">
        <f>IFERROR(_xlfn.XLOOKUP($A50,Master_Data!$C:$C,Master_Data!$H:$H,"CHECK",0),"")</f>
        <v/>
      </c>
      <c r="S50" t="str">
        <f>_xlfn.XLOOKUP($A50,Master_Data!$C:$C,Master_Data!$I:$I,"CHECK",0)</f>
        <v>Result withhold by Bangladesh Supreme Court.[211]</v>
      </c>
      <c r="T50">
        <f>_xlfn.XLOOKUP($A50,Master_Data!$C:$C,Master_Data!$K:$K,"CHECK",0)</f>
        <v>0</v>
      </c>
      <c r="U50" t="str">
        <f>IFERROR(_xlfn.XLOOKUP($A50,Master_Data!$C:$C,Master_Data!$L:$L,"CHECK",0),"")</f>
        <v/>
      </c>
      <c r="V50">
        <f>_xlfn.XLOOKUP($A50,Master_Data!$C:$C,Master_Data!$M:$M,"CHECK",0)</f>
        <v>0</v>
      </c>
      <c r="W50" t="str">
        <f>IFERROR(_xlfn.XLOOKUP($A50,Master_Data!$C:$C,Master_Data!$N:$N,"CHECK",0),"")</f>
        <v/>
      </c>
      <c r="X50" t="str">
        <f>IFERROR(_xlfn.XLOOKUP($A50,Master_Data!$C:$C,Master_Data!$O:$O,"CHECK",0),"No Result")</f>
        <v>No Result</v>
      </c>
      <c r="Y50">
        <f>_xlfn.XLOOKUP($A50,Master_Data!$C:$C,Master_Data!$P:$P,"CHECK",0)</f>
        <v>0</v>
      </c>
      <c r="Z50">
        <f t="shared" si="1"/>
        <v>0</v>
      </c>
      <c r="AA50">
        <f>_xlfn.XLOOKUP(B50,Remittance_Data!A:A,Remittance_Data!B:B,"CHECK")</f>
        <v>354531</v>
      </c>
      <c r="AB50">
        <f>_xlfn.XLOOKUP(B50,Remittance_Data!A:A,Remittance_Data!C:C,"CHECK")</f>
        <v>215856</v>
      </c>
      <c r="AC50">
        <f>_xlfn.XLOOKUP(B50,Remittance_Data!A:A,Remittance_Data!D:D,"CHECK")</f>
        <v>138675</v>
      </c>
    </row>
    <row r="51" spans="1:29">
      <c r="A51" t="str">
        <v>Chittagong-5</v>
      </c>
      <c r="B51" t="str" cm="1">
        <f t="array" ref="B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Nawabganj","Chapainawabganj"),Final_Merged_Data!$B$2:$B$1000=$A51)))</f>
        <v>Chittagong</v>
      </c>
      <c r="C51" t="str" cm="1">
        <f t="array" ref="C51">_xlfn.TEXTJOIN(", ",TRUE,_xlfn._xlws.FILTER(Final_Merged_Data!$C$2:$C$1000,Final_Merged_Data!$B$2:$B$1000=$A51))</f>
        <v>Hathazari</v>
      </c>
      <c r="D51" cm="1">
        <f t="array" ref="D51">COUNTA(_xlfn._xlws.FILTER(Final_Merged_Data!$C$2:$C$1000,Final_Merged_Data!$B$2:$B$1000=$A51))</f>
        <v>1</v>
      </c>
      <c r="E51">
        <f>SUMIFS(Final_Merged_Data!$E:$E,Final_Merged_Data!$B:$B,$A51)</f>
        <v>293.5</v>
      </c>
      <c r="F51">
        <f>SUMIFS(Final_Merged_Data!$F:$F,Final_Merged_Data!$B:$B,$A51)</f>
        <v>498179</v>
      </c>
      <c r="G51">
        <f t="shared" si="0"/>
        <v>1697.373083475298</v>
      </c>
      <c r="H51" cm="1">
        <f t="array" ref="H51">SUMPRODUCT((Final_Merged_Data!$B$2:$B$1000=$A51)*Final_Merged_Data!$H$2:$H$1000*Final_Merged_Data!$F$2:$F$1000)/F51</f>
        <v>4.37</v>
      </c>
      <c r="I51" cm="1">
        <f t="array" ref="I51">SUMPRODUCT((Final_Merged_Data!$B$2:$B$1000=$A51)*Final_Merged_Data!$I$2:$I$1000*Final_Merged_Data!$F$2:$F$1000)/F51</f>
        <v>86.28</v>
      </c>
      <c r="J51" t="str" cm="1">
        <f t="array" ref="J51">_xlfn.TEXTJOIN(", ",TRUE,_xlfn.UNIQUE(_xlfn._xlws.FILTER(Final_Merged_Data!$J$2:$J$1000,Final_Merged_Data!$B$2:$B$1000=$A51)))</f>
        <v>Chittagong Range</v>
      </c>
      <c r="K51" cm="1">
        <f t="array" ref="K51">SUMPRODUCT((Final_Merged_Data!$B$2:$B$1000=$A51)*Final_Merged_Data!$K$2:$K$1000*Final_Merged_Data!$F$2:$F$1000)/F51</f>
        <v>84.879645400600893</v>
      </c>
      <c r="L51" cm="1">
        <f t="array" ref="L51">SUMPRODUCT((Final_Merged_Data!$B$2:$B$1000=$A51)*Final_Merged_Data!$L$2:$L$1000*Final_Merged_Data!$F$2:$F$1000)/F51</f>
        <v>10.309673910686193</v>
      </c>
      <c r="M51" t="str">
        <f>IF(COUNTIF(Master_Data!$C:$C,$A51)&gt;0,"Found","Missing")</f>
        <v>Found</v>
      </c>
      <c r="N51" t="str">
        <f>_xlfn.XLOOKUP($A51,Master_Data!$C:$C,Master_Data!$D:$D,"CHECK",0)</f>
        <v>Mir Mohammad Helal Uddin</v>
      </c>
      <c r="O51" t="str">
        <f>_xlfn.XLOOKUP($A51,Master_Data!$C:$C,Master_Data!$E:$E,"CHECK",0)</f>
        <v>BNP</v>
      </c>
      <c r="P51">
        <f>_xlfn.XLOOKUP($A51,Master_Data!$C:$C,Master_Data!$F:$F,"CHECK",0)</f>
        <v>1</v>
      </c>
      <c r="Q51">
        <f>_xlfn.XLOOKUP($A51,Master_Data!$C:$C,Master_Data!$G:$G,"CHECK",0)</f>
        <v>147054</v>
      </c>
      <c r="R51">
        <f>IFERROR(_xlfn.XLOOKUP($A51,Master_Data!$C:$C,Master_Data!$H:$H,"CHECK",0),"")</f>
        <v>75.94077761654178</v>
      </c>
      <c r="S51" t="str">
        <f>_xlfn.XLOOKUP($A51,Master_Data!$C:$C,Master_Data!$I:$I,"CHECK",0)</f>
        <v>Md. Nasir Uddin</v>
      </c>
      <c r="T51">
        <f>_xlfn.XLOOKUP($A51,Master_Data!$C:$C,Master_Data!$K:$K,"CHECK",0)</f>
        <v>46589</v>
      </c>
      <c r="U51">
        <f>IFERROR(_xlfn.XLOOKUP($A51,Master_Data!$C:$C,Master_Data!$L:$L,"CHECK",0),"")</f>
        <v>24.05922238345822</v>
      </c>
      <c r="V51">
        <f>_xlfn.XLOOKUP($A51,Master_Data!$C:$C,Master_Data!$M:$M,"CHECK",0)</f>
        <v>100465</v>
      </c>
      <c r="W51">
        <f>IFERROR(_xlfn.XLOOKUP($A51,Master_Data!$C:$C,Master_Data!$N:$N,"CHECK",0),"")</f>
        <v>51.881555233083567</v>
      </c>
      <c r="X51" t="str">
        <f>IFERROR(_xlfn.XLOOKUP($A51,Master_Data!$C:$C,Master_Data!$O:$O,"CHECK",0),"No Result")</f>
        <v>Safe Seat</v>
      </c>
      <c r="Y51">
        <f>_xlfn.XLOOKUP($A51,Master_Data!$C:$C,Master_Data!$P:$P,"CHECK",0)</f>
        <v>0</v>
      </c>
      <c r="Z51">
        <f t="shared" si="1"/>
        <v>1</v>
      </c>
      <c r="AA51">
        <f>_xlfn.XLOOKUP(B51,Remittance_Data!A:A,Remittance_Data!B:B,"CHECK")</f>
        <v>354531</v>
      </c>
      <c r="AB51">
        <f>_xlfn.XLOOKUP(B51,Remittance_Data!A:A,Remittance_Data!C:C,"CHECK")</f>
        <v>215856</v>
      </c>
      <c r="AC51">
        <f>_xlfn.XLOOKUP(B51,Remittance_Data!A:A,Remittance_Data!D:D,"CHECK")</f>
        <v>138675</v>
      </c>
    </row>
    <row r="52" spans="1:29">
      <c r="A52" t="str">
        <v>Chittagong-6</v>
      </c>
      <c r="B52" t="str" cm="1">
        <f t="array" ref="B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Nawabganj","Chapainawabganj"),Final_Merged_Data!$B$2:$B$1000=$A52)))</f>
        <v>Chittagong</v>
      </c>
      <c r="C52" t="str" cm="1">
        <f t="array" ref="C52">_xlfn.TEXTJOIN(", ",TRUE,_xlfn._xlws.FILTER(Final_Merged_Data!$C$2:$C$1000,Final_Merged_Data!$B$2:$B$1000=$A52))</f>
        <v>Raozan</v>
      </c>
      <c r="D52" cm="1">
        <f t="array" ref="D52">COUNTA(_xlfn._xlws.FILTER(Final_Merged_Data!$C$2:$C$1000,Final_Merged_Data!$B$2:$B$1000=$A52))</f>
        <v>1</v>
      </c>
      <c r="E52">
        <f>SUMIFS(Final_Merged_Data!$E:$E,Final_Merged_Data!$B:$B,$A52)</f>
        <v>198.53</v>
      </c>
      <c r="F52">
        <f>SUMIFS(Final_Merged_Data!$F:$F,Final_Merged_Data!$B:$B,$A52)</f>
        <v>396350</v>
      </c>
      <c r="G52">
        <f t="shared" si="0"/>
        <v>1996.4237143001058</v>
      </c>
      <c r="H52" cm="1">
        <f t="array" ref="H52">SUMPRODUCT((Final_Merged_Data!$B$2:$B$1000=$A52)*Final_Merged_Data!$H$2:$H$1000*Final_Merged_Data!$F$2:$F$1000)/F52</f>
        <v>4.42</v>
      </c>
      <c r="I52" cm="1">
        <f t="array" ref="I52">SUMPRODUCT((Final_Merged_Data!$B$2:$B$1000=$A52)*Final_Merged_Data!$I$2:$I$1000*Final_Merged_Data!$F$2:$F$1000)/F52</f>
        <v>84.87</v>
      </c>
      <c r="J52" t="str" cm="1">
        <f t="array" ref="J52">_xlfn.TEXTJOIN(", ",TRUE,_xlfn.UNIQUE(_xlfn._xlws.FILTER(Final_Merged_Data!$J$2:$J$1000,Final_Merged_Data!$B$2:$B$1000=$A52)))</f>
        <v>Chittagong Range</v>
      </c>
      <c r="K52" cm="1">
        <f t="array" ref="K52">SUMPRODUCT((Final_Merged_Data!$B$2:$B$1000=$A52)*Final_Merged_Data!$K$2:$K$1000*Final_Merged_Data!$F$2:$F$1000)/F52</f>
        <v>84.879645400600879</v>
      </c>
      <c r="L52" cm="1">
        <f t="array" ref="L52">SUMPRODUCT((Final_Merged_Data!$B$2:$B$1000=$A52)*Final_Merged_Data!$L$2:$L$1000*Final_Merged_Data!$F$2:$F$1000)/F52</f>
        <v>10.309673910686193</v>
      </c>
      <c r="M52" t="str">
        <f>IF(COUNTIF(Master_Data!$C:$C,$A52)&gt;0,"Found","Missing")</f>
        <v>Found</v>
      </c>
      <c r="N52" t="str">
        <f>_xlfn.XLOOKUP($A52,Master_Data!$C:$C,Master_Data!$D:$D,"CHECK",0)</f>
        <v>Giasuddin Quader Chowdhury</v>
      </c>
      <c r="O52" t="str">
        <f>_xlfn.XLOOKUP($A52,Master_Data!$C:$C,Master_Data!$E:$E,"CHECK",0)</f>
        <v>BNP</v>
      </c>
      <c r="P52">
        <f>_xlfn.XLOOKUP($A52,Master_Data!$C:$C,Master_Data!$F:$F,"CHECK",0)</f>
        <v>1</v>
      </c>
      <c r="Q52">
        <f>_xlfn.XLOOKUP($A52,Master_Data!$C:$C,Master_Data!$G:$G,"CHECK",0)</f>
        <v>111201</v>
      </c>
      <c r="R52">
        <f>IFERROR(_xlfn.XLOOKUP($A52,Master_Data!$C:$C,Master_Data!$H:$H,"CHECK",0),"")</f>
        <v>80.640623073743441</v>
      </c>
      <c r="S52" t="str">
        <f>_xlfn.XLOOKUP($A52,Master_Data!$C:$C,Master_Data!$I:$I,"CHECK",0)</f>
        <v>Mohammad Ilias Nuri</v>
      </c>
      <c r="T52">
        <f>_xlfn.XLOOKUP($A52,Master_Data!$C:$C,Master_Data!$K:$K,"CHECK",0)</f>
        <v>26696</v>
      </c>
      <c r="U52">
        <f>IFERROR(_xlfn.XLOOKUP($A52,Master_Data!$C:$C,Master_Data!$L:$L,"CHECK",0),"")</f>
        <v>19.359376926256555</v>
      </c>
      <c r="V52">
        <f>_xlfn.XLOOKUP($A52,Master_Data!$C:$C,Master_Data!$M:$M,"CHECK",0)</f>
        <v>84505</v>
      </c>
      <c r="W52">
        <f>IFERROR(_xlfn.XLOOKUP($A52,Master_Data!$C:$C,Master_Data!$N:$N,"CHECK",0),"")</f>
        <v>61.28124614748689</v>
      </c>
      <c r="X52" t="str">
        <f>IFERROR(_xlfn.XLOOKUP($A52,Master_Data!$C:$C,Master_Data!$O:$O,"CHECK",0),"No Result")</f>
        <v>Safe Seat</v>
      </c>
      <c r="Y52">
        <f>_xlfn.XLOOKUP($A52,Master_Data!$C:$C,Master_Data!$P:$P,"CHECK",0)</f>
        <v>0</v>
      </c>
      <c r="Z52">
        <f t="shared" si="1"/>
        <v>1</v>
      </c>
      <c r="AA52">
        <f>_xlfn.XLOOKUP(B52,Remittance_Data!A:A,Remittance_Data!B:B,"CHECK")</f>
        <v>354531</v>
      </c>
      <c r="AB52">
        <f>_xlfn.XLOOKUP(B52,Remittance_Data!A:A,Remittance_Data!C:C,"CHECK")</f>
        <v>215856</v>
      </c>
      <c r="AC52">
        <f>_xlfn.XLOOKUP(B52,Remittance_Data!A:A,Remittance_Data!D:D,"CHECK")</f>
        <v>138675</v>
      </c>
    </row>
    <row r="53" spans="1:29">
      <c r="A53" t="str">
        <v>Chittagong-7</v>
      </c>
      <c r="B53" t="str" cm="1">
        <f t="array" ref="B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Nawabganj","Chapainawabganj"),Final_Merged_Data!$B$2:$B$1000=$A53)))</f>
        <v>Chittagong</v>
      </c>
      <c r="C53" t="str" cm="1">
        <f t="array" ref="C53">_xlfn.TEXTJOIN(", ",TRUE,_xlfn._xlws.FILTER(Final_Merged_Data!$C$2:$C$1000,Final_Merged_Data!$B$2:$B$1000=$A53))</f>
        <v>Rangunia</v>
      </c>
      <c r="D53" cm="1">
        <f t="array" ref="D53">COUNTA(_xlfn._xlws.FILTER(Final_Merged_Data!$C$2:$C$1000,Final_Merged_Data!$B$2:$B$1000=$A53))</f>
        <v>1</v>
      </c>
      <c r="E53">
        <f>SUMIFS(Final_Merged_Data!$E:$E,Final_Merged_Data!$B:$B,$A53)</f>
        <v>351.32</v>
      </c>
      <c r="F53">
        <f>SUMIFS(Final_Merged_Data!$F:$F,Final_Merged_Data!$B:$B,$A53)</f>
        <v>392898</v>
      </c>
      <c r="G53">
        <f t="shared" si="0"/>
        <v>1118.3479448935443</v>
      </c>
      <c r="H53" cm="1">
        <f t="array" ref="H53">SUMPRODUCT((Final_Merged_Data!$B$2:$B$1000=$A53)*Final_Merged_Data!$H$2:$H$1000*Final_Merged_Data!$F$2:$F$1000)/F53</f>
        <v>4.29</v>
      </c>
      <c r="I53" cm="1">
        <f t="array" ref="I53">SUMPRODUCT((Final_Merged_Data!$B$2:$B$1000=$A53)*Final_Merged_Data!$I$2:$I$1000*Final_Merged_Data!$F$2:$F$1000)/F53</f>
        <v>77.599999999999994</v>
      </c>
      <c r="J53" t="str" cm="1">
        <f t="array" ref="J53">_xlfn.TEXTJOIN(", ",TRUE,_xlfn.UNIQUE(_xlfn._xlws.FILTER(Final_Merged_Data!$J$2:$J$1000,Final_Merged_Data!$B$2:$B$1000=$A53)))</f>
        <v>Chittagong Range</v>
      </c>
      <c r="K53" cm="1">
        <f t="array" ref="K53">SUMPRODUCT((Final_Merged_Data!$B$2:$B$1000=$A53)*Final_Merged_Data!$K$2:$K$1000*Final_Merged_Data!$F$2:$F$1000)/F53</f>
        <v>84.879645400600893</v>
      </c>
      <c r="L53" cm="1">
        <f t="array" ref="L53">SUMPRODUCT((Final_Merged_Data!$B$2:$B$1000=$A53)*Final_Merged_Data!$L$2:$L$1000*Final_Merged_Data!$F$2:$F$1000)/F53</f>
        <v>10.309673910686193</v>
      </c>
      <c r="M53" t="str">
        <f>IF(COUNTIF(Master_Data!$C:$C,$A53)&gt;0,"Found","Missing")</f>
        <v>Found</v>
      </c>
      <c r="N53" t="str">
        <f>_xlfn.XLOOKUP($A53,Master_Data!$C:$C,Master_Data!$D:$D,"CHECK",0)</f>
        <v>Humam Quader Chowdhury</v>
      </c>
      <c r="O53" t="str">
        <f>_xlfn.XLOOKUP($A53,Master_Data!$C:$C,Master_Data!$E:$E,"CHECK",0)</f>
        <v>BNP</v>
      </c>
      <c r="P53">
        <f>_xlfn.XLOOKUP($A53,Master_Data!$C:$C,Master_Data!$F:$F,"CHECK",0)</f>
        <v>1</v>
      </c>
      <c r="Q53">
        <f>_xlfn.XLOOKUP($A53,Master_Data!$C:$C,Master_Data!$G:$G,"CHECK",0)</f>
        <v>101445</v>
      </c>
      <c r="R53">
        <f>IFERROR(_xlfn.XLOOKUP($A53,Master_Data!$C:$C,Master_Data!$H:$H,"CHECK",0),"")</f>
        <v>70.85929423598111</v>
      </c>
      <c r="S53" t="str">
        <f>_xlfn.XLOOKUP($A53,Master_Data!$C:$C,Master_Data!$I:$I,"CHECK",0)</f>
        <v>ATM Rezaul Karim</v>
      </c>
      <c r="T53">
        <f>_xlfn.XLOOKUP($A53,Master_Data!$C:$C,Master_Data!$K:$K,"CHECK",0)</f>
        <v>41719</v>
      </c>
      <c r="U53">
        <f>IFERROR(_xlfn.XLOOKUP($A53,Master_Data!$C:$C,Master_Data!$L:$L,"CHECK",0),"")</f>
        <v>29.140705764018886</v>
      </c>
      <c r="V53">
        <f>_xlfn.XLOOKUP($A53,Master_Data!$C:$C,Master_Data!$M:$M,"CHECK",0)</f>
        <v>59726</v>
      </c>
      <c r="W53">
        <f>IFERROR(_xlfn.XLOOKUP($A53,Master_Data!$C:$C,Master_Data!$N:$N,"CHECK",0),"")</f>
        <v>41.718588471962228</v>
      </c>
      <c r="X53" t="str">
        <f>IFERROR(_xlfn.XLOOKUP($A53,Master_Data!$C:$C,Master_Data!$O:$O,"CHECK",0),"No Result")</f>
        <v>Safe Seat</v>
      </c>
      <c r="Y53">
        <f>_xlfn.XLOOKUP($A53,Master_Data!$C:$C,Master_Data!$P:$P,"CHECK",0)</f>
        <v>0</v>
      </c>
      <c r="Z53">
        <f t="shared" si="1"/>
        <v>1</v>
      </c>
      <c r="AA53">
        <f>_xlfn.XLOOKUP(B53,Remittance_Data!A:A,Remittance_Data!B:B,"CHECK")</f>
        <v>354531</v>
      </c>
      <c r="AB53">
        <f>_xlfn.XLOOKUP(B53,Remittance_Data!A:A,Remittance_Data!C:C,"CHECK")</f>
        <v>215856</v>
      </c>
      <c r="AC53">
        <f>_xlfn.XLOOKUP(B53,Remittance_Data!A:A,Remittance_Data!D:D,"CHECK")</f>
        <v>138675</v>
      </c>
    </row>
    <row r="54" spans="1:29">
      <c r="A54" t="str">
        <v>Chittagong-8</v>
      </c>
      <c r="B54" t="str" cm="1">
        <f t="array" ref="B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Nawabganj","Chapainawabganj"),Final_Merged_Data!$B$2:$B$1000=$A54)))</f>
        <v>Chittagong</v>
      </c>
      <c r="C54" t="str" cm="1">
        <f t="array" ref="C54">_xlfn.TEXTJOIN(", ",TRUE,_xlfn._xlws.FILTER(Final_Merged_Data!$C$2:$C$1000,Final_Merged_Data!$B$2:$B$1000=$A54))</f>
        <v>Boalkhali, Chandanaish</v>
      </c>
      <c r="D54" cm="1">
        <f t="array" ref="D54">COUNTA(_xlfn._xlws.FILTER(Final_Merged_Data!$C$2:$C$1000,Final_Merged_Data!$B$2:$B$1000=$A54))</f>
        <v>2</v>
      </c>
      <c r="E54">
        <f>SUMIFS(Final_Merged_Data!$E:$E,Final_Merged_Data!$B:$B,$A54)</f>
        <v>469.79999999999995</v>
      </c>
      <c r="F54">
        <f>SUMIFS(Final_Merged_Data!$F:$F,Final_Merged_Data!$B:$B,$A54)</f>
        <v>510913</v>
      </c>
      <c r="G54">
        <f t="shared" si="0"/>
        <v>1087.5117071094085</v>
      </c>
      <c r="H54" cm="1">
        <f t="array" ref="H54">SUMPRODUCT((Final_Merged_Data!$B$2:$B$1000=$A54)*Final_Merged_Data!$H$2:$H$1000*Final_Merged_Data!$F$2:$F$1000)/F54</f>
        <v>4.4400000000000004</v>
      </c>
      <c r="I54" cm="1">
        <f t="array" ref="I54">SUMPRODUCT((Final_Merged_Data!$B$2:$B$1000=$A54)*Final_Merged_Data!$I$2:$I$1000*Final_Merged_Data!$F$2:$F$1000)/F54</f>
        <v>81.59368614617361</v>
      </c>
      <c r="J54" t="str" cm="1">
        <f t="array" ref="J54">_xlfn.TEXTJOIN(", ",TRUE,_xlfn.UNIQUE(_xlfn._xlws.FILTER(Final_Merged_Data!$J$2:$J$1000,Final_Merged_Data!$B$2:$B$1000=$A54)))</f>
        <v>Chittagong Range</v>
      </c>
      <c r="K54" cm="1">
        <f t="array" ref="K54">SUMPRODUCT((Final_Merged_Data!$B$2:$B$1000=$A54)*Final_Merged_Data!$K$2:$K$1000*Final_Merged_Data!$F$2:$F$1000)/F54</f>
        <v>84.879645400600893</v>
      </c>
      <c r="L54" cm="1">
        <f t="array" ref="L54">SUMPRODUCT((Final_Merged_Data!$B$2:$B$1000=$A54)*Final_Merged_Data!$L$2:$L$1000*Final_Merged_Data!$F$2:$F$1000)/F54</f>
        <v>10.309673910686193</v>
      </c>
      <c r="M54" t="str">
        <f>IF(COUNTIF(Master_Data!$C:$C,$A54)&gt;0,"Found","Missing")</f>
        <v>Found</v>
      </c>
      <c r="N54" t="str">
        <f>_xlfn.XLOOKUP($A54,Master_Data!$C:$C,Master_Data!$D:$D,"CHECK",0)</f>
        <v>Ershad Ullah</v>
      </c>
      <c r="O54" t="str">
        <f>_xlfn.XLOOKUP($A54,Master_Data!$C:$C,Master_Data!$E:$E,"CHECK",0)</f>
        <v>BNP</v>
      </c>
      <c r="P54">
        <f>_xlfn.XLOOKUP($A54,Master_Data!$C:$C,Master_Data!$F:$F,"CHECK",0)</f>
        <v>1</v>
      </c>
      <c r="Q54">
        <f>_xlfn.XLOOKUP($A54,Master_Data!$C:$C,Master_Data!$G:$G,"CHECK",0)</f>
        <v>152969</v>
      </c>
      <c r="R54">
        <f>IFERROR(_xlfn.XLOOKUP($A54,Master_Data!$C:$C,Master_Data!$H:$H,"CHECK",0),"")</f>
        <v>74.065161499615073</v>
      </c>
      <c r="S54" t="str">
        <f>_xlfn.XLOOKUP($A54,Master_Data!$C:$C,Master_Data!$I:$I,"CHECK",0)</f>
        <v>Md. Abu Nasser</v>
      </c>
      <c r="T54">
        <f>_xlfn.XLOOKUP($A54,Master_Data!$C:$C,Master_Data!$K:$K,"CHECK",0)</f>
        <v>53564</v>
      </c>
      <c r="U54">
        <f>IFERROR(_xlfn.XLOOKUP($A54,Master_Data!$C:$C,Master_Data!$L:$L,"CHECK",0),"")</f>
        <v>25.934838500384927</v>
      </c>
      <c r="V54">
        <f>_xlfn.XLOOKUP($A54,Master_Data!$C:$C,Master_Data!$M:$M,"CHECK",0)</f>
        <v>99405</v>
      </c>
      <c r="W54">
        <f>IFERROR(_xlfn.XLOOKUP($A54,Master_Data!$C:$C,Master_Data!$N:$N,"CHECK",0),"")</f>
        <v>48.130322999230145</v>
      </c>
      <c r="X54" t="str">
        <f>IFERROR(_xlfn.XLOOKUP($A54,Master_Data!$C:$C,Master_Data!$O:$O,"CHECK",0),"No Result")</f>
        <v>Safe Seat</v>
      </c>
      <c r="Y54">
        <f>_xlfn.XLOOKUP($A54,Master_Data!$C:$C,Master_Data!$P:$P,"CHECK",0)</f>
        <v>1</v>
      </c>
      <c r="Z54">
        <f t="shared" si="1"/>
        <v>1</v>
      </c>
      <c r="AA54">
        <f>_xlfn.XLOOKUP(B54,Remittance_Data!A:A,Remittance_Data!B:B,"CHECK")</f>
        <v>354531</v>
      </c>
      <c r="AB54">
        <f>_xlfn.XLOOKUP(B54,Remittance_Data!A:A,Remittance_Data!C:C,"CHECK")</f>
        <v>215856</v>
      </c>
      <c r="AC54">
        <f>_xlfn.XLOOKUP(B54,Remittance_Data!A:A,Remittance_Data!D:D,"CHECK")</f>
        <v>138675</v>
      </c>
    </row>
    <row r="55" spans="1:29">
      <c r="A55" t="str">
        <v>Chittagong-9</v>
      </c>
      <c r="B55" t="str" cm="1">
        <f t="array" ref="B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Nawabganj","Chapainawabganj"),Final_Merged_Data!$B$2:$B$1000=$A55)))</f>
        <v>Chittagong</v>
      </c>
      <c r="C55" t="str" cm="1">
        <f t="array" ref="C55">_xlfn.TEXTJOIN(", ",TRUE,_xlfn._xlws.FILTER(Final_Merged_Data!$C$2:$C$1000,Final_Merged_Data!$B$2:$B$1000=$A55))</f>
        <v>Kotwali</v>
      </c>
      <c r="D55" cm="1">
        <f t="array" ref="D55">COUNTA(_xlfn._xlws.FILTER(Final_Merged_Data!$C$2:$C$1000,Final_Merged_Data!$B$2:$B$1000=$A55))</f>
        <v>1</v>
      </c>
      <c r="E55">
        <f>SUMIFS(Final_Merged_Data!$E:$E,Final_Merged_Data!$B:$B,$A55)</f>
        <v>9.99</v>
      </c>
      <c r="F55">
        <f>SUMIFS(Final_Merged_Data!$F:$F,Final_Merged_Data!$B:$B,$A55)</f>
        <v>207738</v>
      </c>
      <c r="G55">
        <f t="shared" si="0"/>
        <v>20794.594594594593</v>
      </c>
      <c r="H55" cm="1">
        <f t="array" ref="H55">SUMPRODUCT((Final_Merged_Data!$B$2:$B$1000=$A55)*Final_Merged_Data!$H$2:$H$1000*Final_Merged_Data!$F$2:$F$1000)/F55</f>
        <v>4.0599999999999996</v>
      </c>
      <c r="I55" cm="1">
        <f t="array" ref="I55">SUMPRODUCT((Final_Merged_Data!$B$2:$B$1000=$A55)*Final_Merged_Data!$I$2:$I$1000*Final_Merged_Data!$F$2:$F$1000)/F55</f>
        <v>83.08</v>
      </c>
      <c r="J55" t="str" cm="1">
        <f t="array" ref="J55">_xlfn.TEXTJOIN(", ",TRUE,_xlfn.UNIQUE(_xlfn._xlws.FILTER(Final_Merged_Data!$J$2:$J$1000,Final_Merged_Data!$B$2:$B$1000=$A55)))</f>
        <v>Chittagong Range</v>
      </c>
      <c r="K55" cm="1">
        <f t="array" ref="K55">SUMPRODUCT((Final_Merged_Data!$B$2:$B$1000=$A55)*Final_Merged_Data!$K$2:$K$1000*Final_Merged_Data!$F$2:$F$1000)/F55</f>
        <v>84.879645400600893</v>
      </c>
      <c r="L55" cm="1">
        <f t="array" ref="L55">SUMPRODUCT((Final_Merged_Data!$B$2:$B$1000=$A55)*Final_Merged_Data!$L$2:$L$1000*Final_Merged_Data!$F$2:$F$1000)/F55</f>
        <v>10.309673910686193</v>
      </c>
      <c r="M55" t="str">
        <f>IF(COUNTIF(Master_Data!$C:$C,$A55)&gt;0,"Found","Missing")</f>
        <v>Found</v>
      </c>
      <c r="N55" t="str">
        <f>_xlfn.XLOOKUP($A55,Master_Data!$C:$C,Master_Data!$D:$D,"CHECK",0)</f>
        <v>Mohammad Abu Sufian</v>
      </c>
      <c r="O55" t="str">
        <f>_xlfn.XLOOKUP($A55,Master_Data!$C:$C,Master_Data!$E:$E,"CHECK",0)</f>
        <v>BNP</v>
      </c>
      <c r="P55">
        <f>_xlfn.XLOOKUP($A55,Master_Data!$C:$C,Master_Data!$F:$F,"CHECK",0)</f>
        <v>1</v>
      </c>
      <c r="Q55">
        <f>_xlfn.XLOOKUP($A55,Master_Data!$C:$C,Master_Data!$G:$G,"CHECK",0)</f>
        <v>109388</v>
      </c>
      <c r="R55">
        <f>IFERROR(_xlfn.XLOOKUP($A55,Master_Data!$C:$C,Master_Data!$H:$H,"CHECK",0),"")</f>
        <v>67.02901436931279</v>
      </c>
      <c r="S55" t="str">
        <f>_xlfn.XLOOKUP($A55,Master_Data!$C:$C,Master_Data!$I:$I,"CHECK",0)</f>
        <v>Dr. AKM Fazlul Haque</v>
      </c>
      <c r="T55">
        <f>_xlfn.XLOOKUP($A55,Master_Data!$C:$C,Master_Data!$K:$K,"CHECK",0)</f>
        <v>53807</v>
      </c>
      <c r="U55">
        <f>IFERROR(_xlfn.XLOOKUP($A55,Master_Data!$C:$C,Master_Data!$L:$L,"CHECK",0),"")</f>
        <v>32.970985630687217</v>
      </c>
      <c r="V55">
        <f>_xlfn.XLOOKUP($A55,Master_Data!$C:$C,Master_Data!$M:$M,"CHECK",0)</f>
        <v>55581</v>
      </c>
      <c r="W55">
        <f>IFERROR(_xlfn.XLOOKUP($A55,Master_Data!$C:$C,Master_Data!$N:$N,"CHECK",0),"")</f>
        <v>34.058028738625573</v>
      </c>
      <c r="X55" t="str">
        <f>IFERROR(_xlfn.XLOOKUP($A55,Master_Data!$C:$C,Master_Data!$O:$O,"CHECK",0),"No Result")</f>
        <v>Safe Seat</v>
      </c>
      <c r="Y55">
        <f>_xlfn.XLOOKUP($A55,Master_Data!$C:$C,Master_Data!$P:$P,"CHECK",0)</f>
        <v>1</v>
      </c>
      <c r="Z55">
        <f t="shared" si="1"/>
        <v>1</v>
      </c>
      <c r="AA55">
        <f>_xlfn.XLOOKUP(B55,Remittance_Data!A:A,Remittance_Data!B:B,"CHECK")</f>
        <v>354531</v>
      </c>
      <c r="AB55">
        <f>_xlfn.XLOOKUP(B55,Remittance_Data!A:A,Remittance_Data!C:C,"CHECK")</f>
        <v>215856</v>
      </c>
      <c r="AC55">
        <f>_xlfn.XLOOKUP(B55,Remittance_Data!A:A,Remittance_Data!D:D,"CHECK")</f>
        <v>138675</v>
      </c>
    </row>
    <row r="56" spans="1:29">
      <c r="A56" t="str">
        <v>Chuadanga-1</v>
      </c>
      <c r="B56" t="str" cm="1">
        <f t="array" ref="B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Nawabganj","Chapainawabganj"),Final_Merged_Data!$B$2:$B$1000=$A56)))</f>
        <v>Chuadanga</v>
      </c>
      <c r="C56" t="str" cm="1">
        <f t="array" ref="C56">_xlfn.TEXTJOIN(", ",TRUE,_xlfn._xlws.FILTER(Final_Merged_Data!$C$2:$C$1000,Final_Merged_Data!$B$2:$B$1000=$A56))</f>
        <v>Chuadanga Sadar, Alamdanga</v>
      </c>
      <c r="D56" cm="1">
        <f t="array" ref="D56">COUNTA(_xlfn._xlws.FILTER(Final_Merged_Data!$C$2:$C$1000,Final_Merged_Data!$B$2:$B$1000=$A56))</f>
        <v>2</v>
      </c>
      <c r="E56">
        <f>SUMIFS(Final_Merged_Data!$E:$E,Final_Merged_Data!$B:$B,$A56)</f>
        <v>686.63</v>
      </c>
      <c r="F56">
        <f>SUMIFS(Final_Merged_Data!$F:$F,Final_Merged_Data!$B:$B,$A56)</f>
        <v>718664</v>
      </c>
      <c r="G56">
        <f t="shared" si="0"/>
        <v>1046.6539475408881</v>
      </c>
      <c r="H56" cm="1">
        <f t="array" ref="H56">SUMPRODUCT((Final_Merged_Data!$B$2:$B$1000=$A56)*Final_Merged_Data!$H$2:$H$1000*Final_Merged_Data!$F$2:$F$1000)/F56</f>
        <v>3.7090172876337206</v>
      </c>
      <c r="I56" cm="1">
        <f t="array" ref="I56">SUMPRODUCT((Final_Merged_Data!$B$2:$B$1000=$A56)*Final_Merged_Data!$I$2:$I$1000*Final_Merged_Data!$F$2:$F$1000)/F56</f>
        <v>70.543566840693288</v>
      </c>
      <c r="J56" t="str" cm="1">
        <f t="array" ref="J56">_xlfn.TEXTJOIN(", ",TRUE,_xlfn.UNIQUE(_xlfn._xlws.FILTER(Final_Merged_Data!$J$2:$J$1000,Final_Merged_Data!$B$2:$B$1000=$A56)))</f>
        <v>Khulna Range</v>
      </c>
      <c r="K56" cm="1">
        <f t="array" ref="K56">SUMPRODUCT((Final_Merged_Data!$B$2:$B$1000=$A56)*Final_Merged_Data!$K$2:$K$1000*Final_Merged_Data!$F$2:$F$1000)/F56</f>
        <v>102.32166075410298</v>
      </c>
      <c r="L56" cm="1">
        <f t="array" ref="L56">SUMPRODUCT((Final_Merged_Data!$B$2:$B$1000=$A56)*Final_Merged_Data!$L$2:$L$1000*Final_Merged_Data!$F$2:$F$1000)/F56</f>
        <v>12.212237548443925</v>
      </c>
      <c r="M56" t="str">
        <f>IF(COUNTIF(Master_Data!$C:$C,$A56)&gt;0,"Found","Missing")</f>
        <v>Found</v>
      </c>
      <c r="N56" t="str">
        <f>_xlfn.XLOOKUP($A56,Master_Data!$C:$C,Master_Data!$D:$D,"CHECK",0)</f>
        <v>Md. Masood Parvez</v>
      </c>
      <c r="O56" t="str">
        <f>_xlfn.XLOOKUP($A56,Master_Data!$C:$C,Master_Data!$E:$E,"CHECK",0)</f>
        <v>Jamaat</v>
      </c>
      <c r="P56">
        <f>_xlfn.XLOOKUP($A56,Master_Data!$C:$C,Master_Data!$F:$F,"CHECK",0)</f>
        <v>2</v>
      </c>
      <c r="Q56">
        <f>_xlfn.XLOOKUP($A56,Master_Data!$C:$C,Master_Data!$G:$G,"CHECK",0)</f>
        <v>211041</v>
      </c>
      <c r="R56">
        <f>IFERROR(_xlfn.XLOOKUP($A56,Master_Data!$C:$C,Master_Data!$H:$H,"CHECK",0),"")</f>
        <v>57.941048886155599</v>
      </c>
      <c r="S56" t="str">
        <f>_xlfn.XLOOKUP($A56,Master_Data!$C:$C,Master_Data!$I:$I,"CHECK",0)</f>
        <v>Md. Sharifuzzaman</v>
      </c>
      <c r="T56">
        <f>_xlfn.XLOOKUP($A56,Master_Data!$C:$C,Master_Data!$K:$K,"CHECK",0)</f>
        <v>153193</v>
      </c>
      <c r="U56">
        <f>IFERROR(_xlfn.XLOOKUP($A56,Master_Data!$C:$C,Master_Data!$L:$L,"CHECK",0),"")</f>
        <v>42.058951113844394</v>
      </c>
      <c r="V56">
        <f>_xlfn.XLOOKUP($A56,Master_Data!$C:$C,Master_Data!$M:$M,"CHECK",0)</f>
        <v>57848</v>
      </c>
      <c r="W56">
        <f>IFERROR(_xlfn.XLOOKUP($A56,Master_Data!$C:$C,Master_Data!$N:$N,"CHECK",0),"")</f>
        <v>15.882097772311207</v>
      </c>
      <c r="X56" t="str">
        <f>IFERROR(_xlfn.XLOOKUP($A56,Master_Data!$C:$C,Master_Data!$O:$O,"CHECK",0),"No Result")</f>
        <v>Safe Seat</v>
      </c>
      <c r="Y56">
        <f>_xlfn.XLOOKUP($A56,Master_Data!$C:$C,Master_Data!$P:$P,"CHECK",0)</f>
        <v>0</v>
      </c>
      <c r="Z56">
        <f t="shared" si="1"/>
        <v>1</v>
      </c>
      <c r="AA56">
        <f>_xlfn.XLOOKUP(B56,Remittance_Data!A:A,Remittance_Data!B:B,"CHECK")</f>
        <v>21607</v>
      </c>
      <c r="AB56">
        <f>_xlfn.XLOOKUP(B56,Remittance_Data!A:A,Remittance_Data!C:C,"CHECK")</f>
        <v>17420</v>
      </c>
      <c r="AC56">
        <f>_xlfn.XLOOKUP(B56,Remittance_Data!A:A,Remittance_Data!D:D,"CHECK")</f>
        <v>4187</v>
      </c>
    </row>
    <row r="57" spans="1:29">
      <c r="A57" t="str">
        <v>Chuadanga-2</v>
      </c>
      <c r="B57" t="str" cm="1">
        <f t="array" ref="B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Nawabganj","Chapainawabganj"),Final_Merged_Data!$B$2:$B$1000=$A57)))</f>
        <v>Chuadanga</v>
      </c>
      <c r="C57" t="str" cm="1">
        <f t="array" ref="C57">_xlfn.TEXTJOIN(", ",TRUE,_xlfn._xlws.FILTER(Final_Merged_Data!$C$2:$C$1000,Final_Merged_Data!$B$2:$B$1000=$A57))</f>
        <v>Damurhuda, Jibannagar</v>
      </c>
      <c r="D57" cm="1">
        <f t="array" ref="D57">COUNTA(_xlfn._xlws.FILTER(Final_Merged_Data!$C$2:$C$1000,Final_Merged_Data!$B$2:$B$1000=$A57))</f>
        <v>2</v>
      </c>
      <c r="E57">
        <f>SUMIFS(Final_Merged_Data!$E:$E,Final_Merged_Data!$B:$B,$A57)</f>
        <v>483.7</v>
      </c>
      <c r="F57">
        <f>SUMIFS(Final_Merged_Data!$F:$F,Final_Merged_Data!$B:$B,$A57)</f>
        <v>515327</v>
      </c>
      <c r="G57">
        <f t="shared" si="0"/>
        <v>1065.385569567914</v>
      </c>
      <c r="H57" cm="1">
        <f t="array" ref="H57">SUMPRODUCT((Final_Merged_Data!$B$2:$B$1000=$A57)*Final_Merged_Data!$H$2:$H$1000*Final_Merged_Data!$F$2:$F$1000)/F57</f>
        <v>3.7977836014802251</v>
      </c>
      <c r="I57" cm="1">
        <f t="array" ref="I57">SUMPRODUCT((Final_Merged_Data!$B$2:$B$1000=$A57)*Final_Merged_Data!$I$2:$I$1000*Final_Merged_Data!$F$2:$F$1000)/F57</f>
        <v>72.130598008643062</v>
      </c>
      <c r="J57" t="str" cm="1">
        <f t="array" ref="J57">_xlfn.TEXTJOIN(", ",TRUE,_xlfn.UNIQUE(_xlfn._xlws.FILTER(Final_Merged_Data!$J$2:$J$1000,Final_Merged_Data!$B$2:$B$1000=$A57)))</f>
        <v>Khulna Range</v>
      </c>
      <c r="K57" cm="1">
        <f t="array" ref="K57">SUMPRODUCT((Final_Merged_Data!$B$2:$B$1000=$A57)*Final_Merged_Data!$K$2:$K$1000*Final_Merged_Data!$F$2:$F$1000)/F57</f>
        <v>102.32166075410298</v>
      </c>
      <c r="L57" cm="1">
        <f t="array" ref="L57">SUMPRODUCT((Final_Merged_Data!$B$2:$B$1000=$A57)*Final_Merged_Data!$L$2:$L$1000*Final_Merged_Data!$F$2:$F$1000)/F57</f>
        <v>12.212237548443923</v>
      </c>
      <c r="M57" t="str">
        <f>IF(COUNTIF(Master_Data!$C:$C,$A57)&gt;0,"Found","Missing")</f>
        <v>Found</v>
      </c>
      <c r="N57" t="str">
        <f>_xlfn.XLOOKUP($A57,Master_Data!$C:$C,Master_Data!$D:$D,"CHECK",0)</f>
        <v>Md. Ruhul Amin</v>
      </c>
      <c r="O57" t="str">
        <f>_xlfn.XLOOKUP($A57,Master_Data!$C:$C,Master_Data!$E:$E,"CHECK",0)</f>
        <v>Jamaat</v>
      </c>
      <c r="P57">
        <f>_xlfn.XLOOKUP($A57,Master_Data!$C:$C,Master_Data!$F:$F,"CHECK",0)</f>
        <v>2</v>
      </c>
      <c r="Q57">
        <f>_xlfn.XLOOKUP($A57,Master_Data!$C:$C,Master_Data!$G:$G,"CHECK",0)</f>
        <v>208011</v>
      </c>
      <c r="R57">
        <f>IFERROR(_xlfn.XLOOKUP($A57,Master_Data!$C:$C,Master_Data!$H:$H,"CHECK",0),"")</f>
        <v>55.933775760444007</v>
      </c>
      <c r="S57" t="str">
        <f>_xlfn.XLOOKUP($A57,Master_Data!$C:$C,Master_Data!$I:$I,"CHECK",0)</f>
        <v>Mahmud Hasan Khan</v>
      </c>
      <c r="T57">
        <f>_xlfn.XLOOKUP($A57,Master_Data!$C:$C,Master_Data!$K:$K,"CHECK",0)</f>
        <v>163877</v>
      </c>
      <c r="U57">
        <f>IFERROR(_xlfn.XLOOKUP($A57,Master_Data!$C:$C,Master_Data!$L:$L,"CHECK",0),"")</f>
        <v>44.066224239555993</v>
      </c>
      <c r="V57">
        <f>_xlfn.XLOOKUP($A57,Master_Data!$C:$C,Master_Data!$M:$M,"CHECK",0)</f>
        <v>44134</v>
      </c>
      <c r="W57">
        <f>IFERROR(_xlfn.XLOOKUP($A57,Master_Data!$C:$C,Master_Data!$N:$N,"CHECK",0),"")</f>
        <v>11.867551520888009</v>
      </c>
      <c r="X57" t="str">
        <f>IFERROR(_xlfn.XLOOKUP($A57,Master_Data!$C:$C,Master_Data!$O:$O,"CHECK",0),"No Result")</f>
        <v>Safe Seat</v>
      </c>
      <c r="Y57">
        <f>_xlfn.XLOOKUP($A57,Master_Data!$C:$C,Master_Data!$P:$P,"CHECK",0)</f>
        <v>0</v>
      </c>
      <c r="Z57">
        <f t="shared" si="1"/>
        <v>1</v>
      </c>
      <c r="AA57">
        <f>_xlfn.XLOOKUP(B57,Remittance_Data!A:A,Remittance_Data!B:B,"CHECK")</f>
        <v>21607</v>
      </c>
      <c r="AB57">
        <f>_xlfn.XLOOKUP(B57,Remittance_Data!A:A,Remittance_Data!C:C,"CHECK")</f>
        <v>17420</v>
      </c>
      <c r="AC57">
        <f>_xlfn.XLOOKUP(B57,Remittance_Data!A:A,Remittance_Data!D:D,"CHECK")</f>
        <v>4187</v>
      </c>
    </row>
    <row r="58" spans="1:29">
      <c r="A58" t="str">
        <v>Comilla-1</v>
      </c>
      <c r="B58" t="str" cm="1">
        <f t="array" ref="B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Nawabganj","Chapainawabganj"),Final_Merged_Data!$B$2:$B$1000=$A58)))</f>
        <v>Comilla</v>
      </c>
      <c r="C58" t="str" cm="1">
        <f t="array" ref="C58">_xlfn.TEXTJOIN(", ",TRUE,_xlfn._xlws.FILTER(Final_Merged_Data!$C$2:$C$1000,Final_Merged_Data!$B$2:$B$1000=$A58))</f>
        <v>Daudkandi, Meghna</v>
      </c>
      <c r="D58" cm="1">
        <f t="array" ref="D58">COUNTA(_xlfn._xlws.FILTER(Final_Merged_Data!$C$2:$C$1000,Final_Merged_Data!$B$2:$B$1000=$A58))</f>
        <v>2</v>
      </c>
      <c r="E58">
        <f>SUMIFS(Final_Merged_Data!$E:$E,Final_Merged_Data!$B:$B,$A58)</f>
        <v>563.75</v>
      </c>
      <c r="F58">
        <f>SUMIFS(Final_Merged_Data!$F:$F,Final_Merged_Data!$B:$B,$A58)</f>
        <v>525195</v>
      </c>
      <c r="G58">
        <f t="shared" si="0"/>
        <v>931.60975609756099</v>
      </c>
      <c r="H58" cm="1">
        <f t="array" ref="H58">SUMPRODUCT((Final_Merged_Data!$B$2:$B$1000=$A58)*Final_Merged_Data!$H$2:$H$1000*Final_Merged_Data!$F$2:$F$1000)/F58</f>
        <v>4.2241657479602814</v>
      </c>
      <c r="I58" cm="1">
        <f t="array" ref="I58">SUMPRODUCT((Final_Merged_Data!$B$2:$B$1000=$A58)*Final_Merged_Data!$I$2:$I$1000*Final_Merged_Data!$F$2:$F$1000)/F58</f>
        <v>74.336697912204031</v>
      </c>
      <c r="J58" t="str" cm="1">
        <f t="array" ref="J58">_xlfn.TEXTJOIN(", ",TRUE,_xlfn.UNIQUE(_xlfn._xlws.FILTER(Final_Merged_Data!$J$2:$J$1000,Final_Merged_Data!$B$2:$B$1000=$A58)))</f>
        <v>Chittagong Range</v>
      </c>
      <c r="K58" cm="1">
        <f t="array" ref="K58">SUMPRODUCT((Final_Merged_Data!$B$2:$B$1000=$A58)*Final_Merged_Data!$K$2:$K$1000*Final_Merged_Data!$F$2:$F$1000)/F58</f>
        <v>84.879645400600893</v>
      </c>
      <c r="L58" cm="1">
        <f t="array" ref="L58">SUMPRODUCT((Final_Merged_Data!$B$2:$B$1000=$A58)*Final_Merged_Data!$L$2:$L$1000*Final_Merged_Data!$F$2:$F$1000)/F58</f>
        <v>10.309673910686193</v>
      </c>
      <c r="M58" t="str">
        <f>IF(COUNTIF(Master_Data!$C:$C,$A58)&gt;0,"Found","Missing")</f>
        <v>Found</v>
      </c>
      <c r="N58" t="str">
        <f>_xlfn.XLOOKUP($A58,Master_Data!$C:$C,Master_Data!$D:$D,"CHECK",0)</f>
        <v>Khandkar Mosharraf Hossain</v>
      </c>
      <c r="O58" t="str">
        <f>_xlfn.XLOOKUP($A58,Master_Data!$C:$C,Master_Data!$E:$E,"CHECK",0)</f>
        <v>BNP</v>
      </c>
      <c r="P58">
        <f>_xlfn.XLOOKUP($A58,Master_Data!$C:$C,Master_Data!$F:$F,"CHECK",0)</f>
        <v>1</v>
      </c>
      <c r="Q58">
        <f>_xlfn.XLOOKUP($A58,Master_Data!$C:$C,Master_Data!$G:$G,"CHECK",0)</f>
        <v>141440</v>
      </c>
      <c r="R58">
        <f>IFERROR(_xlfn.XLOOKUP($A58,Master_Data!$C:$C,Master_Data!$H:$H,"CHECK",0),"")</f>
        <v>59.859914933237398</v>
      </c>
      <c r="S58" t="str">
        <f>_xlfn.XLOOKUP($A58,Master_Data!$C:$C,Master_Data!$I:$I,"CHECK",0)</f>
        <v>Md. Moniruzzaman</v>
      </c>
      <c r="T58">
        <f>_xlfn.XLOOKUP($A58,Master_Data!$C:$C,Master_Data!$K:$K,"CHECK",0)</f>
        <v>94845</v>
      </c>
      <c r="U58">
        <f>IFERROR(_xlfn.XLOOKUP($A58,Master_Data!$C:$C,Master_Data!$L:$L,"CHECK",0),"")</f>
        <v>40.140085066762602</v>
      </c>
      <c r="V58">
        <f>_xlfn.XLOOKUP($A58,Master_Data!$C:$C,Master_Data!$M:$M,"CHECK",0)</f>
        <v>46595</v>
      </c>
      <c r="W58">
        <f>IFERROR(_xlfn.XLOOKUP($A58,Master_Data!$C:$C,Master_Data!$N:$N,"CHECK",0),"")</f>
        <v>19.719829866474807</v>
      </c>
      <c r="X58" t="str">
        <f>IFERROR(_xlfn.XLOOKUP($A58,Master_Data!$C:$C,Master_Data!$O:$O,"CHECK",0),"No Result")</f>
        <v>Safe Seat</v>
      </c>
      <c r="Y58">
        <f>_xlfn.XLOOKUP($A58,Master_Data!$C:$C,Master_Data!$P:$P,"CHECK",0)</f>
        <v>0</v>
      </c>
      <c r="Z58">
        <f t="shared" si="1"/>
        <v>1</v>
      </c>
      <c r="AA58">
        <f>_xlfn.XLOOKUP(B58,Remittance_Data!A:A,Remittance_Data!B:B,"CHECK")</f>
        <v>441125</v>
      </c>
      <c r="AB58">
        <f>_xlfn.XLOOKUP(B58,Remittance_Data!A:A,Remittance_Data!C:C,"CHECK")</f>
        <v>375176</v>
      </c>
      <c r="AC58">
        <f>_xlfn.XLOOKUP(B58,Remittance_Data!A:A,Remittance_Data!D:D,"CHECK")</f>
        <v>65949</v>
      </c>
    </row>
    <row r="59" spans="1:29">
      <c r="A59" t="str">
        <v>Comilla-10</v>
      </c>
      <c r="B59" t="str" cm="1">
        <f t="array" ref="B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Nawabganj","Chapainawabganj"),Final_Merged_Data!$B$2:$B$1000=$A59)))</f>
        <v>Comilla</v>
      </c>
      <c r="C59" t="str" cm="1">
        <f t="array" ref="C59">_xlfn.TEXTJOIN(", ",TRUE,_xlfn._xlws.FILTER(Final_Merged_Data!$C$2:$C$1000,Final_Merged_Data!$B$2:$B$1000=$A59))</f>
        <v>Nangalkot</v>
      </c>
      <c r="D59" cm="1">
        <f t="array" ref="D59">COUNTA(_xlfn._xlws.FILTER(Final_Merged_Data!$C$2:$C$1000,Final_Merged_Data!$B$2:$B$1000=$A59))</f>
        <v>1</v>
      </c>
      <c r="E59">
        <f>SUMIFS(Final_Merged_Data!$E:$E,Final_Merged_Data!$B:$B,$A59)</f>
        <v>276.33</v>
      </c>
      <c r="F59">
        <f>SUMIFS(Final_Merged_Data!$F:$F,Final_Merged_Data!$B:$B,$A59)</f>
        <v>427876</v>
      </c>
      <c r="G59">
        <f t="shared" si="0"/>
        <v>1548.4239858140629</v>
      </c>
      <c r="H59" cm="1">
        <f t="array" ref="H59">SUMPRODUCT((Final_Merged_Data!$B$2:$B$1000=$A59)*Final_Merged_Data!$H$2:$H$1000*Final_Merged_Data!$F$2:$F$1000)/F59</f>
        <v>4.47</v>
      </c>
      <c r="I59" cm="1">
        <f t="array" ref="I59">SUMPRODUCT((Final_Merged_Data!$B$2:$B$1000=$A59)*Final_Merged_Data!$I$2:$I$1000*Final_Merged_Data!$F$2:$F$1000)/F59</f>
        <v>76.47</v>
      </c>
      <c r="J59" t="str" cm="1">
        <f t="array" ref="J59">_xlfn.TEXTJOIN(", ",TRUE,_xlfn.UNIQUE(_xlfn._xlws.FILTER(Final_Merged_Data!$J$2:$J$1000,Final_Merged_Data!$B$2:$B$1000=$A59)))</f>
        <v>Chittagong Range</v>
      </c>
      <c r="K59" cm="1">
        <f t="array" ref="K59">SUMPRODUCT((Final_Merged_Data!$B$2:$B$1000=$A59)*Final_Merged_Data!$K$2:$K$1000*Final_Merged_Data!$F$2:$F$1000)/F59</f>
        <v>84.879645400600893</v>
      </c>
      <c r="L59" cm="1">
        <f t="array" ref="L59">SUMPRODUCT((Final_Merged_Data!$B$2:$B$1000=$A59)*Final_Merged_Data!$L$2:$L$1000*Final_Merged_Data!$F$2:$F$1000)/F59</f>
        <v>10.309673910686193</v>
      </c>
      <c r="M59" t="str">
        <f>IF(COUNTIF(Master_Data!$C:$C,$A59)&gt;0,"Found","Missing")</f>
        <v>Found</v>
      </c>
      <c r="N59" t="str">
        <f>_xlfn.XLOOKUP($A59,Master_Data!$C:$C,Master_Data!$D:$D,"CHECK",0)</f>
        <v>Md. Mobaswer Alam Bhuiyan</v>
      </c>
      <c r="O59" t="str">
        <f>_xlfn.XLOOKUP($A59,Master_Data!$C:$C,Master_Data!$E:$E,"CHECK",0)</f>
        <v>BNP</v>
      </c>
      <c r="P59">
        <f>_xlfn.XLOOKUP($A59,Master_Data!$C:$C,Master_Data!$F:$F,"CHECK",0)</f>
        <v>1</v>
      </c>
      <c r="Q59">
        <f>_xlfn.XLOOKUP($A59,Master_Data!$C:$C,Master_Data!$G:$G,"CHECK",0)</f>
        <v>163667</v>
      </c>
      <c r="R59">
        <f>IFERROR(_xlfn.XLOOKUP($A59,Master_Data!$C:$C,Master_Data!$H:$H,"CHECK",0),"")</f>
        <v>56.947459986082116</v>
      </c>
      <c r="S59" t="str">
        <f>_xlfn.XLOOKUP($A59,Master_Data!$C:$C,Master_Data!$I:$I,"CHECK",0)</f>
        <v>Mohammad Ibrahim Abrar</v>
      </c>
      <c r="T59">
        <f>_xlfn.XLOOKUP($A59,Master_Data!$C:$C,Master_Data!$K:$K,"CHECK",0)</f>
        <v>123733</v>
      </c>
      <c r="U59">
        <f>IFERROR(_xlfn.XLOOKUP($A59,Master_Data!$C:$C,Master_Data!$L:$L,"CHECK",0),"")</f>
        <v>43.052540013917884</v>
      </c>
      <c r="V59">
        <f>_xlfn.XLOOKUP($A59,Master_Data!$C:$C,Master_Data!$M:$M,"CHECK",0)</f>
        <v>39934</v>
      </c>
      <c r="W59">
        <f>IFERROR(_xlfn.XLOOKUP($A59,Master_Data!$C:$C,Master_Data!$N:$N,"CHECK",0),"")</f>
        <v>13.89491997216423</v>
      </c>
      <c r="X59" t="str">
        <f>IFERROR(_xlfn.XLOOKUP($A59,Master_Data!$C:$C,Master_Data!$O:$O,"CHECK",0),"No Result")</f>
        <v>Safe Seat</v>
      </c>
      <c r="Y59">
        <f>_xlfn.XLOOKUP($A59,Master_Data!$C:$C,Master_Data!$P:$P,"CHECK",0)</f>
        <v>0</v>
      </c>
      <c r="Z59">
        <f t="shared" si="1"/>
        <v>1</v>
      </c>
      <c r="AA59">
        <f>_xlfn.XLOOKUP(B59,Remittance_Data!A:A,Remittance_Data!B:B,"CHECK")</f>
        <v>441125</v>
      </c>
      <c r="AB59">
        <f>_xlfn.XLOOKUP(B59,Remittance_Data!A:A,Remittance_Data!C:C,"CHECK")</f>
        <v>375176</v>
      </c>
      <c r="AC59">
        <f>_xlfn.XLOOKUP(B59,Remittance_Data!A:A,Remittance_Data!D:D,"CHECK")</f>
        <v>65949</v>
      </c>
    </row>
    <row r="60" spans="1:29">
      <c r="A60" t="str">
        <v>Comilla-11</v>
      </c>
      <c r="B60" t="str" cm="1">
        <f t="array" ref="B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Nawabganj","Chapainawabganj"),Final_Merged_Data!$B$2:$B$1000=$A60)))</f>
        <v>Comilla</v>
      </c>
      <c r="C60" t="str" cm="1">
        <f t="array" ref="C60">_xlfn.TEXTJOIN(", ",TRUE,_xlfn._xlws.FILTER(Final_Merged_Data!$C$2:$C$1000,Final_Merged_Data!$B$2:$B$1000=$A60))</f>
        <v>Chauddagram</v>
      </c>
      <c r="D60" cm="1">
        <f t="array" ref="D60">COUNTA(_xlfn._xlws.FILTER(Final_Merged_Data!$C$2:$C$1000,Final_Merged_Data!$B$2:$B$1000=$A60))</f>
        <v>1</v>
      </c>
      <c r="E60">
        <f>SUMIFS(Final_Merged_Data!$E:$E,Final_Merged_Data!$B:$B,$A60)</f>
        <v>271.91000000000003</v>
      </c>
      <c r="F60">
        <f>SUMIFS(Final_Merged_Data!$F:$F,Final_Merged_Data!$B:$B,$A60)</f>
        <v>501803</v>
      </c>
      <c r="G60">
        <f t="shared" si="0"/>
        <v>1845.4746055680187</v>
      </c>
      <c r="H60" cm="1">
        <f t="array" ref="H60">SUMPRODUCT((Final_Merged_Data!$B$2:$B$1000=$A60)*Final_Merged_Data!$H$2:$H$1000*Final_Merged_Data!$F$2:$F$1000)/F60</f>
        <v>4.41</v>
      </c>
      <c r="I60" cm="1">
        <f t="array" ref="I60">SUMPRODUCT((Final_Merged_Data!$B$2:$B$1000=$A60)*Final_Merged_Data!$I$2:$I$1000*Final_Merged_Data!$F$2:$F$1000)/F60</f>
        <v>79.290000000000006</v>
      </c>
      <c r="J60" t="str" cm="1">
        <f t="array" ref="J60">_xlfn.TEXTJOIN(", ",TRUE,_xlfn.UNIQUE(_xlfn._xlws.FILTER(Final_Merged_Data!$J$2:$J$1000,Final_Merged_Data!$B$2:$B$1000=$A60)))</f>
        <v>Chittagong Range</v>
      </c>
      <c r="K60" cm="1">
        <f t="array" ref="K60">SUMPRODUCT((Final_Merged_Data!$B$2:$B$1000=$A60)*Final_Merged_Data!$K$2:$K$1000*Final_Merged_Data!$F$2:$F$1000)/F60</f>
        <v>84.879645400600893</v>
      </c>
      <c r="L60" cm="1">
        <f t="array" ref="L60">SUMPRODUCT((Final_Merged_Data!$B$2:$B$1000=$A60)*Final_Merged_Data!$L$2:$L$1000*Final_Merged_Data!$F$2:$F$1000)/F60</f>
        <v>10.309673910686193</v>
      </c>
      <c r="M60" t="str">
        <f>IF(COUNTIF(Master_Data!$C:$C,$A60)&gt;0,"Found","Missing")</f>
        <v>Found</v>
      </c>
      <c r="N60" t="str">
        <f>_xlfn.XLOOKUP($A60,Master_Data!$C:$C,Master_Data!$D:$D,"CHECK",0)</f>
        <v>Syed Abdullah Muhammad Taher</v>
      </c>
      <c r="O60" t="str">
        <f>_xlfn.XLOOKUP($A60,Master_Data!$C:$C,Master_Data!$E:$E,"CHECK",0)</f>
        <v>Jamaat</v>
      </c>
      <c r="P60">
        <f>_xlfn.XLOOKUP($A60,Master_Data!$C:$C,Master_Data!$F:$F,"CHECK",0)</f>
        <v>2</v>
      </c>
      <c r="Q60">
        <f>_xlfn.XLOOKUP($A60,Master_Data!$C:$C,Master_Data!$G:$G,"CHECK",0)</f>
        <v>133308</v>
      </c>
      <c r="R60">
        <f>IFERROR(_xlfn.XLOOKUP($A60,Master_Data!$C:$C,Master_Data!$H:$H,"CHECK",0),"")</f>
        <v>63.496327627104108</v>
      </c>
      <c r="S60" t="str">
        <f>_xlfn.XLOOKUP($A60,Master_Data!$C:$C,Master_Data!$I:$I,"CHECK",0)</f>
        <v>Md. Kamrul Huda</v>
      </c>
      <c r="T60">
        <f>_xlfn.XLOOKUP($A60,Master_Data!$C:$C,Master_Data!$K:$K,"CHECK",0)</f>
        <v>76638</v>
      </c>
      <c r="U60">
        <f>IFERROR(_xlfn.XLOOKUP($A60,Master_Data!$C:$C,Master_Data!$L:$L,"CHECK",0),"")</f>
        <v>36.503672372895892</v>
      </c>
      <c r="V60">
        <f>_xlfn.XLOOKUP($A60,Master_Data!$C:$C,Master_Data!$M:$M,"CHECK",0)</f>
        <v>56670</v>
      </c>
      <c r="W60">
        <f>IFERROR(_xlfn.XLOOKUP($A60,Master_Data!$C:$C,Master_Data!$N:$N,"CHECK",0),"")</f>
        <v>26.992655254208227</v>
      </c>
      <c r="X60" t="str">
        <f>IFERROR(_xlfn.XLOOKUP($A60,Master_Data!$C:$C,Master_Data!$O:$O,"CHECK",0),"No Result")</f>
        <v>Safe Seat</v>
      </c>
      <c r="Y60">
        <f>_xlfn.XLOOKUP($A60,Master_Data!$C:$C,Master_Data!$P:$P,"CHECK",0)</f>
        <v>0</v>
      </c>
      <c r="Z60">
        <f t="shared" si="1"/>
        <v>1</v>
      </c>
      <c r="AA60">
        <f>_xlfn.XLOOKUP(B60,Remittance_Data!A:A,Remittance_Data!B:B,"CHECK")</f>
        <v>441125</v>
      </c>
      <c r="AB60">
        <f>_xlfn.XLOOKUP(B60,Remittance_Data!A:A,Remittance_Data!C:C,"CHECK")</f>
        <v>375176</v>
      </c>
      <c r="AC60">
        <f>_xlfn.XLOOKUP(B60,Remittance_Data!A:A,Remittance_Data!D:D,"CHECK")</f>
        <v>65949</v>
      </c>
    </row>
    <row r="61" spans="1:29">
      <c r="A61" t="str">
        <v>Comilla-2</v>
      </c>
      <c r="B61" t="str" cm="1">
        <f t="array" ref="B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Nawabganj","Chapainawabganj"),Final_Merged_Data!$B$2:$B$1000=$A61)))</f>
        <v>Comilla</v>
      </c>
      <c r="C61" t="str" cm="1">
        <f t="array" ref="C61">_xlfn.TEXTJOIN(", ",TRUE,_xlfn._xlws.FILTER(Final_Merged_Data!$C$2:$C$1000,Final_Merged_Data!$B$2:$B$1000=$A61))</f>
        <v>Homna, Titas</v>
      </c>
      <c r="D61" cm="1">
        <f t="array" ref="D61">COUNTA(_xlfn._xlws.FILTER(Final_Merged_Data!$C$2:$C$1000,Final_Merged_Data!$B$2:$B$1000=$A61))</f>
        <v>2</v>
      </c>
      <c r="E61">
        <f>SUMIFS(Final_Merged_Data!$E:$E,Final_Merged_Data!$B:$B,$A61)</f>
        <v>520.6</v>
      </c>
      <c r="F61">
        <f>SUMIFS(Final_Merged_Data!$F:$F,Final_Merged_Data!$B:$B,$A61)</f>
        <v>431469</v>
      </c>
      <c r="G61">
        <f t="shared" si="0"/>
        <v>828.79177871686511</v>
      </c>
      <c r="H61" cm="1">
        <f t="array" ref="H61">SUMPRODUCT((Final_Merged_Data!$B$2:$B$1000=$A61)*Final_Merged_Data!$H$2:$H$1000*Final_Merged_Data!$F$2:$F$1000)/F61</f>
        <v>4.2247266431655577</v>
      </c>
      <c r="I61" cm="1">
        <f t="array" ref="I61">SUMPRODUCT((Final_Merged_Data!$B$2:$B$1000=$A61)*Final_Merged_Data!$I$2:$I$1000*Final_Merged_Data!$F$2:$F$1000)/F61</f>
        <v>67.094775244571451</v>
      </c>
      <c r="J61" t="str" cm="1">
        <f t="array" ref="J61">_xlfn.TEXTJOIN(", ",TRUE,_xlfn.UNIQUE(_xlfn._xlws.FILTER(Final_Merged_Data!$J$2:$J$1000,Final_Merged_Data!$B$2:$B$1000=$A61)))</f>
        <v>Chittagong Range</v>
      </c>
      <c r="K61" cm="1">
        <f t="array" ref="K61">SUMPRODUCT((Final_Merged_Data!$B$2:$B$1000=$A61)*Final_Merged_Data!$K$2:$K$1000*Final_Merged_Data!$F$2:$F$1000)/F61</f>
        <v>84.879645400600879</v>
      </c>
      <c r="L61" cm="1">
        <f t="array" ref="L61">SUMPRODUCT((Final_Merged_Data!$B$2:$B$1000=$A61)*Final_Merged_Data!$L$2:$L$1000*Final_Merged_Data!$F$2:$F$1000)/F61</f>
        <v>10.309673910686193</v>
      </c>
      <c r="M61" t="str">
        <f>IF(COUNTIF(Master_Data!$C:$C,$A61)&gt;0,"Found","Missing")</f>
        <v>Found</v>
      </c>
      <c r="N61" t="str">
        <f>_xlfn.XLOOKUP($A61,Master_Data!$C:$C,Master_Data!$D:$D,"CHECK",0)</f>
        <v>Md. Abdul Mannan[disambiguation needed]</v>
      </c>
      <c r="O61" t="str">
        <f>_xlfn.XLOOKUP($A61,Master_Data!$C:$C,Master_Data!$E:$E,"CHECK",0)</f>
        <v>BNP</v>
      </c>
      <c r="P61">
        <f>_xlfn.XLOOKUP($A61,Master_Data!$C:$C,Master_Data!$F:$F,"CHECK",0)</f>
        <v>1</v>
      </c>
      <c r="Q61">
        <f>_xlfn.XLOOKUP($A61,Master_Data!$C:$C,Master_Data!$G:$G,"CHECK",0)</f>
        <v>77037</v>
      </c>
      <c r="R61">
        <f>IFERROR(_xlfn.XLOOKUP($A61,Master_Data!$C:$C,Master_Data!$H:$H,"CHECK",0),"")</f>
        <v>54.99421767250611</v>
      </c>
      <c r="S61" t="str">
        <f>_xlfn.XLOOKUP($A61,Master_Data!$C:$C,Master_Data!$I:$I,"CHECK",0)</f>
        <v>Md. Abdul Matin</v>
      </c>
      <c r="T61">
        <f>_xlfn.XLOOKUP($A61,Master_Data!$C:$C,Master_Data!$K:$K,"CHECK",0)</f>
        <v>63045</v>
      </c>
      <c r="U61">
        <f>IFERROR(_xlfn.XLOOKUP($A61,Master_Data!$C:$C,Master_Data!$L:$L,"CHECK",0),"")</f>
        <v>45.005782327493897</v>
      </c>
      <c r="V61">
        <f>_xlfn.XLOOKUP($A61,Master_Data!$C:$C,Master_Data!$M:$M,"CHECK",0)</f>
        <v>13992</v>
      </c>
      <c r="W61">
        <f>IFERROR(_xlfn.XLOOKUP($A61,Master_Data!$C:$C,Master_Data!$N:$N,"CHECK",0),"")</f>
        <v>9.9884353450122081</v>
      </c>
      <c r="X61" t="str">
        <f>IFERROR(_xlfn.XLOOKUP($A61,Master_Data!$C:$C,Master_Data!$O:$O,"CHECK",0),"No Result")</f>
        <v>Safe Seat</v>
      </c>
      <c r="Y61">
        <f>_xlfn.XLOOKUP($A61,Master_Data!$C:$C,Master_Data!$P:$P,"CHECK",0)</f>
        <v>0</v>
      </c>
      <c r="Z61">
        <f t="shared" si="1"/>
        <v>1</v>
      </c>
      <c r="AA61">
        <f>_xlfn.XLOOKUP(B61,Remittance_Data!A:A,Remittance_Data!B:B,"CHECK")</f>
        <v>441125</v>
      </c>
      <c r="AB61">
        <f>_xlfn.XLOOKUP(B61,Remittance_Data!A:A,Remittance_Data!C:C,"CHECK")</f>
        <v>375176</v>
      </c>
      <c r="AC61">
        <f>_xlfn.XLOOKUP(B61,Remittance_Data!A:A,Remittance_Data!D:D,"CHECK")</f>
        <v>65949</v>
      </c>
    </row>
    <row r="62" spans="1:29">
      <c r="A62" t="str">
        <v>Comilla-3</v>
      </c>
      <c r="B62" t="str" cm="1">
        <f t="array" ref="B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Nawabganj","Chapainawabganj"),Final_Merged_Data!$B$2:$B$1000=$A62)))</f>
        <v>Comilla</v>
      </c>
      <c r="C62" t="str" cm="1">
        <f t="array" ref="C62">_xlfn.TEXTJOIN(", ",TRUE,_xlfn._xlws.FILTER(Final_Merged_Data!$C$2:$C$1000,Final_Merged_Data!$B$2:$B$1000=$A62))</f>
        <v>Muradnagar</v>
      </c>
      <c r="D62" cm="1">
        <f t="array" ref="D62">COUNTA(_xlfn._xlws.FILTER(Final_Merged_Data!$C$2:$C$1000,Final_Merged_Data!$B$2:$B$1000=$A62))</f>
        <v>1</v>
      </c>
      <c r="E62">
        <f>SUMIFS(Final_Merged_Data!$E:$E,Final_Merged_Data!$B:$B,$A62)</f>
        <v>340.68</v>
      </c>
      <c r="F62">
        <f>SUMIFS(Final_Merged_Data!$F:$F,Final_Merged_Data!$B:$B,$A62)</f>
        <v>582934</v>
      </c>
      <c r="G62">
        <f t="shared" si="0"/>
        <v>1711.0895855348126</v>
      </c>
      <c r="H62" cm="1">
        <f t="array" ref="H62">SUMPRODUCT((Final_Merged_Data!$B$2:$B$1000=$A62)*Final_Merged_Data!$H$2:$H$1000*Final_Merged_Data!$F$2:$F$1000)/F62</f>
        <v>4.33</v>
      </c>
      <c r="I62" cm="1">
        <f t="array" ref="I62">SUMPRODUCT((Final_Merged_Data!$B$2:$B$1000=$A62)*Final_Merged_Data!$I$2:$I$1000*Final_Merged_Data!$F$2:$F$1000)/F62</f>
        <v>72.36</v>
      </c>
      <c r="J62" t="str" cm="1">
        <f t="array" ref="J62">_xlfn.TEXTJOIN(", ",TRUE,_xlfn.UNIQUE(_xlfn._xlws.FILTER(Final_Merged_Data!$J$2:$J$1000,Final_Merged_Data!$B$2:$B$1000=$A62)))</f>
        <v>Chittagong Range</v>
      </c>
      <c r="K62" cm="1">
        <f t="array" ref="K62">SUMPRODUCT((Final_Merged_Data!$B$2:$B$1000=$A62)*Final_Merged_Data!$K$2:$K$1000*Final_Merged_Data!$F$2:$F$1000)/F62</f>
        <v>84.879645400600893</v>
      </c>
      <c r="L62" cm="1">
        <f t="array" ref="L62">SUMPRODUCT((Final_Merged_Data!$B$2:$B$1000=$A62)*Final_Merged_Data!$L$2:$L$1000*Final_Merged_Data!$F$2:$F$1000)/F62</f>
        <v>10.309673910686193</v>
      </c>
      <c r="M62" t="str">
        <f>IF(COUNTIF(Master_Data!$C:$C,$A62)&gt;0,"Found","Missing")</f>
        <v>Found</v>
      </c>
      <c r="N62" t="str">
        <f>_xlfn.XLOOKUP($A62,Master_Data!$C:$C,Master_Data!$D:$D,"CHECK",0)</f>
        <v>Kazi Shah Mofazzal Hossain Kaikobad</v>
      </c>
      <c r="O62" t="str">
        <f>_xlfn.XLOOKUP($A62,Master_Data!$C:$C,Master_Data!$E:$E,"CHECK",0)</f>
        <v>BNP</v>
      </c>
      <c r="P62">
        <f>_xlfn.XLOOKUP($A62,Master_Data!$C:$C,Master_Data!$F:$F,"CHECK",0)</f>
        <v>1</v>
      </c>
      <c r="Q62">
        <f>_xlfn.XLOOKUP($A62,Master_Data!$C:$C,Master_Data!$G:$G,"CHECK",0)</f>
        <v>159291</v>
      </c>
      <c r="R62">
        <f>IFERROR(_xlfn.XLOOKUP($A62,Master_Data!$C:$C,Master_Data!$H:$H,"CHECK",0),"")</f>
        <v>59.24020975119938</v>
      </c>
      <c r="S62" t="str">
        <f>_xlfn.XLOOKUP($A62,Master_Data!$C:$C,Master_Data!$I:$I,"CHECK",0)</f>
        <v>Md. Yusuf Sohail</v>
      </c>
      <c r="T62">
        <f>_xlfn.XLOOKUP($A62,Master_Data!$C:$C,Master_Data!$K:$K,"CHECK",0)</f>
        <v>109599</v>
      </c>
      <c r="U62">
        <f>IFERROR(_xlfn.XLOOKUP($A62,Master_Data!$C:$C,Master_Data!$L:$L,"CHECK",0),"")</f>
        <v>40.759790248800627</v>
      </c>
      <c r="V62">
        <f>_xlfn.XLOOKUP($A62,Master_Data!$C:$C,Master_Data!$M:$M,"CHECK",0)</f>
        <v>49692</v>
      </c>
      <c r="W62">
        <f>IFERROR(_xlfn.XLOOKUP($A62,Master_Data!$C:$C,Master_Data!$N:$N,"CHECK",0),"")</f>
        <v>18.48041950239875</v>
      </c>
      <c r="X62" t="str">
        <f>IFERROR(_xlfn.XLOOKUP($A62,Master_Data!$C:$C,Master_Data!$O:$O,"CHECK",0),"No Result")</f>
        <v>Safe Seat</v>
      </c>
      <c r="Y62">
        <f>_xlfn.XLOOKUP($A62,Master_Data!$C:$C,Master_Data!$P:$P,"CHECK",0)</f>
        <v>0</v>
      </c>
      <c r="Z62">
        <f t="shared" si="1"/>
        <v>1</v>
      </c>
      <c r="AA62">
        <f>_xlfn.XLOOKUP(B62,Remittance_Data!A:A,Remittance_Data!B:B,"CHECK")</f>
        <v>441125</v>
      </c>
      <c r="AB62">
        <f>_xlfn.XLOOKUP(B62,Remittance_Data!A:A,Remittance_Data!C:C,"CHECK")</f>
        <v>375176</v>
      </c>
      <c r="AC62">
        <f>_xlfn.XLOOKUP(B62,Remittance_Data!A:A,Remittance_Data!D:D,"CHECK")</f>
        <v>65949</v>
      </c>
    </row>
    <row r="63" spans="1:29">
      <c r="A63" t="str">
        <v>Comilla-4</v>
      </c>
      <c r="B63" t="str" cm="1">
        <f t="array" ref="B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Nawabganj","Chapainawabganj"),Final_Merged_Data!$B$2:$B$1000=$A63)))</f>
        <v>Comilla</v>
      </c>
      <c r="C63" t="str" cm="1">
        <f t="array" ref="C63">_xlfn.TEXTJOIN(", ",TRUE,_xlfn._xlws.FILTER(Final_Merged_Data!$C$2:$C$1000,Final_Merged_Data!$B$2:$B$1000=$A63))</f>
        <v>Debidwar</v>
      </c>
      <c r="D63" cm="1">
        <f t="array" ref="D63">COUNTA(_xlfn._xlws.FILTER(Final_Merged_Data!$C$2:$C$1000,Final_Merged_Data!$B$2:$B$1000=$A63))</f>
        <v>1</v>
      </c>
      <c r="E63">
        <f>SUMIFS(Final_Merged_Data!$E:$E,Final_Merged_Data!$B:$B,$A63)</f>
        <v>148.41</v>
      </c>
      <c r="F63">
        <f>SUMIFS(Final_Merged_Data!$F:$F,Final_Merged_Data!$B:$B,$A63)</f>
        <v>471917</v>
      </c>
      <c r="G63">
        <f t="shared" si="0"/>
        <v>3179.8194191766056</v>
      </c>
      <c r="H63" cm="1">
        <f t="array" ref="H63">SUMPRODUCT((Final_Merged_Data!$B$2:$B$1000=$A63)*Final_Merged_Data!$H$2:$H$1000*Final_Merged_Data!$F$2:$F$1000)/F63</f>
        <v>4.3499999999999996</v>
      </c>
      <c r="I63" cm="1">
        <f t="array" ref="I63">SUMPRODUCT((Final_Merged_Data!$B$2:$B$1000=$A63)*Final_Merged_Data!$I$2:$I$1000*Final_Merged_Data!$F$2:$F$1000)/F63</f>
        <v>76.56</v>
      </c>
      <c r="J63" t="str" cm="1">
        <f t="array" ref="J63">_xlfn.TEXTJOIN(", ",TRUE,_xlfn.UNIQUE(_xlfn._xlws.FILTER(Final_Merged_Data!$J$2:$J$1000,Final_Merged_Data!$B$2:$B$1000=$A63)))</f>
        <v>Chittagong Range</v>
      </c>
      <c r="K63" cm="1">
        <f t="array" ref="K63">SUMPRODUCT((Final_Merged_Data!$B$2:$B$1000=$A63)*Final_Merged_Data!$K$2:$K$1000*Final_Merged_Data!$F$2:$F$1000)/F63</f>
        <v>84.879645400600893</v>
      </c>
      <c r="L63" cm="1">
        <f t="array" ref="L63">SUMPRODUCT((Final_Merged_Data!$B$2:$B$1000=$A63)*Final_Merged_Data!$L$2:$L$1000*Final_Merged_Data!$F$2:$F$1000)/F63</f>
        <v>10.309673910686193</v>
      </c>
      <c r="M63" t="str">
        <f>IF(COUNTIF(Master_Data!$C:$C,$A63)&gt;0,"Found","Missing")</f>
        <v>Found</v>
      </c>
      <c r="N63" t="str">
        <f>_xlfn.XLOOKUP($A63,Master_Data!$C:$C,Master_Data!$D:$D,"CHECK",0)</f>
        <v>Hasnat Abdullah</v>
      </c>
      <c r="O63" t="str">
        <f>_xlfn.XLOOKUP($A63,Master_Data!$C:$C,Master_Data!$E:$E,"CHECK",0)</f>
        <v>NCP</v>
      </c>
      <c r="P63">
        <f>_xlfn.XLOOKUP($A63,Master_Data!$C:$C,Master_Data!$F:$F,"CHECK",0)</f>
        <v>0</v>
      </c>
      <c r="Q63">
        <f>_xlfn.XLOOKUP($A63,Master_Data!$C:$C,Master_Data!$G:$G,"CHECK",0)</f>
        <v>166583</v>
      </c>
      <c r="R63">
        <f>IFERROR(_xlfn.XLOOKUP($A63,Master_Data!$C:$C,Master_Data!$H:$H,"CHECK",0),"")</f>
        <v>76.955023375279481</v>
      </c>
      <c r="S63" t="str">
        <f>_xlfn.XLOOKUP($A63,Master_Data!$C:$C,Master_Data!$I:$I,"CHECK",0)</f>
        <v>Md. Jasim Uddin</v>
      </c>
      <c r="T63">
        <f>_xlfn.XLOOKUP($A63,Master_Data!$C:$C,Master_Data!$K:$K,"CHECK",0)</f>
        <v>49885</v>
      </c>
      <c r="U63">
        <f>IFERROR(_xlfn.XLOOKUP($A63,Master_Data!$C:$C,Master_Data!$L:$L,"CHECK",0),"")</f>
        <v>23.044976624720512</v>
      </c>
      <c r="V63">
        <f>_xlfn.XLOOKUP($A63,Master_Data!$C:$C,Master_Data!$M:$M,"CHECK",0)</f>
        <v>116698</v>
      </c>
      <c r="W63">
        <f>IFERROR(_xlfn.XLOOKUP($A63,Master_Data!$C:$C,Master_Data!$N:$N,"CHECK",0),"")</f>
        <v>53.910046750558969</v>
      </c>
      <c r="X63" t="str">
        <f>IFERROR(_xlfn.XLOOKUP($A63,Master_Data!$C:$C,Master_Data!$O:$O,"CHECK",0),"No Result")</f>
        <v>Safe Seat</v>
      </c>
      <c r="Y63">
        <f>_xlfn.XLOOKUP($A63,Master_Data!$C:$C,Master_Data!$P:$P,"CHECK",0)</f>
        <v>0</v>
      </c>
      <c r="Z63">
        <f t="shared" si="1"/>
        <v>1</v>
      </c>
      <c r="AA63">
        <f>_xlfn.XLOOKUP(B63,Remittance_Data!A:A,Remittance_Data!B:B,"CHECK")</f>
        <v>441125</v>
      </c>
      <c r="AB63">
        <f>_xlfn.XLOOKUP(B63,Remittance_Data!A:A,Remittance_Data!C:C,"CHECK")</f>
        <v>375176</v>
      </c>
      <c r="AC63">
        <f>_xlfn.XLOOKUP(B63,Remittance_Data!A:A,Remittance_Data!D:D,"CHECK")</f>
        <v>65949</v>
      </c>
    </row>
    <row r="64" spans="1:29">
      <c r="A64" t="str">
        <v>Comilla-5</v>
      </c>
      <c r="B64" t="str" cm="1">
        <f t="array" ref="B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Nawabganj","Chapainawabganj"),Final_Merged_Data!$B$2:$B$1000=$A64)))</f>
        <v>Comilla</v>
      </c>
      <c r="C64" t="str" cm="1">
        <f t="array" ref="C64">_xlfn.TEXTJOIN(", ",TRUE,_xlfn._xlws.FILTER(Final_Merged_Data!$C$2:$C$1000,Final_Merged_Data!$B$2:$B$1000=$A64))</f>
        <v>Brahmanpara, Burichang</v>
      </c>
      <c r="D64" cm="1">
        <f t="array" ref="D64">COUNTA(_xlfn._xlws.FILTER(Final_Merged_Data!$C$2:$C$1000,Final_Merged_Data!$B$2:$B$1000=$A64))</f>
        <v>2</v>
      </c>
      <c r="E64">
        <f>SUMIFS(Final_Merged_Data!$E:$E,Final_Merged_Data!$B:$B,$A64)</f>
        <v>545.97</v>
      </c>
      <c r="F64">
        <f>SUMIFS(Final_Merged_Data!$F:$F,Final_Merged_Data!$B:$B,$A64)</f>
        <v>582254</v>
      </c>
      <c r="G64">
        <f t="shared" si="0"/>
        <v>1066.4578639852007</v>
      </c>
      <c r="H64" cm="1">
        <f t="array" ref="H64">SUMPRODUCT((Final_Merged_Data!$B$2:$B$1000=$A64)*Final_Merged_Data!$H$2:$H$1000*Final_Merged_Data!$F$2:$F$1000)/F64</f>
        <v>4.4699290000583938</v>
      </c>
      <c r="I64" cm="1">
        <f t="array" ref="I64">SUMPRODUCT((Final_Merged_Data!$B$2:$B$1000=$A64)*Final_Merged_Data!$I$2:$I$1000*Final_Merged_Data!$F$2:$F$1000)/F64</f>
        <v>78.703098132430185</v>
      </c>
      <c r="J64" t="str" cm="1">
        <f t="array" ref="J64">_xlfn.TEXTJOIN(", ",TRUE,_xlfn.UNIQUE(_xlfn._xlws.FILTER(Final_Merged_Data!$J$2:$J$1000,Final_Merged_Data!$B$2:$B$1000=$A64)))</f>
        <v>Chittagong Range</v>
      </c>
      <c r="K64" cm="1">
        <f t="array" ref="K64">SUMPRODUCT((Final_Merged_Data!$B$2:$B$1000=$A64)*Final_Merged_Data!$K$2:$K$1000*Final_Merged_Data!$F$2:$F$1000)/F64</f>
        <v>84.879645400600879</v>
      </c>
      <c r="L64" cm="1">
        <f t="array" ref="L64">SUMPRODUCT((Final_Merged_Data!$B$2:$B$1000=$A64)*Final_Merged_Data!$L$2:$L$1000*Final_Merged_Data!$F$2:$F$1000)/F64</f>
        <v>10.309673910686193</v>
      </c>
      <c r="M64" t="str">
        <f>IF(COUNTIF(Master_Data!$C:$C,$A64)&gt;0,"Found","Missing")</f>
        <v>Found</v>
      </c>
      <c r="N64" t="str">
        <f>_xlfn.XLOOKUP($A64,Master_Data!$C:$C,Master_Data!$D:$D,"CHECK",0)</f>
        <v>Md. Jashim Uddin</v>
      </c>
      <c r="O64" t="str">
        <f>_xlfn.XLOOKUP($A64,Master_Data!$C:$C,Master_Data!$E:$E,"CHECK",0)</f>
        <v>BNP</v>
      </c>
      <c r="P64">
        <f>_xlfn.XLOOKUP($A64,Master_Data!$C:$C,Master_Data!$F:$F,"CHECK",0)</f>
        <v>1</v>
      </c>
      <c r="Q64">
        <f>_xlfn.XLOOKUP($A64,Master_Data!$C:$C,Master_Data!$G:$G,"CHECK",0)</f>
        <v>134485</v>
      </c>
      <c r="R64">
        <f>IFERROR(_xlfn.XLOOKUP($A64,Master_Data!$C:$C,Master_Data!$H:$H,"CHECK",0),"")</f>
        <v>51.910279767786562</v>
      </c>
      <c r="S64" t="str">
        <f>_xlfn.XLOOKUP($A64,Master_Data!$C:$C,Master_Data!$I:$I,"CHECK",0)</f>
        <v>Mubarak Hossain</v>
      </c>
      <c r="T64">
        <f>_xlfn.XLOOKUP($A64,Master_Data!$C:$C,Master_Data!$K:$K,"CHECK",0)</f>
        <v>124587</v>
      </c>
      <c r="U64">
        <f>IFERROR(_xlfn.XLOOKUP($A64,Master_Data!$C:$C,Master_Data!$L:$L,"CHECK",0),"")</f>
        <v>48.089720232213438</v>
      </c>
      <c r="V64">
        <f>_xlfn.XLOOKUP($A64,Master_Data!$C:$C,Master_Data!$M:$M,"CHECK",0)</f>
        <v>9898</v>
      </c>
      <c r="W64">
        <f>IFERROR(_xlfn.XLOOKUP($A64,Master_Data!$C:$C,Master_Data!$N:$N,"CHECK",0),"")</f>
        <v>3.8205595355731226</v>
      </c>
      <c r="X64" t="str">
        <f>IFERROR(_xlfn.XLOOKUP($A64,Master_Data!$C:$C,Master_Data!$O:$O,"CHECK",0),"No Result")</f>
        <v>Highly Competitive</v>
      </c>
      <c r="Y64">
        <f>_xlfn.XLOOKUP($A64,Master_Data!$C:$C,Master_Data!$P:$P,"CHECK",0)</f>
        <v>0</v>
      </c>
      <c r="Z64">
        <f t="shared" si="1"/>
        <v>1</v>
      </c>
      <c r="AA64">
        <f>_xlfn.XLOOKUP(B64,Remittance_Data!A:A,Remittance_Data!B:B,"CHECK")</f>
        <v>441125</v>
      </c>
      <c r="AB64">
        <f>_xlfn.XLOOKUP(B64,Remittance_Data!A:A,Remittance_Data!C:C,"CHECK")</f>
        <v>375176</v>
      </c>
      <c r="AC64">
        <f>_xlfn.XLOOKUP(B64,Remittance_Data!A:A,Remittance_Data!D:D,"CHECK")</f>
        <v>65949</v>
      </c>
    </row>
    <row r="65" spans="1:29">
      <c r="A65" t="str">
        <v>Comilla-6</v>
      </c>
      <c r="B65" t="str" cm="1">
        <f t="array" ref="B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Nawabganj","Chapainawabganj"),Final_Merged_Data!$B$2:$B$1000=$A65)))</f>
        <v>Comilla</v>
      </c>
      <c r="C65" t="str" cm="1">
        <f t="array" ref="C65">_xlfn.TEXTJOIN(", ",TRUE,_xlfn._xlws.FILTER(Final_Merged_Data!$C$2:$C$1000,Final_Merged_Data!$B$2:$B$1000=$A65))</f>
        <v>Adarsha Sadar</v>
      </c>
      <c r="D65" cm="1">
        <f t="array" ref="D65">COUNTA(_xlfn._xlws.FILTER(Final_Merged_Data!$C$2:$C$1000,Final_Merged_Data!$B$2:$B$1000=$A65))</f>
        <v>1</v>
      </c>
      <c r="E65">
        <f>SUMIFS(Final_Merged_Data!$E:$E,Final_Merged_Data!$B:$B,$A65)</f>
        <v>362.44</v>
      </c>
      <c r="F65">
        <f>SUMIFS(Final_Merged_Data!$F:$F,Final_Merged_Data!$B:$B,$A65)</f>
        <v>388414</v>
      </c>
      <c r="G65">
        <f t="shared" si="0"/>
        <v>1071.6642754662842</v>
      </c>
      <c r="H65" cm="1">
        <f t="array" ref="H65">SUMPRODUCT((Final_Merged_Data!$B$2:$B$1000=$A65)*Final_Merged_Data!$H$2:$H$1000*Final_Merged_Data!$F$2:$F$1000)/F65</f>
        <v>4.3499999999999996</v>
      </c>
      <c r="I65" cm="1">
        <f t="array" ref="I65">SUMPRODUCT((Final_Merged_Data!$B$2:$B$1000=$A65)*Final_Merged_Data!$I$2:$I$1000*Final_Merged_Data!$F$2:$F$1000)/F65</f>
        <v>81.069999999999993</v>
      </c>
      <c r="J65" t="str" cm="1">
        <f t="array" ref="J65">_xlfn.TEXTJOIN(", ",TRUE,_xlfn.UNIQUE(_xlfn._xlws.FILTER(Final_Merged_Data!$J$2:$J$1000,Final_Merged_Data!$B$2:$B$1000=$A65)))</f>
        <v>Chittagong Range</v>
      </c>
      <c r="K65" cm="1">
        <f t="array" ref="K65">SUMPRODUCT((Final_Merged_Data!$B$2:$B$1000=$A65)*Final_Merged_Data!$K$2:$K$1000*Final_Merged_Data!$F$2:$F$1000)/F65</f>
        <v>84.879645400600893</v>
      </c>
      <c r="L65" cm="1">
        <f t="array" ref="L65">SUMPRODUCT((Final_Merged_Data!$B$2:$B$1000=$A65)*Final_Merged_Data!$L$2:$L$1000*Final_Merged_Data!$F$2:$F$1000)/F65</f>
        <v>10.309673910686193</v>
      </c>
      <c r="M65" t="str">
        <f>IF(COUNTIF(Master_Data!$C:$C,$A65)&gt;0,"Found","Missing")</f>
        <v>Found</v>
      </c>
      <c r="N65" t="str">
        <f>_xlfn.XLOOKUP($A65,Master_Data!$C:$C,Master_Data!$D:$D,"CHECK",0)</f>
        <v>Monirul Haq Chowdhury</v>
      </c>
      <c r="O65" t="str">
        <f>_xlfn.XLOOKUP($A65,Master_Data!$C:$C,Master_Data!$E:$E,"CHECK",0)</f>
        <v>BNP</v>
      </c>
      <c r="P65">
        <f>_xlfn.XLOOKUP($A65,Master_Data!$C:$C,Master_Data!$F:$F,"CHECK",0)</f>
        <v>1</v>
      </c>
      <c r="Q65">
        <f>_xlfn.XLOOKUP($A65,Master_Data!$C:$C,Master_Data!$G:$G,"CHECK",0)</f>
        <v>201706</v>
      </c>
      <c r="R65">
        <f>IFERROR(_xlfn.XLOOKUP($A65,Master_Data!$C:$C,Master_Data!$H:$H,"CHECK",0),"")</f>
        <v>62.727914491054463</v>
      </c>
      <c r="S65" t="str">
        <f>_xlfn.XLOOKUP($A65,Master_Data!$C:$C,Master_Data!$I:$I,"CHECK",0)</f>
        <v>Qazi Deen Mohammad</v>
      </c>
      <c r="T65">
        <f>_xlfn.XLOOKUP($A65,Master_Data!$C:$C,Master_Data!$K:$K,"CHECK",0)</f>
        <v>119851</v>
      </c>
      <c r="U65">
        <f>IFERROR(_xlfn.XLOOKUP($A65,Master_Data!$C:$C,Master_Data!$L:$L,"CHECK",0),"")</f>
        <v>37.272085508945537</v>
      </c>
      <c r="V65">
        <f>_xlfn.XLOOKUP($A65,Master_Data!$C:$C,Master_Data!$M:$M,"CHECK",0)</f>
        <v>81855</v>
      </c>
      <c r="W65">
        <f>IFERROR(_xlfn.XLOOKUP($A65,Master_Data!$C:$C,Master_Data!$N:$N,"CHECK",0),"")</f>
        <v>25.455828982108926</v>
      </c>
      <c r="X65" t="str">
        <f>IFERROR(_xlfn.XLOOKUP($A65,Master_Data!$C:$C,Master_Data!$O:$O,"CHECK",0),"No Result")</f>
        <v>Safe Seat</v>
      </c>
      <c r="Y65">
        <f>_xlfn.XLOOKUP($A65,Master_Data!$C:$C,Master_Data!$P:$P,"CHECK",0)</f>
        <v>1</v>
      </c>
      <c r="Z65">
        <f t="shared" si="1"/>
        <v>1</v>
      </c>
      <c r="AA65">
        <f>_xlfn.XLOOKUP(B65,Remittance_Data!A:A,Remittance_Data!B:B,"CHECK")</f>
        <v>441125</v>
      </c>
      <c r="AB65">
        <f>_xlfn.XLOOKUP(B65,Remittance_Data!A:A,Remittance_Data!C:C,"CHECK")</f>
        <v>375176</v>
      </c>
      <c r="AC65">
        <f>_xlfn.XLOOKUP(B65,Remittance_Data!A:A,Remittance_Data!D:D,"CHECK")</f>
        <v>65949</v>
      </c>
    </row>
    <row r="66" spans="1:29">
      <c r="A66" t="str">
        <v>Comilla-7</v>
      </c>
      <c r="B66" t="str" cm="1">
        <f t="array" ref="B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Nawabganj","Chapainawabganj"),Final_Merged_Data!$B$2:$B$1000=$A66)))</f>
        <v>Comilla</v>
      </c>
      <c r="C66" t="str" cm="1">
        <f t="array" ref="C66">_xlfn.TEXTJOIN(", ",TRUE,_xlfn._xlws.FILTER(Final_Merged_Data!$C$2:$C$1000,Final_Merged_Data!$B$2:$B$1000=$A66))</f>
        <v>Chandina</v>
      </c>
      <c r="D66" cm="1">
        <f t="array" ref="D66">COUNTA(_xlfn._xlws.FILTER(Final_Merged_Data!$C$2:$C$1000,Final_Merged_Data!$B$2:$B$1000=$A66))</f>
        <v>1</v>
      </c>
      <c r="E66">
        <f>SUMIFS(Final_Merged_Data!$E:$E,Final_Merged_Data!$B:$B,$A66)</f>
        <v>413.94</v>
      </c>
      <c r="F66">
        <f>SUMIFS(Final_Merged_Data!$F:$F,Final_Merged_Data!$B:$B,$A66)</f>
        <v>394860</v>
      </c>
      <c r="G66">
        <f t="shared" si="0"/>
        <v>953.90636324104946</v>
      </c>
      <c r="H66" cm="1">
        <f t="array" ref="H66">SUMPRODUCT((Final_Merged_Data!$B$2:$B$1000=$A66)*Final_Merged_Data!$H$2:$H$1000*Final_Merged_Data!$F$2:$F$1000)/F66</f>
        <v>4.17</v>
      </c>
      <c r="I66" cm="1">
        <f t="array" ref="I66">SUMPRODUCT((Final_Merged_Data!$B$2:$B$1000=$A66)*Final_Merged_Data!$I$2:$I$1000*Final_Merged_Data!$F$2:$F$1000)/F66</f>
        <v>74.239999999999995</v>
      </c>
      <c r="J66" t="str" cm="1">
        <f t="array" ref="J66">_xlfn.TEXTJOIN(", ",TRUE,_xlfn.UNIQUE(_xlfn._xlws.FILTER(Final_Merged_Data!$J$2:$J$1000,Final_Merged_Data!$B$2:$B$1000=$A66)))</f>
        <v>Chittagong Range</v>
      </c>
      <c r="K66" cm="1">
        <f t="array" ref="K66">SUMPRODUCT((Final_Merged_Data!$B$2:$B$1000=$A66)*Final_Merged_Data!$K$2:$K$1000*Final_Merged_Data!$F$2:$F$1000)/F66</f>
        <v>84.879645400600893</v>
      </c>
      <c r="L66" cm="1">
        <f t="array" ref="L66">SUMPRODUCT((Final_Merged_Data!$B$2:$B$1000=$A66)*Final_Merged_Data!$L$2:$L$1000*Final_Merged_Data!$F$2:$F$1000)/F66</f>
        <v>10.309673910686193</v>
      </c>
      <c r="M66" t="str">
        <f>IF(COUNTIF(Master_Data!$C:$C,$A66)&gt;0,"Found","Missing")</f>
        <v>Found</v>
      </c>
      <c r="N66" t="str">
        <f>_xlfn.XLOOKUP($A66,Master_Data!$C:$C,Master_Data!$D:$D,"CHECK",0)</f>
        <v>Atikul Alam Shawon</v>
      </c>
      <c r="O66" t="str">
        <f>_xlfn.XLOOKUP($A66,Master_Data!$C:$C,Master_Data!$E:$E,"CHECK",0)</f>
        <v>IND</v>
      </c>
      <c r="P66">
        <f>_xlfn.XLOOKUP($A66,Master_Data!$C:$C,Master_Data!$F:$F,"CHECK",0)</f>
        <v>5</v>
      </c>
      <c r="Q66">
        <f>_xlfn.XLOOKUP($A66,Master_Data!$C:$C,Master_Data!$G:$G,"CHECK",0)</f>
        <v>91690</v>
      </c>
      <c r="R66">
        <f>IFERROR(_xlfn.XLOOKUP($A66,Master_Data!$C:$C,Master_Data!$H:$H,"CHECK",0),"")</f>
        <v>65.399895862310004</v>
      </c>
      <c r="S66" t="str">
        <f>_xlfn.XLOOKUP($A66,Master_Data!$C:$C,Master_Data!$I:$I,"CHECK",0)</f>
        <v>Redwan Ahmed</v>
      </c>
      <c r="T66">
        <f>_xlfn.XLOOKUP($A66,Master_Data!$C:$C,Master_Data!$K:$K,"CHECK",0)</f>
        <v>48509</v>
      </c>
      <c r="U66">
        <f>IFERROR(_xlfn.XLOOKUP($A66,Master_Data!$C:$C,Master_Data!$L:$L,"CHECK",0),"")</f>
        <v>34.600104137689996</v>
      </c>
      <c r="V66">
        <f>_xlfn.XLOOKUP($A66,Master_Data!$C:$C,Master_Data!$M:$M,"CHECK",0)</f>
        <v>43181</v>
      </c>
      <c r="W66">
        <f>IFERROR(_xlfn.XLOOKUP($A66,Master_Data!$C:$C,Master_Data!$N:$N,"CHECK",0),"")</f>
        <v>30.799791724620007</v>
      </c>
      <c r="X66" t="str">
        <f>IFERROR(_xlfn.XLOOKUP($A66,Master_Data!$C:$C,Master_Data!$O:$O,"CHECK",0),"No Result")</f>
        <v>Safe Seat</v>
      </c>
      <c r="Y66">
        <f>_xlfn.XLOOKUP($A66,Master_Data!$C:$C,Master_Data!$P:$P,"CHECK",0)</f>
        <v>0</v>
      </c>
      <c r="Z66">
        <f t="shared" si="1"/>
        <v>1</v>
      </c>
      <c r="AA66">
        <f>_xlfn.XLOOKUP(B66,Remittance_Data!A:A,Remittance_Data!B:B,"CHECK")</f>
        <v>441125</v>
      </c>
      <c r="AB66">
        <f>_xlfn.XLOOKUP(B66,Remittance_Data!A:A,Remittance_Data!C:C,"CHECK")</f>
        <v>375176</v>
      </c>
      <c r="AC66">
        <f>_xlfn.XLOOKUP(B66,Remittance_Data!A:A,Remittance_Data!D:D,"CHECK")</f>
        <v>65949</v>
      </c>
    </row>
    <row r="67" spans="1:29">
      <c r="A67" t="str">
        <v>Comilla-8</v>
      </c>
      <c r="B67" t="str" cm="1">
        <f t="array" ref="B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Nawabganj","Chapainawabganj"),Final_Merged_Data!$B$2:$B$1000=$A67)))</f>
        <v>Comilla</v>
      </c>
      <c r="C67" t="str" cm="1">
        <f t="array" ref="C67">_xlfn.TEXTJOIN(", ",TRUE,_xlfn._xlws.FILTER(Final_Merged_Data!$C$2:$C$1000,Final_Merged_Data!$B$2:$B$1000=$A67))</f>
        <v>Barura</v>
      </c>
      <c r="D67" cm="1">
        <f t="array" ref="D67">COUNTA(_xlfn._xlws.FILTER(Final_Merged_Data!$C$2:$C$1000,Final_Merged_Data!$B$2:$B$1000=$A67))</f>
        <v>1</v>
      </c>
      <c r="E67">
        <f>SUMIFS(Final_Merged_Data!$E:$E,Final_Merged_Data!$B:$B,$A67)</f>
        <v>248.58</v>
      </c>
      <c r="F67">
        <f>SUMIFS(Final_Merged_Data!$F:$F,Final_Merged_Data!$B:$B,$A67)</f>
        <v>456328</v>
      </c>
      <c r="G67">
        <f t="shared" ref="G67:G130" si="2">IF(E67=0,"",F67/E67)</f>
        <v>1835.7389975058331</v>
      </c>
      <c r="H67" cm="1">
        <f t="array" ref="H67">SUMPRODUCT((Final_Merged_Data!$B$2:$B$1000=$A67)*Final_Merged_Data!$H$2:$H$1000*Final_Merged_Data!$F$2:$F$1000)/F67</f>
        <v>4.1900000000000004</v>
      </c>
      <c r="I67" cm="1">
        <f t="array" ref="I67">SUMPRODUCT((Final_Merged_Data!$B$2:$B$1000=$A67)*Final_Merged_Data!$I$2:$I$1000*Final_Merged_Data!$F$2:$F$1000)/F67</f>
        <v>74.83</v>
      </c>
      <c r="J67" t="str" cm="1">
        <f t="array" ref="J67">_xlfn.TEXTJOIN(", ",TRUE,_xlfn.UNIQUE(_xlfn._xlws.FILTER(Final_Merged_Data!$J$2:$J$1000,Final_Merged_Data!$B$2:$B$1000=$A67)))</f>
        <v>Chittagong Range</v>
      </c>
      <c r="K67" cm="1">
        <f t="array" ref="K67">SUMPRODUCT((Final_Merged_Data!$B$2:$B$1000=$A67)*Final_Merged_Data!$K$2:$K$1000*Final_Merged_Data!$F$2:$F$1000)/F67</f>
        <v>84.879645400600893</v>
      </c>
      <c r="L67" cm="1">
        <f t="array" ref="L67">SUMPRODUCT((Final_Merged_Data!$B$2:$B$1000=$A67)*Final_Merged_Data!$L$2:$L$1000*Final_Merged_Data!$F$2:$F$1000)/F67</f>
        <v>10.309673910686193</v>
      </c>
      <c r="M67" t="str">
        <f>IF(COUNTIF(Master_Data!$C:$C,$A67)&gt;0,"Found","Missing")</f>
        <v>Found</v>
      </c>
      <c r="N67" t="str">
        <f>_xlfn.XLOOKUP($A67,Master_Data!$C:$C,Master_Data!$D:$D,"CHECK",0)</f>
        <v>Zakaria Taher Sumon</v>
      </c>
      <c r="O67" t="str">
        <f>_xlfn.XLOOKUP($A67,Master_Data!$C:$C,Master_Data!$E:$E,"CHECK",0)</f>
        <v>BNP</v>
      </c>
      <c r="P67">
        <f>_xlfn.XLOOKUP($A67,Master_Data!$C:$C,Master_Data!$F:$F,"CHECK",0)</f>
        <v>1</v>
      </c>
      <c r="Q67">
        <f>_xlfn.XLOOKUP($A67,Master_Data!$C:$C,Master_Data!$G:$G,"CHECK",0)</f>
        <v>169178</v>
      </c>
      <c r="R67">
        <f>IFERROR(_xlfn.XLOOKUP($A67,Master_Data!$C:$C,Master_Data!$H:$H,"CHECK",0),"")</f>
        <v>78.955891892900979</v>
      </c>
      <c r="S67" t="str">
        <f>_xlfn.XLOOKUP($A67,Master_Data!$C:$C,Master_Data!$I:$I,"CHECK",0)</f>
        <v>Md. Shafiqul Alam Helal</v>
      </c>
      <c r="T67">
        <f>_xlfn.XLOOKUP($A67,Master_Data!$C:$C,Master_Data!$K:$K,"CHECK",0)</f>
        <v>45091</v>
      </c>
      <c r="U67">
        <f>IFERROR(_xlfn.XLOOKUP($A67,Master_Data!$C:$C,Master_Data!$L:$L,"CHECK",0),"")</f>
        <v>21.044108107099021</v>
      </c>
      <c r="V67">
        <f>_xlfn.XLOOKUP($A67,Master_Data!$C:$C,Master_Data!$M:$M,"CHECK",0)</f>
        <v>124087</v>
      </c>
      <c r="W67">
        <f>IFERROR(_xlfn.XLOOKUP($A67,Master_Data!$C:$C,Master_Data!$N:$N,"CHECK",0),"")</f>
        <v>57.911783785801966</v>
      </c>
      <c r="X67" t="str">
        <f>IFERROR(_xlfn.XLOOKUP($A67,Master_Data!$C:$C,Master_Data!$O:$O,"CHECK",0),"No Result")</f>
        <v>Safe Seat</v>
      </c>
      <c r="Y67">
        <f>_xlfn.XLOOKUP($A67,Master_Data!$C:$C,Master_Data!$P:$P,"CHECK",0)</f>
        <v>0</v>
      </c>
      <c r="Z67">
        <f t="shared" ref="Z67:Z130" si="3">IF(OR(R67="",Y67="No Result",N67="Election postponed",N67="Result withheld"),0,1)</f>
        <v>1</v>
      </c>
      <c r="AA67">
        <f>_xlfn.XLOOKUP(B67,Remittance_Data!A:A,Remittance_Data!B:B,"CHECK")</f>
        <v>441125</v>
      </c>
      <c r="AB67">
        <f>_xlfn.XLOOKUP(B67,Remittance_Data!A:A,Remittance_Data!C:C,"CHECK")</f>
        <v>375176</v>
      </c>
      <c r="AC67">
        <f>_xlfn.XLOOKUP(B67,Remittance_Data!A:A,Remittance_Data!D:D,"CHECK")</f>
        <v>65949</v>
      </c>
    </row>
    <row r="68" spans="1:29">
      <c r="A68" t="str">
        <v>Comilla-9</v>
      </c>
      <c r="B68" t="str" cm="1">
        <f t="array" ref="B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Nawabganj","Chapainawabganj"),Final_Merged_Data!$B$2:$B$1000=$A68)))</f>
        <v>Comilla</v>
      </c>
      <c r="C68" t="str" cm="1">
        <f t="array" ref="C68">_xlfn.TEXTJOIN(", ",TRUE,_xlfn._xlws.FILTER(Final_Merged_Data!$C$2:$C$1000,Final_Merged_Data!$B$2:$B$1000=$A68))</f>
        <v>Laksam</v>
      </c>
      <c r="D68" cm="1">
        <f t="array" ref="D68">COUNTA(_xlfn._xlws.FILTER(Final_Merged_Data!$C$2:$C$1000,Final_Merged_Data!$B$2:$B$1000=$A68))</f>
        <v>1</v>
      </c>
      <c r="E68">
        <f>SUMIFS(Final_Merged_Data!$E:$E,Final_Merged_Data!$B:$B,$A68)</f>
        <v>246.9</v>
      </c>
      <c r="F68">
        <f>SUMIFS(Final_Merged_Data!$F:$F,Final_Merged_Data!$B:$B,$A68)</f>
        <v>333706</v>
      </c>
      <c r="G68">
        <f t="shared" si="2"/>
        <v>1351.5836371000405</v>
      </c>
      <c r="H68" cm="1">
        <f t="array" ref="H68">SUMPRODUCT((Final_Merged_Data!$B$2:$B$1000=$A68)*Final_Merged_Data!$H$2:$H$1000*Final_Merged_Data!$F$2:$F$1000)/F68</f>
        <v>4.3899999999999997</v>
      </c>
      <c r="I68" cm="1">
        <f t="array" ref="I68">SUMPRODUCT((Final_Merged_Data!$B$2:$B$1000=$A68)*Final_Merged_Data!$I$2:$I$1000*Final_Merged_Data!$F$2:$F$1000)/F68</f>
        <v>77.34</v>
      </c>
      <c r="J68" t="str" cm="1">
        <f t="array" ref="J68">_xlfn.TEXTJOIN(", ",TRUE,_xlfn.UNIQUE(_xlfn._xlws.FILTER(Final_Merged_Data!$J$2:$J$1000,Final_Merged_Data!$B$2:$B$1000=$A68)))</f>
        <v>Chittagong Range</v>
      </c>
      <c r="K68" cm="1">
        <f t="array" ref="K68">SUMPRODUCT((Final_Merged_Data!$B$2:$B$1000=$A68)*Final_Merged_Data!$K$2:$K$1000*Final_Merged_Data!$F$2:$F$1000)/F68</f>
        <v>84.879645400600893</v>
      </c>
      <c r="L68" cm="1">
        <f t="array" ref="L68">SUMPRODUCT((Final_Merged_Data!$B$2:$B$1000=$A68)*Final_Merged_Data!$L$2:$L$1000*Final_Merged_Data!$F$2:$F$1000)/F68</f>
        <v>10.309673910686193</v>
      </c>
      <c r="M68" t="str">
        <f>IF(COUNTIF(Master_Data!$C:$C,$A68)&gt;0,"Found","Missing")</f>
        <v>Found</v>
      </c>
      <c r="N68" t="str">
        <f>_xlfn.XLOOKUP($A68,Master_Data!$C:$C,Master_Data!$D:$D,"CHECK",0)</f>
        <v>Md. Abul Kalam</v>
      </c>
      <c r="O68" t="str">
        <f>_xlfn.XLOOKUP($A68,Master_Data!$C:$C,Master_Data!$E:$E,"CHECK",0)</f>
        <v>BNP</v>
      </c>
      <c r="P68">
        <f>_xlfn.XLOOKUP($A68,Master_Data!$C:$C,Master_Data!$F:$F,"CHECK",0)</f>
        <v>1</v>
      </c>
      <c r="Q68">
        <f>_xlfn.XLOOKUP($A68,Master_Data!$C:$C,Master_Data!$G:$G,"CHECK",0)</f>
        <v>170008</v>
      </c>
      <c r="R68">
        <f>IFERROR(_xlfn.XLOOKUP($A68,Master_Data!$C:$C,Master_Data!$H:$H,"CHECK",0),"")</f>
        <v>58.832608342071289</v>
      </c>
      <c r="S68" t="str">
        <f>_xlfn.XLOOKUP($A68,Master_Data!$C:$C,Master_Data!$I:$I,"CHECK",0)</f>
        <v>AKM Sarwar Uddin Siddiqui</v>
      </c>
      <c r="T68">
        <f>_xlfn.XLOOKUP($A68,Master_Data!$C:$C,Master_Data!$K:$K,"CHECK",0)</f>
        <v>118961</v>
      </c>
      <c r="U68">
        <f>IFERROR(_xlfn.XLOOKUP($A68,Master_Data!$C:$C,Master_Data!$L:$L,"CHECK",0),"")</f>
        <v>41.167391657928704</v>
      </c>
      <c r="V68">
        <f>_xlfn.XLOOKUP($A68,Master_Data!$C:$C,Master_Data!$M:$M,"CHECK",0)</f>
        <v>51047</v>
      </c>
      <c r="W68">
        <f>IFERROR(_xlfn.XLOOKUP($A68,Master_Data!$C:$C,Master_Data!$N:$N,"CHECK",0),"")</f>
        <v>17.665216684142589</v>
      </c>
      <c r="X68" t="str">
        <f>IFERROR(_xlfn.XLOOKUP($A68,Master_Data!$C:$C,Master_Data!$O:$O,"CHECK",0),"No Result")</f>
        <v>Safe Seat</v>
      </c>
      <c r="Y68">
        <f>_xlfn.XLOOKUP($A68,Master_Data!$C:$C,Master_Data!$P:$P,"CHECK",0)</f>
        <v>0</v>
      </c>
      <c r="Z68">
        <f t="shared" si="3"/>
        <v>1</v>
      </c>
      <c r="AA68">
        <f>_xlfn.XLOOKUP(B68,Remittance_Data!A:A,Remittance_Data!B:B,"CHECK")</f>
        <v>441125</v>
      </c>
      <c r="AB68">
        <f>_xlfn.XLOOKUP(B68,Remittance_Data!A:A,Remittance_Data!C:C,"CHECK")</f>
        <v>375176</v>
      </c>
      <c r="AC68">
        <f>_xlfn.XLOOKUP(B68,Remittance_Data!A:A,Remittance_Data!D:D,"CHECK")</f>
        <v>65949</v>
      </c>
    </row>
    <row r="69" spans="1:29">
      <c r="A69" t="str">
        <v>Cox's Bazar-1</v>
      </c>
      <c r="B69" t="str" cm="1">
        <f t="array" ref="B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Nawabganj","Chapainawabganj"),Final_Merged_Data!$B$2:$B$1000=$A69)))</f>
        <v>Cox's Bazar</v>
      </c>
      <c r="C69" t="str" cm="1">
        <f t="array" ref="C69">_xlfn.TEXTJOIN(", ",TRUE,_xlfn._xlws.FILTER(Final_Merged_Data!$C$2:$C$1000,Final_Merged_Data!$B$2:$B$1000=$A69))</f>
        <v>Chakaria, Pekua</v>
      </c>
      <c r="D69" cm="1">
        <f t="array" ref="D69">COUNTA(_xlfn._xlws.FILTER(Final_Merged_Data!$C$2:$C$1000,Final_Merged_Data!$B$2:$B$1000=$A69))</f>
        <v>2</v>
      </c>
      <c r="E69">
        <f>SUMIFS(Final_Merged_Data!$E:$E,Final_Merged_Data!$B:$B,$A69)</f>
        <v>422.37</v>
      </c>
      <c r="F69">
        <f>SUMIFS(Final_Merged_Data!$F:$F,Final_Merged_Data!$B:$B,$A69)</f>
        <v>785623</v>
      </c>
      <c r="G69">
        <f t="shared" si="2"/>
        <v>1860.0350403674504</v>
      </c>
      <c r="H69" cm="1">
        <f t="array" ref="H69">SUMPRODUCT((Final_Merged_Data!$B$2:$B$1000=$A69)*Final_Merged_Data!$H$2:$H$1000*Final_Merged_Data!$F$2:$F$1000)/F69</f>
        <v>4.7436172820805904</v>
      </c>
      <c r="I69" cm="1">
        <f t="array" ref="I69">SUMPRODUCT((Final_Merged_Data!$B$2:$B$1000=$A69)*Final_Merged_Data!$I$2:$I$1000*Final_Merged_Data!$F$2:$F$1000)/F69</f>
        <v>74.808444381083547</v>
      </c>
      <c r="J69" t="str" cm="1">
        <f t="array" ref="J69">_xlfn.TEXTJOIN(", ",TRUE,_xlfn.UNIQUE(_xlfn._xlws.FILTER(Final_Merged_Data!$J$2:$J$1000,Final_Merged_Data!$B$2:$B$1000=$A69)))</f>
        <v>Chittagong Range</v>
      </c>
      <c r="K69" cm="1">
        <f t="array" ref="K69">SUMPRODUCT((Final_Merged_Data!$B$2:$B$1000=$A69)*Final_Merged_Data!$K$2:$K$1000*Final_Merged_Data!$F$2:$F$1000)/F69</f>
        <v>84.879645400600907</v>
      </c>
      <c r="L69" cm="1">
        <f t="array" ref="L69">SUMPRODUCT((Final_Merged_Data!$B$2:$B$1000=$A69)*Final_Merged_Data!$L$2:$L$1000*Final_Merged_Data!$F$2:$F$1000)/F69</f>
        <v>10.309673910686193</v>
      </c>
      <c r="M69" t="str">
        <f>IF(COUNTIF(Master_Data!$C:$C,$A69)&gt;0,"Found","Missing")</f>
        <v>Found</v>
      </c>
      <c r="N69" t="str">
        <f>_xlfn.XLOOKUP($A69,Master_Data!$C:$C,Master_Data!$D:$D,"CHECK",0)</f>
        <v>Salahuddin Ahmed</v>
      </c>
      <c r="O69" t="str">
        <f>_xlfn.XLOOKUP($A69,Master_Data!$C:$C,Master_Data!$E:$E,"CHECK",0)</f>
        <v>BNP</v>
      </c>
      <c r="P69">
        <f>_xlfn.XLOOKUP($A69,Master_Data!$C:$C,Master_Data!$F:$F,"CHECK",0)</f>
        <v>1</v>
      </c>
      <c r="Q69">
        <f>_xlfn.XLOOKUP($A69,Master_Data!$C:$C,Master_Data!$G:$G,"CHECK",0)</f>
        <v>222019</v>
      </c>
      <c r="R69">
        <f>IFERROR(_xlfn.XLOOKUP($A69,Master_Data!$C:$C,Master_Data!$H:$H,"CHECK",0),"")</f>
        <v>63.118946288099117</v>
      </c>
      <c r="S69" t="str">
        <f>_xlfn.XLOOKUP($A69,Master_Data!$C:$C,Master_Data!$I:$I,"CHECK",0)</f>
        <v>Abdullah Al Farooq</v>
      </c>
      <c r="T69">
        <f>_xlfn.XLOOKUP($A69,Master_Data!$C:$C,Master_Data!$K:$K,"CHECK",0)</f>
        <v>129728</v>
      </c>
      <c r="U69">
        <f>IFERROR(_xlfn.XLOOKUP($A69,Master_Data!$C:$C,Master_Data!$L:$L,"CHECK",0),"")</f>
        <v>36.881053711900883</v>
      </c>
      <c r="V69">
        <f>_xlfn.XLOOKUP($A69,Master_Data!$C:$C,Master_Data!$M:$M,"CHECK",0)</f>
        <v>92291</v>
      </c>
      <c r="W69">
        <f>IFERROR(_xlfn.XLOOKUP($A69,Master_Data!$C:$C,Master_Data!$N:$N,"CHECK",0),"")</f>
        <v>26.237892576198234</v>
      </c>
      <c r="X69" t="str">
        <f>IFERROR(_xlfn.XLOOKUP($A69,Master_Data!$C:$C,Master_Data!$O:$O,"CHECK",0),"No Result")</f>
        <v>Safe Seat</v>
      </c>
      <c r="Y69">
        <f>_xlfn.XLOOKUP($A69,Master_Data!$C:$C,Master_Data!$P:$P,"CHECK",0)</f>
        <v>0</v>
      </c>
      <c r="Z69">
        <f t="shared" si="3"/>
        <v>1</v>
      </c>
      <c r="AA69">
        <f>_xlfn.XLOOKUP(B69,Remittance_Data!A:A,Remittance_Data!B:B,"CHECK")</f>
        <v>63899</v>
      </c>
      <c r="AB69">
        <f>_xlfn.XLOOKUP(B69,Remittance_Data!A:A,Remittance_Data!C:C,"CHECK")</f>
        <v>37277</v>
      </c>
      <c r="AC69">
        <f>_xlfn.XLOOKUP(B69,Remittance_Data!A:A,Remittance_Data!D:D,"CHECK")</f>
        <v>26622</v>
      </c>
    </row>
    <row r="70" spans="1:29">
      <c r="A70" t="str">
        <v>Cox's Bazar-2</v>
      </c>
      <c r="B70" t="str" cm="1">
        <f t="array" ref="B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Nawabganj","Chapainawabganj"),Final_Merged_Data!$B$2:$B$1000=$A70)))</f>
        <v>Cox's Bazar</v>
      </c>
      <c r="C70" t="str" cm="1">
        <f t="array" ref="C70">_xlfn.TEXTJOIN(", ",TRUE,_xlfn._xlws.FILTER(Final_Merged_Data!$C$2:$C$1000,Final_Merged_Data!$B$2:$B$1000=$A70))</f>
        <v>Maheshkhali, Kutubdia</v>
      </c>
      <c r="D70" cm="1">
        <f t="array" ref="D70">COUNTA(_xlfn._xlws.FILTER(Final_Merged_Data!$C$2:$C$1000,Final_Merged_Data!$B$2:$B$1000=$A70))</f>
        <v>2</v>
      </c>
      <c r="E70">
        <f>SUMIFS(Final_Merged_Data!$E:$E,Final_Merged_Data!$B:$B,$A70)</f>
        <v>577.98</v>
      </c>
      <c r="F70">
        <f>SUMIFS(Final_Merged_Data!$F:$F,Final_Merged_Data!$B:$B,$A70)</f>
        <v>529119</v>
      </c>
      <c r="G70">
        <f t="shared" si="2"/>
        <v>915.46247274992209</v>
      </c>
      <c r="H70" cm="1">
        <f t="array" ref="H70">SUMPRODUCT((Final_Merged_Data!$B$2:$B$1000=$A70)*Final_Merged_Data!$H$2:$H$1000*Final_Merged_Data!$F$2:$F$1000)/F70</f>
        <v>4.8332862172781557</v>
      </c>
      <c r="I70" cm="1">
        <f t="array" ref="I70">SUMPRODUCT((Final_Merged_Data!$B$2:$B$1000=$A70)*Final_Merged_Data!$I$2:$I$1000*Final_Merged_Data!$F$2:$F$1000)/F70</f>
        <v>65.619726432050257</v>
      </c>
      <c r="J70" t="str" cm="1">
        <f t="array" ref="J70">_xlfn.TEXTJOIN(", ",TRUE,_xlfn.UNIQUE(_xlfn._xlws.FILTER(Final_Merged_Data!$J$2:$J$1000,Final_Merged_Data!$B$2:$B$1000=$A70)))</f>
        <v>Chittagong Range</v>
      </c>
      <c r="K70" cm="1">
        <f t="array" ref="K70">SUMPRODUCT((Final_Merged_Data!$B$2:$B$1000=$A70)*Final_Merged_Data!$K$2:$K$1000*Final_Merged_Data!$F$2:$F$1000)/F70</f>
        <v>84.879645400600893</v>
      </c>
      <c r="L70" cm="1">
        <f t="array" ref="L70">SUMPRODUCT((Final_Merged_Data!$B$2:$B$1000=$A70)*Final_Merged_Data!$L$2:$L$1000*Final_Merged_Data!$F$2:$F$1000)/F70</f>
        <v>10.309673910686193</v>
      </c>
      <c r="M70" t="str">
        <f>IF(COUNTIF(Master_Data!$C:$C,$A70)&gt;0,"Found","Missing")</f>
        <v>Found</v>
      </c>
      <c r="N70" t="str">
        <f>_xlfn.XLOOKUP($A70,Master_Data!$C:$C,Master_Data!$D:$D,"CHECK",0)</f>
        <v>Alamgir Mahfuzullah Farid</v>
      </c>
      <c r="O70" t="str">
        <f>_xlfn.XLOOKUP($A70,Master_Data!$C:$C,Master_Data!$E:$E,"CHECK",0)</f>
        <v>BNP</v>
      </c>
      <c r="P70">
        <f>_xlfn.XLOOKUP($A70,Master_Data!$C:$C,Master_Data!$F:$F,"CHECK",0)</f>
        <v>1</v>
      </c>
      <c r="Q70">
        <f>_xlfn.XLOOKUP($A70,Master_Data!$C:$C,Master_Data!$G:$G,"CHECK",0)</f>
        <v>125543</v>
      </c>
      <c r="R70">
        <f>IFERROR(_xlfn.XLOOKUP($A70,Master_Data!$C:$C,Master_Data!$H:$H,"CHECK",0),"")</f>
        <v>57.738971264579277</v>
      </c>
      <c r="S70" t="str">
        <f>_xlfn.XLOOKUP($A70,Master_Data!$C:$C,Master_Data!$I:$I,"CHECK",0)</f>
        <v>A. H. M. Hamidur Rahman Azad</v>
      </c>
      <c r="T70">
        <f>_xlfn.XLOOKUP($A70,Master_Data!$C:$C,Master_Data!$K:$K,"CHECK",0)</f>
        <v>91889</v>
      </c>
      <c r="U70">
        <f>IFERROR(_xlfn.XLOOKUP($A70,Master_Data!$C:$C,Master_Data!$L:$L,"CHECK",0),"")</f>
        <v>42.26102873542073</v>
      </c>
      <c r="V70">
        <f>_xlfn.XLOOKUP($A70,Master_Data!$C:$C,Master_Data!$M:$M,"CHECK",0)</f>
        <v>33654</v>
      </c>
      <c r="W70">
        <f>IFERROR(_xlfn.XLOOKUP($A70,Master_Data!$C:$C,Master_Data!$N:$N,"CHECK",0),"")</f>
        <v>15.477942529158542</v>
      </c>
      <c r="X70" t="str">
        <f>IFERROR(_xlfn.XLOOKUP($A70,Master_Data!$C:$C,Master_Data!$O:$O,"CHECK",0),"No Result")</f>
        <v>Safe Seat</v>
      </c>
      <c r="Y70">
        <f>_xlfn.XLOOKUP($A70,Master_Data!$C:$C,Master_Data!$P:$P,"CHECK",0)</f>
        <v>0</v>
      </c>
      <c r="Z70">
        <f t="shared" si="3"/>
        <v>1</v>
      </c>
      <c r="AA70">
        <f>_xlfn.XLOOKUP(B70,Remittance_Data!A:A,Remittance_Data!B:B,"CHECK")</f>
        <v>63899</v>
      </c>
      <c r="AB70">
        <f>_xlfn.XLOOKUP(B70,Remittance_Data!A:A,Remittance_Data!C:C,"CHECK")</f>
        <v>37277</v>
      </c>
      <c r="AC70">
        <f>_xlfn.XLOOKUP(B70,Remittance_Data!A:A,Remittance_Data!D:D,"CHECK")</f>
        <v>26622</v>
      </c>
    </row>
    <row r="71" spans="1:29">
      <c r="A71" t="str">
        <v>Cox's Bazar-3</v>
      </c>
      <c r="B71" t="str" cm="1">
        <f t="array" ref="B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Nawabganj","Chapainawabganj"),Final_Merged_Data!$B$2:$B$1000=$A71)))</f>
        <v>Cox's Bazar</v>
      </c>
      <c r="C71" t="str" cm="1">
        <f t="array" ref="C71">_xlfn.TEXTJOIN(", ",TRUE,_xlfn._xlws.FILTER(Final_Merged_Data!$C$2:$C$1000,Final_Merged_Data!$B$2:$B$1000=$A71))</f>
        <v>Cox's Bazar Sadar, Ramu</v>
      </c>
      <c r="D71" cm="1">
        <f t="array" ref="D71">COUNTA(_xlfn._xlws.FILTER(Final_Merged_Data!$C$2:$C$1000,Final_Merged_Data!$B$2:$B$1000=$A71))</f>
        <v>2</v>
      </c>
      <c r="E71">
        <f>SUMIFS(Final_Merged_Data!$E:$E,Final_Merged_Data!$B:$B,$A71)</f>
        <v>620.89</v>
      </c>
      <c r="F71">
        <f>SUMIFS(Final_Merged_Data!$F:$F,Final_Merged_Data!$B:$B,$A71)</f>
        <v>761895</v>
      </c>
      <c r="G71">
        <f t="shared" si="2"/>
        <v>1227.1014189308896</v>
      </c>
      <c r="H71" cm="1">
        <f t="array" ref="H71">SUMPRODUCT((Final_Merged_Data!$B$2:$B$1000=$A71)*Final_Merged_Data!$H$2:$H$1000*Final_Merged_Data!$F$2:$F$1000)/F71</f>
        <v>4.6449653298682891</v>
      </c>
      <c r="I71" cm="1">
        <f t="array" ref="I71">SUMPRODUCT((Final_Merged_Data!$B$2:$B$1000=$A71)*Final_Merged_Data!$I$2:$I$1000*Final_Merged_Data!$F$2:$F$1000)/F71</f>
        <v>75.089246313468408</v>
      </c>
      <c r="J71" t="str" cm="1">
        <f t="array" ref="J71">_xlfn.TEXTJOIN(", ",TRUE,_xlfn.UNIQUE(_xlfn._xlws.FILTER(Final_Merged_Data!$J$2:$J$1000,Final_Merged_Data!$B$2:$B$1000=$A71)))</f>
        <v>Chittagong Range</v>
      </c>
      <c r="K71" cm="1">
        <f t="array" ref="K71">SUMPRODUCT((Final_Merged_Data!$B$2:$B$1000=$A71)*Final_Merged_Data!$K$2:$K$1000*Final_Merged_Data!$F$2:$F$1000)/F71</f>
        <v>84.879645400600879</v>
      </c>
      <c r="L71" cm="1">
        <f t="array" ref="L71">SUMPRODUCT((Final_Merged_Data!$B$2:$B$1000=$A71)*Final_Merged_Data!$L$2:$L$1000*Final_Merged_Data!$F$2:$F$1000)/F71</f>
        <v>10.309673910686193</v>
      </c>
      <c r="M71" t="str">
        <f>IF(COUNTIF(Master_Data!$C:$C,$A71)&gt;0,"Found","Missing")</f>
        <v>Found</v>
      </c>
      <c r="N71" t="str">
        <f>_xlfn.XLOOKUP($A71,Master_Data!$C:$C,Master_Data!$D:$D,"CHECK",0)</f>
        <v>Lutfur Rahman Kajal</v>
      </c>
      <c r="O71" t="str">
        <f>_xlfn.XLOOKUP($A71,Master_Data!$C:$C,Master_Data!$E:$E,"CHECK",0)</f>
        <v>BNP</v>
      </c>
      <c r="P71">
        <f>_xlfn.XLOOKUP($A71,Master_Data!$C:$C,Master_Data!$F:$F,"CHECK",0)</f>
        <v>1</v>
      </c>
      <c r="Q71">
        <f>_xlfn.XLOOKUP($A71,Master_Data!$C:$C,Master_Data!$G:$G,"CHECK",0)</f>
        <v>182096</v>
      </c>
      <c r="R71">
        <f>IFERROR(_xlfn.XLOOKUP($A71,Master_Data!$C:$C,Master_Data!$H:$H,"CHECK",0),"")</f>
        <v>52.946735170372442</v>
      </c>
      <c r="S71" t="str">
        <f>_xlfn.XLOOKUP($A71,Master_Data!$C:$C,Master_Data!$I:$I,"CHECK",0)</f>
        <v>Shahidul Alam</v>
      </c>
      <c r="T71">
        <f>_xlfn.XLOOKUP($A71,Master_Data!$C:$C,Master_Data!$K:$K,"CHECK",0)</f>
        <v>161827</v>
      </c>
      <c r="U71">
        <f>IFERROR(_xlfn.XLOOKUP($A71,Master_Data!$C:$C,Master_Data!$L:$L,"CHECK",0),"")</f>
        <v>47.053264829627558</v>
      </c>
      <c r="V71">
        <f>_xlfn.XLOOKUP($A71,Master_Data!$C:$C,Master_Data!$M:$M,"CHECK",0)</f>
        <v>20269</v>
      </c>
      <c r="W71">
        <f>IFERROR(_xlfn.XLOOKUP($A71,Master_Data!$C:$C,Master_Data!$N:$N,"CHECK",0),"")</f>
        <v>5.8934703407448756</v>
      </c>
      <c r="X71" t="str">
        <f>IFERROR(_xlfn.XLOOKUP($A71,Master_Data!$C:$C,Master_Data!$O:$O,"CHECK",0),"No Result")</f>
        <v>Safe Seat</v>
      </c>
      <c r="Y71">
        <f>_xlfn.XLOOKUP($A71,Master_Data!$C:$C,Master_Data!$P:$P,"CHECK",0)</f>
        <v>0</v>
      </c>
      <c r="Z71">
        <f t="shared" si="3"/>
        <v>1</v>
      </c>
      <c r="AA71">
        <f>_xlfn.XLOOKUP(B71,Remittance_Data!A:A,Remittance_Data!B:B,"CHECK")</f>
        <v>63899</v>
      </c>
      <c r="AB71">
        <f>_xlfn.XLOOKUP(B71,Remittance_Data!A:A,Remittance_Data!C:C,"CHECK")</f>
        <v>37277</v>
      </c>
      <c r="AC71">
        <f>_xlfn.XLOOKUP(B71,Remittance_Data!A:A,Remittance_Data!D:D,"CHECK")</f>
        <v>26622</v>
      </c>
    </row>
    <row r="72" spans="1:29">
      <c r="A72" t="str">
        <v>Cox's Bazar-4</v>
      </c>
      <c r="B72" t="str" cm="1">
        <f t="array" ref="B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Nawabganj","Chapainawabganj"),Final_Merged_Data!$B$2:$B$1000=$A72)))</f>
        <v>Cox's Bazar</v>
      </c>
      <c r="C72" t="str" cm="1">
        <f t="array" ref="C72">_xlfn.TEXTJOIN(", ",TRUE,_xlfn._xlws.FILTER(Final_Merged_Data!$C$2:$C$1000,Final_Merged_Data!$B$2:$B$1000=$A72))</f>
        <v>Teknaf, Ukhia</v>
      </c>
      <c r="D72" cm="1">
        <f t="array" ref="D72">COUNTA(_xlfn._xlws.FILTER(Final_Merged_Data!$C$2:$C$1000,Final_Merged_Data!$B$2:$B$1000=$A72))</f>
        <v>2</v>
      </c>
      <c r="E72">
        <f>SUMIFS(Final_Merged_Data!$E:$E,Final_Merged_Data!$B:$B,$A72)</f>
        <v>650.59</v>
      </c>
      <c r="F72">
        <f>SUMIFS(Final_Merged_Data!$F:$F,Final_Merged_Data!$B:$B,$A72)</f>
        <v>596983</v>
      </c>
      <c r="G72">
        <f t="shared" si="2"/>
        <v>917.60248389922992</v>
      </c>
      <c r="H72" cm="1">
        <f t="array" ref="H72">SUMPRODUCT((Final_Merged_Data!$B$2:$B$1000=$A72)*Final_Merged_Data!$H$2:$H$1000*Final_Merged_Data!$F$2:$F$1000)/F72</f>
        <v>4.8521714521184025</v>
      </c>
      <c r="I72" cm="1">
        <f t="array" ref="I72">SUMPRODUCT((Final_Merged_Data!$B$2:$B$1000=$A72)*Final_Merged_Data!$I$2:$I$1000*Final_Merged_Data!$F$2:$F$1000)/F72</f>
        <v>66.818413338403261</v>
      </c>
      <c r="J72" t="str" cm="1">
        <f t="array" ref="J72">_xlfn.TEXTJOIN(", ",TRUE,_xlfn.UNIQUE(_xlfn._xlws.FILTER(Final_Merged_Data!$J$2:$J$1000,Final_Merged_Data!$B$2:$B$1000=$A72)))</f>
        <v>Chittagong Range</v>
      </c>
      <c r="K72" cm="1">
        <f t="array" ref="K72">SUMPRODUCT((Final_Merged_Data!$B$2:$B$1000=$A72)*Final_Merged_Data!$K$2:$K$1000*Final_Merged_Data!$F$2:$F$1000)/F72</f>
        <v>84.879645400600893</v>
      </c>
      <c r="L72" cm="1">
        <f t="array" ref="L72">SUMPRODUCT((Final_Merged_Data!$B$2:$B$1000=$A72)*Final_Merged_Data!$L$2:$L$1000*Final_Merged_Data!$F$2:$F$1000)/F72</f>
        <v>10.309673910686193</v>
      </c>
      <c r="M72" t="str">
        <f>IF(COUNTIF(Master_Data!$C:$C,$A72)&gt;0,"Found","Missing")</f>
        <v>Found</v>
      </c>
      <c r="N72" t="str">
        <f>_xlfn.XLOOKUP($A72,Master_Data!$C:$C,Master_Data!$D:$D,"CHECK",0)</f>
        <v>Shahjahan Chowdhury</v>
      </c>
      <c r="O72" t="str">
        <f>_xlfn.XLOOKUP($A72,Master_Data!$C:$C,Master_Data!$E:$E,"CHECK",0)</f>
        <v>BNP</v>
      </c>
      <c r="P72">
        <f>_xlfn.XLOOKUP($A72,Master_Data!$C:$C,Master_Data!$F:$F,"CHECK",0)</f>
        <v>1</v>
      </c>
      <c r="Q72">
        <f>_xlfn.XLOOKUP($A72,Master_Data!$C:$C,Master_Data!$G:$G,"CHECK",0)</f>
        <v>122909</v>
      </c>
      <c r="R72">
        <f>IFERROR(_xlfn.XLOOKUP($A72,Master_Data!$C:$C,Master_Data!$H:$H,"CHECK",0),"")</f>
        <v>50.189677772378502</v>
      </c>
      <c r="S72" t="str">
        <f>_xlfn.XLOOKUP($A72,Master_Data!$C:$C,Master_Data!$I:$I,"CHECK",0)</f>
        <v>Noor Ahmad Anwari</v>
      </c>
      <c r="T72">
        <f>_xlfn.XLOOKUP($A72,Master_Data!$C:$C,Master_Data!$K:$K,"CHECK",0)</f>
        <v>121980</v>
      </c>
      <c r="U72">
        <f>IFERROR(_xlfn.XLOOKUP($A72,Master_Data!$C:$C,Master_Data!$L:$L,"CHECK",0),"")</f>
        <v>49.810322227621498</v>
      </c>
      <c r="V72">
        <f>_xlfn.XLOOKUP($A72,Master_Data!$C:$C,Master_Data!$M:$M,"CHECK",0)</f>
        <v>929</v>
      </c>
      <c r="W72">
        <f>IFERROR(_xlfn.XLOOKUP($A72,Master_Data!$C:$C,Master_Data!$N:$N,"CHECK",0),"")</f>
        <v>0.37935554475701233</v>
      </c>
      <c r="X72" t="str">
        <f>IFERROR(_xlfn.XLOOKUP($A72,Master_Data!$C:$C,Master_Data!$O:$O,"CHECK",0),"No Result")</f>
        <v>Highly Competitive</v>
      </c>
      <c r="Y72">
        <f>_xlfn.XLOOKUP($A72,Master_Data!$C:$C,Master_Data!$P:$P,"CHECK",0)</f>
        <v>0</v>
      </c>
      <c r="Z72">
        <f t="shared" si="3"/>
        <v>1</v>
      </c>
      <c r="AA72">
        <f>_xlfn.XLOOKUP(B72,Remittance_Data!A:A,Remittance_Data!B:B,"CHECK")</f>
        <v>63899</v>
      </c>
      <c r="AB72">
        <f>_xlfn.XLOOKUP(B72,Remittance_Data!A:A,Remittance_Data!C:C,"CHECK")</f>
        <v>37277</v>
      </c>
      <c r="AC72">
        <f>_xlfn.XLOOKUP(B72,Remittance_Data!A:A,Remittance_Data!D:D,"CHECK")</f>
        <v>26622</v>
      </c>
    </row>
    <row r="73" spans="1:29">
      <c r="A73" t="str">
        <v>Dhaka-1</v>
      </c>
      <c r="B73" t="str" cm="1">
        <f t="array" ref="B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Nawabganj","Chapainawabganj"),Final_Merged_Data!$B$2:$B$1000=$A73)))</f>
        <v>Dhaka</v>
      </c>
      <c r="C73" t="str" cm="1">
        <f t="array" ref="C73">_xlfn.TEXTJOIN(", ",TRUE,_xlfn._xlws.FILTER(Final_Merged_Data!$C$2:$C$1000,Final_Merged_Data!$B$2:$B$1000=$A73))</f>
        <v>Dohar, Nawabganj</v>
      </c>
      <c r="D73" cm="1">
        <f t="array" ref="D73">COUNTA(_xlfn._xlws.FILTER(Final_Merged_Data!$C$2:$C$1000,Final_Merged_Data!$B$2:$B$1000=$A73))</f>
        <v>2</v>
      </c>
      <c r="E73">
        <f>SUMIFS(Final_Merged_Data!$E:$E,Final_Merged_Data!$B:$B,$A73)</f>
        <v>616.27</v>
      </c>
      <c r="F73">
        <f>SUMIFS(Final_Merged_Data!$F:$F,Final_Merged_Data!$B:$B,$A73)</f>
        <v>598887</v>
      </c>
      <c r="G73">
        <f t="shared" si="2"/>
        <v>971.79320752267677</v>
      </c>
      <c r="H73" cm="1">
        <f t="array" ref="H73">SUMPRODUCT((Final_Merged_Data!$B$2:$B$1000=$A73)*Final_Merged_Data!$H$2:$H$1000*Final_Merged_Data!$F$2:$F$1000)/F73</f>
        <v>3.8851697398674538</v>
      </c>
      <c r="I73" cm="1">
        <f t="array" ref="I73">SUMPRODUCT((Final_Merged_Data!$B$2:$B$1000=$A73)*Final_Merged_Data!$I$2:$I$1000*Final_Merged_Data!$F$2:$F$1000)/F73</f>
        <v>79.257471710022074</v>
      </c>
      <c r="J73" t="str" cm="1">
        <f t="array" ref="J73">_xlfn.TEXTJOIN(", ",TRUE,_xlfn.UNIQUE(_xlfn._xlws.FILTER(Final_Merged_Data!$J$2:$J$1000,Final_Merged_Data!$B$2:$B$1000=$A73)))</f>
        <v>Dhaka Range</v>
      </c>
      <c r="K73" cm="1">
        <f t="array" ref="K73">SUMPRODUCT((Final_Merged_Data!$B$2:$B$1000=$A73)*Final_Merged_Data!$K$2:$K$1000*Final_Merged_Data!$F$2:$F$1000)/F73</f>
        <v>87.055167395391194</v>
      </c>
      <c r="L73" cm="1">
        <f t="array" ref="L73">SUMPRODUCT((Final_Merged_Data!$B$2:$B$1000=$A73)*Final_Merged_Data!$L$2:$L$1000*Final_Merged_Data!$F$2:$F$1000)/F73</f>
        <v>14.083489099923574</v>
      </c>
      <c r="M73" t="str">
        <f>IF(COUNTIF(Master_Data!$C:$C,$A73)&gt;0,"Found","Missing")</f>
        <v>Found</v>
      </c>
      <c r="N73" t="str">
        <f>_xlfn.XLOOKUP($A73,Master_Data!$C:$C,Master_Data!$D:$D,"CHECK",0)</f>
        <v>Khandaker Abu Ashfaq</v>
      </c>
      <c r="O73" t="str">
        <f>_xlfn.XLOOKUP($A73,Master_Data!$C:$C,Master_Data!$E:$E,"CHECK",0)</f>
        <v>BNP</v>
      </c>
      <c r="P73">
        <f>_xlfn.XLOOKUP($A73,Master_Data!$C:$C,Master_Data!$F:$F,"CHECK",0)</f>
        <v>1</v>
      </c>
      <c r="Q73">
        <f>_xlfn.XLOOKUP($A73,Master_Data!$C:$C,Master_Data!$G:$G,"CHECK",0)</f>
        <v>173781</v>
      </c>
      <c r="R73">
        <f>IFERROR(_xlfn.XLOOKUP($A73,Master_Data!$C:$C,Master_Data!$H:$H,"CHECK",0),"")</f>
        <v>60.677087879666068</v>
      </c>
      <c r="S73" t="str">
        <f>_xlfn.XLOOKUP($A73,Master_Data!$C:$C,Master_Data!$I:$I,"CHECK",0)</f>
        <v>Mohammad Nazrul Islam</v>
      </c>
      <c r="T73">
        <f>_xlfn.XLOOKUP($A73,Master_Data!$C:$C,Master_Data!$K:$K,"CHECK",0)</f>
        <v>112622</v>
      </c>
      <c r="U73">
        <f>IFERROR(_xlfn.XLOOKUP($A73,Master_Data!$C:$C,Master_Data!$L:$L,"CHECK",0),"")</f>
        <v>39.322912120333939</v>
      </c>
      <c r="V73">
        <f>_xlfn.XLOOKUP($A73,Master_Data!$C:$C,Master_Data!$M:$M,"CHECK",0)</f>
        <v>61159</v>
      </c>
      <c r="W73">
        <f>IFERROR(_xlfn.XLOOKUP($A73,Master_Data!$C:$C,Master_Data!$N:$N,"CHECK",0),"")</f>
        <v>21.354175759332129</v>
      </c>
      <c r="X73" t="str">
        <f>IFERROR(_xlfn.XLOOKUP($A73,Master_Data!$C:$C,Master_Data!$O:$O,"CHECK",0),"No Result")</f>
        <v>Safe Seat</v>
      </c>
      <c r="Y73">
        <f>_xlfn.XLOOKUP($A73,Master_Data!$C:$C,Master_Data!$P:$P,"CHECK",0)</f>
        <v>0</v>
      </c>
      <c r="Z73">
        <f t="shared" si="3"/>
        <v>1</v>
      </c>
      <c r="AA73">
        <f>_xlfn.XLOOKUP(B73,Remittance_Data!A:A,Remittance_Data!B:B,"CHECK")</f>
        <v>224944</v>
      </c>
      <c r="AB73">
        <f>_xlfn.XLOOKUP(B73,Remittance_Data!A:A,Remittance_Data!C:C,"CHECK")</f>
        <v>83586</v>
      </c>
      <c r="AC73">
        <f>_xlfn.XLOOKUP(B73,Remittance_Data!A:A,Remittance_Data!D:D,"CHECK")</f>
        <v>141358</v>
      </c>
    </row>
    <row r="74" spans="1:29">
      <c r="A74" t="str">
        <v>Dhaka-10</v>
      </c>
      <c r="B74" t="str" cm="1">
        <f t="array" ref="B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Nawabganj","Chapainawabganj"),Final_Merged_Data!$B$2:$B$1000=$A74)))</f>
        <v>Dhaka</v>
      </c>
      <c r="C74" t="str" cm="1">
        <f t="array" ref="C74">_xlfn.TEXTJOIN(", ",TRUE,_xlfn._xlws.FILTER(Final_Merged_Data!$C$2:$C$1000,Final_Merged_Data!$B$2:$B$1000=$A74))</f>
        <v>Dhanmondi</v>
      </c>
      <c r="D74" cm="1">
        <f t="array" ref="D74">COUNTA(_xlfn._xlws.FILTER(Final_Merged_Data!$C$2:$C$1000,Final_Merged_Data!$B$2:$B$1000=$A74))</f>
        <v>1</v>
      </c>
      <c r="E74">
        <f>SUMIFS(Final_Merged_Data!$E:$E,Final_Merged_Data!$B:$B,$A74)</f>
        <v>19.091875000000002</v>
      </c>
      <c r="F74">
        <f>SUMIFS(Final_Merged_Data!$F:$F,Final_Merged_Data!$B:$B,$A74)</f>
        <v>643487</v>
      </c>
      <c r="G74">
        <f t="shared" si="2"/>
        <v>33704.756604576549</v>
      </c>
      <c r="H74" cm="1">
        <f t="array" ref="H74">SUMPRODUCT((Final_Merged_Data!$B$2:$B$1000=$A74)*Final_Merged_Data!$H$2:$H$1000*Final_Merged_Data!$F$2:$F$1000)/F74</f>
        <v>3.7299999999999995</v>
      </c>
      <c r="I74" cm="1">
        <f t="array" ref="I74">SUMPRODUCT((Final_Merged_Data!$B$2:$B$1000=$A74)*Final_Merged_Data!$I$2:$I$1000*Final_Merged_Data!$F$2:$F$1000)/F74</f>
        <v>86.16</v>
      </c>
      <c r="J74" t="str" cm="1">
        <f t="array" ref="J74">_xlfn.TEXTJOIN(", ",TRUE,_xlfn.UNIQUE(_xlfn._xlws.FILTER(Final_Merged_Data!$J$2:$J$1000,Final_Merged_Data!$B$2:$B$1000=$A74)))</f>
        <v>Dhaka Range</v>
      </c>
      <c r="K74" cm="1">
        <f t="array" ref="K74">SUMPRODUCT((Final_Merged_Data!$B$2:$B$1000=$A74)*Final_Merged_Data!$K$2:$K$1000*Final_Merged_Data!$F$2:$F$1000)/F74</f>
        <v>87.055167395391194</v>
      </c>
      <c r="L74" cm="1">
        <f t="array" ref="L74">SUMPRODUCT((Final_Merged_Data!$B$2:$B$1000=$A74)*Final_Merged_Data!$L$2:$L$1000*Final_Merged_Data!$F$2:$F$1000)/F74</f>
        <v>14.083489099923574</v>
      </c>
      <c r="M74" t="str">
        <f>IF(COUNTIF(Master_Data!$C:$C,$A74)&gt;0,"Found","Missing")</f>
        <v>Found</v>
      </c>
      <c r="N74" t="str">
        <f>_xlfn.XLOOKUP($A74,Master_Data!$C:$C,Master_Data!$D:$D,"CHECK",0)</f>
        <v>Sheikh Rabiul Alam</v>
      </c>
      <c r="O74" t="str">
        <f>_xlfn.XLOOKUP($A74,Master_Data!$C:$C,Master_Data!$E:$E,"CHECK",0)</f>
        <v>BNP</v>
      </c>
      <c r="P74">
        <f>_xlfn.XLOOKUP($A74,Master_Data!$C:$C,Master_Data!$F:$F,"CHECK",0)</f>
        <v>1</v>
      </c>
      <c r="Q74">
        <f>_xlfn.XLOOKUP($A74,Master_Data!$C:$C,Master_Data!$G:$G,"CHECK",0)</f>
        <v>80436</v>
      </c>
      <c r="R74">
        <f>IFERROR(_xlfn.XLOOKUP($A74,Master_Data!$C:$C,Master_Data!$H:$H,"CHECK",0),"")</f>
        <v>51.047140354885393</v>
      </c>
      <c r="S74" t="str">
        <f>_xlfn.XLOOKUP($A74,Master_Data!$C:$C,Master_Data!$I:$I,"CHECK",0)</f>
        <v>Md. Jasim Uddin Sarkar</v>
      </c>
      <c r="T74">
        <f>_xlfn.XLOOKUP($A74,Master_Data!$C:$C,Master_Data!$K:$K,"CHECK",0)</f>
        <v>77136</v>
      </c>
      <c r="U74">
        <f>IFERROR(_xlfn.XLOOKUP($A74,Master_Data!$C:$C,Master_Data!$L:$L,"CHECK",0),"")</f>
        <v>48.952859645114614</v>
      </c>
      <c r="V74">
        <f>_xlfn.XLOOKUP($A74,Master_Data!$C:$C,Master_Data!$M:$M,"CHECK",0)</f>
        <v>3300</v>
      </c>
      <c r="W74">
        <f>IFERROR(_xlfn.XLOOKUP($A74,Master_Data!$C:$C,Master_Data!$N:$N,"CHECK",0),"")</f>
        <v>2.0942807097707714</v>
      </c>
      <c r="X74" t="str">
        <f>IFERROR(_xlfn.XLOOKUP($A74,Master_Data!$C:$C,Master_Data!$O:$O,"CHECK",0),"No Result")</f>
        <v>Highly Competitive</v>
      </c>
      <c r="Y74">
        <f>_xlfn.XLOOKUP($A74,Master_Data!$C:$C,Master_Data!$P:$P,"CHECK",0)</f>
        <v>1</v>
      </c>
      <c r="Z74">
        <f t="shared" si="3"/>
        <v>1</v>
      </c>
      <c r="AA74">
        <f>_xlfn.XLOOKUP(B74,Remittance_Data!A:A,Remittance_Data!B:B,"CHECK")</f>
        <v>224944</v>
      </c>
      <c r="AB74">
        <f>_xlfn.XLOOKUP(B74,Remittance_Data!A:A,Remittance_Data!C:C,"CHECK")</f>
        <v>83586</v>
      </c>
      <c r="AC74">
        <f>_xlfn.XLOOKUP(B74,Remittance_Data!A:A,Remittance_Data!D:D,"CHECK")</f>
        <v>141358</v>
      </c>
    </row>
    <row r="75" spans="1:29">
      <c r="A75" t="str">
        <v>Dhaka-11</v>
      </c>
      <c r="B75" t="str" cm="1">
        <f t="array" ref="B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Nawabganj","Chapainawabganj"),Final_Merged_Data!$B$2:$B$1000=$A75)))</f>
        <v>Dhaka</v>
      </c>
      <c r="C75" t="str" cm="1">
        <f t="array" ref="C75">_xlfn.TEXTJOIN(", ",TRUE,_xlfn._xlws.FILTER(Final_Merged_Data!$C$2:$C$1000,Final_Merged_Data!$B$2:$B$1000=$A75))</f>
        <v>Gulshan</v>
      </c>
      <c r="D75" cm="1">
        <f t="array" ref="D75">COUNTA(_xlfn._xlws.FILTER(Final_Merged_Data!$C$2:$C$1000,Final_Merged_Data!$B$2:$B$1000=$A75))</f>
        <v>1</v>
      </c>
      <c r="E75">
        <f>SUMIFS(Final_Merged_Data!$E:$E,Final_Merged_Data!$B:$B,$A75)</f>
        <v>19.091875000000002</v>
      </c>
      <c r="F75">
        <f>SUMIFS(Final_Merged_Data!$F:$F,Final_Merged_Data!$B:$B,$A75)</f>
        <v>643487</v>
      </c>
      <c r="G75">
        <f t="shared" si="2"/>
        <v>33704.756604576549</v>
      </c>
      <c r="H75" cm="1">
        <f t="array" ref="H75">SUMPRODUCT((Final_Merged_Data!$B$2:$B$1000=$A75)*Final_Merged_Data!$H$2:$H$1000*Final_Merged_Data!$F$2:$F$1000)/F75</f>
        <v>3.7299999999999995</v>
      </c>
      <c r="I75" cm="1">
        <f t="array" ref="I75">SUMPRODUCT((Final_Merged_Data!$B$2:$B$1000=$A75)*Final_Merged_Data!$I$2:$I$1000*Final_Merged_Data!$F$2:$F$1000)/F75</f>
        <v>86.16</v>
      </c>
      <c r="J75" t="str" cm="1">
        <f t="array" ref="J75">_xlfn.TEXTJOIN(", ",TRUE,_xlfn.UNIQUE(_xlfn._xlws.FILTER(Final_Merged_Data!$J$2:$J$1000,Final_Merged_Data!$B$2:$B$1000=$A75)))</f>
        <v>Dhaka Range</v>
      </c>
      <c r="K75" cm="1">
        <f t="array" ref="K75">SUMPRODUCT((Final_Merged_Data!$B$2:$B$1000=$A75)*Final_Merged_Data!$K$2:$K$1000*Final_Merged_Data!$F$2:$F$1000)/F75</f>
        <v>87.055167395391194</v>
      </c>
      <c r="L75" cm="1">
        <f t="array" ref="L75">SUMPRODUCT((Final_Merged_Data!$B$2:$B$1000=$A75)*Final_Merged_Data!$L$2:$L$1000*Final_Merged_Data!$F$2:$F$1000)/F75</f>
        <v>14.083489099923574</v>
      </c>
      <c r="M75" t="str">
        <f>IF(COUNTIF(Master_Data!$C:$C,$A75)&gt;0,"Found","Missing")</f>
        <v>Found</v>
      </c>
      <c r="N75" t="str">
        <f>_xlfn.XLOOKUP($A75,Master_Data!$C:$C,Master_Data!$D:$D,"CHECK",0)</f>
        <v>Nahid Islam</v>
      </c>
      <c r="O75" t="str">
        <f>_xlfn.XLOOKUP($A75,Master_Data!$C:$C,Master_Data!$E:$E,"CHECK",0)</f>
        <v>NCP</v>
      </c>
      <c r="P75">
        <f>_xlfn.XLOOKUP($A75,Master_Data!$C:$C,Master_Data!$F:$F,"CHECK",0)</f>
        <v>0</v>
      </c>
      <c r="Q75">
        <f>_xlfn.XLOOKUP($A75,Master_Data!$C:$C,Master_Data!$G:$G,"CHECK",0)</f>
        <v>93872</v>
      </c>
      <c r="R75">
        <f>IFERROR(_xlfn.XLOOKUP($A75,Master_Data!$C:$C,Master_Data!$H:$H,"CHECK",0),"")</f>
        <v>50.548988987910938</v>
      </c>
      <c r="S75" t="str">
        <f>_xlfn.XLOOKUP($A75,Master_Data!$C:$C,Master_Data!$I:$I,"CHECK",0)</f>
        <v>M. A. Qayyum</v>
      </c>
      <c r="T75">
        <f>_xlfn.XLOOKUP($A75,Master_Data!$C:$C,Master_Data!$K:$K,"CHECK",0)</f>
        <v>91833</v>
      </c>
      <c r="U75">
        <f>IFERROR(_xlfn.XLOOKUP($A75,Master_Data!$C:$C,Master_Data!$L:$L,"CHECK",0),"")</f>
        <v>49.451011012089062</v>
      </c>
      <c r="V75">
        <f>_xlfn.XLOOKUP($A75,Master_Data!$C:$C,Master_Data!$M:$M,"CHECK",0)</f>
        <v>2039</v>
      </c>
      <c r="W75">
        <f>IFERROR(_xlfn.XLOOKUP($A75,Master_Data!$C:$C,Master_Data!$N:$N,"CHECK",0),"")</f>
        <v>1.0979779758218682</v>
      </c>
      <c r="X75" t="str">
        <f>IFERROR(_xlfn.XLOOKUP($A75,Master_Data!$C:$C,Master_Data!$O:$O,"CHECK",0),"No Result")</f>
        <v>Highly Competitive</v>
      </c>
      <c r="Y75">
        <f>_xlfn.XLOOKUP($A75,Master_Data!$C:$C,Master_Data!$P:$P,"CHECK",0)</f>
        <v>1</v>
      </c>
      <c r="Z75">
        <f t="shared" si="3"/>
        <v>1</v>
      </c>
      <c r="AA75">
        <f>_xlfn.XLOOKUP(B75,Remittance_Data!A:A,Remittance_Data!B:B,"CHECK")</f>
        <v>224944</v>
      </c>
      <c r="AB75">
        <f>_xlfn.XLOOKUP(B75,Remittance_Data!A:A,Remittance_Data!C:C,"CHECK")</f>
        <v>83586</v>
      </c>
      <c r="AC75">
        <f>_xlfn.XLOOKUP(B75,Remittance_Data!A:A,Remittance_Data!D:D,"CHECK")</f>
        <v>141358</v>
      </c>
    </row>
    <row r="76" spans="1:29">
      <c r="A76" t="str">
        <v>Dhaka-12</v>
      </c>
      <c r="B76" t="str" cm="1">
        <f t="array" ref="B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Nawabganj","Chapainawabganj"),Final_Merged_Data!$B$2:$B$1000=$A76)))</f>
        <v>Dhaka</v>
      </c>
      <c r="C76" t="str" cm="1">
        <f t="array" ref="C76">_xlfn.TEXTJOIN(", ",TRUE,_xlfn._xlws.FILTER(Final_Merged_Data!$C$2:$C$1000,Final_Merged_Data!$B$2:$B$1000=$A76))</f>
        <v>Mohammadpur</v>
      </c>
      <c r="D76" cm="1">
        <f t="array" ref="D76">COUNTA(_xlfn._xlws.FILTER(Final_Merged_Data!$C$2:$C$1000,Final_Merged_Data!$B$2:$B$1000=$A76))</f>
        <v>1</v>
      </c>
      <c r="E76">
        <f>SUMIFS(Final_Merged_Data!$E:$E,Final_Merged_Data!$B:$B,$A76)</f>
        <v>19.091875000000002</v>
      </c>
      <c r="F76">
        <f>SUMIFS(Final_Merged_Data!$F:$F,Final_Merged_Data!$B:$B,$A76)</f>
        <v>643487</v>
      </c>
      <c r="G76">
        <f t="shared" si="2"/>
        <v>33704.756604576549</v>
      </c>
      <c r="H76" cm="1">
        <f t="array" ref="H76">SUMPRODUCT((Final_Merged_Data!$B$2:$B$1000=$A76)*Final_Merged_Data!$H$2:$H$1000*Final_Merged_Data!$F$2:$F$1000)/F76</f>
        <v>3.7299999999999995</v>
      </c>
      <c r="I76" cm="1">
        <f t="array" ref="I76">SUMPRODUCT((Final_Merged_Data!$B$2:$B$1000=$A76)*Final_Merged_Data!$I$2:$I$1000*Final_Merged_Data!$F$2:$F$1000)/F76</f>
        <v>86.16</v>
      </c>
      <c r="J76" t="str" cm="1">
        <f t="array" ref="J76">_xlfn.TEXTJOIN(", ",TRUE,_xlfn.UNIQUE(_xlfn._xlws.FILTER(Final_Merged_Data!$J$2:$J$1000,Final_Merged_Data!$B$2:$B$1000=$A76)))</f>
        <v>Dhaka Range</v>
      </c>
      <c r="K76" cm="1">
        <f t="array" ref="K76">SUMPRODUCT((Final_Merged_Data!$B$2:$B$1000=$A76)*Final_Merged_Data!$K$2:$K$1000*Final_Merged_Data!$F$2:$F$1000)/F76</f>
        <v>87.055167395391194</v>
      </c>
      <c r="L76" cm="1">
        <f t="array" ref="L76">SUMPRODUCT((Final_Merged_Data!$B$2:$B$1000=$A76)*Final_Merged_Data!$L$2:$L$1000*Final_Merged_Data!$F$2:$F$1000)/F76</f>
        <v>14.083489099923574</v>
      </c>
      <c r="M76" t="str">
        <f>IF(COUNTIF(Master_Data!$C:$C,$A76)&gt;0,"Found","Missing")</f>
        <v>Found</v>
      </c>
      <c r="N76" t="str">
        <f>_xlfn.XLOOKUP($A76,Master_Data!$C:$C,Master_Data!$D:$D,"CHECK",0)</f>
        <v>Saiful Alam Khan Milon</v>
      </c>
      <c r="O76" t="str">
        <f>_xlfn.XLOOKUP($A76,Master_Data!$C:$C,Master_Data!$E:$E,"CHECK",0)</f>
        <v>Jamaat</v>
      </c>
      <c r="P76">
        <f>_xlfn.XLOOKUP($A76,Master_Data!$C:$C,Master_Data!$F:$F,"CHECK",0)</f>
        <v>2</v>
      </c>
      <c r="Q76">
        <f>_xlfn.XLOOKUP($A76,Master_Data!$C:$C,Master_Data!$G:$G,"CHECK",0)</f>
        <v>53773</v>
      </c>
      <c r="R76">
        <f>IFERROR(_xlfn.XLOOKUP($A76,Master_Data!$C:$C,Master_Data!$H:$H,"CHECK",0),"")</f>
        <v>63.459450528700913</v>
      </c>
      <c r="S76" t="str">
        <f>_xlfn.XLOOKUP($A76,Master_Data!$C:$C,Master_Data!$I:$I,"CHECK",0)</f>
        <v>Saiful Haque</v>
      </c>
      <c r="T76">
        <f>_xlfn.XLOOKUP($A76,Master_Data!$C:$C,Master_Data!$K:$K,"CHECK",0)</f>
        <v>30963</v>
      </c>
      <c r="U76">
        <f>IFERROR(_xlfn.XLOOKUP($A76,Master_Data!$C:$C,Master_Data!$L:$L,"CHECK",0),"")</f>
        <v>36.540549471299094</v>
      </c>
      <c r="V76">
        <f>_xlfn.XLOOKUP($A76,Master_Data!$C:$C,Master_Data!$M:$M,"CHECK",0)</f>
        <v>22810</v>
      </c>
      <c r="W76">
        <f>IFERROR(_xlfn.XLOOKUP($A76,Master_Data!$C:$C,Master_Data!$N:$N,"CHECK",0),"")</f>
        <v>26.918901057401811</v>
      </c>
      <c r="X76" t="str">
        <f>IFERROR(_xlfn.XLOOKUP($A76,Master_Data!$C:$C,Master_Data!$O:$O,"CHECK",0),"No Result")</f>
        <v>Safe Seat</v>
      </c>
      <c r="Y76">
        <f>_xlfn.XLOOKUP($A76,Master_Data!$C:$C,Master_Data!$P:$P,"CHECK",0)</f>
        <v>1</v>
      </c>
      <c r="Z76">
        <f t="shared" si="3"/>
        <v>1</v>
      </c>
      <c r="AA76">
        <f>_xlfn.XLOOKUP(B76,Remittance_Data!A:A,Remittance_Data!B:B,"CHECK")</f>
        <v>224944</v>
      </c>
      <c r="AB76">
        <f>_xlfn.XLOOKUP(B76,Remittance_Data!A:A,Remittance_Data!C:C,"CHECK")</f>
        <v>83586</v>
      </c>
      <c r="AC76">
        <f>_xlfn.XLOOKUP(B76,Remittance_Data!A:A,Remittance_Data!D:D,"CHECK")</f>
        <v>141358</v>
      </c>
    </row>
    <row r="77" spans="1:29">
      <c r="A77" t="str">
        <v>Dhaka-13</v>
      </c>
      <c r="B77" t="str" cm="1">
        <f t="array" ref="B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Nawabganj","Chapainawabganj"),Final_Merged_Data!$B$2:$B$1000=$A77)))</f>
        <v>Dhaka</v>
      </c>
      <c r="C77" t="str" cm="1">
        <f t="array" ref="C77">_xlfn.TEXTJOIN(", ",TRUE,_xlfn._xlws.FILTER(Final_Merged_Data!$C$2:$C$1000,Final_Merged_Data!$B$2:$B$1000=$A77))</f>
        <v>Adabor</v>
      </c>
      <c r="D77" cm="1">
        <f t="array" ref="D77">COUNTA(_xlfn._xlws.FILTER(Final_Merged_Data!$C$2:$C$1000,Final_Merged_Data!$B$2:$B$1000=$A77))</f>
        <v>1</v>
      </c>
      <c r="E77">
        <f>SUMIFS(Final_Merged_Data!$E:$E,Final_Merged_Data!$B:$B,$A77)</f>
        <v>19.091875000000002</v>
      </c>
      <c r="F77">
        <f>SUMIFS(Final_Merged_Data!$F:$F,Final_Merged_Data!$B:$B,$A77)</f>
        <v>643486</v>
      </c>
      <c r="G77">
        <f t="shared" si="2"/>
        <v>33704.704226274262</v>
      </c>
      <c r="H77" cm="1">
        <f t="array" ref="H77">SUMPRODUCT((Final_Merged_Data!$B$2:$B$1000=$A77)*Final_Merged_Data!$H$2:$H$1000*Final_Merged_Data!$F$2:$F$1000)/F77</f>
        <v>3.7299999999999995</v>
      </c>
      <c r="I77" cm="1">
        <f t="array" ref="I77">SUMPRODUCT((Final_Merged_Data!$B$2:$B$1000=$A77)*Final_Merged_Data!$I$2:$I$1000*Final_Merged_Data!$F$2:$F$1000)/F77</f>
        <v>86.16</v>
      </c>
      <c r="J77" t="str" cm="1">
        <f t="array" ref="J77">_xlfn.TEXTJOIN(", ",TRUE,_xlfn.UNIQUE(_xlfn._xlws.FILTER(Final_Merged_Data!$J$2:$J$1000,Final_Merged_Data!$B$2:$B$1000=$A77)))</f>
        <v>Dhaka Range</v>
      </c>
      <c r="K77" cm="1">
        <f t="array" ref="K77">SUMPRODUCT((Final_Merged_Data!$B$2:$B$1000=$A77)*Final_Merged_Data!$K$2:$K$1000*Final_Merged_Data!$F$2:$F$1000)/F77</f>
        <v>87.055167395391194</v>
      </c>
      <c r="L77" cm="1">
        <f t="array" ref="L77">SUMPRODUCT((Final_Merged_Data!$B$2:$B$1000=$A77)*Final_Merged_Data!$L$2:$L$1000*Final_Merged_Data!$F$2:$F$1000)/F77</f>
        <v>14.08348909992357</v>
      </c>
      <c r="M77" t="str">
        <f>IF(COUNTIF(Master_Data!$C:$C,$A77)&gt;0,"Found","Missing")</f>
        <v>Found</v>
      </c>
      <c r="N77" t="str">
        <f>_xlfn.XLOOKUP($A77,Master_Data!$C:$C,Master_Data!$D:$D,"CHECK",0)</f>
        <v>Bobby Hajjaj</v>
      </c>
      <c r="O77" t="str">
        <f>_xlfn.XLOOKUP($A77,Master_Data!$C:$C,Master_Data!$E:$E,"CHECK",0)</f>
        <v>BNP</v>
      </c>
      <c r="P77">
        <f>_xlfn.XLOOKUP($A77,Master_Data!$C:$C,Master_Data!$F:$F,"CHECK",0)</f>
        <v>1</v>
      </c>
      <c r="Q77">
        <f>_xlfn.XLOOKUP($A77,Master_Data!$C:$C,Master_Data!$G:$G,"CHECK",0)</f>
        <v>88387</v>
      </c>
      <c r="R77">
        <f>IFERROR(_xlfn.XLOOKUP($A77,Master_Data!$C:$C,Master_Data!$H:$H,"CHECK",0),"")</f>
        <v>50.664931729854288</v>
      </c>
      <c r="S77" t="str">
        <f>_xlfn.XLOOKUP($A77,Master_Data!$C:$C,Master_Data!$I:$I,"CHECK",0)</f>
        <v>Mamunul Haque</v>
      </c>
      <c r="T77">
        <f>_xlfn.XLOOKUP($A77,Master_Data!$C:$C,Master_Data!$K:$K,"CHECK",0)</f>
        <v>86067</v>
      </c>
      <c r="U77">
        <f>IFERROR(_xlfn.XLOOKUP($A77,Master_Data!$C:$C,Master_Data!$L:$L,"CHECK",0),"")</f>
        <v>49.335068270145712</v>
      </c>
      <c r="V77">
        <f>_xlfn.XLOOKUP($A77,Master_Data!$C:$C,Master_Data!$M:$M,"CHECK",0)</f>
        <v>2320</v>
      </c>
      <c r="W77">
        <f>IFERROR(_xlfn.XLOOKUP($A77,Master_Data!$C:$C,Master_Data!$N:$N,"CHECK",0),"")</f>
        <v>1.3298634597085766</v>
      </c>
      <c r="X77" t="str">
        <f>IFERROR(_xlfn.XLOOKUP($A77,Master_Data!$C:$C,Master_Data!$O:$O,"CHECK",0),"No Result")</f>
        <v>Highly Competitive</v>
      </c>
      <c r="Y77">
        <f>_xlfn.XLOOKUP($A77,Master_Data!$C:$C,Master_Data!$P:$P,"CHECK",0)</f>
        <v>1</v>
      </c>
      <c r="Z77">
        <f t="shared" si="3"/>
        <v>1</v>
      </c>
      <c r="AA77">
        <f>_xlfn.XLOOKUP(B77,Remittance_Data!A:A,Remittance_Data!B:B,"CHECK")</f>
        <v>224944</v>
      </c>
      <c r="AB77">
        <f>_xlfn.XLOOKUP(B77,Remittance_Data!A:A,Remittance_Data!C:C,"CHECK")</f>
        <v>83586</v>
      </c>
      <c r="AC77">
        <f>_xlfn.XLOOKUP(B77,Remittance_Data!A:A,Remittance_Data!D:D,"CHECK")</f>
        <v>141358</v>
      </c>
    </row>
    <row r="78" spans="1:29">
      <c r="A78" t="str">
        <v>Dhaka-14</v>
      </c>
      <c r="B78" t="str" cm="1">
        <f t="array" ref="B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Nawabganj","Chapainawabganj"),Final_Merged_Data!$B$2:$B$1000=$A78)))</f>
        <v>Dhaka</v>
      </c>
      <c r="C78" t="str" cm="1">
        <f t="array" ref="C78">_xlfn.TEXTJOIN(", ",TRUE,_xlfn._xlws.FILTER(Final_Merged_Data!$C$2:$C$1000,Final_Merged_Data!$B$2:$B$1000=$A78))</f>
        <v>Mirpur</v>
      </c>
      <c r="D78" cm="1">
        <f t="array" ref="D78">COUNTA(_xlfn._xlws.FILTER(Final_Merged_Data!$C$2:$C$1000,Final_Merged_Data!$B$2:$B$1000=$A78))</f>
        <v>1</v>
      </c>
      <c r="E78">
        <f>SUMIFS(Final_Merged_Data!$E:$E,Final_Merged_Data!$B:$B,$A78)</f>
        <v>19.091875000000002</v>
      </c>
      <c r="F78">
        <f>SUMIFS(Final_Merged_Data!$F:$F,Final_Merged_Data!$B:$B,$A78)</f>
        <v>643486</v>
      </c>
      <c r="G78">
        <f t="shared" si="2"/>
        <v>33704.704226274262</v>
      </c>
      <c r="H78" cm="1">
        <f t="array" ref="H78">SUMPRODUCT((Final_Merged_Data!$B$2:$B$1000=$A78)*Final_Merged_Data!$H$2:$H$1000*Final_Merged_Data!$F$2:$F$1000)/F78</f>
        <v>3.7299999999999995</v>
      </c>
      <c r="I78" cm="1">
        <f t="array" ref="I78">SUMPRODUCT((Final_Merged_Data!$B$2:$B$1000=$A78)*Final_Merged_Data!$I$2:$I$1000*Final_Merged_Data!$F$2:$F$1000)/F78</f>
        <v>86.16</v>
      </c>
      <c r="J78" t="str" cm="1">
        <f t="array" ref="J78">_xlfn.TEXTJOIN(", ",TRUE,_xlfn.UNIQUE(_xlfn._xlws.FILTER(Final_Merged_Data!$J$2:$J$1000,Final_Merged_Data!$B$2:$B$1000=$A78)))</f>
        <v>Dhaka Range</v>
      </c>
      <c r="K78" cm="1">
        <f t="array" ref="K78">SUMPRODUCT((Final_Merged_Data!$B$2:$B$1000=$A78)*Final_Merged_Data!$K$2:$K$1000*Final_Merged_Data!$F$2:$F$1000)/F78</f>
        <v>87.055167395391194</v>
      </c>
      <c r="L78" cm="1">
        <f t="array" ref="L78">SUMPRODUCT((Final_Merged_Data!$B$2:$B$1000=$A78)*Final_Merged_Data!$L$2:$L$1000*Final_Merged_Data!$F$2:$F$1000)/F78</f>
        <v>14.08348909992357</v>
      </c>
      <c r="M78" t="str">
        <f>IF(COUNTIF(Master_Data!$C:$C,$A78)&gt;0,"Found","Missing")</f>
        <v>Found</v>
      </c>
      <c r="N78" t="str">
        <f>_xlfn.XLOOKUP($A78,Master_Data!$C:$C,Master_Data!$D:$D,"CHECK",0)</f>
        <v>Mir Ahmad Bin Quasem</v>
      </c>
      <c r="O78" t="str">
        <f>_xlfn.XLOOKUP($A78,Master_Data!$C:$C,Master_Data!$E:$E,"CHECK",0)</f>
        <v>Jamaat</v>
      </c>
      <c r="P78">
        <f>_xlfn.XLOOKUP($A78,Master_Data!$C:$C,Master_Data!$F:$F,"CHECK",0)</f>
        <v>2</v>
      </c>
      <c r="Q78">
        <f>_xlfn.XLOOKUP($A78,Master_Data!$C:$C,Master_Data!$G:$G,"CHECK",0)</f>
        <v>101113</v>
      </c>
      <c r="R78">
        <f>IFERROR(_xlfn.XLOOKUP($A78,Master_Data!$C:$C,Master_Data!$H:$H,"CHECK",0),"")</f>
        <v>54.822811164848503</v>
      </c>
      <c r="S78" t="str">
        <f>_xlfn.XLOOKUP($A78,Master_Data!$C:$C,Master_Data!$I:$I,"CHECK",0)</f>
        <v>Sanjida Islam</v>
      </c>
      <c r="T78">
        <f>_xlfn.XLOOKUP($A78,Master_Data!$C:$C,Master_Data!$K:$K,"CHECK",0)</f>
        <v>83323</v>
      </c>
      <c r="U78">
        <f>IFERROR(_xlfn.XLOOKUP($A78,Master_Data!$C:$C,Master_Data!$L:$L,"CHECK",0),"")</f>
        <v>45.17718883515149</v>
      </c>
      <c r="V78">
        <f>_xlfn.XLOOKUP($A78,Master_Data!$C:$C,Master_Data!$M:$M,"CHECK",0)</f>
        <v>17790</v>
      </c>
      <c r="W78">
        <f>IFERROR(_xlfn.XLOOKUP($A78,Master_Data!$C:$C,Master_Data!$N:$N,"CHECK",0),"")</f>
        <v>9.6456223296970212</v>
      </c>
      <c r="X78" t="str">
        <f>IFERROR(_xlfn.XLOOKUP($A78,Master_Data!$C:$C,Master_Data!$O:$O,"CHECK",0),"No Result")</f>
        <v>Safe Seat</v>
      </c>
      <c r="Y78">
        <f>_xlfn.XLOOKUP($A78,Master_Data!$C:$C,Master_Data!$P:$P,"CHECK",0)</f>
        <v>1</v>
      </c>
      <c r="Z78">
        <f t="shared" si="3"/>
        <v>1</v>
      </c>
      <c r="AA78">
        <f>_xlfn.XLOOKUP(B78,Remittance_Data!A:A,Remittance_Data!B:B,"CHECK")</f>
        <v>224944</v>
      </c>
      <c r="AB78">
        <f>_xlfn.XLOOKUP(B78,Remittance_Data!A:A,Remittance_Data!C:C,"CHECK")</f>
        <v>83586</v>
      </c>
      <c r="AC78">
        <f>_xlfn.XLOOKUP(B78,Remittance_Data!A:A,Remittance_Data!D:D,"CHECK")</f>
        <v>141358</v>
      </c>
    </row>
    <row r="79" spans="1:29">
      <c r="A79" t="str">
        <v>Dhaka-15</v>
      </c>
      <c r="B79" t="str" cm="1">
        <f t="array" ref="B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Nawabganj","Chapainawabganj"),Final_Merged_Data!$B$2:$B$1000=$A79)))</f>
        <v>Dhaka</v>
      </c>
      <c r="C79" t="str" cm="1">
        <f t="array" ref="C79">_xlfn.TEXTJOIN(", ",TRUE,_xlfn._xlws.FILTER(Final_Merged_Data!$C$2:$C$1000,Final_Merged_Data!$B$2:$B$1000=$A79))</f>
        <v>Pallabi</v>
      </c>
      <c r="D79" cm="1">
        <f t="array" ref="D79">COUNTA(_xlfn._xlws.FILTER(Final_Merged_Data!$C$2:$C$1000,Final_Merged_Data!$B$2:$B$1000=$A79))</f>
        <v>1</v>
      </c>
      <c r="E79">
        <f>SUMIFS(Final_Merged_Data!$E:$E,Final_Merged_Data!$B:$B,$A79)</f>
        <v>19.091875000000002</v>
      </c>
      <c r="F79">
        <f>SUMIFS(Final_Merged_Data!$F:$F,Final_Merged_Data!$B:$B,$A79)</f>
        <v>643486</v>
      </c>
      <c r="G79">
        <f t="shared" si="2"/>
        <v>33704.704226274262</v>
      </c>
      <c r="H79" cm="1">
        <f t="array" ref="H79">SUMPRODUCT((Final_Merged_Data!$B$2:$B$1000=$A79)*Final_Merged_Data!$H$2:$H$1000*Final_Merged_Data!$F$2:$F$1000)/F79</f>
        <v>3.7299999999999995</v>
      </c>
      <c r="I79" cm="1">
        <f t="array" ref="I79">SUMPRODUCT((Final_Merged_Data!$B$2:$B$1000=$A79)*Final_Merged_Data!$I$2:$I$1000*Final_Merged_Data!$F$2:$F$1000)/F79</f>
        <v>86.16</v>
      </c>
      <c r="J79" t="str" cm="1">
        <f t="array" ref="J79">_xlfn.TEXTJOIN(", ",TRUE,_xlfn.UNIQUE(_xlfn._xlws.FILTER(Final_Merged_Data!$J$2:$J$1000,Final_Merged_Data!$B$2:$B$1000=$A79)))</f>
        <v>Dhaka Range</v>
      </c>
      <c r="K79" cm="1">
        <f t="array" ref="K79">SUMPRODUCT((Final_Merged_Data!$B$2:$B$1000=$A79)*Final_Merged_Data!$K$2:$K$1000*Final_Merged_Data!$F$2:$F$1000)/F79</f>
        <v>87.055167395391194</v>
      </c>
      <c r="L79" cm="1">
        <f t="array" ref="L79">SUMPRODUCT((Final_Merged_Data!$B$2:$B$1000=$A79)*Final_Merged_Data!$L$2:$L$1000*Final_Merged_Data!$F$2:$F$1000)/F79</f>
        <v>14.08348909992357</v>
      </c>
      <c r="M79" t="str">
        <f>IF(COUNTIF(Master_Data!$C:$C,$A79)&gt;0,"Found","Missing")</f>
        <v>Found</v>
      </c>
      <c r="N79" t="str">
        <f>_xlfn.XLOOKUP($A79,Master_Data!$C:$C,Master_Data!$D:$D,"CHECK",0)</f>
        <v>Shafiqur Rahman</v>
      </c>
      <c r="O79" t="str">
        <f>_xlfn.XLOOKUP($A79,Master_Data!$C:$C,Master_Data!$E:$E,"CHECK",0)</f>
        <v>Jamaat</v>
      </c>
      <c r="P79">
        <f>_xlfn.XLOOKUP($A79,Master_Data!$C:$C,Master_Data!$F:$F,"CHECK",0)</f>
        <v>2</v>
      </c>
      <c r="Q79">
        <f>_xlfn.XLOOKUP($A79,Master_Data!$C:$C,Master_Data!$G:$G,"CHECK",0)</f>
        <v>85131</v>
      </c>
      <c r="R79">
        <f>IFERROR(_xlfn.XLOOKUP($A79,Master_Data!$C:$C,Master_Data!$H:$H,"CHECK",0),"")</f>
        <v>57.271736497941397</v>
      </c>
      <c r="S79" t="str">
        <f>_xlfn.XLOOKUP($A79,Master_Data!$C:$C,Master_Data!$I:$I,"CHECK",0)</f>
        <v>Md. Shafiqul Islam Khan</v>
      </c>
      <c r="T79">
        <f>_xlfn.XLOOKUP($A79,Master_Data!$C:$C,Master_Data!$K:$K,"CHECK",0)</f>
        <v>63513</v>
      </c>
      <c r="U79">
        <f>IFERROR(_xlfn.XLOOKUP($A79,Master_Data!$C:$C,Master_Data!$L:$L,"CHECK",0),"")</f>
        <v>42.72826350205861</v>
      </c>
      <c r="V79">
        <f>_xlfn.XLOOKUP($A79,Master_Data!$C:$C,Master_Data!$M:$M,"CHECK",0)</f>
        <v>21618</v>
      </c>
      <c r="W79">
        <f>IFERROR(_xlfn.XLOOKUP($A79,Master_Data!$C:$C,Master_Data!$N:$N,"CHECK",0),"")</f>
        <v>14.54347299588278</v>
      </c>
      <c r="X79" t="str">
        <f>IFERROR(_xlfn.XLOOKUP($A79,Master_Data!$C:$C,Master_Data!$O:$O,"CHECK",0),"No Result")</f>
        <v>Safe Seat</v>
      </c>
      <c r="Y79">
        <f>_xlfn.XLOOKUP($A79,Master_Data!$C:$C,Master_Data!$P:$P,"CHECK",0)</f>
        <v>1</v>
      </c>
      <c r="Z79">
        <f t="shared" si="3"/>
        <v>1</v>
      </c>
      <c r="AA79">
        <f>_xlfn.XLOOKUP(B79,Remittance_Data!A:A,Remittance_Data!B:B,"CHECK")</f>
        <v>224944</v>
      </c>
      <c r="AB79">
        <f>_xlfn.XLOOKUP(B79,Remittance_Data!A:A,Remittance_Data!C:C,"CHECK")</f>
        <v>83586</v>
      </c>
      <c r="AC79">
        <f>_xlfn.XLOOKUP(B79,Remittance_Data!A:A,Remittance_Data!D:D,"CHECK")</f>
        <v>141358</v>
      </c>
    </row>
    <row r="80" spans="1:29">
      <c r="A80" t="str">
        <v>Dhaka-16</v>
      </c>
      <c r="B80" t="str" cm="1">
        <f t="array" ref="B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Nawabganj","Chapainawabganj"),Final_Merged_Data!$B$2:$B$1000=$A80)))</f>
        <v>Dhaka</v>
      </c>
      <c r="C80" t="str" cm="1">
        <f t="array" ref="C80">_xlfn.TEXTJOIN(", ",TRUE,_xlfn._xlws.FILTER(Final_Merged_Data!$C$2:$C$1000,Final_Merged_Data!$B$2:$B$1000=$A80))</f>
        <v>Kafrul</v>
      </c>
      <c r="D80" cm="1">
        <f t="array" ref="D80">COUNTA(_xlfn._xlws.FILTER(Final_Merged_Data!$C$2:$C$1000,Final_Merged_Data!$B$2:$B$1000=$A80))</f>
        <v>1</v>
      </c>
      <c r="E80">
        <f>SUMIFS(Final_Merged_Data!$E:$E,Final_Merged_Data!$B:$B,$A80)</f>
        <v>19.091875000000002</v>
      </c>
      <c r="F80">
        <f>SUMIFS(Final_Merged_Data!$F:$F,Final_Merged_Data!$B:$B,$A80)</f>
        <v>643486</v>
      </c>
      <c r="G80">
        <f t="shared" si="2"/>
        <v>33704.704226274262</v>
      </c>
      <c r="H80" cm="1">
        <f t="array" ref="H80">SUMPRODUCT((Final_Merged_Data!$B$2:$B$1000=$A80)*Final_Merged_Data!$H$2:$H$1000*Final_Merged_Data!$F$2:$F$1000)/F80</f>
        <v>3.7299999999999995</v>
      </c>
      <c r="I80" cm="1">
        <f t="array" ref="I80">SUMPRODUCT((Final_Merged_Data!$B$2:$B$1000=$A80)*Final_Merged_Data!$I$2:$I$1000*Final_Merged_Data!$F$2:$F$1000)/F80</f>
        <v>86.16</v>
      </c>
      <c r="J80" t="str" cm="1">
        <f t="array" ref="J80">_xlfn.TEXTJOIN(", ",TRUE,_xlfn.UNIQUE(_xlfn._xlws.FILTER(Final_Merged_Data!$J$2:$J$1000,Final_Merged_Data!$B$2:$B$1000=$A80)))</f>
        <v>Dhaka Range</v>
      </c>
      <c r="K80" cm="1">
        <f t="array" ref="K80">SUMPRODUCT((Final_Merged_Data!$B$2:$B$1000=$A80)*Final_Merged_Data!$K$2:$K$1000*Final_Merged_Data!$F$2:$F$1000)/F80</f>
        <v>87.055167395391194</v>
      </c>
      <c r="L80" cm="1">
        <f t="array" ref="L80">SUMPRODUCT((Final_Merged_Data!$B$2:$B$1000=$A80)*Final_Merged_Data!$L$2:$L$1000*Final_Merged_Data!$F$2:$F$1000)/F80</f>
        <v>14.08348909992357</v>
      </c>
      <c r="M80" t="str">
        <f>IF(COUNTIF(Master_Data!$C:$C,$A80)&gt;0,"Found","Missing")</f>
        <v>Found</v>
      </c>
      <c r="N80" t="str">
        <f>_xlfn.XLOOKUP($A80,Master_Data!$C:$C,Master_Data!$D:$D,"CHECK",0)</f>
        <v>Md. Abdul Baten</v>
      </c>
      <c r="O80" t="str">
        <f>_xlfn.XLOOKUP($A80,Master_Data!$C:$C,Master_Data!$E:$E,"CHECK",0)</f>
        <v>Jamaat</v>
      </c>
      <c r="P80">
        <f>_xlfn.XLOOKUP($A80,Master_Data!$C:$C,Master_Data!$F:$F,"CHECK",0)</f>
        <v>2</v>
      </c>
      <c r="Q80">
        <f>_xlfn.XLOOKUP($A80,Master_Data!$C:$C,Master_Data!$G:$G,"CHECK",0)</f>
        <v>88828</v>
      </c>
      <c r="R80">
        <f>IFERROR(_xlfn.XLOOKUP($A80,Master_Data!$C:$C,Master_Data!$H:$H,"CHECK",0),"")</f>
        <v>50.964169941765405</v>
      </c>
      <c r="S80" t="str">
        <f>_xlfn.XLOOKUP($A80,Master_Data!$C:$C,Master_Data!$I:$I,"CHECK",0)</f>
        <v>Aminul Haque</v>
      </c>
      <c r="T80">
        <f>_xlfn.XLOOKUP($A80,Master_Data!$C:$C,Master_Data!$K:$K,"CHECK",0)</f>
        <v>85467</v>
      </c>
      <c r="U80">
        <f>IFERROR(_xlfn.XLOOKUP($A80,Master_Data!$C:$C,Master_Data!$L:$L,"CHECK",0),"")</f>
        <v>49.035830058234602</v>
      </c>
      <c r="V80">
        <f>_xlfn.XLOOKUP($A80,Master_Data!$C:$C,Master_Data!$M:$M,"CHECK",0)</f>
        <v>3361</v>
      </c>
      <c r="W80">
        <f>IFERROR(_xlfn.XLOOKUP($A80,Master_Data!$C:$C,Master_Data!$N:$N,"CHECK",0),"")</f>
        <v>1.9283398835307954</v>
      </c>
      <c r="X80" t="str">
        <f>IFERROR(_xlfn.XLOOKUP($A80,Master_Data!$C:$C,Master_Data!$O:$O,"CHECK",0),"No Result")</f>
        <v>Highly Competitive</v>
      </c>
      <c r="Y80">
        <f>_xlfn.XLOOKUP($A80,Master_Data!$C:$C,Master_Data!$P:$P,"CHECK",0)</f>
        <v>1</v>
      </c>
      <c r="Z80">
        <f t="shared" si="3"/>
        <v>1</v>
      </c>
      <c r="AA80">
        <f>_xlfn.XLOOKUP(B80,Remittance_Data!A:A,Remittance_Data!B:B,"CHECK")</f>
        <v>224944</v>
      </c>
      <c r="AB80">
        <f>_xlfn.XLOOKUP(B80,Remittance_Data!A:A,Remittance_Data!C:C,"CHECK")</f>
        <v>83586</v>
      </c>
      <c r="AC80">
        <f>_xlfn.XLOOKUP(B80,Remittance_Data!A:A,Remittance_Data!D:D,"CHECK")</f>
        <v>141358</v>
      </c>
    </row>
    <row r="81" spans="1:29">
      <c r="A81" t="str">
        <v>Dhaka-17</v>
      </c>
      <c r="B81" t="str" cm="1">
        <f t="array" ref="B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Nawabganj","Chapainawabganj"),Final_Merged_Data!$B$2:$B$1000=$A81)))</f>
        <v>Dhaka</v>
      </c>
      <c r="C81" t="str" cm="1">
        <f t="array" ref="C81">_xlfn.TEXTJOIN(", ",TRUE,_xlfn._xlws.FILTER(Final_Merged_Data!$C$2:$C$1000,Final_Merged_Data!$B$2:$B$1000=$A81))</f>
        <v>Cantonment</v>
      </c>
      <c r="D81" cm="1">
        <f t="array" ref="D81">COUNTA(_xlfn._xlws.FILTER(Final_Merged_Data!$C$2:$C$1000,Final_Merged_Data!$B$2:$B$1000=$A81))</f>
        <v>1</v>
      </c>
      <c r="E81">
        <f>SUMIFS(Final_Merged_Data!$E:$E,Final_Merged_Data!$B:$B,$A81)</f>
        <v>19.091875000000002</v>
      </c>
      <c r="F81">
        <f>SUMIFS(Final_Merged_Data!$F:$F,Final_Merged_Data!$B:$B,$A81)</f>
        <v>643486</v>
      </c>
      <c r="G81">
        <f t="shared" si="2"/>
        <v>33704.704226274262</v>
      </c>
      <c r="H81" cm="1">
        <f t="array" ref="H81">SUMPRODUCT((Final_Merged_Data!$B$2:$B$1000=$A81)*Final_Merged_Data!$H$2:$H$1000*Final_Merged_Data!$F$2:$F$1000)/F81</f>
        <v>3.7299999999999995</v>
      </c>
      <c r="I81" cm="1">
        <f t="array" ref="I81">SUMPRODUCT((Final_Merged_Data!$B$2:$B$1000=$A81)*Final_Merged_Data!$I$2:$I$1000*Final_Merged_Data!$F$2:$F$1000)/F81</f>
        <v>86.16</v>
      </c>
      <c r="J81" t="str" cm="1">
        <f t="array" ref="J81">_xlfn.TEXTJOIN(", ",TRUE,_xlfn.UNIQUE(_xlfn._xlws.FILTER(Final_Merged_Data!$J$2:$J$1000,Final_Merged_Data!$B$2:$B$1000=$A81)))</f>
        <v>Dhaka Range</v>
      </c>
      <c r="K81" cm="1">
        <f t="array" ref="K81">SUMPRODUCT((Final_Merged_Data!$B$2:$B$1000=$A81)*Final_Merged_Data!$K$2:$K$1000*Final_Merged_Data!$F$2:$F$1000)/F81</f>
        <v>87.055167395391194</v>
      </c>
      <c r="L81" cm="1">
        <f t="array" ref="L81">SUMPRODUCT((Final_Merged_Data!$B$2:$B$1000=$A81)*Final_Merged_Data!$L$2:$L$1000*Final_Merged_Data!$F$2:$F$1000)/F81</f>
        <v>14.08348909992357</v>
      </c>
      <c r="M81" t="str">
        <f>IF(COUNTIF(Master_Data!$C:$C,$A81)&gt;0,"Found","Missing")</f>
        <v>Found</v>
      </c>
      <c r="N81" t="str">
        <f>_xlfn.XLOOKUP($A81,Master_Data!$C:$C,Master_Data!$D:$D,"CHECK",0)</f>
        <v>Tarique Rahman</v>
      </c>
      <c r="O81" t="str">
        <f>_xlfn.XLOOKUP($A81,Master_Data!$C:$C,Master_Data!$E:$E,"CHECK",0)</f>
        <v>BNP</v>
      </c>
      <c r="P81">
        <f>_xlfn.XLOOKUP($A81,Master_Data!$C:$C,Master_Data!$F:$F,"CHECK",0)</f>
        <v>1</v>
      </c>
      <c r="Q81">
        <f>_xlfn.XLOOKUP($A81,Master_Data!$C:$C,Master_Data!$G:$G,"CHECK",0)</f>
        <v>72699</v>
      </c>
      <c r="R81">
        <f>IFERROR(_xlfn.XLOOKUP($A81,Master_Data!$C:$C,Master_Data!$H:$H,"CHECK",0),"")</f>
        <v>51.559940141419446</v>
      </c>
      <c r="S81" t="str">
        <f>_xlfn.XLOOKUP($A81,Master_Data!$C:$C,Master_Data!$I:$I,"CHECK",0)</f>
        <v>S. M. Khaliduzzaman</v>
      </c>
      <c r="T81">
        <f>_xlfn.XLOOKUP($A81,Master_Data!$C:$C,Master_Data!$K:$K,"CHECK",0)</f>
        <v>68300</v>
      </c>
      <c r="U81">
        <f>IFERROR(_xlfn.XLOOKUP($A81,Master_Data!$C:$C,Master_Data!$L:$L,"CHECK",0),"")</f>
        <v>48.440059858580561</v>
      </c>
      <c r="V81">
        <f>_xlfn.XLOOKUP($A81,Master_Data!$C:$C,Master_Data!$M:$M,"CHECK",0)</f>
        <v>4399</v>
      </c>
      <c r="W81">
        <f>IFERROR(_xlfn.XLOOKUP($A81,Master_Data!$C:$C,Master_Data!$N:$N,"CHECK",0),"")</f>
        <v>3.1198802828388854</v>
      </c>
      <c r="X81" t="str">
        <f>IFERROR(_xlfn.XLOOKUP($A81,Master_Data!$C:$C,Master_Data!$O:$O,"CHECK",0),"No Result")</f>
        <v>Highly Competitive</v>
      </c>
      <c r="Y81">
        <f>_xlfn.XLOOKUP($A81,Master_Data!$C:$C,Master_Data!$P:$P,"CHECK",0)</f>
        <v>1</v>
      </c>
      <c r="Z81">
        <f t="shared" si="3"/>
        <v>1</v>
      </c>
      <c r="AA81">
        <f>_xlfn.XLOOKUP(B81,Remittance_Data!A:A,Remittance_Data!B:B,"CHECK")</f>
        <v>224944</v>
      </c>
      <c r="AB81">
        <f>_xlfn.XLOOKUP(B81,Remittance_Data!A:A,Remittance_Data!C:C,"CHECK")</f>
        <v>83586</v>
      </c>
      <c r="AC81">
        <f>_xlfn.XLOOKUP(B81,Remittance_Data!A:A,Remittance_Data!D:D,"CHECK")</f>
        <v>141358</v>
      </c>
    </row>
    <row r="82" spans="1:29">
      <c r="A82" t="str">
        <v>Dhaka-18</v>
      </c>
      <c r="B82" t="str" cm="1">
        <f t="array" ref="B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Nawabganj","Chapainawabganj"),Final_Merged_Data!$B$2:$B$1000=$A82)))</f>
        <v>Dhaka</v>
      </c>
      <c r="C82" t="str" cm="1">
        <f t="array" ref="C82">_xlfn.TEXTJOIN(", ",TRUE,_xlfn._xlws.FILTER(Final_Merged_Data!$C$2:$C$1000,Final_Merged_Data!$B$2:$B$1000=$A82))</f>
        <v>Uttara</v>
      </c>
      <c r="D82" cm="1">
        <f t="array" ref="D82">COUNTA(_xlfn._xlws.FILTER(Final_Merged_Data!$C$2:$C$1000,Final_Merged_Data!$B$2:$B$1000=$A82))</f>
        <v>1</v>
      </c>
      <c r="E82">
        <f>SUMIFS(Final_Merged_Data!$E:$E,Final_Merged_Data!$B:$B,$A82)</f>
        <v>19.091875000000002</v>
      </c>
      <c r="F82">
        <f>SUMIFS(Final_Merged_Data!$F:$F,Final_Merged_Data!$B:$B,$A82)</f>
        <v>643486</v>
      </c>
      <c r="G82">
        <f t="shared" si="2"/>
        <v>33704.704226274262</v>
      </c>
      <c r="H82" cm="1">
        <f t="array" ref="H82">SUMPRODUCT((Final_Merged_Data!$B$2:$B$1000=$A82)*Final_Merged_Data!$H$2:$H$1000*Final_Merged_Data!$F$2:$F$1000)/F82</f>
        <v>3.7299999999999995</v>
      </c>
      <c r="I82" cm="1">
        <f t="array" ref="I82">SUMPRODUCT((Final_Merged_Data!$B$2:$B$1000=$A82)*Final_Merged_Data!$I$2:$I$1000*Final_Merged_Data!$F$2:$F$1000)/F82</f>
        <v>86.16</v>
      </c>
      <c r="J82" t="str" cm="1">
        <f t="array" ref="J82">_xlfn.TEXTJOIN(", ",TRUE,_xlfn.UNIQUE(_xlfn._xlws.FILTER(Final_Merged_Data!$J$2:$J$1000,Final_Merged_Data!$B$2:$B$1000=$A82)))</f>
        <v>Dhaka Range</v>
      </c>
      <c r="K82" cm="1">
        <f t="array" ref="K82">SUMPRODUCT((Final_Merged_Data!$B$2:$B$1000=$A82)*Final_Merged_Data!$K$2:$K$1000*Final_Merged_Data!$F$2:$F$1000)/F82</f>
        <v>87.055167395391194</v>
      </c>
      <c r="L82" cm="1">
        <f t="array" ref="L82">SUMPRODUCT((Final_Merged_Data!$B$2:$B$1000=$A82)*Final_Merged_Data!$L$2:$L$1000*Final_Merged_Data!$F$2:$F$1000)/F82</f>
        <v>14.08348909992357</v>
      </c>
      <c r="M82" t="str">
        <f>IF(COUNTIF(Master_Data!$C:$C,$A82)&gt;0,"Found","Missing")</f>
        <v>Found</v>
      </c>
      <c r="N82" t="str">
        <f>_xlfn.XLOOKUP($A82,Master_Data!$C:$C,Master_Data!$D:$D,"CHECK",0)</f>
        <v>SM Jahangir Hossain</v>
      </c>
      <c r="O82" t="str">
        <f>_xlfn.XLOOKUP($A82,Master_Data!$C:$C,Master_Data!$E:$E,"CHECK",0)</f>
        <v>BNP</v>
      </c>
      <c r="P82">
        <f>_xlfn.XLOOKUP($A82,Master_Data!$C:$C,Master_Data!$F:$F,"CHECK",0)</f>
        <v>1</v>
      </c>
      <c r="Q82">
        <f>_xlfn.XLOOKUP($A82,Master_Data!$C:$C,Master_Data!$G:$G,"CHECK",0)</f>
        <v>144715</v>
      </c>
      <c r="R82">
        <f>IFERROR(_xlfn.XLOOKUP($A82,Master_Data!$C:$C,Master_Data!$H:$H,"CHECK",0),"")</f>
        <v>56.526647188413051</v>
      </c>
      <c r="S82" t="str">
        <f>_xlfn.XLOOKUP($A82,Master_Data!$C:$C,Master_Data!$I:$I,"CHECK",0)</f>
        <v>Ariful Islam</v>
      </c>
      <c r="T82">
        <f>_xlfn.XLOOKUP($A82,Master_Data!$C:$C,Master_Data!$K:$K,"CHECK",0)</f>
        <v>111297</v>
      </c>
      <c r="U82">
        <f>IFERROR(_xlfn.XLOOKUP($A82,Master_Data!$C:$C,Master_Data!$L:$L,"CHECK",0),"")</f>
        <v>43.473352811586956</v>
      </c>
      <c r="V82">
        <f>_xlfn.XLOOKUP($A82,Master_Data!$C:$C,Master_Data!$M:$M,"CHECK",0)</f>
        <v>33418</v>
      </c>
      <c r="W82">
        <f>IFERROR(_xlfn.XLOOKUP($A82,Master_Data!$C:$C,Master_Data!$N:$N,"CHECK",0),"")</f>
        <v>13.053294376826086</v>
      </c>
      <c r="X82" t="str">
        <f>IFERROR(_xlfn.XLOOKUP($A82,Master_Data!$C:$C,Master_Data!$O:$O,"CHECK",0),"No Result")</f>
        <v>Safe Seat</v>
      </c>
      <c r="Y82">
        <f>_xlfn.XLOOKUP($A82,Master_Data!$C:$C,Master_Data!$P:$P,"CHECK",0)</f>
        <v>1</v>
      </c>
      <c r="Z82">
        <f t="shared" si="3"/>
        <v>1</v>
      </c>
      <c r="AA82">
        <f>_xlfn.XLOOKUP(B82,Remittance_Data!A:A,Remittance_Data!B:B,"CHECK")</f>
        <v>224944</v>
      </c>
      <c r="AB82">
        <f>_xlfn.XLOOKUP(B82,Remittance_Data!A:A,Remittance_Data!C:C,"CHECK")</f>
        <v>83586</v>
      </c>
      <c r="AC82">
        <f>_xlfn.XLOOKUP(B82,Remittance_Data!A:A,Remittance_Data!D:D,"CHECK")</f>
        <v>141358</v>
      </c>
    </row>
    <row r="83" spans="1:29">
      <c r="A83" t="str">
        <v>Dhaka-19</v>
      </c>
      <c r="B83" t="str" cm="1">
        <f t="array" ref="B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Nawabganj","Chapainawabganj"),Final_Merged_Data!$B$2:$B$1000=$A83)))</f>
        <v>Dhaka</v>
      </c>
      <c r="C83" t="str" cm="1">
        <f t="array" ref="C83">_xlfn.TEXTJOIN(", ",TRUE,_xlfn._xlws.FILTER(Final_Merged_Data!$C$2:$C$1000,Final_Merged_Data!$B$2:$B$1000=$A83))</f>
        <v>Savar</v>
      </c>
      <c r="D83" cm="1">
        <f t="array" ref="D83">COUNTA(_xlfn._xlws.FILTER(Final_Merged_Data!$C$2:$C$1000,Final_Merged_Data!$B$2:$B$1000=$A83))</f>
        <v>1</v>
      </c>
      <c r="E83">
        <f>SUMIFS(Final_Merged_Data!$E:$E,Final_Merged_Data!$B:$B,$A83)</f>
        <v>249.13</v>
      </c>
      <c r="F83">
        <f>SUMIFS(Final_Merged_Data!$F:$F,Final_Merged_Data!$B:$B,$A83)</f>
        <v>2311612</v>
      </c>
      <c r="G83">
        <f t="shared" si="2"/>
        <v>9278.738008268776</v>
      </c>
      <c r="H83" cm="1">
        <f t="array" ref="H83">SUMPRODUCT((Final_Merged_Data!$B$2:$B$1000=$A83)*Final_Merged_Data!$H$2:$H$1000*Final_Merged_Data!$F$2:$F$1000)/F83</f>
        <v>3.08</v>
      </c>
      <c r="I83" cm="1">
        <f t="array" ref="I83">SUMPRODUCT((Final_Merged_Data!$B$2:$B$1000=$A83)*Final_Merged_Data!$I$2:$I$1000*Final_Merged_Data!$F$2:$F$1000)/F83</f>
        <v>84.38</v>
      </c>
      <c r="J83" t="str" cm="1">
        <f t="array" ref="J83">_xlfn.TEXTJOIN(", ",TRUE,_xlfn.UNIQUE(_xlfn._xlws.FILTER(Final_Merged_Data!$J$2:$J$1000,Final_Merged_Data!$B$2:$B$1000=$A83)))</f>
        <v>Dhaka Range</v>
      </c>
      <c r="K83" cm="1">
        <f t="array" ref="K83">SUMPRODUCT((Final_Merged_Data!$B$2:$B$1000=$A83)*Final_Merged_Data!$K$2:$K$1000*Final_Merged_Data!$F$2:$F$1000)/F83</f>
        <v>87.055167395391194</v>
      </c>
      <c r="L83" cm="1">
        <f t="array" ref="L83">SUMPRODUCT((Final_Merged_Data!$B$2:$B$1000=$A83)*Final_Merged_Data!$L$2:$L$1000*Final_Merged_Data!$F$2:$F$1000)/F83</f>
        <v>14.083489099923572</v>
      </c>
      <c r="M83" t="str">
        <f>IF(COUNTIF(Master_Data!$C:$C,$A83)&gt;0,"Found","Missing")</f>
        <v>Found</v>
      </c>
      <c r="N83" t="str">
        <f>_xlfn.XLOOKUP($A83,Master_Data!$C:$C,Master_Data!$D:$D,"CHECK",0)</f>
        <v>Dewan Md. Salauddin</v>
      </c>
      <c r="O83" t="str">
        <f>_xlfn.XLOOKUP($A83,Master_Data!$C:$C,Master_Data!$E:$E,"CHECK",0)</f>
        <v>BNP</v>
      </c>
      <c r="P83">
        <f>_xlfn.XLOOKUP($A83,Master_Data!$C:$C,Master_Data!$F:$F,"CHECK",0)</f>
        <v>1</v>
      </c>
      <c r="Q83">
        <f>_xlfn.XLOOKUP($A83,Master_Data!$C:$C,Master_Data!$G:$G,"CHECK",0)</f>
        <v>190976</v>
      </c>
      <c r="R83">
        <f>IFERROR(_xlfn.XLOOKUP($A83,Master_Data!$C:$C,Master_Data!$H:$H,"CHECK",0),"")</f>
        <v>60.385949490765476</v>
      </c>
      <c r="S83" t="str">
        <f>_xlfn.XLOOKUP($A83,Master_Data!$C:$C,Master_Data!$I:$I,"CHECK",0)</f>
        <v>Dilshana Parul</v>
      </c>
      <c r="T83">
        <f>_xlfn.XLOOKUP($A83,Master_Data!$C:$C,Master_Data!$K:$K,"CHECK",0)</f>
        <v>125283</v>
      </c>
      <c r="U83">
        <f>IFERROR(_xlfn.XLOOKUP($A83,Master_Data!$C:$C,Master_Data!$L:$L,"CHECK",0),"")</f>
        <v>39.614050509234524</v>
      </c>
      <c r="V83">
        <f>_xlfn.XLOOKUP($A83,Master_Data!$C:$C,Master_Data!$M:$M,"CHECK",0)</f>
        <v>65693</v>
      </c>
      <c r="W83">
        <f>IFERROR(_xlfn.XLOOKUP($A83,Master_Data!$C:$C,Master_Data!$N:$N,"CHECK",0),"")</f>
        <v>20.77189898153096</v>
      </c>
      <c r="X83" t="str">
        <f>IFERROR(_xlfn.XLOOKUP($A83,Master_Data!$C:$C,Master_Data!$O:$O,"CHECK",0),"No Result")</f>
        <v>Safe Seat</v>
      </c>
      <c r="Y83">
        <f>_xlfn.XLOOKUP($A83,Master_Data!$C:$C,Master_Data!$P:$P,"CHECK",0)</f>
        <v>0</v>
      </c>
      <c r="Z83">
        <f t="shared" si="3"/>
        <v>1</v>
      </c>
      <c r="AA83">
        <f>_xlfn.XLOOKUP(B83,Remittance_Data!A:A,Remittance_Data!B:B,"CHECK")</f>
        <v>224944</v>
      </c>
      <c r="AB83">
        <f>_xlfn.XLOOKUP(B83,Remittance_Data!A:A,Remittance_Data!C:C,"CHECK")</f>
        <v>83586</v>
      </c>
      <c r="AC83">
        <f>_xlfn.XLOOKUP(B83,Remittance_Data!A:A,Remittance_Data!D:D,"CHECK")</f>
        <v>141358</v>
      </c>
    </row>
    <row r="84" spans="1:29">
      <c r="A84" t="str">
        <v>Dhaka-2</v>
      </c>
      <c r="B84" t="str" cm="1">
        <f t="array" ref="B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Nawabganj","Chapainawabganj"),Final_Merged_Data!$B$2:$B$1000=$A84)))</f>
        <v>Dhaka</v>
      </c>
      <c r="C84" t="str" cm="1">
        <f t="array" ref="C84">_xlfn.TEXTJOIN(", ",TRUE,_xlfn._xlws.FILTER(Final_Merged_Data!$C$2:$C$1000,Final_Merged_Data!$B$2:$B$1000=$A84))</f>
        <v>Keraniganj</v>
      </c>
      <c r="D84" cm="1">
        <f t="array" ref="D84">COUNTA(_xlfn._xlws.FILTER(Final_Merged_Data!$C$2:$C$1000,Final_Merged_Data!$B$2:$B$1000=$A84))</f>
        <v>1</v>
      </c>
      <c r="E84">
        <f>SUMIFS(Final_Merged_Data!$E:$E,Final_Merged_Data!$B:$B,$A84)</f>
        <v>166.82</v>
      </c>
      <c r="F84">
        <f>SUMIFS(Final_Merged_Data!$F:$F,Final_Merged_Data!$B:$B,$A84)</f>
        <v>1011001</v>
      </c>
      <c r="G84">
        <f t="shared" si="2"/>
        <v>6060.4304040282941</v>
      </c>
      <c r="H84" cm="1">
        <f t="array" ref="H84">SUMPRODUCT((Final_Merged_Data!$B$2:$B$1000=$A84)*Final_Merged_Data!$H$2:$H$1000*Final_Merged_Data!$F$2:$F$1000)/F84</f>
        <v>3.77</v>
      </c>
      <c r="I84" cm="1">
        <f t="array" ref="I84">SUMPRODUCT((Final_Merged_Data!$B$2:$B$1000=$A84)*Final_Merged_Data!$I$2:$I$1000*Final_Merged_Data!$F$2:$F$1000)/F84</f>
        <v>81.180000000000007</v>
      </c>
      <c r="J84" t="str" cm="1">
        <f t="array" ref="J84">_xlfn.TEXTJOIN(", ",TRUE,_xlfn.UNIQUE(_xlfn._xlws.FILTER(Final_Merged_Data!$J$2:$J$1000,Final_Merged_Data!$B$2:$B$1000=$A84)))</f>
        <v>Dhaka Range</v>
      </c>
      <c r="K84" cm="1">
        <f t="array" ref="K84">SUMPRODUCT((Final_Merged_Data!$B$2:$B$1000=$A84)*Final_Merged_Data!$K$2:$K$1000*Final_Merged_Data!$F$2:$F$1000)/F84</f>
        <v>87.055167395391194</v>
      </c>
      <c r="L84" cm="1">
        <f t="array" ref="L84">SUMPRODUCT((Final_Merged_Data!$B$2:$B$1000=$A84)*Final_Merged_Data!$L$2:$L$1000*Final_Merged_Data!$F$2:$F$1000)/F84</f>
        <v>14.083489099923572</v>
      </c>
      <c r="M84" t="str">
        <f>IF(COUNTIF(Master_Data!$C:$C,$A84)&gt;0,"Found","Missing")</f>
        <v>Found</v>
      </c>
      <c r="N84" t="str">
        <f>_xlfn.XLOOKUP($A84,Master_Data!$C:$C,Master_Data!$D:$D,"CHECK",0)</f>
        <v>Amanullah Aman</v>
      </c>
      <c r="O84" t="str">
        <f>_xlfn.XLOOKUP($A84,Master_Data!$C:$C,Master_Data!$E:$E,"CHECK",0)</f>
        <v>BNP</v>
      </c>
      <c r="P84">
        <f>_xlfn.XLOOKUP($A84,Master_Data!$C:$C,Master_Data!$F:$F,"CHECK",0)</f>
        <v>1</v>
      </c>
      <c r="Q84">
        <f>_xlfn.XLOOKUP($A84,Master_Data!$C:$C,Master_Data!$G:$G,"CHECK",0)</f>
        <v>163020</v>
      </c>
      <c r="R84">
        <f>IFERROR(_xlfn.XLOOKUP($A84,Master_Data!$C:$C,Master_Data!$H:$H,"CHECK",0),"")</f>
        <v>67.454225716354614</v>
      </c>
      <c r="S84" t="str">
        <f>_xlfn.XLOOKUP($A84,Master_Data!$C:$C,Master_Data!$I:$I,"CHECK",0)</f>
        <v>Md. Abdul Haque</v>
      </c>
      <c r="T84">
        <f>_xlfn.XLOOKUP($A84,Master_Data!$C:$C,Master_Data!$K:$K,"CHECK",0)</f>
        <v>78655</v>
      </c>
      <c r="U84">
        <f>IFERROR(_xlfn.XLOOKUP($A84,Master_Data!$C:$C,Master_Data!$L:$L,"CHECK",0),"")</f>
        <v>32.545774283645393</v>
      </c>
      <c r="V84">
        <f>_xlfn.XLOOKUP($A84,Master_Data!$C:$C,Master_Data!$M:$M,"CHECK",0)</f>
        <v>84365</v>
      </c>
      <c r="W84">
        <f>IFERROR(_xlfn.XLOOKUP($A84,Master_Data!$C:$C,Master_Data!$N:$N,"CHECK",0),"")</f>
        <v>34.908451432709214</v>
      </c>
      <c r="X84" t="str">
        <f>IFERROR(_xlfn.XLOOKUP($A84,Master_Data!$C:$C,Master_Data!$O:$O,"CHECK",0),"No Result")</f>
        <v>Safe Seat</v>
      </c>
      <c r="Y84">
        <f>_xlfn.XLOOKUP($A84,Master_Data!$C:$C,Master_Data!$P:$P,"CHECK",0)</f>
        <v>0</v>
      </c>
      <c r="Z84">
        <f t="shared" si="3"/>
        <v>1</v>
      </c>
      <c r="AA84">
        <f>_xlfn.XLOOKUP(B84,Remittance_Data!A:A,Remittance_Data!B:B,"CHECK")</f>
        <v>224944</v>
      </c>
      <c r="AB84">
        <f>_xlfn.XLOOKUP(B84,Remittance_Data!A:A,Remittance_Data!C:C,"CHECK")</f>
        <v>83586</v>
      </c>
      <c r="AC84">
        <f>_xlfn.XLOOKUP(B84,Remittance_Data!A:A,Remittance_Data!D:D,"CHECK")</f>
        <v>141358</v>
      </c>
    </row>
    <row r="85" spans="1:29">
      <c r="A85" t="str">
        <v>Dhaka-20</v>
      </c>
      <c r="B85" t="str" cm="1">
        <f t="array" ref="B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Nawabganj","Chapainawabganj"),Final_Merged_Data!$B$2:$B$1000=$A85)))</f>
        <v>Dhaka</v>
      </c>
      <c r="C85" t="str" cm="1">
        <f t="array" ref="C85">_xlfn.TEXTJOIN(", ",TRUE,_xlfn._xlws.FILTER(Final_Merged_Data!$C$2:$C$1000,Final_Merged_Data!$B$2:$B$1000=$A85))</f>
        <v>Dhamrai</v>
      </c>
      <c r="D85" cm="1">
        <f t="array" ref="D85">COUNTA(_xlfn._xlws.FILTER(Final_Merged_Data!$C$2:$C$1000,Final_Merged_Data!$B$2:$B$1000=$A85))</f>
        <v>1</v>
      </c>
      <c r="E85">
        <f>SUMIFS(Final_Merged_Data!$E:$E,Final_Merged_Data!$B:$B,$A85)</f>
        <v>307.83</v>
      </c>
      <c r="F85">
        <f>SUMIFS(Final_Merged_Data!$F:$F,Final_Merged_Data!$B:$B,$A85)</f>
        <v>517117</v>
      </c>
      <c r="G85">
        <f t="shared" si="2"/>
        <v>1679.8785043692949</v>
      </c>
      <c r="H85" cm="1">
        <f t="array" ref="H85">SUMPRODUCT((Final_Merged_Data!$B$2:$B$1000=$A85)*Final_Merged_Data!$H$2:$H$1000*Final_Merged_Data!$F$2:$F$1000)/F85</f>
        <v>3.82</v>
      </c>
      <c r="I85" cm="1">
        <f t="array" ref="I85">SUMPRODUCT((Final_Merged_Data!$B$2:$B$1000=$A85)*Final_Merged_Data!$I$2:$I$1000*Final_Merged_Data!$F$2:$F$1000)/F85</f>
        <v>73.72</v>
      </c>
      <c r="J85" t="str" cm="1">
        <f t="array" ref="J85">_xlfn.TEXTJOIN(", ",TRUE,_xlfn.UNIQUE(_xlfn._xlws.FILTER(Final_Merged_Data!$J$2:$J$1000,Final_Merged_Data!$B$2:$B$1000=$A85)))</f>
        <v>Dhaka Range</v>
      </c>
      <c r="K85" cm="1">
        <f t="array" ref="K85">SUMPRODUCT((Final_Merged_Data!$B$2:$B$1000=$A85)*Final_Merged_Data!$K$2:$K$1000*Final_Merged_Data!$F$2:$F$1000)/F85</f>
        <v>87.055167395391194</v>
      </c>
      <c r="L85" cm="1">
        <f t="array" ref="L85">SUMPRODUCT((Final_Merged_Data!$B$2:$B$1000=$A85)*Final_Merged_Data!$L$2:$L$1000*Final_Merged_Data!$F$2:$F$1000)/F85</f>
        <v>14.083489099923572</v>
      </c>
      <c r="M85" t="str">
        <f>IF(COUNTIF(Master_Data!$C:$C,$A85)&gt;0,"Found","Missing")</f>
        <v>Found</v>
      </c>
      <c r="N85" t="str">
        <f>_xlfn.XLOOKUP($A85,Master_Data!$C:$C,Master_Data!$D:$D,"CHECK",0)</f>
        <v>Md. Tamiz Uddin</v>
      </c>
      <c r="O85" t="str">
        <f>_xlfn.XLOOKUP($A85,Master_Data!$C:$C,Master_Data!$E:$E,"CHECK",0)</f>
        <v>BNP</v>
      </c>
      <c r="P85">
        <f>_xlfn.XLOOKUP($A85,Master_Data!$C:$C,Master_Data!$F:$F,"CHECK",0)</f>
        <v>1</v>
      </c>
      <c r="Q85">
        <f>_xlfn.XLOOKUP($A85,Master_Data!$C:$C,Master_Data!$G:$G,"CHECK",0)</f>
        <v>160428</v>
      </c>
      <c r="R85">
        <f>IFERROR(_xlfn.XLOOKUP($A85,Master_Data!$C:$C,Master_Data!$H:$H,"CHECK",0),"")</f>
        <v>74.008054582946983</v>
      </c>
      <c r="S85" t="str">
        <f>_xlfn.XLOOKUP($A85,Master_Data!$C:$C,Master_Data!$I:$I,"CHECK",0)</f>
        <v>Nabila Tasnid</v>
      </c>
      <c r="T85">
        <f>_xlfn.XLOOKUP($A85,Master_Data!$C:$C,Master_Data!$K:$K,"CHECK",0)</f>
        <v>56343</v>
      </c>
      <c r="U85">
        <f>IFERROR(_xlfn.XLOOKUP($A85,Master_Data!$C:$C,Master_Data!$L:$L,"CHECK",0),"")</f>
        <v>25.991945417053021</v>
      </c>
      <c r="V85">
        <f>_xlfn.XLOOKUP($A85,Master_Data!$C:$C,Master_Data!$M:$M,"CHECK",0)</f>
        <v>104085</v>
      </c>
      <c r="W85">
        <f>IFERROR(_xlfn.XLOOKUP($A85,Master_Data!$C:$C,Master_Data!$N:$N,"CHECK",0),"")</f>
        <v>48.016109165893958</v>
      </c>
      <c r="X85" t="str">
        <f>IFERROR(_xlfn.XLOOKUP($A85,Master_Data!$C:$C,Master_Data!$O:$O,"CHECK",0),"No Result")</f>
        <v>Safe Seat</v>
      </c>
      <c r="Y85">
        <f>_xlfn.XLOOKUP($A85,Master_Data!$C:$C,Master_Data!$P:$P,"CHECK",0)</f>
        <v>0</v>
      </c>
      <c r="Z85">
        <f t="shared" si="3"/>
        <v>1</v>
      </c>
      <c r="AA85">
        <f>_xlfn.XLOOKUP(B85,Remittance_Data!A:A,Remittance_Data!B:B,"CHECK")</f>
        <v>224944</v>
      </c>
      <c r="AB85">
        <f>_xlfn.XLOOKUP(B85,Remittance_Data!A:A,Remittance_Data!C:C,"CHECK")</f>
        <v>83586</v>
      </c>
      <c r="AC85">
        <f>_xlfn.XLOOKUP(B85,Remittance_Data!A:A,Remittance_Data!D:D,"CHECK")</f>
        <v>141358</v>
      </c>
    </row>
    <row r="86" spans="1:29">
      <c r="A86" t="str">
        <v>Dhaka-3</v>
      </c>
      <c r="B86" t="str" cm="1">
        <f t="array" ref="B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Nawabganj","Chapainawabganj"),Final_Merged_Data!$B$2:$B$1000=$A86)))</f>
        <v>Dhaka</v>
      </c>
      <c r="C86" t="str" cm="1">
        <f t="array" ref="C86">_xlfn.TEXTJOIN(", ",TRUE,_xlfn._xlws.FILTER(Final_Merged_Data!$C$2:$C$1000,Final_Merged_Data!$B$2:$B$1000=$A86))</f>
        <v>Keraniganj, Kotwali</v>
      </c>
      <c r="D86" cm="1">
        <f t="array" ref="D86">COUNTA(_xlfn._xlws.FILTER(Final_Merged_Data!$C$2:$C$1000,Final_Merged_Data!$B$2:$B$1000=$A86))</f>
        <v>2</v>
      </c>
      <c r="E86">
        <f>SUMIFS(Final_Merged_Data!$E:$E,Final_Merged_Data!$B:$B,$A86)</f>
        <v>185.91187500000001</v>
      </c>
      <c r="F86">
        <f>SUMIFS(Final_Merged_Data!$F:$F,Final_Merged_Data!$B:$B,$A86)</f>
        <v>1654488</v>
      </c>
      <c r="G86">
        <f t="shared" si="2"/>
        <v>8899.3131826571062</v>
      </c>
      <c r="H86" cm="1">
        <f t="array" ref="H86">SUMPRODUCT((Final_Merged_Data!$B$2:$B$1000=$A86)*Final_Merged_Data!$H$2:$H$1000*Final_Merged_Data!$F$2:$F$1000)/F86</f>
        <v>3.754442631194665</v>
      </c>
      <c r="I86" cm="1">
        <f t="array" ref="I86">SUMPRODUCT((Final_Merged_Data!$B$2:$B$1000=$A86)*Final_Merged_Data!$I$2:$I$1000*Final_Merged_Data!$F$2:$F$1000)/F86</f>
        <v>83.116892416264122</v>
      </c>
      <c r="J86" t="str" cm="1">
        <f t="array" ref="J86">_xlfn.TEXTJOIN(", ",TRUE,_xlfn.UNIQUE(_xlfn._xlws.FILTER(Final_Merged_Data!$J$2:$J$1000,Final_Merged_Data!$B$2:$B$1000=$A86)))</f>
        <v>Dhaka Range</v>
      </c>
      <c r="K86" cm="1">
        <f t="array" ref="K86">SUMPRODUCT((Final_Merged_Data!$B$2:$B$1000=$A86)*Final_Merged_Data!$K$2:$K$1000*Final_Merged_Data!$F$2:$F$1000)/F86</f>
        <v>87.055167395391194</v>
      </c>
      <c r="L86" cm="1">
        <f t="array" ref="L86">SUMPRODUCT((Final_Merged_Data!$B$2:$B$1000=$A86)*Final_Merged_Data!$L$2:$L$1000*Final_Merged_Data!$F$2:$F$1000)/F86</f>
        <v>14.083489099923572</v>
      </c>
      <c r="M86" t="str">
        <f>IF(COUNTIF(Master_Data!$C:$C,$A86)&gt;0,"Found","Missing")</f>
        <v>Found</v>
      </c>
      <c r="N86" t="str">
        <f>_xlfn.XLOOKUP($A86,Master_Data!$C:$C,Master_Data!$D:$D,"CHECK",0)</f>
        <v>Gayeshwar Chandra Roy</v>
      </c>
      <c r="O86" t="str">
        <f>_xlfn.XLOOKUP($A86,Master_Data!$C:$C,Master_Data!$E:$E,"CHECK",0)</f>
        <v>BNP</v>
      </c>
      <c r="P86">
        <f>_xlfn.XLOOKUP($A86,Master_Data!$C:$C,Master_Data!$F:$F,"CHECK",0)</f>
        <v>1</v>
      </c>
      <c r="Q86">
        <f>_xlfn.XLOOKUP($A86,Master_Data!$C:$C,Master_Data!$G:$G,"CHECK",0)</f>
        <v>99163</v>
      </c>
      <c r="R86">
        <f>IFERROR(_xlfn.XLOOKUP($A86,Master_Data!$C:$C,Master_Data!$H:$H,"CHECK",0),"")</f>
        <v>54.357633464344644</v>
      </c>
      <c r="S86" t="str">
        <f>_xlfn.XLOOKUP($A86,Master_Data!$C:$C,Master_Data!$I:$I,"CHECK",0)</f>
        <v>Md. Shahinur Islam</v>
      </c>
      <c r="T86">
        <f>_xlfn.XLOOKUP($A86,Master_Data!$C:$C,Master_Data!$K:$K,"CHECK",0)</f>
        <v>83264</v>
      </c>
      <c r="U86">
        <f>IFERROR(_xlfn.XLOOKUP($A86,Master_Data!$C:$C,Master_Data!$L:$L,"CHECK",0),"")</f>
        <v>45.642366535655363</v>
      </c>
      <c r="V86">
        <f>_xlfn.XLOOKUP($A86,Master_Data!$C:$C,Master_Data!$M:$M,"CHECK",0)</f>
        <v>15899</v>
      </c>
      <c r="W86">
        <f>IFERROR(_xlfn.XLOOKUP($A86,Master_Data!$C:$C,Master_Data!$N:$N,"CHECK",0),"")</f>
        <v>8.7152669286892852</v>
      </c>
      <c r="X86" t="str">
        <f>IFERROR(_xlfn.XLOOKUP($A86,Master_Data!$C:$C,Master_Data!$O:$O,"CHECK",0),"No Result")</f>
        <v>Safe Seat</v>
      </c>
      <c r="Y86">
        <f>_xlfn.XLOOKUP($A86,Master_Data!$C:$C,Master_Data!$P:$P,"CHECK",0)</f>
        <v>1</v>
      </c>
      <c r="Z86">
        <f t="shared" si="3"/>
        <v>1</v>
      </c>
      <c r="AA86">
        <f>_xlfn.XLOOKUP(B86,Remittance_Data!A:A,Remittance_Data!B:B,"CHECK")</f>
        <v>224944</v>
      </c>
      <c r="AB86">
        <f>_xlfn.XLOOKUP(B86,Remittance_Data!A:A,Remittance_Data!C:C,"CHECK")</f>
        <v>83586</v>
      </c>
      <c r="AC86">
        <f>_xlfn.XLOOKUP(B86,Remittance_Data!A:A,Remittance_Data!D:D,"CHECK")</f>
        <v>141358</v>
      </c>
    </row>
    <row r="87" spans="1:29">
      <c r="A87" t="str">
        <v>Dhaka-4</v>
      </c>
      <c r="B87" t="str" cm="1">
        <f t="array" ref="B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Nawabganj","Chapainawabganj"),Final_Merged_Data!$B$2:$B$1000=$A87)))</f>
        <v>Dhaka</v>
      </c>
      <c r="C87" t="str" cm="1">
        <f t="array" ref="C87">_xlfn.TEXTJOIN(", ",TRUE,_xlfn._xlws.FILTER(Final_Merged_Data!$C$2:$C$1000,Final_Merged_Data!$B$2:$B$1000=$A87))</f>
        <v>Demra</v>
      </c>
      <c r="D87" cm="1">
        <f t="array" ref="D87">COUNTA(_xlfn._xlws.FILTER(Final_Merged_Data!$C$2:$C$1000,Final_Merged_Data!$B$2:$B$1000=$A87))</f>
        <v>1</v>
      </c>
      <c r="E87">
        <f>SUMIFS(Final_Merged_Data!$E:$E,Final_Merged_Data!$B:$B,$A87)</f>
        <v>19.091875000000002</v>
      </c>
      <c r="F87">
        <f>SUMIFS(Final_Merged_Data!$F:$F,Final_Merged_Data!$B:$B,$A87)</f>
        <v>643487</v>
      </c>
      <c r="G87">
        <f t="shared" si="2"/>
        <v>33704.756604576549</v>
      </c>
      <c r="H87" cm="1">
        <f t="array" ref="H87">SUMPRODUCT((Final_Merged_Data!$B$2:$B$1000=$A87)*Final_Merged_Data!$H$2:$H$1000*Final_Merged_Data!$F$2:$F$1000)/F87</f>
        <v>3.7299999999999995</v>
      </c>
      <c r="I87" cm="1">
        <f t="array" ref="I87">SUMPRODUCT((Final_Merged_Data!$B$2:$B$1000=$A87)*Final_Merged_Data!$I$2:$I$1000*Final_Merged_Data!$F$2:$F$1000)/F87</f>
        <v>86.16</v>
      </c>
      <c r="J87" t="str" cm="1">
        <f t="array" ref="J87">_xlfn.TEXTJOIN(", ",TRUE,_xlfn.UNIQUE(_xlfn._xlws.FILTER(Final_Merged_Data!$J$2:$J$1000,Final_Merged_Data!$B$2:$B$1000=$A87)))</f>
        <v>Dhaka Range</v>
      </c>
      <c r="K87" cm="1">
        <f t="array" ref="K87">SUMPRODUCT((Final_Merged_Data!$B$2:$B$1000=$A87)*Final_Merged_Data!$K$2:$K$1000*Final_Merged_Data!$F$2:$F$1000)/F87</f>
        <v>87.055167395391194</v>
      </c>
      <c r="L87" cm="1">
        <f t="array" ref="L87">SUMPRODUCT((Final_Merged_Data!$B$2:$B$1000=$A87)*Final_Merged_Data!$L$2:$L$1000*Final_Merged_Data!$F$2:$F$1000)/F87</f>
        <v>14.083489099923574</v>
      </c>
      <c r="M87" t="str">
        <f>IF(COUNTIF(Master_Data!$C:$C,$A87)&gt;0,"Found","Missing")</f>
        <v>Found</v>
      </c>
      <c r="N87" t="str">
        <f>_xlfn.XLOOKUP($A87,Master_Data!$C:$C,Master_Data!$D:$D,"CHECK",0)</f>
        <v>Syed Zainul Abedin</v>
      </c>
      <c r="O87" t="str">
        <f>_xlfn.XLOOKUP($A87,Master_Data!$C:$C,Master_Data!$E:$E,"CHECK",0)</f>
        <v>Jamaat</v>
      </c>
      <c r="P87">
        <f>_xlfn.XLOOKUP($A87,Master_Data!$C:$C,Master_Data!$F:$F,"CHECK",0)</f>
        <v>2</v>
      </c>
      <c r="Q87">
        <f>_xlfn.XLOOKUP($A87,Master_Data!$C:$C,Master_Data!$G:$G,"CHECK",0)</f>
        <v>77367</v>
      </c>
      <c r="R87">
        <f>IFERROR(_xlfn.XLOOKUP($A87,Master_Data!$C:$C,Master_Data!$H:$H,"CHECK",0),"")</f>
        <v>50.961703136733107</v>
      </c>
      <c r="S87" t="str">
        <f>_xlfn.XLOOKUP($A87,Master_Data!$C:$C,Master_Data!$I:$I,"CHECK",0)</f>
        <v>Tanveer Ahmed</v>
      </c>
      <c r="T87">
        <f>_xlfn.XLOOKUP($A87,Master_Data!$C:$C,Master_Data!$K:$K,"CHECK",0)</f>
        <v>74447</v>
      </c>
      <c r="U87">
        <f>IFERROR(_xlfn.XLOOKUP($A87,Master_Data!$C:$C,Master_Data!$L:$L,"CHECK",0),"")</f>
        <v>49.038296863266893</v>
      </c>
      <c r="V87">
        <f>_xlfn.XLOOKUP($A87,Master_Data!$C:$C,Master_Data!$M:$M,"CHECK",0)</f>
        <v>2920</v>
      </c>
      <c r="W87">
        <f>IFERROR(_xlfn.XLOOKUP($A87,Master_Data!$C:$C,Master_Data!$N:$N,"CHECK",0),"")</f>
        <v>1.9234062734662154</v>
      </c>
      <c r="X87" t="str">
        <f>IFERROR(_xlfn.XLOOKUP($A87,Master_Data!$C:$C,Master_Data!$O:$O,"CHECK",0),"No Result")</f>
        <v>Highly Competitive</v>
      </c>
      <c r="Y87">
        <f>_xlfn.XLOOKUP($A87,Master_Data!$C:$C,Master_Data!$P:$P,"CHECK",0)</f>
        <v>1</v>
      </c>
      <c r="Z87">
        <f t="shared" si="3"/>
        <v>1</v>
      </c>
      <c r="AA87">
        <f>_xlfn.XLOOKUP(B87,Remittance_Data!A:A,Remittance_Data!B:B,"CHECK")</f>
        <v>224944</v>
      </c>
      <c r="AB87">
        <f>_xlfn.XLOOKUP(B87,Remittance_Data!A:A,Remittance_Data!C:C,"CHECK")</f>
        <v>83586</v>
      </c>
      <c r="AC87">
        <f>_xlfn.XLOOKUP(B87,Remittance_Data!A:A,Remittance_Data!D:D,"CHECK")</f>
        <v>141358</v>
      </c>
    </row>
    <row r="88" spans="1:29">
      <c r="A88" t="str">
        <v>Dhaka-5</v>
      </c>
      <c r="B88" t="str" cm="1">
        <f t="array" ref="B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Nawabganj","Chapainawabganj"),Final_Merged_Data!$B$2:$B$1000=$A88)))</f>
        <v>Dhaka</v>
      </c>
      <c r="C88" t="str" cm="1">
        <f t="array" ref="C88">_xlfn.TEXTJOIN(", ",TRUE,_xlfn._xlws.FILTER(Final_Merged_Data!$C$2:$C$1000,Final_Merged_Data!$B$2:$B$1000=$A88))</f>
        <v>Motijheel</v>
      </c>
      <c r="D88" cm="1">
        <f t="array" ref="D88">COUNTA(_xlfn._xlws.FILTER(Final_Merged_Data!$C$2:$C$1000,Final_Merged_Data!$B$2:$B$1000=$A88))</f>
        <v>1</v>
      </c>
      <c r="E88">
        <f>SUMIFS(Final_Merged_Data!$E:$E,Final_Merged_Data!$B:$B,$A88)</f>
        <v>19.091875000000002</v>
      </c>
      <c r="F88">
        <f>SUMIFS(Final_Merged_Data!$F:$F,Final_Merged_Data!$B:$B,$A88)</f>
        <v>643487</v>
      </c>
      <c r="G88">
        <f t="shared" si="2"/>
        <v>33704.756604576549</v>
      </c>
      <c r="H88" cm="1">
        <f t="array" ref="H88">SUMPRODUCT((Final_Merged_Data!$B$2:$B$1000=$A88)*Final_Merged_Data!$H$2:$H$1000*Final_Merged_Data!$F$2:$F$1000)/F88</f>
        <v>3.7299999999999995</v>
      </c>
      <c r="I88" cm="1">
        <f t="array" ref="I88">SUMPRODUCT((Final_Merged_Data!$B$2:$B$1000=$A88)*Final_Merged_Data!$I$2:$I$1000*Final_Merged_Data!$F$2:$F$1000)/F88</f>
        <v>86.16</v>
      </c>
      <c r="J88" t="str" cm="1">
        <f t="array" ref="J88">_xlfn.TEXTJOIN(", ",TRUE,_xlfn.UNIQUE(_xlfn._xlws.FILTER(Final_Merged_Data!$J$2:$J$1000,Final_Merged_Data!$B$2:$B$1000=$A88)))</f>
        <v>Dhaka Range</v>
      </c>
      <c r="K88" cm="1">
        <f t="array" ref="K88">SUMPRODUCT((Final_Merged_Data!$B$2:$B$1000=$A88)*Final_Merged_Data!$K$2:$K$1000*Final_Merged_Data!$F$2:$F$1000)/F88</f>
        <v>87.055167395391194</v>
      </c>
      <c r="L88" cm="1">
        <f t="array" ref="L88">SUMPRODUCT((Final_Merged_Data!$B$2:$B$1000=$A88)*Final_Merged_Data!$L$2:$L$1000*Final_Merged_Data!$F$2:$F$1000)/F88</f>
        <v>14.083489099923574</v>
      </c>
      <c r="M88" t="str">
        <f>IF(COUNTIF(Master_Data!$C:$C,$A88)&gt;0,"Found","Missing")</f>
        <v>Found</v>
      </c>
      <c r="N88" t="str">
        <f>_xlfn.XLOOKUP($A88,Master_Data!$C:$C,Master_Data!$D:$D,"CHECK",0)</f>
        <v>Mohammad Kamal Hossain</v>
      </c>
      <c r="O88" t="str">
        <f>_xlfn.XLOOKUP($A88,Master_Data!$C:$C,Master_Data!$E:$E,"CHECK",0)</f>
        <v>Jamaat</v>
      </c>
      <c r="P88">
        <f>_xlfn.XLOOKUP($A88,Master_Data!$C:$C,Master_Data!$F:$F,"CHECK",0)</f>
        <v>2</v>
      </c>
      <c r="Q88">
        <f>_xlfn.XLOOKUP($A88,Master_Data!$C:$C,Master_Data!$G:$G,"CHECK",0)</f>
        <v>96641</v>
      </c>
      <c r="R88">
        <f>IFERROR(_xlfn.XLOOKUP($A88,Master_Data!$C:$C,Master_Data!$H:$H,"CHECK",0),"")</f>
        <v>52.484630591097691</v>
      </c>
      <c r="S88" t="str">
        <f>_xlfn.XLOOKUP($A88,Master_Data!$C:$C,Master_Data!$I:$I,"CHECK",0)</f>
        <v>Md Nabi Ulla</v>
      </c>
      <c r="T88">
        <f>_xlfn.XLOOKUP($A88,Master_Data!$C:$C,Master_Data!$K:$K,"CHECK",0)</f>
        <v>87491</v>
      </c>
      <c r="U88">
        <f>IFERROR(_xlfn.XLOOKUP($A88,Master_Data!$C:$C,Master_Data!$L:$L,"CHECK",0),"")</f>
        <v>47.515369408902309</v>
      </c>
      <c r="V88">
        <f>_xlfn.XLOOKUP($A88,Master_Data!$C:$C,Master_Data!$M:$M,"CHECK",0)</f>
        <v>9150</v>
      </c>
      <c r="W88">
        <f>IFERROR(_xlfn.XLOOKUP($A88,Master_Data!$C:$C,Master_Data!$N:$N,"CHECK",0),"")</f>
        <v>4.9692611821953818</v>
      </c>
      <c r="X88" t="str">
        <f>IFERROR(_xlfn.XLOOKUP($A88,Master_Data!$C:$C,Master_Data!$O:$O,"CHECK",0),"No Result")</f>
        <v>Highly Competitive</v>
      </c>
      <c r="Y88">
        <f>_xlfn.XLOOKUP($A88,Master_Data!$C:$C,Master_Data!$P:$P,"CHECK",0)</f>
        <v>1</v>
      </c>
      <c r="Z88">
        <f t="shared" si="3"/>
        <v>1</v>
      </c>
      <c r="AA88">
        <f>_xlfn.XLOOKUP(B88,Remittance_Data!A:A,Remittance_Data!B:B,"CHECK")</f>
        <v>224944</v>
      </c>
      <c r="AB88">
        <f>_xlfn.XLOOKUP(B88,Remittance_Data!A:A,Remittance_Data!C:C,"CHECK")</f>
        <v>83586</v>
      </c>
      <c r="AC88">
        <f>_xlfn.XLOOKUP(B88,Remittance_Data!A:A,Remittance_Data!D:D,"CHECK")</f>
        <v>141358</v>
      </c>
    </row>
    <row r="89" spans="1:29">
      <c r="A89" t="str">
        <v>Dhaka-6</v>
      </c>
      <c r="B89" t="str" cm="1">
        <f t="array" ref="B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Nawabganj","Chapainawabganj"),Final_Merged_Data!$B$2:$B$1000=$A89)))</f>
        <v>Dhaka</v>
      </c>
      <c r="C89" t="str" cm="1">
        <f t="array" ref="C89">_xlfn.TEXTJOIN(", ",TRUE,_xlfn._xlws.FILTER(Final_Merged_Data!$C$2:$C$1000,Final_Merged_Data!$B$2:$B$1000=$A89))</f>
        <v>Sutrapur</v>
      </c>
      <c r="D89" cm="1">
        <f t="array" ref="D89">COUNTA(_xlfn._xlws.FILTER(Final_Merged_Data!$C$2:$C$1000,Final_Merged_Data!$B$2:$B$1000=$A89))</f>
        <v>1</v>
      </c>
      <c r="E89">
        <f>SUMIFS(Final_Merged_Data!$E:$E,Final_Merged_Data!$B:$B,$A89)</f>
        <v>19.091875000000002</v>
      </c>
      <c r="F89">
        <f>SUMIFS(Final_Merged_Data!$F:$F,Final_Merged_Data!$B:$B,$A89)</f>
        <v>643487</v>
      </c>
      <c r="G89">
        <f t="shared" si="2"/>
        <v>33704.756604576549</v>
      </c>
      <c r="H89" cm="1">
        <f t="array" ref="H89">SUMPRODUCT((Final_Merged_Data!$B$2:$B$1000=$A89)*Final_Merged_Data!$H$2:$H$1000*Final_Merged_Data!$F$2:$F$1000)/F89</f>
        <v>3.7299999999999995</v>
      </c>
      <c r="I89" cm="1">
        <f t="array" ref="I89">SUMPRODUCT((Final_Merged_Data!$B$2:$B$1000=$A89)*Final_Merged_Data!$I$2:$I$1000*Final_Merged_Data!$F$2:$F$1000)/F89</f>
        <v>86.16</v>
      </c>
      <c r="J89" t="str" cm="1">
        <f t="array" ref="J89">_xlfn.TEXTJOIN(", ",TRUE,_xlfn.UNIQUE(_xlfn._xlws.FILTER(Final_Merged_Data!$J$2:$J$1000,Final_Merged_Data!$B$2:$B$1000=$A89)))</f>
        <v>Dhaka Range</v>
      </c>
      <c r="K89" cm="1">
        <f t="array" ref="K89">SUMPRODUCT((Final_Merged_Data!$B$2:$B$1000=$A89)*Final_Merged_Data!$K$2:$K$1000*Final_Merged_Data!$F$2:$F$1000)/F89</f>
        <v>87.055167395391194</v>
      </c>
      <c r="L89" cm="1">
        <f t="array" ref="L89">SUMPRODUCT((Final_Merged_Data!$B$2:$B$1000=$A89)*Final_Merged_Data!$L$2:$L$1000*Final_Merged_Data!$F$2:$F$1000)/F89</f>
        <v>14.083489099923574</v>
      </c>
      <c r="M89" t="str">
        <f>IF(COUNTIF(Master_Data!$C:$C,$A89)&gt;0,"Found","Missing")</f>
        <v>Found</v>
      </c>
      <c r="N89" t="str">
        <f>_xlfn.XLOOKUP($A89,Master_Data!$C:$C,Master_Data!$D:$D,"CHECK",0)</f>
        <v>Ishraque Hossain</v>
      </c>
      <c r="O89" t="str">
        <f>_xlfn.XLOOKUP($A89,Master_Data!$C:$C,Master_Data!$E:$E,"CHECK",0)</f>
        <v>BNP</v>
      </c>
      <c r="P89">
        <f>_xlfn.XLOOKUP($A89,Master_Data!$C:$C,Master_Data!$F:$F,"CHECK",0)</f>
        <v>1</v>
      </c>
      <c r="Q89">
        <f>_xlfn.XLOOKUP($A89,Master_Data!$C:$C,Master_Data!$G:$G,"CHECK",0)</f>
        <v>78850</v>
      </c>
      <c r="R89">
        <f>IFERROR(_xlfn.XLOOKUP($A89,Master_Data!$C:$C,Master_Data!$H:$H,"CHECK",0),"")</f>
        <v>58.60405657502583</v>
      </c>
      <c r="S89" t="str">
        <f>_xlfn.XLOOKUP($A89,Master_Data!$C:$C,Master_Data!$I:$I,"CHECK",0)</f>
        <v>Md. Abdul Mannan</v>
      </c>
      <c r="T89">
        <f>_xlfn.XLOOKUP($A89,Master_Data!$C:$C,Master_Data!$K:$K,"CHECK",0)</f>
        <v>55697</v>
      </c>
      <c r="U89">
        <f>IFERROR(_xlfn.XLOOKUP($A89,Master_Data!$C:$C,Master_Data!$L:$L,"CHECK",0),"")</f>
        <v>41.395943424974178</v>
      </c>
      <c r="V89">
        <f>_xlfn.XLOOKUP($A89,Master_Data!$C:$C,Master_Data!$M:$M,"CHECK",0)</f>
        <v>23153</v>
      </c>
      <c r="W89">
        <f>IFERROR(_xlfn.XLOOKUP($A89,Master_Data!$C:$C,Master_Data!$N:$N,"CHECK",0),"")</f>
        <v>17.208113150051656</v>
      </c>
      <c r="X89" t="str">
        <f>IFERROR(_xlfn.XLOOKUP($A89,Master_Data!$C:$C,Master_Data!$O:$O,"CHECK",0),"No Result")</f>
        <v>Safe Seat</v>
      </c>
      <c r="Y89">
        <f>_xlfn.XLOOKUP($A89,Master_Data!$C:$C,Master_Data!$P:$P,"CHECK",0)</f>
        <v>1</v>
      </c>
      <c r="Z89">
        <f t="shared" si="3"/>
        <v>1</v>
      </c>
      <c r="AA89">
        <f>_xlfn.XLOOKUP(B89,Remittance_Data!A:A,Remittance_Data!B:B,"CHECK")</f>
        <v>224944</v>
      </c>
      <c r="AB89">
        <f>_xlfn.XLOOKUP(B89,Remittance_Data!A:A,Remittance_Data!C:C,"CHECK")</f>
        <v>83586</v>
      </c>
      <c r="AC89">
        <f>_xlfn.XLOOKUP(B89,Remittance_Data!A:A,Remittance_Data!D:D,"CHECK")</f>
        <v>141358</v>
      </c>
    </row>
    <row r="90" spans="1:29">
      <c r="A90" t="str">
        <v>Dhaka-7</v>
      </c>
      <c r="B90" t="str" cm="1">
        <f t="array" ref="B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Nawabganj","Chapainawabganj"),Final_Merged_Data!$B$2:$B$1000=$A90)))</f>
        <v>Dhaka</v>
      </c>
      <c r="C90" t="str" cm="1">
        <f t="array" ref="C90">_xlfn.TEXTJOIN(", ",TRUE,_xlfn._xlws.FILTER(Final_Merged_Data!$C$2:$C$1000,Final_Merged_Data!$B$2:$B$1000=$A90))</f>
        <v>Lalbagh</v>
      </c>
      <c r="D90" cm="1">
        <f t="array" ref="D90">COUNTA(_xlfn._xlws.FILTER(Final_Merged_Data!$C$2:$C$1000,Final_Merged_Data!$B$2:$B$1000=$A90))</f>
        <v>1</v>
      </c>
      <c r="E90">
        <f>SUMIFS(Final_Merged_Data!$E:$E,Final_Merged_Data!$B:$B,$A90)</f>
        <v>19.091875000000002</v>
      </c>
      <c r="F90">
        <f>SUMIFS(Final_Merged_Data!$F:$F,Final_Merged_Data!$B:$B,$A90)</f>
        <v>643487</v>
      </c>
      <c r="G90">
        <f t="shared" si="2"/>
        <v>33704.756604576549</v>
      </c>
      <c r="H90" cm="1">
        <f t="array" ref="H90">SUMPRODUCT((Final_Merged_Data!$B$2:$B$1000=$A90)*Final_Merged_Data!$H$2:$H$1000*Final_Merged_Data!$F$2:$F$1000)/F90</f>
        <v>3.7299999999999995</v>
      </c>
      <c r="I90" cm="1">
        <f t="array" ref="I90">SUMPRODUCT((Final_Merged_Data!$B$2:$B$1000=$A90)*Final_Merged_Data!$I$2:$I$1000*Final_Merged_Data!$F$2:$F$1000)/F90</f>
        <v>86.16</v>
      </c>
      <c r="J90" t="str" cm="1">
        <f t="array" ref="J90">_xlfn.TEXTJOIN(", ",TRUE,_xlfn.UNIQUE(_xlfn._xlws.FILTER(Final_Merged_Data!$J$2:$J$1000,Final_Merged_Data!$B$2:$B$1000=$A90)))</f>
        <v>Dhaka Range</v>
      </c>
      <c r="K90" cm="1">
        <f t="array" ref="K90">SUMPRODUCT((Final_Merged_Data!$B$2:$B$1000=$A90)*Final_Merged_Data!$K$2:$K$1000*Final_Merged_Data!$F$2:$F$1000)/F90</f>
        <v>87.055167395391194</v>
      </c>
      <c r="L90" cm="1">
        <f t="array" ref="L90">SUMPRODUCT((Final_Merged_Data!$B$2:$B$1000=$A90)*Final_Merged_Data!$L$2:$L$1000*Final_Merged_Data!$F$2:$F$1000)/F90</f>
        <v>14.083489099923574</v>
      </c>
      <c r="M90" t="str">
        <f>IF(COUNTIF(Master_Data!$C:$C,$A90)&gt;0,"Found","Missing")</f>
        <v>Found</v>
      </c>
      <c r="N90" t="str">
        <f>_xlfn.XLOOKUP($A90,Master_Data!$C:$C,Master_Data!$D:$D,"CHECK",0)</f>
        <v>Hamidur Rahman</v>
      </c>
      <c r="O90" t="str">
        <f>_xlfn.XLOOKUP($A90,Master_Data!$C:$C,Master_Data!$E:$E,"CHECK",0)</f>
        <v>BNP</v>
      </c>
      <c r="P90">
        <f>_xlfn.XLOOKUP($A90,Master_Data!$C:$C,Master_Data!$F:$F,"CHECK",0)</f>
        <v>1</v>
      </c>
      <c r="Q90">
        <f>_xlfn.XLOOKUP($A90,Master_Data!$C:$C,Master_Data!$G:$G,"CHECK",0)</f>
        <v>104666</v>
      </c>
      <c r="R90">
        <f>IFERROR(_xlfn.XLOOKUP($A90,Master_Data!$C:$C,Master_Data!$H:$H,"CHECK",0),"")</f>
        <v>51.52178942549557</v>
      </c>
      <c r="S90" t="str">
        <f>_xlfn.XLOOKUP($A90,Master_Data!$C:$C,Master_Data!$I:$I,"CHECK",0)</f>
        <v>Md. Enayat Ulla</v>
      </c>
      <c r="T90">
        <f>_xlfn.XLOOKUP($A90,Master_Data!$C:$C,Master_Data!$K:$K,"CHECK",0)</f>
        <v>98483</v>
      </c>
      <c r="U90">
        <f>IFERROR(_xlfn.XLOOKUP($A90,Master_Data!$C:$C,Master_Data!$L:$L,"CHECK",0),"")</f>
        <v>48.478210574504423</v>
      </c>
      <c r="V90">
        <f>_xlfn.XLOOKUP($A90,Master_Data!$C:$C,Master_Data!$M:$M,"CHECK",0)</f>
        <v>6183</v>
      </c>
      <c r="W90">
        <f>IFERROR(_xlfn.XLOOKUP($A90,Master_Data!$C:$C,Master_Data!$N:$N,"CHECK",0),"")</f>
        <v>3.0435788509911443</v>
      </c>
      <c r="X90" t="str">
        <f>IFERROR(_xlfn.XLOOKUP($A90,Master_Data!$C:$C,Master_Data!$O:$O,"CHECK",0),"No Result")</f>
        <v>Highly Competitive</v>
      </c>
      <c r="Y90">
        <f>_xlfn.XLOOKUP($A90,Master_Data!$C:$C,Master_Data!$P:$P,"CHECK",0)</f>
        <v>1</v>
      </c>
      <c r="Z90">
        <f t="shared" si="3"/>
        <v>1</v>
      </c>
      <c r="AA90">
        <f>_xlfn.XLOOKUP(B90,Remittance_Data!A:A,Remittance_Data!B:B,"CHECK")</f>
        <v>224944</v>
      </c>
      <c r="AB90">
        <f>_xlfn.XLOOKUP(B90,Remittance_Data!A:A,Remittance_Data!C:C,"CHECK")</f>
        <v>83586</v>
      </c>
      <c r="AC90">
        <f>_xlfn.XLOOKUP(B90,Remittance_Data!A:A,Remittance_Data!D:D,"CHECK")</f>
        <v>141358</v>
      </c>
    </row>
    <row r="91" spans="1:29">
      <c r="A91" t="str">
        <v>Dhaka-8</v>
      </c>
      <c r="B91" t="str" cm="1">
        <f t="array" ref="B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Nawabganj","Chapainawabganj"),Final_Merged_Data!$B$2:$B$1000=$A91)))</f>
        <v>Dhaka</v>
      </c>
      <c r="C91" t="str" cm="1">
        <f t="array" ref="C91">_xlfn.TEXTJOIN(", ",TRUE,_xlfn._xlws.FILTER(Final_Merged_Data!$C$2:$C$1000,Final_Merged_Data!$B$2:$B$1000=$A91))</f>
        <v>Ramna</v>
      </c>
      <c r="D91" cm="1">
        <f t="array" ref="D91">COUNTA(_xlfn._xlws.FILTER(Final_Merged_Data!$C$2:$C$1000,Final_Merged_Data!$B$2:$B$1000=$A91))</f>
        <v>1</v>
      </c>
      <c r="E91">
        <f>SUMIFS(Final_Merged_Data!$E:$E,Final_Merged_Data!$B:$B,$A91)</f>
        <v>19.091875000000002</v>
      </c>
      <c r="F91">
        <f>SUMIFS(Final_Merged_Data!$F:$F,Final_Merged_Data!$B:$B,$A91)</f>
        <v>643487</v>
      </c>
      <c r="G91">
        <f t="shared" si="2"/>
        <v>33704.756604576549</v>
      </c>
      <c r="H91" cm="1">
        <f t="array" ref="H91">SUMPRODUCT((Final_Merged_Data!$B$2:$B$1000=$A91)*Final_Merged_Data!$H$2:$H$1000*Final_Merged_Data!$F$2:$F$1000)/F91</f>
        <v>3.7299999999999995</v>
      </c>
      <c r="I91" cm="1">
        <f t="array" ref="I91">SUMPRODUCT((Final_Merged_Data!$B$2:$B$1000=$A91)*Final_Merged_Data!$I$2:$I$1000*Final_Merged_Data!$F$2:$F$1000)/F91</f>
        <v>86.16</v>
      </c>
      <c r="J91" t="str" cm="1">
        <f t="array" ref="J91">_xlfn.TEXTJOIN(", ",TRUE,_xlfn.UNIQUE(_xlfn._xlws.FILTER(Final_Merged_Data!$J$2:$J$1000,Final_Merged_Data!$B$2:$B$1000=$A91)))</f>
        <v>Dhaka Range</v>
      </c>
      <c r="K91" cm="1">
        <f t="array" ref="K91">SUMPRODUCT((Final_Merged_Data!$B$2:$B$1000=$A91)*Final_Merged_Data!$K$2:$K$1000*Final_Merged_Data!$F$2:$F$1000)/F91</f>
        <v>87.055167395391194</v>
      </c>
      <c r="L91" cm="1">
        <f t="array" ref="L91">SUMPRODUCT((Final_Merged_Data!$B$2:$B$1000=$A91)*Final_Merged_Data!$L$2:$L$1000*Final_Merged_Data!$F$2:$F$1000)/F91</f>
        <v>14.083489099923574</v>
      </c>
      <c r="M91" t="str">
        <f>IF(COUNTIF(Master_Data!$C:$C,$A91)&gt;0,"Found","Missing")</f>
        <v>Found</v>
      </c>
      <c r="N91" t="str">
        <f>_xlfn.XLOOKUP($A91,Master_Data!$C:$C,Master_Data!$D:$D,"CHECK",0)</f>
        <v>Mirza Abbas</v>
      </c>
      <c r="O91" t="str">
        <f>_xlfn.XLOOKUP($A91,Master_Data!$C:$C,Master_Data!$E:$E,"CHECK",0)</f>
        <v>BNP</v>
      </c>
      <c r="P91">
        <f>_xlfn.XLOOKUP($A91,Master_Data!$C:$C,Master_Data!$F:$F,"CHECK",0)</f>
        <v>1</v>
      </c>
      <c r="Q91">
        <f>_xlfn.XLOOKUP($A91,Master_Data!$C:$C,Master_Data!$G:$G,"CHECK",0)</f>
        <v>59366</v>
      </c>
      <c r="R91">
        <f>IFERROR(_xlfn.XLOOKUP($A91,Master_Data!$C:$C,Master_Data!$H:$H,"CHECK",0),"")</f>
        <v>52.308071863462949</v>
      </c>
      <c r="S91" t="str">
        <f>_xlfn.XLOOKUP($A91,Master_Data!$C:$C,Master_Data!$I:$I,"CHECK",0)</f>
        <v>Nasiruddin Patwary</v>
      </c>
      <c r="T91">
        <f>_xlfn.XLOOKUP($A91,Master_Data!$C:$C,Master_Data!$K:$K,"CHECK",0)</f>
        <v>54127</v>
      </c>
      <c r="U91">
        <f>IFERROR(_xlfn.XLOOKUP($A91,Master_Data!$C:$C,Master_Data!$L:$L,"CHECK",0),"")</f>
        <v>47.691928136537051</v>
      </c>
      <c r="V91">
        <f>_xlfn.XLOOKUP($A91,Master_Data!$C:$C,Master_Data!$M:$M,"CHECK",0)</f>
        <v>5239</v>
      </c>
      <c r="W91">
        <f>IFERROR(_xlfn.XLOOKUP($A91,Master_Data!$C:$C,Master_Data!$N:$N,"CHECK",0),"")</f>
        <v>4.6161437269258903</v>
      </c>
      <c r="X91" t="str">
        <f>IFERROR(_xlfn.XLOOKUP($A91,Master_Data!$C:$C,Master_Data!$O:$O,"CHECK",0),"No Result")</f>
        <v>Highly Competitive</v>
      </c>
      <c r="Y91">
        <f>_xlfn.XLOOKUP($A91,Master_Data!$C:$C,Master_Data!$P:$P,"CHECK",0)</f>
        <v>1</v>
      </c>
      <c r="Z91">
        <f t="shared" si="3"/>
        <v>1</v>
      </c>
      <c r="AA91">
        <f>_xlfn.XLOOKUP(B91,Remittance_Data!A:A,Remittance_Data!B:B,"CHECK")</f>
        <v>224944</v>
      </c>
      <c r="AB91">
        <f>_xlfn.XLOOKUP(B91,Remittance_Data!A:A,Remittance_Data!C:C,"CHECK")</f>
        <v>83586</v>
      </c>
      <c r="AC91">
        <f>_xlfn.XLOOKUP(B91,Remittance_Data!A:A,Remittance_Data!D:D,"CHECK")</f>
        <v>141358</v>
      </c>
    </row>
    <row r="92" spans="1:29">
      <c r="A92" t="str">
        <v>Dhaka-9</v>
      </c>
      <c r="B92" t="str" cm="1">
        <f t="array" ref="B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Nawabganj","Chapainawabganj"),Final_Merged_Data!$B$2:$B$1000=$A92)))</f>
        <v>Dhaka</v>
      </c>
      <c r="C92" t="str" cm="1">
        <f t="array" ref="C92">_xlfn.TEXTJOIN(", ",TRUE,_xlfn._xlws.FILTER(Final_Merged_Data!$C$2:$C$1000,Final_Merged_Data!$B$2:$B$1000=$A92))</f>
        <v>Khilgaon</v>
      </c>
      <c r="D92" cm="1">
        <f t="array" ref="D92">COUNTA(_xlfn._xlws.FILTER(Final_Merged_Data!$C$2:$C$1000,Final_Merged_Data!$B$2:$B$1000=$A92))</f>
        <v>1</v>
      </c>
      <c r="E92">
        <f>SUMIFS(Final_Merged_Data!$E:$E,Final_Merged_Data!$B:$B,$A92)</f>
        <v>19.091875000000002</v>
      </c>
      <c r="F92">
        <f>SUMIFS(Final_Merged_Data!$F:$F,Final_Merged_Data!$B:$B,$A92)</f>
        <v>643487</v>
      </c>
      <c r="G92">
        <f t="shared" si="2"/>
        <v>33704.756604576549</v>
      </c>
      <c r="H92" cm="1">
        <f t="array" ref="H92">SUMPRODUCT((Final_Merged_Data!$B$2:$B$1000=$A92)*Final_Merged_Data!$H$2:$H$1000*Final_Merged_Data!$F$2:$F$1000)/F92</f>
        <v>3.7299999999999995</v>
      </c>
      <c r="I92" cm="1">
        <f t="array" ref="I92">SUMPRODUCT((Final_Merged_Data!$B$2:$B$1000=$A92)*Final_Merged_Data!$I$2:$I$1000*Final_Merged_Data!$F$2:$F$1000)/F92</f>
        <v>86.16</v>
      </c>
      <c r="J92" t="str" cm="1">
        <f t="array" ref="J92">_xlfn.TEXTJOIN(", ",TRUE,_xlfn.UNIQUE(_xlfn._xlws.FILTER(Final_Merged_Data!$J$2:$J$1000,Final_Merged_Data!$B$2:$B$1000=$A92)))</f>
        <v>Dhaka Range</v>
      </c>
      <c r="K92" cm="1">
        <f t="array" ref="K92">SUMPRODUCT((Final_Merged_Data!$B$2:$B$1000=$A92)*Final_Merged_Data!$K$2:$K$1000*Final_Merged_Data!$F$2:$F$1000)/F92</f>
        <v>87.055167395391194</v>
      </c>
      <c r="L92" cm="1">
        <f t="array" ref="L92">SUMPRODUCT((Final_Merged_Data!$B$2:$B$1000=$A92)*Final_Merged_Data!$L$2:$L$1000*Final_Merged_Data!$F$2:$F$1000)/F92</f>
        <v>14.083489099923574</v>
      </c>
      <c r="M92" t="str">
        <f>IF(COUNTIF(Master_Data!$C:$C,$A92)&gt;0,"Found","Missing")</f>
        <v>Found</v>
      </c>
      <c r="N92" t="str">
        <f>_xlfn.XLOOKUP($A92,Master_Data!$C:$C,Master_Data!$D:$D,"CHECK",0)</f>
        <v>Habibur Rashid</v>
      </c>
      <c r="O92" t="str">
        <f>_xlfn.XLOOKUP($A92,Master_Data!$C:$C,Master_Data!$E:$E,"CHECK",0)</f>
        <v>BNP</v>
      </c>
      <c r="P92">
        <f>_xlfn.XLOOKUP($A92,Master_Data!$C:$C,Master_Data!$F:$F,"CHECK",0)</f>
        <v>1</v>
      </c>
      <c r="Q92">
        <f>_xlfn.XLOOKUP($A92,Master_Data!$C:$C,Master_Data!$G:$G,"CHECK",0)</f>
        <v>111212</v>
      </c>
      <c r="R92">
        <f>IFERROR(_xlfn.XLOOKUP($A92,Master_Data!$C:$C,Master_Data!$H:$H,"CHECK",0),"")</f>
        <v>67.535464438398748</v>
      </c>
      <c r="S92" t="str">
        <f>_xlfn.XLOOKUP($A92,Master_Data!$C:$C,Master_Data!$I:$I,"CHECK",0)</f>
        <v>Mohammad Javed Mia</v>
      </c>
      <c r="T92">
        <f>_xlfn.XLOOKUP($A92,Master_Data!$C:$C,Master_Data!$K:$K,"CHECK",0)</f>
        <v>53460</v>
      </c>
      <c r="U92">
        <f>IFERROR(_xlfn.XLOOKUP($A92,Master_Data!$C:$C,Master_Data!$L:$L,"CHECK",0),"")</f>
        <v>32.464535561601245</v>
      </c>
      <c r="V92">
        <f>_xlfn.XLOOKUP($A92,Master_Data!$C:$C,Master_Data!$M:$M,"CHECK",0)</f>
        <v>57752</v>
      </c>
      <c r="W92">
        <f>IFERROR(_xlfn.XLOOKUP($A92,Master_Data!$C:$C,Master_Data!$N:$N,"CHECK",0),"")</f>
        <v>35.070928876797517</v>
      </c>
      <c r="X92" t="str">
        <f>IFERROR(_xlfn.XLOOKUP($A92,Master_Data!$C:$C,Master_Data!$O:$O,"CHECK",0),"No Result")</f>
        <v>Safe Seat</v>
      </c>
      <c r="Y92">
        <f>_xlfn.XLOOKUP($A92,Master_Data!$C:$C,Master_Data!$P:$P,"CHECK",0)</f>
        <v>1</v>
      </c>
      <c r="Z92">
        <f t="shared" si="3"/>
        <v>1</v>
      </c>
      <c r="AA92">
        <f>_xlfn.XLOOKUP(B92,Remittance_Data!A:A,Remittance_Data!B:B,"CHECK")</f>
        <v>224944</v>
      </c>
      <c r="AB92">
        <f>_xlfn.XLOOKUP(B92,Remittance_Data!A:A,Remittance_Data!C:C,"CHECK")</f>
        <v>83586</v>
      </c>
      <c r="AC92">
        <f>_xlfn.XLOOKUP(B92,Remittance_Data!A:A,Remittance_Data!D:D,"CHECK")</f>
        <v>141358</v>
      </c>
    </row>
    <row r="93" spans="1:29">
      <c r="A93" t="str">
        <v>Dinajpur-1</v>
      </c>
      <c r="B93" t="str" cm="1">
        <f t="array" ref="B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Nawabganj","Chapainawabganj"),Final_Merged_Data!$B$2:$B$1000=$A93)))</f>
        <v>Dinajpur</v>
      </c>
      <c r="C93" t="str" cm="1">
        <f t="array" ref="C93">_xlfn.TEXTJOIN(", ",TRUE,_xlfn._xlws.FILTER(Final_Merged_Data!$C$2:$C$1000,Final_Merged_Data!$B$2:$B$1000=$A93))</f>
        <v>Birganj, Kaharole</v>
      </c>
      <c r="D93" cm="1">
        <f t="array" ref="D93">COUNTA(_xlfn._xlws.FILTER(Final_Merged_Data!$C$2:$C$1000,Final_Merged_Data!$B$2:$B$1000=$A93))</f>
        <v>2</v>
      </c>
      <c r="E93">
        <f>SUMIFS(Final_Merged_Data!$E:$E,Final_Merged_Data!$B:$B,$A93)</f>
        <v>399.02</v>
      </c>
      <c r="F93">
        <f>SUMIFS(Final_Merged_Data!$F:$F,Final_Merged_Data!$B:$B,$A93)</f>
        <v>530697</v>
      </c>
      <c r="G93">
        <f t="shared" si="2"/>
        <v>1330.0010024560172</v>
      </c>
      <c r="H93" cm="1">
        <f t="array" ref="H93">SUMPRODUCT((Final_Merged_Data!$B$2:$B$1000=$A93)*Final_Merged_Data!$H$2:$H$1000*Final_Merged_Data!$F$2:$F$1000)/F93</f>
        <v>4.0098676080701416</v>
      </c>
      <c r="I93" cm="1">
        <f t="array" ref="I93">SUMPRODUCT((Final_Merged_Data!$B$2:$B$1000=$A93)*Final_Merged_Data!$I$2:$I$1000*Final_Merged_Data!$F$2:$F$1000)/F93</f>
        <v>73.62443953894595</v>
      </c>
      <c r="J93" t="str" cm="1">
        <f t="array" ref="J93">_xlfn.TEXTJOIN(", ",TRUE,_xlfn.UNIQUE(_xlfn._xlws.FILTER(Final_Merged_Data!$J$2:$J$1000,Final_Merged_Data!$B$2:$B$1000=$A93)))</f>
        <v>Rangpur Range</v>
      </c>
      <c r="K93" cm="1">
        <f t="array" ref="K93">SUMPRODUCT((Final_Merged_Data!$B$2:$B$1000=$A93)*Final_Merged_Data!$K$2:$K$1000*Final_Merged_Data!$F$2:$F$1000)/F93</f>
        <v>101.90869513385242</v>
      </c>
      <c r="L93" cm="1">
        <f t="array" ref="L93">SUMPRODUCT((Final_Merged_Data!$B$2:$B$1000=$A93)*Final_Merged_Data!$L$2:$L$1000*Final_Merged_Data!$F$2:$F$1000)/F93</f>
        <v>15.175373179583827</v>
      </c>
      <c r="M93" t="str">
        <f>IF(COUNTIF(Master_Data!$C:$C,$A93)&gt;0,"Found","Missing")</f>
        <v>Found</v>
      </c>
      <c r="N93" t="str">
        <f>_xlfn.XLOOKUP($A93,Master_Data!$C:$C,Master_Data!$D:$D,"CHECK",0)</f>
        <v>Md. Manjurul Islam</v>
      </c>
      <c r="O93" t="str">
        <f>_xlfn.XLOOKUP($A93,Master_Data!$C:$C,Master_Data!$E:$E,"CHECK",0)</f>
        <v>BNP</v>
      </c>
      <c r="P93">
        <f>_xlfn.XLOOKUP($A93,Master_Data!$C:$C,Master_Data!$F:$F,"CHECK",0)</f>
        <v>1</v>
      </c>
      <c r="Q93">
        <f>_xlfn.XLOOKUP($A93,Master_Data!$C:$C,Master_Data!$G:$G,"CHECK",0)</f>
        <v>179314</v>
      </c>
      <c r="R93">
        <f>IFERROR(_xlfn.XLOOKUP($A93,Master_Data!$C:$C,Master_Data!$H:$H,"CHECK",0),"")</f>
        <v>60.416785997068679</v>
      </c>
      <c r="S93" t="str">
        <f>_xlfn.XLOOKUP($A93,Master_Data!$C:$C,Master_Data!$I:$I,"CHECK",0)</f>
        <v>Md. Matiur Rahman</v>
      </c>
      <c r="T93">
        <f>_xlfn.XLOOKUP($A93,Master_Data!$C:$C,Master_Data!$K:$K,"CHECK",0)</f>
        <v>117481</v>
      </c>
      <c r="U93">
        <f>IFERROR(_xlfn.XLOOKUP($A93,Master_Data!$C:$C,Master_Data!$L:$L,"CHECK",0),"")</f>
        <v>39.583214002931314</v>
      </c>
      <c r="V93">
        <f>_xlfn.XLOOKUP($A93,Master_Data!$C:$C,Master_Data!$M:$M,"CHECK",0)</f>
        <v>61833</v>
      </c>
      <c r="W93">
        <f>IFERROR(_xlfn.XLOOKUP($A93,Master_Data!$C:$C,Master_Data!$N:$N,"CHECK",0),"")</f>
        <v>20.833571994137369</v>
      </c>
      <c r="X93" t="str">
        <f>IFERROR(_xlfn.XLOOKUP($A93,Master_Data!$C:$C,Master_Data!$O:$O,"CHECK",0),"No Result")</f>
        <v>Safe Seat</v>
      </c>
      <c r="Y93">
        <f>_xlfn.XLOOKUP($A93,Master_Data!$C:$C,Master_Data!$P:$P,"CHECK",0)</f>
        <v>0</v>
      </c>
      <c r="Z93">
        <f t="shared" si="3"/>
        <v>1</v>
      </c>
      <c r="AA93">
        <f>_xlfn.XLOOKUP(B93,Remittance_Data!A:A,Remittance_Data!B:B,"CHECK")</f>
        <v>7999</v>
      </c>
      <c r="AB93">
        <f>_xlfn.XLOOKUP(B93,Remittance_Data!A:A,Remittance_Data!C:C,"CHECK")</f>
        <v>5848</v>
      </c>
      <c r="AC93">
        <f>_xlfn.XLOOKUP(B93,Remittance_Data!A:A,Remittance_Data!D:D,"CHECK")</f>
        <v>2151</v>
      </c>
    </row>
    <row r="94" spans="1:29">
      <c r="A94" t="str">
        <v>Dinajpur-2</v>
      </c>
      <c r="B94" t="str" cm="1">
        <f t="array" ref="B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Nawabganj","Chapainawabganj"),Final_Merged_Data!$B$2:$B$1000=$A94)))</f>
        <v>Dinajpur</v>
      </c>
      <c r="C94" t="str" cm="1">
        <f t="array" ref="C94">_xlfn.TEXTJOIN(", ",TRUE,_xlfn._xlws.FILTER(Final_Merged_Data!$C$2:$C$1000,Final_Merged_Data!$B$2:$B$1000=$A94))</f>
        <v>Birol, Bochaganj</v>
      </c>
      <c r="D94" cm="1">
        <f t="array" ref="D94">COUNTA(_xlfn._xlws.FILTER(Final_Merged_Data!$C$2:$C$1000,Final_Merged_Data!$B$2:$B$1000=$A94))</f>
        <v>2</v>
      </c>
      <c r="E94">
        <f>SUMIFS(Final_Merged_Data!$E:$E,Final_Merged_Data!$B:$B,$A94)</f>
        <v>680.01</v>
      </c>
      <c r="F94">
        <f>SUMIFS(Final_Merged_Data!$F:$F,Final_Merged_Data!$B:$B,$A94)</f>
        <v>453264</v>
      </c>
      <c r="G94">
        <f t="shared" si="2"/>
        <v>666.55490360435874</v>
      </c>
      <c r="H94" cm="1">
        <f t="array" ref="H94">SUMPRODUCT((Final_Merged_Data!$B$2:$B$1000=$A94)*Final_Merged_Data!$H$2:$H$1000*Final_Merged_Data!$F$2:$F$1000)/F94</f>
        <v>3.9969622559920932</v>
      </c>
      <c r="I94" cm="1">
        <f t="array" ref="I94">SUMPRODUCT((Final_Merged_Data!$B$2:$B$1000=$A94)*Final_Merged_Data!$I$2:$I$1000*Final_Merged_Data!$F$2:$F$1000)/F94</f>
        <v>75.854574155459076</v>
      </c>
      <c r="J94" t="str" cm="1">
        <f t="array" ref="J94">_xlfn.TEXTJOIN(", ",TRUE,_xlfn.UNIQUE(_xlfn._xlws.FILTER(Final_Merged_Data!$J$2:$J$1000,Final_Merged_Data!$B$2:$B$1000=$A94)))</f>
        <v>Rangpur Range</v>
      </c>
      <c r="K94" cm="1">
        <f t="array" ref="K94">SUMPRODUCT((Final_Merged_Data!$B$2:$B$1000=$A94)*Final_Merged_Data!$K$2:$K$1000*Final_Merged_Data!$F$2:$F$1000)/F94</f>
        <v>101.90869513385242</v>
      </c>
      <c r="L94" cm="1">
        <f t="array" ref="L94">SUMPRODUCT((Final_Merged_Data!$B$2:$B$1000=$A94)*Final_Merged_Data!$L$2:$L$1000*Final_Merged_Data!$F$2:$F$1000)/F94</f>
        <v>15.175373179583827</v>
      </c>
      <c r="M94" t="str">
        <f>IF(COUNTIF(Master_Data!$C:$C,$A94)&gt;0,"Found","Missing")</f>
        <v>Found</v>
      </c>
      <c r="N94" t="str">
        <f>_xlfn.XLOOKUP($A94,Master_Data!$C:$C,Master_Data!$D:$D,"CHECK",0)</f>
        <v>Md. Sadiq Riaz</v>
      </c>
      <c r="O94" t="str">
        <f>_xlfn.XLOOKUP($A94,Master_Data!$C:$C,Master_Data!$E:$E,"CHECK",0)</f>
        <v>BNP</v>
      </c>
      <c r="P94">
        <f>_xlfn.XLOOKUP($A94,Master_Data!$C:$C,Master_Data!$F:$F,"CHECK",0)</f>
        <v>1</v>
      </c>
      <c r="Q94">
        <f>_xlfn.XLOOKUP($A94,Master_Data!$C:$C,Master_Data!$G:$G,"CHECK",0)</f>
        <v>144317</v>
      </c>
      <c r="R94">
        <f>IFERROR(_xlfn.XLOOKUP($A94,Master_Data!$C:$C,Master_Data!$H:$H,"CHECK",0),"")</f>
        <v>58.630173716625769</v>
      </c>
      <c r="S94" t="str">
        <f>_xlfn.XLOOKUP($A94,Master_Data!$C:$C,Master_Data!$I:$I,"CHECK",0)</f>
        <v>A. K. M. Afzalul Anam</v>
      </c>
      <c r="T94">
        <f>_xlfn.XLOOKUP($A94,Master_Data!$C:$C,Master_Data!$K:$K,"CHECK",0)</f>
        <v>101831</v>
      </c>
      <c r="U94">
        <f>IFERROR(_xlfn.XLOOKUP($A94,Master_Data!$C:$C,Master_Data!$L:$L,"CHECK",0),"")</f>
        <v>41.369826283374231</v>
      </c>
      <c r="V94">
        <f>_xlfn.XLOOKUP($A94,Master_Data!$C:$C,Master_Data!$M:$M,"CHECK",0)</f>
        <v>42486</v>
      </c>
      <c r="W94">
        <f>IFERROR(_xlfn.XLOOKUP($A94,Master_Data!$C:$C,Master_Data!$N:$N,"CHECK",0),"")</f>
        <v>17.260347433251543</v>
      </c>
      <c r="X94" t="str">
        <f>IFERROR(_xlfn.XLOOKUP($A94,Master_Data!$C:$C,Master_Data!$O:$O,"CHECK",0),"No Result")</f>
        <v>Safe Seat</v>
      </c>
      <c r="Y94">
        <f>_xlfn.XLOOKUP($A94,Master_Data!$C:$C,Master_Data!$P:$P,"CHECK",0)</f>
        <v>0</v>
      </c>
      <c r="Z94">
        <f t="shared" si="3"/>
        <v>1</v>
      </c>
      <c r="AA94">
        <f>_xlfn.XLOOKUP(B94,Remittance_Data!A:A,Remittance_Data!B:B,"CHECK")</f>
        <v>7999</v>
      </c>
      <c r="AB94">
        <f>_xlfn.XLOOKUP(B94,Remittance_Data!A:A,Remittance_Data!C:C,"CHECK")</f>
        <v>5848</v>
      </c>
      <c r="AC94">
        <f>_xlfn.XLOOKUP(B94,Remittance_Data!A:A,Remittance_Data!D:D,"CHECK")</f>
        <v>2151</v>
      </c>
    </row>
    <row r="95" spans="1:29">
      <c r="A95" t="str">
        <v>Dinajpur-3</v>
      </c>
      <c r="B95" t="str" cm="1">
        <f t="array" ref="B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Nawabganj","Chapainawabganj"),Final_Merged_Data!$B$2:$B$1000=$A95)))</f>
        <v>Dinajpur</v>
      </c>
      <c r="C95" t="str" cm="1">
        <f t="array" ref="C95">_xlfn.TEXTJOIN(", ",TRUE,_xlfn._xlws.FILTER(Final_Merged_Data!$C$2:$C$1000,Final_Merged_Data!$B$2:$B$1000=$A95))</f>
        <v>Dinajpur Sadar</v>
      </c>
      <c r="D95" cm="1">
        <f t="array" ref="D95">COUNTA(_xlfn._xlws.FILTER(Final_Merged_Data!$C$2:$C$1000,Final_Merged_Data!$B$2:$B$1000=$A95))</f>
        <v>1</v>
      </c>
      <c r="E95">
        <f>SUMIFS(Final_Merged_Data!$E:$E,Final_Merged_Data!$B:$B,$A95)</f>
        <v>344.3</v>
      </c>
      <c r="F95">
        <f>SUMIFS(Final_Merged_Data!$F:$F,Final_Merged_Data!$B:$B,$A95)</f>
        <v>549160</v>
      </c>
      <c r="G95">
        <f t="shared" si="2"/>
        <v>1595.0043566656984</v>
      </c>
      <c r="H95" cm="1">
        <f t="array" ref="H95">SUMPRODUCT((Final_Merged_Data!$B$2:$B$1000=$A95)*Final_Merged_Data!$H$2:$H$1000*Final_Merged_Data!$F$2:$F$1000)/F95</f>
        <v>3.8700000000000006</v>
      </c>
      <c r="I95" cm="1">
        <f t="array" ref="I95">SUMPRODUCT((Final_Merged_Data!$B$2:$B$1000=$A95)*Final_Merged_Data!$I$2:$I$1000*Final_Merged_Data!$F$2:$F$1000)/F95</f>
        <v>82.78</v>
      </c>
      <c r="J95" t="str" cm="1">
        <f t="array" ref="J95">_xlfn.TEXTJOIN(", ",TRUE,_xlfn.UNIQUE(_xlfn._xlws.FILTER(Final_Merged_Data!$J$2:$J$1000,Final_Merged_Data!$B$2:$B$1000=$A95)))</f>
        <v>Rangpur Range</v>
      </c>
      <c r="K95" cm="1">
        <f t="array" ref="K95">SUMPRODUCT((Final_Merged_Data!$B$2:$B$1000=$A95)*Final_Merged_Data!$K$2:$K$1000*Final_Merged_Data!$F$2:$F$1000)/F95</f>
        <v>101.90869513385242</v>
      </c>
      <c r="L95" cm="1">
        <f t="array" ref="L95">SUMPRODUCT((Final_Merged_Data!$B$2:$B$1000=$A95)*Final_Merged_Data!$L$2:$L$1000*Final_Merged_Data!$F$2:$F$1000)/F95</f>
        <v>15.175373179583827</v>
      </c>
      <c r="M95" t="str">
        <f>IF(COUNTIF(Master_Data!$C:$C,$A95)&gt;0,"Found","Missing")</f>
        <v>Found</v>
      </c>
      <c r="N95" t="str">
        <f>_xlfn.XLOOKUP($A95,Master_Data!$C:$C,Master_Data!$D:$D,"CHECK",0)</f>
        <v>Syed Jahangir Alam</v>
      </c>
      <c r="O95" t="str">
        <f>_xlfn.XLOOKUP($A95,Master_Data!$C:$C,Master_Data!$E:$E,"CHECK",0)</f>
        <v>BNP</v>
      </c>
      <c r="P95">
        <f>_xlfn.XLOOKUP($A95,Master_Data!$C:$C,Master_Data!$F:$F,"CHECK",0)</f>
        <v>1</v>
      </c>
      <c r="Q95">
        <f>_xlfn.XLOOKUP($A95,Master_Data!$C:$C,Master_Data!$G:$G,"CHECK",0)</f>
        <v>139207</v>
      </c>
      <c r="R95">
        <f>IFERROR(_xlfn.XLOOKUP($A95,Master_Data!$C:$C,Master_Data!$H:$H,"CHECK",0),"")</f>
        <v>50.837943942298914</v>
      </c>
      <c r="S95" t="str">
        <f>_xlfn.XLOOKUP($A95,Master_Data!$C:$C,Master_Data!$I:$I,"CHECK",0)</f>
        <v>Md. Mainul Alam</v>
      </c>
      <c r="T95">
        <f>_xlfn.XLOOKUP($A95,Master_Data!$C:$C,Master_Data!$K:$K,"CHECK",0)</f>
        <v>134618</v>
      </c>
      <c r="U95">
        <f>IFERROR(_xlfn.XLOOKUP($A95,Master_Data!$C:$C,Master_Data!$L:$L,"CHECK",0),"")</f>
        <v>49.162056057701086</v>
      </c>
      <c r="V95">
        <f>_xlfn.XLOOKUP($A95,Master_Data!$C:$C,Master_Data!$M:$M,"CHECK",0)</f>
        <v>4589</v>
      </c>
      <c r="W95">
        <f>IFERROR(_xlfn.XLOOKUP($A95,Master_Data!$C:$C,Master_Data!$N:$N,"CHECK",0),"")</f>
        <v>1.6758878845978271</v>
      </c>
      <c r="X95" t="str">
        <f>IFERROR(_xlfn.XLOOKUP($A95,Master_Data!$C:$C,Master_Data!$O:$O,"CHECK",0),"No Result")</f>
        <v>Highly Competitive</v>
      </c>
      <c r="Y95">
        <f>_xlfn.XLOOKUP($A95,Master_Data!$C:$C,Master_Data!$P:$P,"CHECK",0)</f>
        <v>0</v>
      </c>
      <c r="Z95">
        <f t="shared" si="3"/>
        <v>1</v>
      </c>
      <c r="AA95">
        <f>_xlfn.XLOOKUP(B95,Remittance_Data!A:A,Remittance_Data!B:B,"CHECK")</f>
        <v>7999</v>
      </c>
      <c r="AB95">
        <f>_xlfn.XLOOKUP(B95,Remittance_Data!A:A,Remittance_Data!C:C,"CHECK")</f>
        <v>5848</v>
      </c>
      <c r="AC95">
        <f>_xlfn.XLOOKUP(B95,Remittance_Data!A:A,Remittance_Data!D:D,"CHECK")</f>
        <v>2151</v>
      </c>
    </row>
    <row r="96" spans="1:29">
      <c r="A96" t="str">
        <v>Dinajpur-4</v>
      </c>
      <c r="B96" t="str" cm="1">
        <f t="array" ref="B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Nawabganj","Chapainawabganj"),Final_Merged_Data!$B$2:$B$1000=$A96)))</f>
        <v>Dinajpur</v>
      </c>
      <c r="C96" t="str" cm="1">
        <f t="array" ref="C96">_xlfn.TEXTJOIN(", ",TRUE,_xlfn._xlws.FILTER(Final_Merged_Data!$C$2:$C$1000,Final_Merged_Data!$B$2:$B$1000=$A96))</f>
        <v>Khansama, Chirirbandar</v>
      </c>
      <c r="D96" cm="1">
        <f t="array" ref="D96">COUNTA(_xlfn._xlws.FILTER(Final_Merged_Data!$C$2:$C$1000,Final_Merged_Data!$B$2:$B$1000=$A96))</f>
        <v>2</v>
      </c>
      <c r="E96">
        <f>SUMIFS(Final_Merged_Data!$E:$E,Final_Merged_Data!$B:$B,$A96)</f>
        <v>692</v>
      </c>
      <c r="F96">
        <f>SUMIFS(Final_Merged_Data!$F:$F,Final_Merged_Data!$B:$B,$A96)</f>
        <v>521281</v>
      </c>
      <c r="G96">
        <f t="shared" si="2"/>
        <v>753.29624277456651</v>
      </c>
      <c r="H96" cm="1">
        <f t="array" ref="H96">SUMPRODUCT((Final_Merged_Data!$B$2:$B$1000=$A96)*Final_Merged_Data!$H$2:$H$1000*Final_Merged_Data!$F$2:$F$1000)/F96</f>
        <v>4.105147377326241</v>
      </c>
      <c r="I96" cm="1">
        <f t="array" ref="I96">SUMPRODUCT((Final_Merged_Data!$B$2:$B$1000=$A96)*Final_Merged_Data!$I$2:$I$1000*Final_Merged_Data!$F$2:$F$1000)/F96</f>
        <v>74.076872588872405</v>
      </c>
      <c r="J96" t="str" cm="1">
        <f t="array" ref="J96">_xlfn.TEXTJOIN(", ",TRUE,_xlfn.UNIQUE(_xlfn._xlws.FILTER(Final_Merged_Data!$J$2:$J$1000,Final_Merged_Data!$B$2:$B$1000=$A96)))</f>
        <v>Rangpur Range</v>
      </c>
      <c r="K96" cm="1">
        <f t="array" ref="K96">SUMPRODUCT((Final_Merged_Data!$B$2:$B$1000=$A96)*Final_Merged_Data!$K$2:$K$1000*Final_Merged_Data!$F$2:$F$1000)/F96</f>
        <v>101.90869513385242</v>
      </c>
      <c r="L96" cm="1">
        <f t="array" ref="L96">SUMPRODUCT((Final_Merged_Data!$B$2:$B$1000=$A96)*Final_Merged_Data!$L$2:$L$1000*Final_Merged_Data!$F$2:$F$1000)/F96</f>
        <v>15.175373179583827</v>
      </c>
      <c r="M96" t="str">
        <f>IF(COUNTIF(Master_Data!$C:$C,$A96)&gt;0,"Found","Missing")</f>
        <v>Found</v>
      </c>
      <c r="N96" t="str">
        <f>_xlfn.XLOOKUP($A96,Master_Data!$C:$C,Master_Data!$D:$D,"CHECK",0)</f>
        <v>Md. Akhtaruzzaman Mia</v>
      </c>
      <c r="O96" t="str">
        <f>_xlfn.XLOOKUP($A96,Master_Data!$C:$C,Master_Data!$E:$E,"CHECK",0)</f>
        <v>BNP</v>
      </c>
      <c r="P96">
        <f>_xlfn.XLOOKUP($A96,Master_Data!$C:$C,Master_Data!$F:$F,"CHECK",0)</f>
        <v>1</v>
      </c>
      <c r="Q96">
        <f>_xlfn.XLOOKUP($A96,Master_Data!$C:$C,Master_Data!$G:$G,"CHECK",0)</f>
        <v>165577</v>
      </c>
      <c r="R96">
        <f>IFERROR(_xlfn.XLOOKUP($A96,Master_Data!$C:$C,Master_Data!$H:$H,"CHECK",0),"")</f>
        <v>56.464092919524077</v>
      </c>
      <c r="S96" t="str">
        <f>_xlfn.XLOOKUP($A96,Master_Data!$C:$C,Master_Data!$I:$I,"CHECK",0)</f>
        <v>Md. Aftab Uddin Mollah</v>
      </c>
      <c r="T96">
        <f>_xlfn.XLOOKUP($A96,Master_Data!$C:$C,Master_Data!$K:$K,"CHECK",0)</f>
        <v>127666</v>
      </c>
      <c r="U96">
        <f>IFERROR(_xlfn.XLOOKUP($A96,Master_Data!$C:$C,Master_Data!$L:$L,"CHECK",0),"")</f>
        <v>43.535907080475923</v>
      </c>
      <c r="V96">
        <f>_xlfn.XLOOKUP($A96,Master_Data!$C:$C,Master_Data!$M:$M,"CHECK",0)</f>
        <v>37911</v>
      </c>
      <c r="W96">
        <f>IFERROR(_xlfn.XLOOKUP($A96,Master_Data!$C:$C,Master_Data!$N:$N,"CHECK",0),"")</f>
        <v>12.928185839048162</v>
      </c>
      <c r="X96" t="str">
        <f>IFERROR(_xlfn.XLOOKUP($A96,Master_Data!$C:$C,Master_Data!$O:$O,"CHECK",0),"No Result")</f>
        <v>Safe Seat</v>
      </c>
      <c r="Y96">
        <f>_xlfn.XLOOKUP($A96,Master_Data!$C:$C,Master_Data!$P:$P,"CHECK",0)</f>
        <v>0</v>
      </c>
      <c r="Z96">
        <f t="shared" si="3"/>
        <v>1</v>
      </c>
      <c r="AA96">
        <f>_xlfn.XLOOKUP(B96,Remittance_Data!A:A,Remittance_Data!B:B,"CHECK")</f>
        <v>7999</v>
      </c>
      <c r="AB96">
        <f>_xlfn.XLOOKUP(B96,Remittance_Data!A:A,Remittance_Data!C:C,"CHECK")</f>
        <v>5848</v>
      </c>
      <c r="AC96">
        <f>_xlfn.XLOOKUP(B96,Remittance_Data!A:A,Remittance_Data!D:D,"CHECK")</f>
        <v>2151</v>
      </c>
    </row>
    <row r="97" spans="1:29">
      <c r="A97" t="str">
        <v>Dinajpur-5</v>
      </c>
      <c r="B97" t="str" cm="1">
        <f t="array" ref="B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Nawabganj","Chapainawabganj"),Final_Merged_Data!$B$2:$B$1000=$A97)))</f>
        <v>Dinajpur</v>
      </c>
      <c r="C97" t="str" cm="1">
        <f t="array" ref="C97">_xlfn.TEXTJOIN(", ",TRUE,_xlfn._xlws.FILTER(Final_Merged_Data!$C$2:$C$1000,Final_Merged_Data!$B$2:$B$1000=$A97))</f>
        <v>Parbatipur, Phulbari</v>
      </c>
      <c r="D97" cm="1">
        <f t="array" ref="D97">COUNTA(_xlfn._xlws.FILTER(Final_Merged_Data!$C$2:$C$1000,Final_Merged_Data!$B$2:$B$1000=$A97))</f>
        <v>2</v>
      </c>
      <c r="E97">
        <f>SUMIFS(Final_Merged_Data!$E:$E,Final_Merged_Data!$B:$B,$A97)</f>
        <v>630.79</v>
      </c>
      <c r="F97">
        <f>SUMIFS(Final_Merged_Data!$F:$F,Final_Merged_Data!$B:$B,$A97)</f>
        <v>587306</v>
      </c>
      <c r="G97">
        <f t="shared" si="2"/>
        <v>931.06422105613603</v>
      </c>
      <c r="H97" cm="1">
        <f t="array" ref="H97">SUMPRODUCT((Final_Merged_Data!$B$2:$B$1000=$A97)*Final_Merged_Data!$H$2:$H$1000*Final_Merged_Data!$F$2:$F$1000)/F97</f>
        <v>3.8090710804929624</v>
      </c>
      <c r="I97" cm="1">
        <f t="array" ref="I97">SUMPRODUCT((Final_Merged_Data!$B$2:$B$1000=$A97)*Final_Merged_Data!$I$2:$I$1000*Final_Merged_Data!$F$2:$F$1000)/F97</f>
        <v>73.527278216125836</v>
      </c>
      <c r="J97" t="str" cm="1">
        <f t="array" ref="J97">_xlfn.TEXTJOIN(", ",TRUE,_xlfn.UNIQUE(_xlfn._xlws.FILTER(Final_Merged_Data!$J$2:$J$1000,Final_Merged_Data!$B$2:$B$1000=$A97)))</f>
        <v>Rangpur Range</v>
      </c>
      <c r="K97" cm="1">
        <f t="array" ref="K97">SUMPRODUCT((Final_Merged_Data!$B$2:$B$1000=$A97)*Final_Merged_Data!$K$2:$K$1000*Final_Merged_Data!$F$2:$F$1000)/F97</f>
        <v>101.90869513385243</v>
      </c>
      <c r="L97" cm="1">
        <f t="array" ref="L97">SUMPRODUCT((Final_Merged_Data!$B$2:$B$1000=$A97)*Final_Merged_Data!$L$2:$L$1000*Final_Merged_Data!$F$2:$F$1000)/F97</f>
        <v>15.175373179583827</v>
      </c>
      <c r="M97" t="str">
        <f>IF(COUNTIF(Master_Data!$C:$C,$A97)&gt;0,"Found","Missing")</f>
        <v>Found</v>
      </c>
      <c r="N97" t="str">
        <f>_xlfn.XLOOKUP($A97,Master_Data!$C:$C,Master_Data!$D:$D,"CHECK",0)</f>
        <v>A. Z. M. Rezwanul Haque</v>
      </c>
      <c r="O97" t="str">
        <f>_xlfn.XLOOKUP($A97,Master_Data!$C:$C,Master_Data!$E:$E,"CHECK",0)</f>
        <v>IND</v>
      </c>
      <c r="P97">
        <f>_xlfn.XLOOKUP($A97,Master_Data!$C:$C,Master_Data!$F:$F,"CHECK",0)</f>
        <v>5</v>
      </c>
      <c r="Q97">
        <f>_xlfn.XLOOKUP($A97,Master_Data!$C:$C,Master_Data!$G:$G,"CHECK",0)</f>
        <v>113650</v>
      </c>
      <c r="R97">
        <f>IFERROR(_xlfn.XLOOKUP($A97,Master_Data!$C:$C,Master_Data!$H:$H,"CHECK",0),"")</f>
        <v>51.056164026630967</v>
      </c>
      <c r="S97" t="str">
        <f>_xlfn.XLOOKUP($A97,Master_Data!$C:$C,Master_Data!$I:$I,"CHECK",0)</f>
        <v>Md. Abdul Ahad</v>
      </c>
      <c r="T97">
        <f>_xlfn.XLOOKUP($A97,Master_Data!$C:$C,Master_Data!$K:$K,"CHECK",0)</f>
        <v>108948</v>
      </c>
      <c r="U97">
        <f>IFERROR(_xlfn.XLOOKUP($A97,Master_Data!$C:$C,Master_Data!$L:$L,"CHECK",0),"")</f>
        <v>48.943835973369033</v>
      </c>
      <c r="V97">
        <f>_xlfn.XLOOKUP($A97,Master_Data!$C:$C,Master_Data!$M:$M,"CHECK",0)</f>
        <v>4702</v>
      </c>
      <c r="W97">
        <f>IFERROR(_xlfn.XLOOKUP($A97,Master_Data!$C:$C,Master_Data!$N:$N,"CHECK",0),"")</f>
        <v>2.1123280532619342</v>
      </c>
      <c r="X97" t="str">
        <f>IFERROR(_xlfn.XLOOKUP($A97,Master_Data!$C:$C,Master_Data!$O:$O,"CHECK",0),"No Result")</f>
        <v>Highly Competitive</v>
      </c>
      <c r="Y97">
        <f>_xlfn.XLOOKUP($A97,Master_Data!$C:$C,Master_Data!$P:$P,"CHECK",0)</f>
        <v>0</v>
      </c>
      <c r="Z97">
        <f t="shared" si="3"/>
        <v>1</v>
      </c>
      <c r="AA97">
        <f>_xlfn.XLOOKUP(B97,Remittance_Data!A:A,Remittance_Data!B:B,"CHECK")</f>
        <v>7999</v>
      </c>
      <c r="AB97">
        <f>_xlfn.XLOOKUP(B97,Remittance_Data!A:A,Remittance_Data!C:C,"CHECK")</f>
        <v>5848</v>
      </c>
      <c r="AC97">
        <f>_xlfn.XLOOKUP(B97,Remittance_Data!A:A,Remittance_Data!D:D,"CHECK")</f>
        <v>2151</v>
      </c>
    </row>
    <row r="98" spans="1:29">
      <c r="A98" t="str">
        <v>Dinajpur-6</v>
      </c>
      <c r="B98" t="str" cm="1">
        <f t="array" ref="B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Nawabganj","Chapainawabganj"),Final_Merged_Data!$B$2:$B$1000=$A98)))</f>
        <v>Dinajpur</v>
      </c>
      <c r="C98" t="str" cm="1">
        <f t="array" ref="C98">_xlfn.TEXTJOIN(", ",TRUE,_xlfn._xlws.FILTER(Final_Merged_Data!$C$2:$C$1000,Final_Merged_Data!$B$2:$B$1000=$A98))</f>
        <v>Hakimpur, Nawabganj, Ghoraghat</v>
      </c>
      <c r="D98" cm="1">
        <f t="array" ref="D98">COUNTA(_xlfn._xlws.FILTER(Final_Merged_Data!$C$2:$C$1000,Final_Merged_Data!$B$2:$B$1000=$A98))</f>
        <v>3</v>
      </c>
      <c r="E98">
        <f>SUMIFS(Final_Merged_Data!$E:$E,Final_Merged_Data!$B:$B,$A98)</f>
        <v>709.26</v>
      </c>
      <c r="F98">
        <f>SUMIFS(Final_Merged_Data!$F:$F,Final_Merged_Data!$B:$B,$A98)</f>
        <v>576153</v>
      </c>
      <c r="G98">
        <f t="shared" si="2"/>
        <v>812.32975213602913</v>
      </c>
      <c r="H98" cm="1">
        <f t="array" ref="H98">SUMPRODUCT((Final_Merged_Data!$B$2:$B$1000=$A98)*Final_Merged_Data!$H$2:$H$1000*Final_Merged_Data!$F$2:$F$1000)/F98</f>
        <v>3.7607986420273782</v>
      </c>
      <c r="I98" cm="1">
        <f t="array" ref="I98">SUMPRODUCT((Final_Merged_Data!$B$2:$B$1000=$A98)*Final_Merged_Data!$I$2:$I$1000*Final_Merged_Data!$F$2:$F$1000)/F98</f>
        <v>76.940162092360879</v>
      </c>
      <c r="J98" t="str" cm="1">
        <f t="array" ref="J98">_xlfn.TEXTJOIN(", ",TRUE,_xlfn.UNIQUE(_xlfn._xlws.FILTER(Final_Merged_Data!$J$2:$J$1000,Final_Merged_Data!$B$2:$B$1000=$A98)))</f>
        <v>Rangpur Range</v>
      </c>
      <c r="K98" cm="1">
        <f t="array" ref="K98">SUMPRODUCT((Final_Merged_Data!$B$2:$B$1000=$A98)*Final_Merged_Data!$K$2:$K$1000*Final_Merged_Data!$F$2:$F$1000)/F98</f>
        <v>101.90869513385242</v>
      </c>
      <c r="L98" cm="1">
        <f t="array" ref="L98">SUMPRODUCT((Final_Merged_Data!$B$2:$B$1000=$A98)*Final_Merged_Data!$L$2:$L$1000*Final_Merged_Data!$F$2:$F$1000)/F98</f>
        <v>15.175373179583829</v>
      </c>
      <c r="M98" t="str">
        <f>IF(COUNTIF(Master_Data!$C:$C,$A98)&gt;0,"Found","Missing")</f>
        <v>Found</v>
      </c>
      <c r="N98" t="str">
        <f>_xlfn.XLOOKUP($A98,Master_Data!$C:$C,Master_Data!$D:$D,"CHECK",0)</f>
        <v>A. Z. M. Zahid Hossain</v>
      </c>
      <c r="O98" t="str">
        <f>_xlfn.XLOOKUP($A98,Master_Data!$C:$C,Master_Data!$E:$E,"CHECK",0)</f>
        <v>BNP</v>
      </c>
      <c r="P98">
        <f>_xlfn.XLOOKUP($A98,Master_Data!$C:$C,Master_Data!$F:$F,"CHECK",0)</f>
        <v>1</v>
      </c>
      <c r="Q98">
        <f>_xlfn.XLOOKUP($A98,Master_Data!$C:$C,Master_Data!$G:$G,"CHECK",0)</f>
        <v>203887</v>
      </c>
      <c r="R98">
        <f>IFERROR(_xlfn.XLOOKUP($A98,Master_Data!$C:$C,Master_Data!$H:$H,"CHECK",0),"")</f>
        <v>51.93170761526823</v>
      </c>
      <c r="S98" t="str">
        <f>_xlfn.XLOOKUP($A98,Master_Data!$C:$C,Master_Data!$I:$I,"CHECK",0)</f>
        <v>Md. Anwarul Islam</v>
      </c>
      <c r="T98">
        <f>_xlfn.XLOOKUP($A98,Master_Data!$C:$C,Master_Data!$K:$K,"CHECK",0)</f>
        <v>188719</v>
      </c>
      <c r="U98">
        <f>IFERROR(_xlfn.XLOOKUP($A98,Master_Data!$C:$C,Master_Data!$L:$L,"CHECK",0),"")</f>
        <v>48.068292384731762</v>
      </c>
      <c r="V98">
        <f>_xlfn.XLOOKUP($A98,Master_Data!$C:$C,Master_Data!$M:$M,"CHECK",0)</f>
        <v>15168</v>
      </c>
      <c r="W98">
        <f>IFERROR(_xlfn.XLOOKUP($A98,Master_Data!$C:$C,Master_Data!$N:$N,"CHECK",0),"")</f>
        <v>3.8634152305364671</v>
      </c>
      <c r="X98" t="str">
        <f>IFERROR(_xlfn.XLOOKUP($A98,Master_Data!$C:$C,Master_Data!$O:$O,"CHECK",0),"No Result")</f>
        <v>Highly Competitive</v>
      </c>
      <c r="Y98">
        <f>_xlfn.XLOOKUP($A98,Master_Data!$C:$C,Master_Data!$P:$P,"CHECK",0)</f>
        <v>0</v>
      </c>
      <c r="Z98">
        <f t="shared" si="3"/>
        <v>1</v>
      </c>
      <c r="AA98">
        <f>_xlfn.XLOOKUP(B98,Remittance_Data!A:A,Remittance_Data!B:B,"CHECK")</f>
        <v>7999</v>
      </c>
      <c r="AB98">
        <f>_xlfn.XLOOKUP(B98,Remittance_Data!A:A,Remittance_Data!C:C,"CHECK")</f>
        <v>5848</v>
      </c>
      <c r="AC98">
        <f>_xlfn.XLOOKUP(B98,Remittance_Data!A:A,Remittance_Data!D:D,"CHECK")</f>
        <v>2151</v>
      </c>
    </row>
    <row r="99" spans="1:29">
      <c r="A99" t="str">
        <v>Faridpur-1</v>
      </c>
      <c r="B99" t="str" cm="1">
        <f t="array" ref="B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Nawabganj","Chapainawabganj"),Final_Merged_Data!$B$2:$B$1000=$A99)))</f>
        <v>Faridpur</v>
      </c>
      <c r="C99" t="str" cm="1">
        <f t="array" ref="C99">_xlfn.TEXTJOIN(", ",TRUE,_xlfn._xlws.FILTER(Final_Merged_Data!$C$2:$C$1000,Final_Merged_Data!$B$2:$B$1000=$A99))</f>
        <v>Boalmari, Alfadanga, Madhukhali</v>
      </c>
      <c r="D99" cm="1">
        <f t="array" ref="D99">COUNTA(_xlfn._xlws.FILTER(Final_Merged_Data!$C$2:$C$1000,Final_Merged_Data!$B$2:$B$1000=$A99))</f>
        <v>3</v>
      </c>
      <c r="E99">
        <f>SUMIFS(Final_Merged_Data!$E:$E,Final_Merged_Data!$B:$B,$A99)</f>
        <v>517.28</v>
      </c>
      <c r="F99">
        <f>SUMIFS(Final_Merged_Data!$F:$F,Final_Merged_Data!$B:$B,$A99)</f>
        <v>619745</v>
      </c>
      <c r="G99">
        <f t="shared" si="2"/>
        <v>1198.0842097123416</v>
      </c>
      <c r="H99" cm="1">
        <f t="array" ref="H99">SUMPRODUCT((Final_Merged_Data!$B$2:$B$1000=$A99)*Final_Merged_Data!$H$2:$H$1000*Final_Merged_Data!$F$2:$F$1000)/F99</f>
        <v>4.061460616866615</v>
      </c>
      <c r="I99" cm="1">
        <f t="array" ref="I99">SUMPRODUCT((Final_Merged_Data!$B$2:$B$1000=$A99)*Final_Merged_Data!$I$2:$I$1000*Final_Merged_Data!$F$2:$F$1000)/F99</f>
        <v>73.058440987825634</v>
      </c>
      <c r="J99" t="str" cm="1">
        <f t="array" ref="J99">_xlfn.TEXTJOIN(", ",TRUE,_xlfn.UNIQUE(_xlfn._xlws.FILTER(Final_Merged_Data!$J$2:$J$1000,Final_Merged_Data!$B$2:$B$1000=$A99)))</f>
        <v>Dhaka Range</v>
      </c>
      <c r="K99" cm="1">
        <f t="array" ref="K99">SUMPRODUCT((Final_Merged_Data!$B$2:$B$1000=$A99)*Final_Merged_Data!$K$2:$K$1000*Final_Merged_Data!$F$2:$F$1000)/F99</f>
        <v>87.055167395391194</v>
      </c>
      <c r="L99" cm="1">
        <f t="array" ref="L99">SUMPRODUCT((Final_Merged_Data!$B$2:$B$1000=$A99)*Final_Merged_Data!$L$2:$L$1000*Final_Merged_Data!$F$2:$F$1000)/F99</f>
        <v>14.083489099923572</v>
      </c>
      <c r="M99" t="str">
        <f>IF(COUNTIF(Master_Data!$C:$C,$A99)&gt;0,"Found","Missing")</f>
        <v>Found</v>
      </c>
      <c r="N99" t="str">
        <f>_xlfn.XLOOKUP($A99,Master_Data!$C:$C,Master_Data!$D:$D,"CHECK",0)</f>
        <v>Md. Elias Molla</v>
      </c>
      <c r="O99" t="str">
        <f>_xlfn.XLOOKUP($A99,Master_Data!$C:$C,Master_Data!$E:$E,"CHECK",0)</f>
        <v>Jamaat</v>
      </c>
      <c r="P99">
        <f>_xlfn.XLOOKUP($A99,Master_Data!$C:$C,Master_Data!$F:$F,"CHECK",0)</f>
        <v>2</v>
      </c>
      <c r="Q99">
        <f>_xlfn.XLOOKUP($A99,Master_Data!$C:$C,Master_Data!$G:$G,"CHECK",0)</f>
        <v>154145</v>
      </c>
      <c r="R99">
        <f>IFERROR(_xlfn.XLOOKUP($A99,Master_Data!$C:$C,Master_Data!$H:$H,"CHECK",0),"")</f>
        <v>54.929958912554653</v>
      </c>
      <c r="S99" t="str">
        <f>_xlfn.XLOOKUP($A99,Master_Data!$C:$C,Master_Data!$I:$I,"CHECK",0)</f>
        <v>Khandokar Nasirul Islam</v>
      </c>
      <c r="T99">
        <f>_xlfn.XLOOKUP($A99,Master_Data!$C:$C,Master_Data!$K:$K,"CHECK",0)</f>
        <v>126476</v>
      </c>
      <c r="U99">
        <f>IFERROR(_xlfn.XLOOKUP($A99,Master_Data!$C:$C,Master_Data!$L:$L,"CHECK",0),"")</f>
        <v>45.070041087445347</v>
      </c>
      <c r="V99">
        <f>_xlfn.XLOOKUP($A99,Master_Data!$C:$C,Master_Data!$M:$M,"CHECK",0)</f>
        <v>27669</v>
      </c>
      <c r="W99">
        <f>IFERROR(_xlfn.XLOOKUP($A99,Master_Data!$C:$C,Master_Data!$N:$N,"CHECK",0),"")</f>
        <v>9.8599178251093118</v>
      </c>
      <c r="X99" t="str">
        <f>IFERROR(_xlfn.XLOOKUP($A99,Master_Data!$C:$C,Master_Data!$O:$O,"CHECK",0),"No Result")</f>
        <v>Safe Seat</v>
      </c>
      <c r="Y99">
        <f>_xlfn.XLOOKUP($A99,Master_Data!$C:$C,Master_Data!$P:$P,"CHECK",0)</f>
        <v>0</v>
      </c>
      <c r="Z99">
        <f t="shared" si="3"/>
        <v>1</v>
      </c>
      <c r="AA99">
        <f>_xlfn.XLOOKUP(B99,Remittance_Data!A:A,Remittance_Data!B:B,"CHECK")</f>
        <v>72310</v>
      </c>
      <c r="AB99">
        <f>_xlfn.XLOOKUP(B99,Remittance_Data!A:A,Remittance_Data!C:C,"CHECK")</f>
        <v>58209</v>
      </c>
      <c r="AC99">
        <f>_xlfn.XLOOKUP(B99,Remittance_Data!A:A,Remittance_Data!D:D,"CHECK")</f>
        <v>14101</v>
      </c>
    </row>
    <row r="100" spans="1:29">
      <c r="A100" t="str">
        <v>Faridpur-2</v>
      </c>
      <c r="B100" t="str" cm="1">
        <f t="array" ref="B1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Nawabganj","Chapainawabganj"),Final_Merged_Data!$B$2:$B$1000=$A100)))</f>
        <v>Faridpur</v>
      </c>
      <c r="C100" t="str" cm="1">
        <f t="array" ref="C100">_xlfn.TEXTJOIN(", ",TRUE,_xlfn._xlws.FILTER(Final_Merged_Data!$C$2:$C$1000,Final_Merged_Data!$B$2:$B$1000=$A100))</f>
        <v>Nagarkanda, Saltha</v>
      </c>
      <c r="D100" cm="1">
        <f t="array" ref="D100">COUNTA(_xlfn._xlws.FILTER(Final_Merged_Data!$C$2:$C$1000,Final_Merged_Data!$B$2:$B$1000=$A100))</f>
        <v>2</v>
      </c>
      <c r="E100">
        <f>SUMIFS(Final_Merged_Data!$E:$E,Final_Merged_Data!$B:$B,$A100)</f>
        <v>525.47</v>
      </c>
      <c r="F100">
        <f>SUMIFS(Final_Merged_Data!$F:$F,Final_Merged_Data!$B:$B,$A100)</f>
        <v>409139</v>
      </c>
      <c r="G100">
        <f t="shared" si="2"/>
        <v>778.6153348430928</v>
      </c>
      <c r="H100" cm="1">
        <f t="array" ref="H100">SUMPRODUCT((Final_Merged_Data!$B$2:$B$1000=$A100)*Final_Merged_Data!$H$2:$H$1000*Final_Merged_Data!$F$2:$F$1000)/F100</f>
        <v>4.1144863726019762</v>
      </c>
      <c r="I100" cm="1">
        <f t="array" ref="I100">SUMPRODUCT((Final_Merged_Data!$B$2:$B$1000=$A100)*Final_Merged_Data!$I$2:$I$1000*Final_Merged_Data!$F$2:$F$1000)/F100</f>
        <v>68.436555522695215</v>
      </c>
      <c r="J100" t="str" cm="1">
        <f t="array" ref="J100">_xlfn.TEXTJOIN(", ",TRUE,_xlfn.UNIQUE(_xlfn._xlws.FILTER(Final_Merged_Data!$J$2:$J$1000,Final_Merged_Data!$B$2:$B$1000=$A100)))</f>
        <v>Dhaka Range</v>
      </c>
      <c r="K100" cm="1">
        <f t="array" ref="K100">SUMPRODUCT((Final_Merged_Data!$B$2:$B$1000=$A100)*Final_Merged_Data!$K$2:$K$1000*Final_Merged_Data!$F$2:$F$1000)/F100</f>
        <v>87.05516739539118</v>
      </c>
      <c r="L100" cm="1">
        <f t="array" ref="L100">SUMPRODUCT((Final_Merged_Data!$B$2:$B$1000=$A100)*Final_Merged_Data!$L$2:$L$1000*Final_Merged_Data!$F$2:$F$1000)/F100</f>
        <v>14.083489099923572</v>
      </c>
      <c r="M100" t="str">
        <f>IF(COUNTIF(Master_Data!$C:$C,$A100)&gt;0,"Found","Missing")</f>
        <v>Found</v>
      </c>
      <c r="N100" t="str">
        <f>_xlfn.XLOOKUP($A100,Master_Data!$C:$C,Master_Data!$D:$D,"CHECK",0)</f>
        <v>Shama Obaed</v>
      </c>
      <c r="O100" t="str">
        <f>_xlfn.XLOOKUP($A100,Master_Data!$C:$C,Master_Data!$E:$E,"CHECK",0)</f>
        <v>BNP</v>
      </c>
      <c r="P100">
        <f>_xlfn.XLOOKUP($A100,Master_Data!$C:$C,Master_Data!$F:$F,"CHECK",0)</f>
        <v>1</v>
      </c>
      <c r="Q100">
        <f>_xlfn.XLOOKUP($A100,Master_Data!$C:$C,Master_Data!$G:$G,"CHECK",0)</f>
        <v>121694</v>
      </c>
      <c r="R100">
        <f>IFERROR(_xlfn.XLOOKUP($A100,Master_Data!$C:$C,Master_Data!$H:$H,"CHECK",0),"")</f>
        <v>57.675154858553832</v>
      </c>
      <c r="S100" t="str">
        <f>_xlfn.XLOOKUP($A100,Master_Data!$C:$C,Master_Data!$I:$I,"CHECK",0)</f>
        <v>Md. Akram Ali</v>
      </c>
      <c r="T100">
        <f>_xlfn.XLOOKUP($A100,Master_Data!$C:$C,Master_Data!$K:$K,"CHECK",0)</f>
        <v>89305</v>
      </c>
      <c r="U100">
        <f>IFERROR(_xlfn.XLOOKUP($A100,Master_Data!$C:$C,Master_Data!$L:$L,"CHECK",0),"")</f>
        <v>42.324845141446168</v>
      </c>
      <c r="V100">
        <f>_xlfn.XLOOKUP($A100,Master_Data!$C:$C,Master_Data!$M:$M,"CHECK",0)</f>
        <v>32389</v>
      </c>
      <c r="W100">
        <f>IFERROR(_xlfn.XLOOKUP($A100,Master_Data!$C:$C,Master_Data!$N:$N,"CHECK",0),"")</f>
        <v>15.350309717107663</v>
      </c>
      <c r="X100" t="str">
        <f>IFERROR(_xlfn.XLOOKUP($A100,Master_Data!$C:$C,Master_Data!$O:$O,"CHECK",0),"No Result")</f>
        <v>Safe Seat</v>
      </c>
      <c r="Y100">
        <f>_xlfn.XLOOKUP($A100,Master_Data!$C:$C,Master_Data!$P:$P,"CHECK",0)</f>
        <v>0</v>
      </c>
      <c r="Z100">
        <f t="shared" si="3"/>
        <v>1</v>
      </c>
      <c r="AA100">
        <f>_xlfn.XLOOKUP(B100,Remittance_Data!A:A,Remittance_Data!B:B,"CHECK")</f>
        <v>72310</v>
      </c>
      <c r="AB100">
        <f>_xlfn.XLOOKUP(B100,Remittance_Data!A:A,Remittance_Data!C:C,"CHECK")</f>
        <v>58209</v>
      </c>
      <c r="AC100">
        <f>_xlfn.XLOOKUP(B100,Remittance_Data!A:A,Remittance_Data!D:D,"CHECK")</f>
        <v>14101</v>
      </c>
    </row>
    <row r="101" spans="1:29">
      <c r="A101" t="str">
        <v>Faridpur-3</v>
      </c>
      <c r="B101" t="str" cm="1">
        <f t="array" ref="B1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Nawabganj","Chapainawabganj"),Final_Merged_Data!$B$2:$B$1000=$A101)))</f>
        <v>Faridpur</v>
      </c>
      <c r="C101" t="str" cm="1">
        <f t="array" ref="C101">_xlfn.TEXTJOIN(", ",TRUE,_xlfn._xlws.FILTER(Final_Merged_Data!$C$2:$C$1000,Final_Merged_Data!$B$2:$B$1000=$A101))</f>
        <v>Faridpur Sadar</v>
      </c>
      <c r="D101" cm="1">
        <f t="array" ref="D101">COUNTA(_xlfn._xlws.FILTER(Final_Merged_Data!$C$2:$C$1000,Final_Merged_Data!$B$2:$B$1000=$A101))</f>
        <v>1</v>
      </c>
      <c r="E101">
        <f>SUMIFS(Final_Merged_Data!$E:$E,Final_Merged_Data!$B:$B,$A101)</f>
        <v>247.03</v>
      </c>
      <c r="F101">
        <f>SUMIFS(Final_Merged_Data!$F:$F,Final_Merged_Data!$B:$B,$A101)</f>
        <v>567621</v>
      </c>
      <c r="G101">
        <f t="shared" si="2"/>
        <v>2297.7816459539326</v>
      </c>
      <c r="H101" cm="1">
        <f t="array" ref="H101">SUMPRODUCT((Final_Merged_Data!$B$2:$B$1000=$A101)*Final_Merged_Data!$H$2:$H$1000*Final_Merged_Data!$F$2:$F$1000)/F101</f>
        <v>4.01</v>
      </c>
      <c r="I101" cm="1">
        <f t="array" ref="I101">SUMPRODUCT((Final_Merged_Data!$B$2:$B$1000=$A101)*Final_Merged_Data!$I$2:$I$1000*Final_Merged_Data!$F$2:$F$1000)/F101</f>
        <v>74.84</v>
      </c>
      <c r="J101" t="str" cm="1">
        <f t="array" ref="J101">_xlfn.TEXTJOIN(", ",TRUE,_xlfn.UNIQUE(_xlfn._xlws.FILTER(Final_Merged_Data!$J$2:$J$1000,Final_Merged_Data!$B$2:$B$1000=$A101)))</f>
        <v>Dhaka Range</v>
      </c>
      <c r="K101" cm="1">
        <f t="array" ref="K101">SUMPRODUCT((Final_Merged_Data!$B$2:$B$1000=$A101)*Final_Merged_Data!$K$2:$K$1000*Final_Merged_Data!$F$2:$F$1000)/F101</f>
        <v>87.055167395391194</v>
      </c>
      <c r="L101" cm="1">
        <f t="array" ref="L101">SUMPRODUCT((Final_Merged_Data!$B$2:$B$1000=$A101)*Final_Merged_Data!$L$2:$L$1000*Final_Merged_Data!$F$2:$F$1000)/F101</f>
        <v>14.083489099923572</v>
      </c>
      <c r="M101" t="str">
        <f>IF(COUNTIF(Master_Data!$C:$C,$A101)&gt;0,"Found","Missing")</f>
        <v>Found</v>
      </c>
      <c r="N101" t="str">
        <f>_xlfn.XLOOKUP($A101,Master_Data!$C:$C,Master_Data!$D:$D,"CHECK",0)</f>
        <v>Nayab Yusuf Ahmed</v>
      </c>
      <c r="O101" t="str">
        <f>_xlfn.XLOOKUP($A101,Master_Data!$C:$C,Master_Data!$E:$E,"CHECK",0)</f>
        <v>BNP</v>
      </c>
      <c r="P101">
        <f>_xlfn.XLOOKUP($A101,Master_Data!$C:$C,Master_Data!$F:$F,"CHECK",0)</f>
        <v>1</v>
      </c>
      <c r="Q101">
        <f>_xlfn.XLOOKUP($A101,Master_Data!$C:$C,Master_Data!$G:$G,"CHECK",0)</f>
        <v>148545</v>
      </c>
      <c r="R101">
        <f>IFERROR(_xlfn.XLOOKUP($A101,Master_Data!$C:$C,Master_Data!$H:$H,"CHECK",0),"")</f>
        <v>54.479938384801585</v>
      </c>
      <c r="S101" t="str">
        <f>_xlfn.XLOOKUP($A101,Master_Data!$C:$C,Master_Data!$I:$I,"CHECK",0)</f>
        <v>Md. Abdul Tawab</v>
      </c>
      <c r="T101">
        <f>_xlfn.XLOOKUP($A101,Master_Data!$C:$C,Master_Data!$K:$K,"CHECK",0)</f>
        <v>124115</v>
      </c>
      <c r="U101">
        <f>IFERROR(_xlfn.XLOOKUP($A101,Master_Data!$C:$C,Master_Data!$L:$L,"CHECK",0),"")</f>
        <v>45.520061615198415</v>
      </c>
      <c r="V101">
        <f>_xlfn.XLOOKUP($A101,Master_Data!$C:$C,Master_Data!$M:$M,"CHECK",0)</f>
        <v>24430</v>
      </c>
      <c r="W101">
        <f>IFERROR(_xlfn.XLOOKUP($A101,Master_Data!$C:$C,Master_Data!$N:$N,"CHECK",0),"")</f>
        <v>8.9598767696031683</v>
      </c>
      <c r="X101" t="str">
        <f>IFERROR(_xlfn.XLOOKUP($A101,Master_Data!$C:$C,Master_Data!$O:$O,"CHECK",0),"No Result")</f>
        <v>Safe Seat</v>
      </c>
      <c r="Y101">
        <f>_xlfn.XLOOKUP($A101,Master_Data!$C:$C,Master_Data!$P:$P,"CHECK",0)</f>
        <v>0</v>
      </c>
      <c r="Z101">
        <f t="shared" si="3"/>
        <v>1</v>
      </c>
      <c r="AA101">
        <f>_xlfn.XLOOKUP(B101,Remittance_Data!A:A,Remittance_Data!B:B,"CHECK")</f>
        <v>72310</v>
      </c>
      <c r="AB101">
        <f>_xlfn.XLOOKUP(B101,Remittance_Data!A:A,Remittance_Data!C:C,"CHECK")</f>
        <v>58209</v>
      </c>
      <c r="AC101">
        <f>_xlfn.XLOOKUP(B101,Remittance_Data!A:A,Remittance_Data!D:D,"CHECK")</f>
        <v>14101</v>
      </c>
    </row>
    <row r="102" spans="1:29">
      <c r="A102" t="str">
        <v>Faridpur-4</v>
      </c>
      <c r="B102" t="str" cm="1">
        <f t="array" ref="B10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Nawabganj","Chapainawabganj"),Final_Merged_Data!$B$2:$B$1000=$A102)))</f>
        <v>Faridpur</v>
      </c>
      <c r="C102" t="str" cm="1">
        <f t="array" ref="C102">_xlfn.TEXTJOIN(", ",TRUE,_xlfn._xlws.FILTER(Final_Merged_Data!$C$2:$C$1000,Final_Merged_Data!$B$2:$B$1000=$A102))</f>
        <v>Bhanga, Char Bhadrasan, Sadarpur</v>
      </c>
      <c r="D102" cm="1">
        <f t="array" ref="D102">COUNTA(_xlfn._xlws.FILTER(Final_Merged_Data!$C$2:$C$1000,Final_Merged_Data!$B$2:$B$1000=$A102))</f>
        <v>3</v>
      </c>
      <c r="E102">
        <f>SUMIFS(Final_Merged_Data!$E:$E,Final_Merged_Data!$B:$B,$A102)</f>
        <v>803.46</v>
      </c>
      <c r="F102">
        <f>SUMIFS(Final_Merged_Data!$F:$F,Final_Merged_Data!$B:$B,$A102)</f>
        <v>566249</v>
      </c>
      <c r="G102">
        <f t="shared" si="2"/>
        <v>704.76314937893608</v>
      </c>
      <c r="H102" cm="1">
        <f t="array" ref="H102">SUMPRODUCT((Final_Merged_Data!$B$2:$B$1000=$A102)*Final_Merged_Data!$H$2:$H$1000*Final_Merged_Data!$F$2:$F$1000)/F102</f>
        <v>3.9898206619349437</v>
      </c>
      <c r="I102" cm="1">
        <f t="array" ref="I102">SUMPRODUCT((Final_Merged_Data!$B$2:$B$1000=$A102)*Final_Merged_Data!$I$2:$I$1000*Final_Merged_Data!$F$2:$F$1000)/F102</f>
        <v>70.997587722009214</v>
      </c>
      <c r="J102" t="str" cm="1">
        <f t="array" ref="J102">_xlfn.TEXTJOIN(", ",TRUE,_xlfn.UNIQUE(_xlfn._xlws.FILTER(Final_Merged_Data!$J$2:$J$1000,Final_Merged_Data!$B$2:$B$1000=$A102)))</f>
        <v>Dhaka Range</v>
      </c>
      <c r="K102" cm="1">
        <f t="array" ref="K102">SUMPRODUCT((Final_Merged_Data!$B$2:$B$1000=$A102)*Final_Merged_Data!$K$2:$K$1000*Final_Merged_Data!$F$2:$F$1000)/F102</f>
        <v>87.055167395391194</v>
      </c>
      <c r="L102" cm="1">
        <f t="array" ref="L102">SUMPRODUCT((Final_Merged_Data!$B$2:$B$1000=$A102)*Final_Merged_Data!$L$2:$L$1000*Final_Merged_Data!$F$2:$F$1000)/F102</f>
        <v>14.083489099923574</v>
      </c>
      <c r="M102" t="str">
        <f>IF(COUNTIF(Master_Data!$C:$C,$A102)&gt;0,"Found","Missing")</f>
        <v>Found</v>
      </c>
      <c r="N102" t="str">
        <f>_xlfn.XLOOKUP($A102,Master_Data!$C:$C,Master_Data!$D:$D,"CHECK",0)</f>
        <v>Md. Shahidul Islam</v>
      </c>
      <c r="O102" t="str">
        <f>_xlfn.XLOOKUP($A102,Master_Data!$C:$C,Master_Data!$E:$E,"CHECK",0)</f>
        <v>BNP</v>
      </c>
      <c r="P102">
        <f>_xlfn.XLOOKUP($A102,Master_Data!$C:$C,Master_Data!$F:$F,"CHECK",0)</f>
        <v>1</v>
      </c>
      <c r="Q102">
        <f>_xlfn.XLOOKUP($A102,Master_Data!$C:$C,Master_Data!$G:$G,"CHECK",0)</f>
        <v>127443</v>
      </c>
      <c r="R102">
        <f>IFERROR(_xlfn.XLOOKUP($A102,Master_Data!$C:$C,Master_Data!$H:$H,"CHECK",0),"")</f>
        <v>62.703200031488628</v>
      </c>
      <c r="S102" t="str">
        <f>_xlfn.XLOOKUP($A102,Master_Data!$C:$C,Master_Data!$I:$I,"CHECK",0)</f>
        <v>Md. Sarwar Hossain</v>
      </c>
      <c r="T102">
        <f>_xlfn.XLOOKUP($A102,Master_Data!$C:$C,Master_Data!$K:$K,"CHECK",0)</f>
        <v>75805</v>
      </c>
      <c r="U102">
        <f>IFERROR(_xlfn.XLOOKUP($A102,Master_Data!$C:$C,Master_Data!$L:$L,"CHECK",0),"")</f>
        <v>37.296799968511372</v>
      </c>
      <c r="V102">
        <f>_xlfn.XLOOKUP($A102,Master_Data!$C:$C,Master_Data!$M:$M,"CHECK",0)</f>
        <v>51638</v>
      </c>
      <c r="W102">
        <f>IFERROR(_xlfn.XLOOKUP($A102,Master_Data!$C:$C,Master_Data!$N:$N,"CHECK",0),"")</f>
        <v>25.406400062977248</v>
      </c>
      <c r="X102" t="str">
        <f>IFERROR(_xlfn.XLOOKUP($A102,Master_Data!$C:$C,Master_Data!$O:$O,"CHECK",0),"No Result")</f>
        <v>Safe Seat</v>
      </c>
      <c r="Y102">
        <f>_xlfn.XLOOKUP($A102,Master_Data!$C:$C,Master_Data!$P:$P,"CHECK",0)</f>
        <v>0</v>
      </c>
      <c r="Z102">
        <f t="shared" si="3"/>
        <v>1</v>
      </c>
      <c r="AA102">
        <f>_xlfn.XLOOKUP(B102,Remittance_Data!A:A,Remittance_Data!B:B,"CHECK")</f>
        <v>72310</v>
      </c>
      <c r="AB102">
        <f>_xlfn.XLOOKUP(B102,Remittance_Data!A:A,Remittance_Data!C:C,"CHECK")</f>
        <v>58209</v>
      </c>
      <c r="AC102">
        <f>_xlfn.XLOOKUP(B102,Remittance_Data!A:A,Remittance_Data!D:D,"CHECK")</f>
        <v>14101</v>
      </c>
    </row>
    <row r="103" spans="1:29">
      <c r="A103" t="str">
        <v>Feni-1</v>
      </c>
      <c r="B103" t="str" cm="1">
        <f t="array" ref="B10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Nawabganj","Chapainawabganj"),Final_Merged_Data!$B$2:$B$1000=$A103)))</f>
        <v>Feni</v>
      </c>
      <c r="C103" t="str" cm="1">
        <f t="array" ref="C103">_xlfn.TEXTJOIN(", ",TRUE,_xlfn._xlws.FILTER(Final_Merged_Data!$C$2:$C$1000,Final_Merged_Data!$B$2:$B$1000=$A103))</f>
        <v>Chhagalnaiya, Parshuram</v>
      </c>
      <c r="D103" cm="1">
        <f t="array" ref="D103">COUNTA(_xlfn._xlws.FILTER(Final_Merged_Data!$C$2:$C$1000,Final_Merged_Data!$B$2:$B$1000=$A103))</f>
        <v>2</v>
      </c>
      <c r="E103">
        <f>SUMIFS(Final_Merged_Data!$E:$E,Final_Merged_Data!$B:$B,$A103)</f>
        <v>287.82000000000005</v>
      </c>
      <c r="F103">
        <f>SUMIFS(Final_Merged_Data!$F:$F,Final_Merged_Data!$B:$B,$A103)</f>
        <v>321535</v>
      </c>
      <c r="G103">
        <f t="shared" si="2"/>
        <v>1117.1391842123548</v>
      </c>
      <c r="H103" cm="1">
        <f t="array" ref="H103">SUMPRODUCT((Final_Merged_Data!$B$2:$B$1000=$A103)*Final_Merged_Data!$H$2:$H$1000*Final_Merged_Data!$F$2:$F$1000)/F103</f>
        <v>4.2517168581958416</v>
      </c>
      <c r="I103" cm="1">
        <f t="array" ref="I103">SUMPRODUCT((Final_Merged_Data!$B$2:$B$1000=$A103)*Final_Merged_Data!$I$2:$I$1000*Final_Merged_Data!$F$2:$F$1000)/F103</f>
        <v>80.809548447291903</v>
      </c>
      <c r="J103" t="str" cm="1">
        <f t="array" ref="J103">_xlfn.TEXTJOIN(", ",TRUE,_xlfn.UNIQUE(_xlfn._xlws.FILTER(Final_Merged_Data!$J$2:$J$1000,Final_Merged_Data!$B$2:$B$1000=$A103)))</f>
        <v>Chittagong Range</v>
      </c>
      <c r="K103" cm="1">
        <f t="array" ref="K103">SUMPRODUCT((Final_Merged_Data!$B$2:$B$1000=$A103)*Final_Merged_Data!$K$2:$K$1000*Final_Merged_Data!$F$2:$F$1000)/F103</f>
        <v>84.879645400600893</v>
      </c>
      <c r="L103" cm="1">
        <f t="array" ref="L103">SUMPRODUCT((Final_Merged_Data!$B$2:$B$1000=$A103)*Final_Merged_Data!$L$2:$L$1000*Final_Merged_Data!$F$2:$F$1000)/F103</f>
        <v>10.309673910686193</v>
      </c>
      <c r="M103" t="str">
        <f>IF(COUNTIF(Master_Data!$C:$C,$A103)&gt;0,"Found","Missing")</f>
        <v>Found</v>
      </c>
      <c r="N103" t="str">
        <f>_xlfn.XLOOKUP($A103,Master_Data!$C:$C,Master_Data!$D:$D,"CHECK",0)</f>
        <v>Rafiqul Alam Majnu</v>
      </c>
      <c r="O103" t="str">
        <f>_xlfn.XLOOKUP($A103,Master_Data!$C:$C,Master_Data!$E:$E,"CHECK",0)</f>
        <v>BNP</v>
      </c>
      <c r="P103">
        <f>_xlfn.XLOOKUP($A103,Master_Data!$C:$C,Master_Data!$F:$F,"CHECK",0)</f>
        <v>1</v>
      </c>
      <c r="Q103">
        <f>_xlfn.XLOOKUP($A103,Master_Data!$C:$C,Master_Data!$G:$G,"CHECK",0)</f>
        <v>119904</v>
      </c>
      <c r="R103">
        <f>IFERROR(_xlfn.XLOOKUP($A103,Master_Data!$C:$C,Master_Data!$H:$H,"CHECK",0),"")</f>
        <v>58.342051099898306</v>
      </c>
      <c r="S103" t="str">
        <f>_xlfn.XLOOKUP($A103,Master_Data!$C:$C,Master_Data!$I:$I,"CHECK",0)</f>
        <v>SM Kamaluddin</v>
      </c>
      <c r="T103">
        <f>_xlfn.XLOOKUP($A103,Master_Data!$C:$C,Master_Data!$K:$K,"CHECK",0)</f>
        <v>85615</v>
      </c>
      <c r="U103">
        <f>IFERROR(_xlfn.XLOOKUP($A103,Master_Data!$C:$C,Master_Data!$L:$L,"CHECK",0),"")</f>
        <v>41.657948900101694</v>
      </c>
      <c r="V103">
        <f>_xlfn.XLOOKUP($A103,Master_Data!$C:$C,Master_Data!$M:$M,"CHECK",0)</f>
        <v>34289</v>
      </c>
      <c r="W103">
        <f>IFERROR(_xlfn.XLOOKUP($A103,Master_Data!$C:$C,Master_Data!$N:$N,"CHECK",0),"")</f>
        <v>16.684102199796612</v>
      </c>
      <c r="X103" t="str">
        <f>IFERROR(_xlfn.XLOOKUP($A103,Master_Data!$C:$C,Master_Data!$O:$O,"CHECK",0),"No Result")</f>
        <v>Safe Seat</v>
      </c>
      <c r="Y103">
        <f>_xlfn.XLOOKUP($A103,Master_Data!$C:$C,Master_Data!$P:$P,"CHECK",0)</f>
        <v>0</v>
      </c>
      <c r="Z103">
        <f t="shared" si="3"/>
        <v>1</v>
      </c>
      <c r="AA103">
        <f>_xlfn.XLOOKUP(B103,Remittance_Data!A:A,Remittance_Data!B:B,"CHECK")</f>
        <v>125270</v>
      </c>
      <c r="AB103">
        <f>_xlfn.XLOOKUP(B103,Remittance_Data!A:A,Remittance_Data!C:C,"CHECK")</f>
        <v>96221</v>
      </c>
      <c r="AC103">
        <f>_xlfn.XLOOKUP(B103,Remittance_Data!A:A,Remittance_Data!D:D,"CHECK")</f>
        <v>29049</v>
      </c>
    </row>
    <row r="104" spans="1:29">
      <c r="A104" t="str">
        <v>Feni-2</v>
      </c>
      <c r="B104" t="str" cm="1">
        <f t="array" ref="B10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Nawabganj","Chapainawabganj"),Final_Merged_Data!$B$2:$B$1000=$A104)))</f>
        <v>Feni</v>
      </c>
      <c r="C104" t="str" cm="1">
        <f t="array" ref="C104">_xlfn.TEXTJOIN(", ",TRUE,_xlfn._xlws.FILTER(Final_Merged_Data!$C$2:$C$1000,Final_Merged_Data!$B$2:$B$1000=$A104))</f>
        <v>Feni Sadar</v>
      </c>
      <c r="D104" cm="1">
        <f t="array" ref="D104">COUNTA(_xlfn._xlws.FILTER(Final_Merged_Data!$C$2:$C$1000,Final_Merged_Data!$B$2:$B$1000=$A104))</f>
        <v>1</v>
      </c>
      <c r="E104">
        <f>SUMIFS(Final_Merged_Data!$E:$E,Final_Merged_Data!$B:$B,$A104)</f>
        <v>421.92</v>
      </c>
      <c r="F104">
        <f>SUMIFS(Final_Merged_Data!$F:$F,Final_Merged_Data!$B:$B,$A104)</f>
        <v>634303</v>
      </c>
      <c r="G104">
        <f t="shared" si="2"/>
        <v>1503.3726772847933</v>
      </c>
      <c r="H104" cm="1">
        <f t="array" ref="H104">SUMPRODUCT((Final_Merged_Data!$B$2:$B$1000=$A104)*Final_Merged_Data!$H$2:$H$1000*Final_Merged_Data!$F$2:$F$1000)/F104</f>
        <v>4.2699999999999996</v>
      </c>
      <c r="I104" cm="1">
        <f t="array" ref="I104">SUMPRODUCT((Final_Merged_Data!$B$2:$B$1000=$A104)*Final_Merged_Data!$I$2:$I$1000*Final_Merged_Data!$F$2:$F$1000)/F104</f>
        <v>83.17</v>
      </c>
      <c r="J104" t="str" cm="1">
        <f t="array" ref="J104">_xlfn.TEXTJOIN(", ",TRUE,_xlfn.UNIQUE(_xlfn._xlws.FILTER(Final_Merged_Data!$J$2:$J$1000,Final_Merged_Data!$B$2:$B$1000=$A104)))</f>
        <v>Chittagong Range</v>
      </c>
      <c r="K104" cm="1">
        <f t="array" ref="K104">SUMPRODUCT((Final_Merged_Data!$B$2:$B$1000=$A104)*Final_Merged_Data!$K$2:$K$1000*Final_Merged_Data!$F$2:$F$1000)/F104</f>
        <v>84.879645400600893</v>
      </c>
      <c r="L104" cm="1">
        <f t="array" ref="L104">SUMPRODUCT((Final_Merged_Data!$B$2:$B$1000=$A104)*Final_Merged_Data!$L$2:$L$1000*Final_Merged_Data!$F$2:$F$1000)/F104</f>
        <v>10.309673910686193</v>
      </c>
      <c r="M104" t="str">
        <f>IF(COUNTIF(Master_Data!$C:$C,$A104)&gt;0,"Found","Missing")</f>
        <v>Found</v>
      </c>
      <c r="N104" t="str">
        <f>_xlfn.XLOOKUP($A104,Master_Data!$C:$C,Master_Data!$D:$D,"CHECK",0)</f>
        <v>Joynal Abedin</v>
      </c>
      <c r="O104" t="str">
        <f>_xlfn.XLOOKUP($A104,Master_Data!$C:$C,Master_Data!$E:$E,"CHECK",0)</f>
        <v>BNP</v>
      </c>
      <c r="P104">
        <f>_xlfn.XLOOKUP($A104,Master_Data!$C:$C,Master_Data!$F:$F,"CHECK",0)</f>
        <v>1</v>
      </c>
      <c r="Q104">
        <f>_xlfn.XLOOKUP($A104,Master_Data!$C:$C,Master_Data!$G:$G,"CHECK",0)</f>
        <v>131210</v>
      </c>
      <c r="R104">
        <f>IFERROR(_xlfn.XLOOKUP($A104,Master_Data!$C:$C,Master_Data!$H:$H,"CHECK",0),"")</f>
        <v>62.105950735558622</v>
      </c>
      <c r="S104" t="str">
        <f>_xlfn.XLOOKUP($A104,Master_Data!$C:$C,Master_Data!$I:$I,"CHECK",0)</f>
        <v>Mojibur Rahman Bhuiyan Monju</v>
      </c>
      <c r="T104">
        <f>_xlfn.XLOOKUP($A104,Master_Data!$C:$C,Master_Data!$K:$K,"CHECK",0)</f>
        <v>80058</v>
      </c>
      <c r="U104">
        <f>IFERROR(_xlfn.XLOOKUP($A104,Master_Data!$C:$C,Master_Data!$L:$L,"CHECK",0),"")</f>
        <v>37.894049264441371</v>
      </c>
      <c r="V104">
        <f>_xlfn.XLOOKUP($A104,Master_Data!$C:$C,Master_Data!$M:$M,"CHECK",0)</f>
        <v>51152</v>
      </c>
      <c r="W104">
        <f>IFERROR(_xlfn.XLOOKUP($A104,Master_Data!$C:$C,Master_Data!$N:$N,"CHECK",0),"")</f>
        <v>24.211901471117255</v>
      </c>
      <c r="X104" t="str">
        <f>IFERROR(_xlfn.XLOOKUP($A104,Master_Data!$C:$C,Master_Data!$O:$O,"CHECK",0),"No Result")</f>
        <v>Safe Seat</v>
      </c>
      <c r="Y104">
        <f>_xlfn.XLOOKUP($A104,Master_Data!$C:$C,Master_Data!$P:$P,"CHECK",0)</f>
        <v>0</v>
      </c>
      <c r="Z104">
        <f t="shared" si="3"/>
        <v>1</v>
      </c>
      <c r="AA104">
        <f>_xlfn.XLOOKUP(B104,Remittance_Data!A:A,Remittance_Data!B:B,"CHECK")</f>
        <v>125270</v>
      </c>
      <c r="AB104">
        <f>_xlfn.XLOOKUP(B104,Remittance_Data!A:A,Remittance_Data!C:C,"CHECK")</f>
        <v>96221</v>
      </c>
      <c r="AC104">
        <f>_xlfn.XLOOKUP(B104,Remittance_Data!A:A,Remittance_Data!D:D,"CHECK")</f>
        <v>29049</v>
      </c>
    </row>
    <row r="105" spans="1:29">
      <c r="A105" t="str">
        <v>Feni-3</v>
      </c>
      <c r="B105" t="str" cm="1">
        <f t="array" ref="B10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Nawabganj","Chapainawabganj"),Final_Merged_Data!$B$2:$B$1000=$A105)))</f>
        <v>Feni</v>
      </c>
      <c r="C105" t="str" cm="1">
        <f t="array" ref="C105">_xlfn.TEXTJOIN(", ",TRUE,_xlfn._xlws.FILTER(Final_Merged_Data!$C$2:$C$1000,Final_Merged_Data!$B$2:$B$1000=$A105))</f>
        <v>Sonagazi, Daganbhuiyan</v>
      </c>
      <c r="D105" cm="1">
        <f t="array" ref="D105">COUNTA(_xlfn._xlws.FILTER(Final_Merged_Data!$C$2:$C$1000,Final_Merged_Data!$B$2:$B$1000=$A105))</f>
        <v>2</v>
      </c>
      <c r="E105">
        <f>SUMIFS(Final_Merged_Data!$E:$E,Final_Merged_Data!$B:$B,$A105)</f>
        <v>404.33000000000004</v>
      </c>
      <c r="F105">
        <f>SUMIFS(Final_Merged_Data!$F:$F,Final_Merged_Data!$B:$B,$A105)</f>
        <v>567570</v>
      </c>
      <c r="G105">
        <f t="shared" si="2"/>
        <v>1403.7296267899981</v>
      </c>
      <c r="H105" cm="1">
        <f t="array" ref="H105">SUMPRODUCT((Final_Merged_Data!$B$2:$B$1000=$A105)*Final_Merged_Data!$H$2:$H$1000*Final_Merged_Data!$F$2:$F$1000)/F105</f>
        <v>4.3434243881811936</v>
      </c>
      <c r="I105" cm="1">
        <f t="array" ref="I105">SUMPRODUCT((Final_Merged_Data!$B$2:$B$1000=$A105)*Final_Merged_Data!$I$2:$I$1000*Final_Merged_Data!$F$2:$F$1000)/F105</f>
        <v>77.918368412706798</v>
      </c>
      <c r="J105" t="str" cm="1">
        <f t="array" ref="J105">_xlfn.TEXTJOIN(", ",TRUE,_xlfn.UNIQUE(_xlfn._xlws.FILTER(Final_Merged_Data!$J$2:$J$1000,Final_Merged_Data!$B$2:$B$1000=$A105)))</f>
        <v>Chittagong Range</v>
      </c>
      <c r="K105" cm="1">
        <f t="array" ref="K105">SUMPRODUCT((Final_Merged_Data!$B$2:$B$1000=$A105)*Final_Merged_Data!$K$2:$K$1000*Final_Merged_Data!$F$2:$F$1000)/F105</f>
        <v>84.879645400600893</v>
      </c>
      <c r="L105" cm="1">
        <f t="array" ref="L105">SUMPRODUCT((Final_Merged_Data!$B$2:$B$1000=$A105)*Final_Merged_Data!$L$2:$L$1000*Final_Merged_Data!$F$2:$F$1000)/F105</f>
        <v>10.309673910686193</v>
      </c>
      <c r="M105" t="str">
        <f>IF(COUNTIF(Master_Data!$C:$C,$A105)&gt;0,"Found","Missing")</f>
        <v>Found</v>
      </c>
      <c r="N105" t="str">
        <f>_xlfn.XLOOKUP($A105,Master_Data!$C:$C,Master_Data!$D:$D,"CHECK",0)</f>
        <v>Abdul Awal Mintoo</v>
      </c>
      <c r="O105" t="str">
        <f>_xlfn.XLOOKUP($A105,Master_Data!$C:$C,Master_Data!$E:$E,"CHECK",0)</f>
        <v>BNP</v>
      </c>
      <c r="P105">
        <f>_xlfn.XLOOKUP($A105,Master_Data!$C:$C,Master_Data!$F:$F,"CHECK",0)</f>
        <v>1</v>
      </c>
      <c r="Q105">
        <f>_xlfn.XLOOKUP($A105,Master_Data!$C:$C,Master_Data!$G:$G,"CHECK",0)</f>
        <v>157425</v>
      </c>
      <c r="R105">
        <f>IFERROR(_xlfn.XLOOKUP($A105,Master_Data!$C:$C,Master_Data!$H:$H,"CHECK",0),"")</f>
        <v>59.274808441741811</v>
      </c>
      <c r="S105" t="str">
        <f>_xlfn.XLOOKUP($A105,Master_Data!$C:$C,Master_Data!$I:$I,"CHECK",0)</f>
        <v>Mohammad Fakhruddin</v>
      </c>
      <c r="T105">
        <f>_xlfn.XLOOKUP($A105,Master_Data!$C:$C,Master_Data!$K:$K,"CHECK",0)</f>
        <v>108160</v>
      </c>
      <c r="U105">
        <f>IFERROR(_xlfn.XLOOKUP($A105,Master_Data!$C:$C,Master_Data!$L:$L,"CHECK",0),"")</f>
        <v>40.725191558258182</v>
      </c>
      <c r="V105">
        <f>_xlfn.XLOOKUP($A105,Master_Data!$C:$C,Master_Data!$M:$M,"CHECK",0)</f>
        <v>49265</v>
      </c>
      <c r="W105">
        <f>IFERROR(_xlfn.XLOOKUP($A105,Master_Data!$C:$C,Master_Data!$N:$N,"CHECK",0),"")</f>
        <v>18.54961688348363</v>
      </c>
      <c r="X105" t="str">
        <f>IFERROR(_xlfn.XLOOKUP($A105,Master_Data!$C:$C,Master_Data!$O:$O,"CHECK",0),"No Result")</f>
        <v>Safe Seat</v>
      </c>
      <c r="Y105">
        <f>_xlfn.XLOOKUP($A105,Master_Data!$C:$C,Master_Data!$P:$P,"CHECK",0)</f>
        <v>0</v>
      </c>
      <c r="Z105">
        <f t="shared" si="3"/>
        <v>1</v>
      </c>
      <c r="AA105">
        <f>_xlfn.XLOOKUP(B105,Remittance_Data!A:A,Remittance_Data!B:B,"CHECK")</f>
        <v>125270</v>
      </c>
      <c r="AB105">
        <f>_xlfn.XLOOKUP(B105,Remittance_Data!A:A,Remittance_Data!C:C,"CHECK")</f>
        <v>96221</v>
      </c>
      <c r="AC105">
        <f>_xlfn.XLOOKUP(B105,Remittance_Data!A:A,Remittance_Data!D:D,"CHECK")</f>
        <v>29049</v>
      </c>
    </row>
    <row r="106" spans="1:29">
      <c r="A106" t="str">
        <v>Gaibandha-1</v>
      </c>
      <c r="B106" t="str" cm="1">
        <f t="array" ref="B10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Nawabganj","Chapainawabganj"),Final_Merged_Data!$B$2:$B$1000=$A106)))</f>
        <v>Gaibandha</v>
      </c>
      <c r="C106" t="str" cm="1">
        <f t="array" ref="C106">_xlfn.TEXTJOIN(", ",TRUE,_xlfn._xlws.FILTER(Final_Merged_Data!$C$2:$C$1000,Final_Merged_Data!$B$2:$B$1000=$A106))</f>
        <v>Sundarganj</v>
      </c>
      <c r="D106" cm="1">
        <f t="array" ref="D106">COUNTA(_xlfn._xlws.FILTER(Final_Merged_Data!$C$2:$C$1000,Final_Merged_Data!$B$2:$B$1000=$A106))</f>
        <v>1</v>
      </c>
      <c r="E106">
        <f>SUMIFS(Final_Merged_Data!$E:$E,Final_Merged_Data!$B:$B,$A106)</f>
        <v>426.52</v>
      </c>
      <c r="F106">
        <f>SUMIFS(Final_Merged_Data!$F:$F,Final_Merged_Data!$B:$B,$A106)</f>
        <v>482515</v>
      </c>
      <c r="G106">
        <f t="shared" si="2"/>
        <v>1131.2834099221609</v>
      </c>
      <c r="H106" cm="1">
        <f t="array" ref="H106">SUMPRODUCT((Final_Merged_Data!$B$2:$B$1000=$A106)*Final_Merged_Data!$H$2:$H$1000*Final_Merged_Data!$F$2:$F$1000)/F106</f>
        <v>3.61</v>
      </c>
      <c r="I106" cm="1">
        <f t="array" ref="I106">SUMPRODUCT((Final_Merged_Data!$B$2:$B$1000=$A106)*Final_Merged_Data!$I$2:$I$1000*Final_Merged_Data!$F$2:$F$1000)/F106</f>
        <v>64.81</v>
      </c>
      <c r="J106" t="str" cm="1">
        <f t="array" ref="J106">_xlfn.TEXTJOIN(", ",TRUE,_xlfn.UNIQUE(_xlfn._xlws.FILTER(Final_Merged_Data!$J$2:$J$1000,Final_Merged_Data!$B$2:$B$1000=$A106)))</f>
        <v>Rangpur Range</v>
      </c>
      <c r="K106" cm="1">
        <f t="array" ref="K106">SUMPRODUCT((Final_Merged_Data!$B$2:$B$1000=$A106)*Final_Merged_Data!$K$2:$K$1000*Final_Merged_Data!$F$2:$F$1000)/F106</f>
        <v>101.90869513385242</v>
      </c>
      <c r="L106" cm="1">
        <f t="array" ref="L106">SUMPRODUCT((Final_Merged_Data!$B$2:$B$1000=$A106)*Final_Merged_Data!$L$2:$L$1000*Final_Merged_Data!$F$2:$F$1000)/F106</f>
        <v>15.175373179583827</v>
      </c>
      <c r="M106" t="str">
        <f>IF(COUNTIF(Master_Data!$C:$C,$A106)&gt;0,"Found","Missing")</f>
        <v>Found</v>
      </c>
      <c r="N106" t="str">
        <f>_xlfn.XLOOKUP($A106,Master_Data!$C:$C,Master_Data!$D:$D,"CHECK",0)</f>
        <v>Md. Majedur Rahman</v>
      </c>
      <c r="O106" t="str">
        <f>_xlfn.XLOOKUP($A106,Master_Data!$C:$C,Master_Data!$E:$E,"CHECK",0)</f>
        <v>Jamaat</v>
      </c>
      <c r="P106">
        <f>_xlfn.XLOOKUP($A106,Master_Data!$C:$C,Master_Data!$F:$F,"CHECK",0)</f>
        <v>2</v>
      </c>
      <c r="Q106">
        <f>_xlfn.XLOOKUP($A106,Master_Data!$C:$C,Master_Data!$G:$G,"CHECK",0)</f>
        <v>140726</v>
      </c>
      <c r="R106">
        <f>IFERROR(_xlfn.XLOOKUP($A106,Master_Data!$C:$C,Master_Data!$H:$H,"CHECK",0),"")</f>
        <v>78.739725720808167</v>
      </c>
      <c r="S106" t="str">
        <f>_xlfn.XLOOKUP($A106,Master_Data!$C:$C,Master_Data!$I:$I,"CHECK",0)</f>
        <v>Khandaker Ziaul Islam</v>
      </c>
      <c r="T106">
        <f>_xlfn.XLOOKUP($A106,Master_Data!$C:$C,Master_Data!$K:$K,"CHECK",0)</f>
        <v>37997</v>
      </c>
      <c r="U106">
        <f>IFERROR(_xlfn.XLOOKUP($A106,Master_Data!$C:$C,Master_Data!$L:$L,"CHECK",0),"")</f>
        <v>21.260274279191822</v>
      </c>
      <c r="V106">
        <f>_xlfn.XLOOKUP($A106,Master_Data!$C:$C,Master_Data!$M:$M,"CHECK",0)</f>
        <v>102729</v>
      </c>
      <c r="W106">
        <f>IFERROR(_xlfn.XLOOKUP($A106,Master_Data!$C:$C,Master_Data!$N:$N,"CHECK",0),"")</f>
        <v>57.479451441616355</v>
      </c>
      <c r="X106" t="str">
        <f>IFERROR(_xlfn.XLOOKUP($A106,Master_Data!$C:$C,Master_Data!$O:$O,"CHECK",0),"No Result")</f>
        <v>Safe Seat</v>
      </c>
      <c r="Y106">
        <f>_xlfn.XLOOKUP($A106,Master_Data!$C:$C,Master_Data!$P:$P,"CHECK",0)</f>
        <v>0</v>
      </c>
      <c r="Z106">
        <f t="shared" si="3"/>
        <v>1</v>
      </c>
      <c r="AA106">
        <f>_xlfn.XLOOKUP(B106,Remittance_Data!A:A,Remittance_Data!B:B,"CHECK")</f>
        <v>13007</v>
      </c>
      <c r="AB106">
        <f>_xlfn.XLOOKUP(B106,Remittance_Data!A:A,Remittance_Data!C:C,"CHECK")</f>
        <v>11426</v>
      </c>
      <c r="AC106">
        <f>_xlfn.XLOOKUP(B106,Remittance_Data!A:A,Remittance_Data!D:D,"CHECK")</f>
        <v>1581</v>
      </c>
    </row>
    <row r="107" spans="1:29">
      <c r="A107" t="str">
        <v>Gaibandha-2</v>
      </c>
      <c r="B107" t="str" cm="1">
        <f t="array" ref="B10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Nawabganj","Chapainawabganj"),Final_Merged_Data!$B$2:$B$1000=$A107)))</f>
        <v>Gaibandha</v>
      </c>
      <c r="C107" t="str" cm="1">
        <f t="array" ref="C107">_xlfn.TEXTJOIN(", ",TRUE,_xlfn._xlws.FILTER(Final_Merged_Data!$C$2:$C$1000,Final_Merged_Data!$B$2:$B$1000=$A107))</f>
        <v>Sadullapur, Palashbari</v>
      </c>
      <c r="D107" cm="1">
        <f t="array" ref="D107">COUNTA(_xlfn._xlws.FILTER(Final_Merged_Data!$C$2:$C$1000,Final_Merged_Data!$B$2:$B$1000=$A107))</f>
        <v>2</v>
      </c>
      <c r="E107">
        <f>SUMIFS(Final_Merged_Data!$E:$E,Final_Merged_Data!$B:$B,$A107)</f>
        <v>670.82999999999993</v>
      </c>
      <c r="F107">
        <f>SUMIFS(Final_Merged_Data!$F:$F,Final_Merged_Data!$B:$B,$A107)</f>
        <v>581050</v>
      </c>
      <c r="G107">
        <f t="shared" si="2"/>
        <v>866.16579461264416</v>
      </c>
      <c r="H107" cm="1">
        <f t="array" ref="H107">SUMPRODUCT((Final_Merged_Data!$B$2:$B$1000=$A107)*Final_Merged_Data!$H$2:$H$1000*Final_Merged_Data!$F$2:$F$1000)/F107</f>
        <v>3.5814233886928832</v>
      </c>
      <c r="I107" cm="1">
        <f t="array" ref="I107">SUMPRODUCT((Final_Merged_Data!$B$2:$B$1000=$A107)*Final_Merged_Data!$I$2:$I$1000*Final_Merged_Data!$F$2:$F$1000)/F107</f>
        <v>68.204753635659586</v>
      </c>
      <c r="J107" t="str" cm="1">
        <f t="array" ref="J107">_xlfn.TEXTJOIN(", ",TRUE,_xlfn.UNIQUE(_xlfn._xlws.FILTER(Final_Merged_Data!$J$2:$J$1000,Final_Merged_Data!$B$2:$B$1000=$A107)))</f>
        <v>Rangpur Range</v>
      </c>
      <c r="K107" cm="1">
        <f t="array" ref="K107">SUMPRODUCT((Final_Merged_Data!$B$2:$B$1000=$A107)*Final_Merged_Data!$K$2:$K$1000*Final_Merged_Data!$F$2:$F$1000)/F107</f>
        <v>101.90869513385242</v>
      </c>
      <c r="L107" cm="1">
        <f t="array" ref="L107">SUMPRODUCT((Final_Merged_Data!$B$2:$B$1000=$A107)*Final_Merged_Data!$L$2:$L$1000*Final_Merged_Data!$F$2:$F$1000)/F107</f>
        <v>15.175373179583827</v>
      </c>
      <c r="M107" t="str">
        <f>IF(COUNTIF(Master_Data!$C:$C,$A107)&gt;0,"Found","Missing")</f>
        <v>Found</v>
      </c>
      <c r="N107" t="str">
        <f>_xlfn.XLOOKUP($A107,Master_Data!$C:$C,Master_Data!$D:$D,"CHECK",0)</f>
        <v>Md. Abdul Karim</v>
      </c>
      <c r="O107" t="str">
        <f>_xlfn.XLOOKUP($A107,Master_Data!$C:$C,Master_Data!$E:$E,"CHECK",0)</f>
        <v>Jamaat</v>
      </c>
      <c r="P107">
        <f>_xlfn.XLOOKUP($A107,Master_Data!$C:$C,Master_Data!$F:$F,"CHECK",0)</f>
        <v>2</v>
      </c>
      <c r="Q107">
        <f>_xlfn.XLOOKUP($A107,Master_Data!$C:$C,Master_Data!$G:$G,"CHECK",0)</f>
        <v>122630</v>
      </c>
      <c r="R107">
        <f>IFERROR(_xlfn.XLOOKUP($A107,Master_Data!$C:$C,Master_Data!$H:$H,"CHECK",0),"")</f>
        <v>56.899591685226426</v>
      </c>
      <c r="S107" t="str">
        <f>_xlfn.XLOOKUP($A107,Master_Data!$C:$C,Master_Data!$I:$I,"CHECK",0)</f>
        <v>Anisuzzaman Khan Babu</v>
      </c>
      <c r="T107">
        <f>_xlfn.XLOOKUP($A107,Master_Data!$C:$C,Master_Data!$K:$K,"CHECK",0)</f>
        <v>92890</v>
      </c>
      <c r="U107">
        <f>IFERROR(_xlfn.XLOOKUP($A107,Master_Data!$C:$C,Master_Data!$L:$L,"CHECK",0),"")</f>
        <v>43.100408314773567</v>
      </c>
      <c r="V107">
        <f>_xlfn.XLOOKUP($A107,Master_Data!$C:$C,Master_Data!$M:$M,"CHECK",0)</f>
        <v>29740</v>
      </c>
      <c r="W107">
        <f>IFERROR(_xlfn.XLOOKUP($A107,Master_Data!$C:$C,Master_Data!$N:$N,"CHECK",0),"")</f>
        <v>13.799183370452859</v>
      </c>
      <c r="X107" t="str">
        <f>IFERROR(_xlfn.XLOOKUP($A107,Master_Data!$C:$C,Master_Data!$O:$O,"CHECK",0),"No Result")</f>
        <v>Safe Seat</v>
      </c>
      <c r="Y107">
        <f>_xlfn.XLOOKUP($A107,Master_Data!$C:$C,Master_Data!$P:$P,"CHECK",0)</f>
        <v>0</v>
      </c>
      <c r="Z107">
        <f t="shared" si="3"/>
        <v>1</v>
      </c>
      <c r="AA107">
        <f>_xlfn.XLOOKUP(B107,Remittance_Data!A:A,Remittance_Data!B:B,"CHECK")</f>
        <v>13007</v>
      </c>
      <c r="AB107">
        <f>_xlfn.XLOOKUP(B107,Remittance_Data!A:A,Remittance_Data!C:C,"CHECK")</f>
        <v>11426</v>
      </c>
      <c r="AC107">
        <f>_xlfn.XLOOKUP(B107,Remittance_Data!A:A,Remittance_Data!D:D,"CHECK")</f>
        <v>1581</v>
      </c>
    </row>
    <row r="108" spans="1:29">
      <c r="A108" t="str">
        <v>Gaibandha-3</v>
      </c>
      <c r="B108" t="str" cm="1">
        <f t="array" ref="B10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Nawabganj","Chapainawabganj"),Final_Merged_Data!$B$2:$B$1000=$A108)))</f>
        <v>Gaibandha</v>
      </c>
      <c r="C108" t="str" cm="1">
        <f t="array" ref="C108">_xlfn.TEXTJOIN(", ",TRUE,_xlfn._xlws.FILTER(Final_Merged_Data!$C$2:$C$1000,Final_Merged_Data!$B$2:$B$1000=$A108))</f>
        <v>Gaibandha Sadar</v>
      </c>
      <c r="D108" cm="1">
        <f t="array" ref="D108">COUNTA(_xlfn._xlws.FILTER(Final_Merged_Data!$C$2:$C$1000,Final_Merged_Data!$B$2:$B$1000=$A108))</f>
        <v>1</v>
      </c>
      <c r="E108">
        <f>SUMIFS(Final_Merged_Data!$E:$E,Final_Merged_Data!$B:$B,$A108)</f>
        <v>354.67</v>
      </c>
      <c r="F108">
        <f>SUMIFS(Final_Merged_Data!$F:$F,Final_Merged_Data!$B:$B,$A108)</f>
        <v>499155</v>
      </c>
      <c r="G108">
        <f t="shared" si="2"/>
        <v>1407.3786900499056</v>
      </c>
      <c r="H108" cm="1">
        <f t="array" ref="H108">SUMPRODUCT((Final_Merged_Data!$B$2:$B$1000=$A108)*Final_Merged_Data!$H$2:$H$1000*Final_Merged_Data!$F$2:$F$1000)/F108</f>
        <v>3.72</v>
      </c>
      <c r="I108" cm="1">
        <f t="array" ref="I108">SUMPRODUCT((Final_Merged_Data!$B$2:$B$1000=$A108)*Final_Merged_Data!$I$2:$I$1000*Final_Merged_Data!$F$2:$F$1000)/F108</f>
        <v>70.3</v>
      </c>
      <c r="J108" t="str" cm="1">
        <f t="array" ref="J108">_xlfn.TEXTJOIN(", ",TRUE,_xlfn.UNIQUE(_xlfn._xlws.FILTER(Final_Merged_Data!$J$2:$J$1000,Final_Merged_Data!$B$2:$B$1000=$A108)))</f>
        <v>Rangpur Range</v>
      </c>
      <c r="K108" cm="1">
        <f t="array" ref="K108">SUMPRODUCT((Final_Merged_Data!$B$2:$B$1000=$A108)*Final_Merged_Data!$K$2:$K$1000*Final_Merged_Data!$F$2:$F$1000)/F108</f>
        <v>101.90869513385242</v>
      </c>
      <c r="L108" cm="1">
        <f t="array" ref="L108">SUMPRODUCT((Final_Merged_Data!$B$2:$B$1000=$A108)*Final_Merged_Data!$L$2:$L$1000*Final_Merged_Data!$F$2:$F$1000)/F108</f>
        <v>15.175373179583827</v>
      </c>
      <c r="M108" t="str">
        <f>IF(COUNTIF(Master_Data!$C:$C,$A108)&gt;0,"Found","Missing")</f>
        <v>Found</v>
      </c>
      <c r="N108" t="str">
        <f>_xlfn.XLOOKUP($A108,Master_Data!$C:$C,Master_Data!$D:$D,"CHECK",0)</f>
        <v>Mohammad Nazrul Islam</v>
      </c>
      <c r="O108" t="str">
        <f>_xlfn.XLOOKUP($A108,Master_Data!$C:$C,Master_Data!$E:$E,"CHECK",0)</f>
        <v>Jamaat</v>
      </c>
      <c r="P108">
        <f>_xlfn.XLOOKUP($A108,Master_Data!$C:$C,Master_Data!$F:$F,"CHECK",0)</f>
        <v>2</v>
      </c>
      <c r="Q108">
        <f>_xlfn.XLOOKUP($A108,Master_Data!$C:$C,Master_Data!$G:$G,"CHECK",0)</f>
        <v>162457</v>
      </c>
      <c r="R108">
        <f>IFERROR(_xlfn.XLOOKUP($A108,Master_Data!$C:$C,Master_Data!$H:$H,"CHECK",0),"")</f>
        <v>53.736591239113395</v>
      </c>
      <c r="S108" t="str">
        <f>_xlfn.XLOOKUP($A108,Master_Data!$C:$C,Master_Data!$I:$I,"CHECK",0)</f>
        <v>Syed Mainul Hasan Sadiq</v>
      </c>
      <c r="T108">
        <f>_xlfn.XLOOKUP($A108,Master_Data!$C:$C,Master_Data!$K:$K,"CHECK",0)</f>
        <v>139864</v>
      </c>
      <c r="U108">
        <f>IFERROR(_xlfn.XLOOKUP($A108,Master_Data!$C:$C,Master_Data!$L:$L,"CHECK",0),"")</f>
        <v>46.263408760886612</v>
      </c>
      <c r="V108">
        <f>_xlfn.XLOOKUP($A108,Master_Data!$C:$C,Master_Data!$M:$M,"CHECK",0)</f>
        <v>22593</v>
      </c>
      <c r="W108">
        <f>IFERROR(_xlfn.XLOOKUP($A108,Master_Data!$C:$C,Master_Data!$N:$N,"CHECK",0),"")</f>
        <v>7.4731824782267848</v>
      </c>
      <c r="X108" t="str">
        <f>IFERROR(_xlfn.XLOOKUP($A108,Master_Data!$C:$C,Master_Data!$O:$O,"CHECK",0),"No Result")</f>
        <v>Safe Seat</v>
      </c>
      <c r="Y108">
        <f>_xlfn.XLOOKUP($A108,Master_Data!$C:$C,Master_Data!$P:$P,"CHECK",0)</f>
        <v>0</v>
      </c>
      <c r="Z108">
        <f t="shared" si="3"/>
        <v>1</v>
      </c>
      <c r="AA108">
        <f>_xlfn.XLOOKUP(B108,Remittance_Data!A:A,Remittance_Data!B:B,"CHECK")</f>
        <v>13007</v>
      </c>
      <c r="AB108">
        <f>_xlfn.XLOOKUP(B108,Remittance_Data!A:A,Remittance_Data!C:C,"CHECK")</f>
        <v>11426</v>
      </c>
      <c r="AC108">
        <f>_xlfn.XLOOKUP(B108,Remittance_Data!A:A,Remittance_Data!D:D,"CHECK")</f>
        <v>1581</v>
      </c>
    </row>
    <row r="109" spans="1:29">
      <c r="A109" t="str">
        <v>Gaibandha-4</v>
      </c>
      <c r="B109" t="str" cm="1">
        <f t="array" ref="B10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Nawabganj","Chapainawabganj"),Final_Merged_Data!$B$2:$B$1000=$A109)))</f>
        <v>Gaibandha</v>
      </c>
      <c r="C109" t="str" cm="1">
        <f t="array" ref="C109">_xlfn.TEXTJOIN(", ",TRUE,_xlfn._xlws.FILTER(Final_Merged_Data!$C$2:$C$1000,Final_Merged_Data!$B$2:$B$1000=$A109))</f>
        <v>Gobindaganj</v>
      </c>
      <c r="D109" cm="1">
        <f t="array" ref="D109">COUNTA(_xlfn._xlws.FILTER(Final_Merged_Data!$C$2:$C$1000,Final_Merged_Data!$B$2:$B$1000=$A109))</f>
        <v>1</v>
      </c>
      <c r="E109">
        <f>SUMIFS(Final_Merged_Data!$E:$E,Final_Merged_Data!$B:$B,$A109)</f>
        <v>481.98</v>
      </c>
      <c r="F109">
        <f>SUMIFS(Final_Merged_Data!$F:$F,Final_Merged_Data!$B:$B,$A109)</f>
        <v>543101</v>
      </c>
      <c r="G109">
        <f t="shared" si="2"/>
        <v>1126.8123158637288</v>
      </c>
      <c r="H109" cm="1">
        <f t="array" ref="H109">SUMPRODUCT((Final_Merged_Data!$B$2:$B$1000=$A109)*Final_Merged_Data!$H$2:$H$1000*Final_Merged_Data!$F$2:$F$1000)/F109</f>
        <v>3.6</v>
      </c>
      <c r="I109" cm="1">
        <f t="array" ref="I109">SUMPRODUCT((Final_Merged_Data!$B$2:$B$1000=$A109)*Final_Merged_Data!$I$2:$I$1000*Final_Merged_Data!$F$2:$F$1000)/F109</f>
        <v>67.239999999999995</v>
      </c>
      <c r="J109" t="str" cm="1">
        <f t="array" ref="J109">_xlfn.TEXTJOIN(", ",TRUE,_xlfn.UNIQUE(_xlfn._xlws.FILTER(Final_Merged_Data!$J$2:$J$1000,Final_Merged_Data!$B$2:$B$1000=$A109)))</f>
        <v>Rangpur Range</v>
      </c>
      <c r="K109" cm="1">
        <f t="array" ref="K109">SUMPRODUCT((Final_Merged_Data!$B$2:$B$1000=$A109)*Final_Merged_Data!$K$2:$K$1000*Final_Merged_Data!$F$2:$F$1000)/F109</f>
        <v>101.90869513385242</v>
      </c>
      <c r="L109" cm="1">
        <f t="array" ref="L109">SUMPRODUCT((Final_Merged_Data!$B$2:$B$1000=$A109)*Final_Merged_Data!$L$2:$L$1000*Final_Merged_Data!$F$2:$F$1000)/F109</f>
        <v>15.175373179583827</v>
      </c>
      <c r="M109" t="str">
        <f>IF(COUNTIF(Master_Data!$C:$C,$A109)&gt;0,"Found","Missing")</f>
        <v>Found</v>
      </c>
      <c r="N109" t="str">
        <f>_xlfn.XLOOKUP($A109,Master_Data!$C:$C,Master_Data!$D:$D,"CHECK",0)</f>
        <v>Shamim Kaisar Lincoln</v>
      </c>
      <c r="O109" t="str">
        <f>_xlfn.XLOOKUP($A109,Master_Data!$C:$C,Master_Data!$E:$E,"CHECK",0)</f>
        <v>BNP</v>
      </c>
      <c r="P109">
        <f>_xlfn.XLOOKUP($A109,Master_Data!$C:$C,Master_Data!$F:$F,"CHECK",0)</f>
        <v>1</v>
      </c>
      <c r="Q109">
        <f>_xlfn.XLOOKUP($A109,Master_Data!$C:$C,Master_Data!$G:$G,"CHECK",0)</f>
        <v>142772</v>
      </c>
      <c r="R109">
        <f>IFERROR(_xlfn.XLOOKUP($A109,Master_Data!$C:$C,Master_Data!$H:$H,"CHECK",0),"")</f>
        <v>50.536972142579032</v>
      </c>
      <c r="S109" t="str">
        <f>_xlfn.XLOOKUP($A109,Master_Data!$C:$C,Master_Data!$I:$I,"CHECK",0)</f>
        <v>Md. Abdur Rahim Sarkar</v>
      </c>
      <c r="T109">
        <f>_xlfn.XLOOKUP($A109,Master_Data!$C:$C,Master_Data!$K:$K,"CHECK",0)</f>
        <v>139738</v>
      </c>
      <c r="U109">
        <f>IFERROR(_xlfn.XLOOKUP($A109,Master_Data!$C:$C,Master_Data!$L:$L,"CHECK",0),"")</f>
        <v>49.463027857420975</v>
      </c>
      <c r="V109">
        <f>_xlfn.XLOOKUP($A109,Master_Data!$C:$C,Master_Data!$M:$M,"CHECK",0)</f>
        <v>3034</v>
      </c>
      <c r="W109">
        <f>IFERROR(_xlfn.XLOOKUP($A109,Master_Data!$C:$C,Master_Data!$N:$N,"CHECK",0),"")</f>
        <v>1.0739442851580474</v>
      </c>
      <c r="X109" t="str">
        <f>IFERROR(_xlfn.XLOOKUP($A109,Master_Data!$C:$C,Master_Data!$O:$O,"CHECK",0),"No Result")</f>
        <v>Highly Competitive</v>
      </c>
      <c r="Y109">
        <f>_xlfn.XLOOKUP($A109,Master_Data!$C:$C,Master_Data!$P:$P,"CHECK",0)</f>
        <v>0</v>
      </c>
      <c r="Z109">
        <f t="shared" si="3"/>
        <v>1</v>
      </c>
      <c r="AA109">
        <f>_xlfn.XLOOKUP(B109,Remittance_Data!A:A,Remittance_Data!B:B,"CHECK")</f>
        <v>13007</v>
      </c>
      <c r="AB109">
        <f>_xlfn.XLOOKUP(B109,Remittance_Data!A:A,Remittance_Data!C:C,"CHECK")</f>
        <v>11426</v>
      </c>
      <c r="AC109">
        <f>_xlfn.XLOOKUP(B109,Remittance_Data!A:A,Remittance_Data!D:D,"CHECK")</f>
        <v>1581</v>
      </c>
    </row>
    <row r="110" spans="1:29">
      <c r="A110" t="str">
        <v>Gaibandha-5</v>
      </c>
      <c r="B110" t="str" cm="1">
        <f t="array" ref="B1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Nawabganj","Chapainawabganj"),Final_Merged_Data!$B$2:$B$1000=$A110)))</f>
        <v>Gaibandha</v>
      </c>
      <c r="C110" t="str" cm="1">
        <f t="array" ref="C110">_xlfn.TEXTJOIN(", ",TRUE,_xlfn._xlws.FILTER(Final_Merged_Data!$C$2:$C$1000,Final_Merged_Data!$B$2:$B$1000=$A110))</f>
        <v>Saghata, Fulchhari</v>
      </c>
      <c r="D110" cm="1">
        <f t="array" ref="D110">COUNTA(_xlfn._xlws.FILTER(Final_Merged_Data!$C$2:$C$1000,Final_Merged_Data!$B$2:$B$1000=$A110))</f>
        <v>2</v>
      </c>
      <c r="E110">
        <f>SUMIFS(Final_Merged_Data!$E:$E,Final_Merged_Data!$B:$B,$A110)</f>
        <v>379.27</v>
      </c>
      <c r="F110">
        <f>SUMIFS(Final_Merged_Data!$F:$F,Final_Merged_Data!$B:$B,$A110)</f>
        <v>456259</v>
      </c>
      <c r="G110">
        <f t="shared" si="2"/>
        <v>1202.992591030137</v>
      </c>
      <c r="H110" cm="1">
        <f t="array" ref="H110">SUMPRODUCT((Final_Merged_Data!$B$2:$B$1000=$A110)*Final_Merged_Data!$H$2:$H$1000*Final_Merged_Data!$F$2:$F$1000)/F110</f>
        <v>3.6365279369831609</v>
      </c>
      <c r="I110" cm="1">
        <f t="array" ref="I110">SUMPRODUCT((Final_Merged_Data!$B$2:$B$1000=$A110)*Final_Merged_Data!$I$2:$I$1000*Final_Merged_Data!$F$2:$F$1000)/F110</f>
        <v>63.855448637725502</v>
      </c>
      <c r="J110" t="str" cm="1">
        <f t="array" ref="J110">_xlfn.TEXTJOIN(", ",TRUE,_xlfn.UNIQUE(_xlfn._xlws.FILTER(Final_Merged_Data!$J$2:$J$1000,Final_Merged_Data!$B$2:$B$1000=$A110)))</f>
        <v>Rangpur Range</v>
      </c>
      <c r="K110" cm="1">
        <f t="array" ref="K110">SUMPRODUCT((Final_Merged_Data!$B$2:$B$1000=$A110)*Final_Merged_Data!$K$2:$K$1000*Final_Merged_Data!$F$2:$F$1000)/F110</f>
        <v>101.90869513385242</v>
      </c>
      <c r="L110" cm="1">
        <f t="array" ref="L110">SUMPRODUCT((Final_Merged_Data!$B$2:$B$1000=$A110)*Final_Merged_Data!$L$2:$L$1000*Final_Merged_Data!$F$2:$F$1000)/F110</f>
        <v>15.175373179583827</v>
      </c>
      <c r="M110" t="str">
        <f>IF(COUNTIF(Master_Data!$C:$C,$A110)&gt;0,"Found","Missing")</f>
        <v>Found</v>
      </c>
      <c r="N110" t="str">
        <f>_xlfn.XLOOKUP($A110,Master_Data!$C:$C,Master_Data!$D:$D,"CHECK",0)</f>
        <v>Md. Abdul Warres</v>
      </c>
      <c r="O110" t="str">
        <f>_xlfn.XLOOKUP($A110,Master_Data!$C:$C,Master_Data!$E:$E,"CHECK",0)</f>
        <v>Jamaat</v>
      </c>
      <c r="P110">
        <f>_xlfn.XLOOKUP($A110,Master_Data!$C:$C,Master_Data!$F:$F,"CHECK",0)</f>
        <v>2</v>
      </c>
      <c r="Q110">
        <f>_xlfn.XLOOKUP($A110,Master_Data!$C:$C,Master_Data!$G:$G,"CHECK",0)</f>
        <v>89274</v>
      </c>
      <c r="R110">
        <f>IFERROR(_xlfn.XLOOKUP($A110,Master_Data!$C:$C,Master_Data!$H:$H,"CHECK",0),"")</f>
        <v>54.851097034228943</v>
      </c>
      <c r="S110" t="str">
        <f>_xlfn.XLOOKUP($A110,Master_Data!$C:$C,Master_Data!$I:$I,"CHECK",0)</f>
        <v>Md. Farooq Alam Sarkar</v>
      </c>
      <c r="T110">
        <f>_xlfn.XLOOKUP($A110,Master_Data!$C:$C,Master_Data!$K:$K,"CHECK",0)</f>
        <v>73483</v>
      </c>
      <c r="U110">
        <f>IFERROR(_xlfn.XLOOKUP($A110,Master_Data!$C:$C,Master_Data!$L:$L,"CHECK",0),"")</f>
        <v>45.148902965771057</v>
      </c>
      <c r="V110">
        <f>_xlfn.XLOOKUP($A110,Master_Data!$C:$C,Master_Data!$M:$M,"CHECK",0)</f>
        <v>15791</v>
      </c>
      <c r="W110">
        <f>IFERROR(_xlfn.XLOOKUP($A110,Master_Data!$C:$C,Master_Data!$N:$N,"CHECK",0),"")</f>
        <v>9.7021940684578851</v>
      </c>
      <c r="X110" t="str">
        <f>IFERROR(_xlfn.XLOOKUP($A110,Master_Data!$C:$C,Master_Data!$O:$O,"CHECK",0),"No Result")</f>
        <v>Safe Seat</v>
      </c>
      <c r="Y110">
        <f>_xlfn.XLOOKUP($A110,Master_Data!$C:$C,Master_Data!$P:$P,"CHECK",0)</f>
        <v>0</v>
      </c>
      <c r="Z110">
        <f t="shared" si="3"/>
        <v>1</v>
      </c>
      <c r="AA110">
        <f>_xlfn.XLOOKUP(B110,Remittance_Data!A:A,Remittance_Data!B:B,"CHECK")</f>
        <v>13007</v>
      </c>
      <c r="AB110">
        <f>_xlfn.XLOOKUP(B110,Remittance_Data!A:A,Remittance_Data!C:C,"CHECK")</f>
        <v>11426</v>
      </c>
      <c r="AC110">
        <f>_xlfn.XLOOKUP(B110,Remittance_Data!A:A,Remittance_Data!D:D,"CHECK")</f>
        <v>1581</v>
      </c>
    </row>
    <row r="111" spans="1:29">
      <c r="A111" t="str">
        <v>Gazipur-1</v>
      </c>
      <c r="B111" t="str" cm="1">
        <f t="array" ref="B1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Nawabganj","Chapainawabganj"),Final_Merged_Data!$B$2:$B$1000=$A111)))</f>
        <v>Gazipur</v>
      </c>
      <c r="C111" t="str" cm="1">
        <f t="array" ref="C111">_xlfn.TEXTJOIN(", ",TRUE,_xlfn._xlws.FILTER(Final_Merged_Data!$C$2:$C$1000,Final_Merged_Data!$B$2:$B$1000=$A111))</f>
        <v>Kaliganj</v>
      </c>
      <c r="D111" cm="1">
        <f t="array" ref="D111">COUNTA(_xlfn._xlws.FILTER(Final_Merged_Data!$C$2:$C$1000,Final_Merged_Data!$B$2:$B$1000=$A111))</f>
        <v>1</v>
      </c>
      <c r="E111">
        <f>SUMIFS(Final_Merged_Data!$E:$E,Final_Merged_Data!$B:$B,$A111)</f>
        <v>236.67</v>
      </c>
      <c r="F111">
        <f>SUMIFS(Final_Merged_Data!$F:$F,Final_Merged_Data!$B:$B,$A111)</f>
        <v>310943</v>
      </c>
      <c r="G111">
        <f t="shared" si="2"/>
        <v>1313.8251573921495</v>
      </c>
      <c r="H111" cm="1">
        <f t="array" ref="H111">SUMPRODUCT((Final_Merged_Data!$B$2:$B$1000=$A111)*Final_Merged_Data!$H$2:$H$1000*Final_Merged_Data!$F$2:$F$1000)/F111</f>
        <v>3.9699999999999998</v>
      </c>
      <c r="I111" cm="1">
        <f t="array" ref="I111">SUMPRODUCT((Final_Merged_Data!$B$2:$B$1000=$A111)*Final_Merged_Data!$I$2:$I$1000*Final_Merged_Data!$F$2:$F$1000)/F111</f>
        <v>79.58</v>
      </c>
      <c r="J111" t="str" cm="1">
        <f t="array" ref="J111">_xlfn.TEXTJOIN(", ",TRUE,_xlfn.UNIQUE(_xlfn._xlws.FILTER(Final_Merged_Data!$J$2:$J$1000,Final_Merged_Data!$B$2:$B$1000=$A111)))</f>
        <v>Dhaka Range</v>
      </c>
      <c r="K111" cm="1">
        <f t="array" ref="K111">SUMPRODUCT((Final_Merged_Data!$B$2:$B$1000=$A111)*Final_Merged_Data!$K$2:$K$1000*Final_Merged_Data!$F$2:$F$1000)/F111</f>
        <v>87.055167395391194</v>
      </c>
      <c r="L111" cm="1">
        <f t="array" ref="L111">SUMPRODUCT((Final_Merged_Data!$B$2:$B$1000=$A111)*Final_Merged_Data!$L$2:$L$1000*Final_Merged_Data!$F$2:$F$1000)/F111</f>
        <v>14.083489099923572</v>
      </c>
      <c r="M111" t="str">
        <f>IF(COUNTIF(Master_Data!$C:$C,$A111)&gt;0,"Found","Missing")</f>
        <v>Found</v>
      </c>
      <c r="N111" t="str">
        <f>_xlfn.XLOOKUP($A111,Master_Data!$C:$C,Master_Data!$D:$D,"CHECK",0)</f>
        <v>Md. Mojibur Rahman</v>
      </c>
      <c r="O111" t="str">
        <f>_xlfn.XLOOKUP($A111,Master_Data!$C:$C,Master_Data!$E:$E,"CHECK",0)</f>
        <v>BNP</v>
      </c>
      <c r="P111">
        <f>_xlfn.XLOOKUP($A111,Master_Data!$C:$C,Master_Data!$F:$F,"CHECK",0)</f>
        <v>1</v>
      </c>
      <c r="Q111">
        <f>_xlfn.XLOOKUP($A111,Master_Data!$C:$C,Master_Data!$G:$G,"CHECK",0)</f>
        <v>208688</v>
      </c>
      <c r="R111">
        <f>IFERROR(_xlfn.XLOOKUP($A111,Master_Data!$C:$C,Master_Data!$H:$H,"CHECK",0),"")</f>
        <v>58.253522070338128</v>
      </c>
      <c r="S111" t="str">
        <f>_xlfn.XLOOKUP($A111,Master_Data!$C:$C,Master_Data!$I:$I,"CHECK",0)</f>
        <v>Md. Shah Alam Bakshi</v>
      </c>
      <c r="T111">
        <f>_xlfn.XLOOKUP($A111,Master_Data!$C:$C,Master_Data!$K:$K,"CHECK",0)</f>
        <v>149553</v>
      </c>
      <c r="U111">
        <f>IFERROR(_xlfn.XLOOKUP($A111,Master_Data!$C:$C,Master_Data!$L:$L,"CHECK",0),"")</f>
        <v>41.746477929661872</v>
      </c>
      <c r="V111">
        <f>_xlfn.XLOOKUP($A111,Master_Data!$C:$C,Master_Data!$M:$M,"CHECK",0)</f>
        <v>59135</v>
      </c>
      <c r="W111">
        <f>IFERROR(_xlfn.XLOOKUP($A111,Master_Data!$C:$C,Master_Data!$N:$N,"CHECK",0),"")</f>
        <v>16.50704414067625</v>
      </c>
      <c r="X111" t="str">
        <f>IFERROR(_xlfn.XLOOKUP($A111,Master_Data!$C:$C,Master_Data!$O:$O,"CHECK",0),"No Result")</f>
        <v>Safe Seat</v>
      </c>
      <c r="Y111">
        <f>_xlfn.XLOOKUP($A111,Master_Data!$C:$C,Master_Data!$P:$P,"CHECK",0)</f>
        <v>1</v>
      </c>
      <c r="Z111">
        <f t="shared" si="3"/>
        <v>1</v>
      </c>
      <c r="AA111">
        <f>_xlfn.XLOOKUP(B111,Remittance_Data!A:A,Remittance_Data!B:B,"CHECK")</f>
        <v>70579</v>
      </c>
      <c r="AB111">
        <f>_xlfn.XLOOKUP(B111,Remittance_Data!A:A,Remittance_Data!C:C,"CHECK")</f>
        <v>48331</v>
      </c>
      <c r="AC111">
        <f>_xlfn.XLOOKUP(B111,Remittance_Data!A:A,Remittance_Data!D:D,"CHECK")</f>
        <v>22248</v>
      </c>
    </row>
    <row r="112" spans="1:29">
      <c r="A112" t="str">
        <v>Gazipur-2</v>
      </c>
      <c r="B112" t="str" cm="1">
        <f t="array" ref="B1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Nawabganj","Chapainawabganj"),Final_Merged_Data!$B$2:$B$1000=$A112)))</f>
        <v>Gazipur</v>
      </c>
      <c r="C112" t="str" cm="1">
        <f t="array" ref="C112">_xlfn.TEXTJOIN(", ",TRUE,_xlfn._xlws.FILTER(Final_Merged_Data!$C$2:$C$1000,Final_Merged_Data!$B$2:$B$1000=$A112))</f>
        <v>Kaliakair</v>
      </c>
      <c r="D112" cm="1">
        <f t="array" ref="D112">COUNTA(_xlfn._xlws.FILTER(Final_Merged_Data!$C$2:$C$1000,Final_Merged_Data!$B$2:$B$1000=$A112))</f>
        <v>1</v>
      </c>
      <c r="E112">
        <f>SUMIFS(Final_Merged_Data!$E:$E,Final_Merged_Data!$B:$B,$A112)</f>
        <v>214.63</v>
      </c>
      <c r="F112">
        <f>SUMIFS(Final_Merged_Data!$F:$F,Final_Merged_Data!$B:$B,$A112)</f>
        <v>694574</v>
      </c>
      <c r="G112">
        <f t="shared" si="2"/>
        <v>3236.1459255462892</v>
      </c>
      <c r="H112" cm="1">
        <f t="array" ref="H112">SUMPRODUCT((Final_Merged_Data!$B$2:$B$1000=$A112)*Final_Merged_Data!$H$2:$H$1000*Final_Merged_Data!$F$2:$F$1000)/F112</f>
        <v>3.26</v>
      </c>
      <c r="I112" cm="1">
        <f t="array" ref="I112">SUMPRODUCT((Final_Merged_Data!$B$2:$B$1000=$A112)*Final_Merged_Data!$I$2:$I$1000*Final_Merged_Data!$F$2:$F$1000)/F112</f>
        <v>80.19</v>
      </c>
      <c r="J112" t="str" cm="1">
        <f t="array" ref="J112">_xlfn.TEXTJOIN(", ",TRUE,_xlfn.UNIQUE(_xlfn._xlws.FILTER(Final_Merged_Data!$J$2:$J$1000,Final_Merged_Data!$B$2:$B$1000=$A112)))</f>
        <v>Dhaka Range</v>
      </c>
      <c r="K112" cm="1">
        <f t="array" ref="K112">SUMPRODUCT((Final_Merged_Data!$B$2:$B$1000=$A112)*Final_Merged_Data!$K$2:$K$1000*Final_Merged_Data!$F$2:$F$1000)/F112</f>
        <v>87.055167395391194</v>
      </c>
      <c r="L112" cm="1">
        <f t="array" ref="L112">SUMPRODUCT((Final_Merged_Data!$B$2:$B$1000=$A112)*Final_Merged_Data!$L$2:$L$1000*Final_Merged_Data!$F$2:$F$1000)/F112</f>
        <v>14.083489099923572</v>
      </c>
      <c r="M112" t="str">
        <f>IF(COUNTIF(Master_Data!$C:$C,$A112)&gt;0,"Found","Missing")</f>
        <v>Found</v>
      </c>
      <c r="N112" t="str">
        <f>_xlfn.XLOOKUP($A112,Master_Data!$C:$C,Master_Data!$D:$D,"CHECK",0)</f>
        <v>M. Manjurul Karim Roni</v>
      </c>
      <c r="O112" t="str">
        <f>_xlfn.XLOOKUP($A112,Master_Data!$C:$C,Master_Data!$E:$E,"CHECK",0)</f>
        <v>BNP</v>
      </c>
      <c r="P112">
        <f>_xlfn.XLOOKUP($A112,Master_Data!$C:$C,Master_Data!$F:$F,"CHECK",0)</f>
        <v>1</v>
      </c>
      <c r="Q112">
        <f>_xlfn.XLOOKUP($A112,Master_Data!$C:$C,Master_Data!$G:$G,"CHECK",0)</f>
        <v>188606</v>
      </c>
      <c r="R112">
        <f>IFERROR(_xlfn.XLOOKUP($A112,Master_Data!$C:$C,Master_Data!$H:$H,"CHECK",0),"")</f>
        <v>57.230334146548692</v>
      </c>
      <c r="S112" t="str">
        <f>_xlfn.XLOOKUP($A112,Master_Data!$C:$C,Master_Data!$I:$I,"CHECK",0)</f>
        <v>Ali Nacher Khan</v>
      </c>
      <c r="T112">
        <f>_xlfn.XLOOKUP($A112,Master_Data!$C:$C,Master_Data!$K:$K,"CHECK",0)</f>
        <v>140950</v>
      </c>
      <c r="U112">
        <f>IFERROR(_xlfn.XLOOKUP($A112,Master_Data!$C:$C,Master_Data!$L:$L,"CHECK",0),"")</f>
        <v>42.769665853451308</v>
      </c>
      <c r="V112">
        <f>_xlfn.XLOOKUP($A112,Master_Data!$C:$C,Master_Data!$M:$M,"CHECK",0)</f>
        <v>47656</v>
      </c>
      <c r="W112">
        <f>IFERROR(_xlfn.XLOOKUP($A112,Master_Data!$C:$C,Master_Data!$N:$N,"CHECK",0),"")</f>
        <v>14.460668293097378</v>
      </c>
      <c r="X112" t="str">
        <f>IFERROR(_xlfn.XLOOKUP($A112,Master_Data!$C:$C,Master_Data!$O:$O,"CHECK",0),"No Result")</f>
        <v>Safe Seat</v>
      </c>
      <c r="Y112">
        <f>_xlfn.XLOOKUP($A112,Master_Data!$C:$C,Master_Data!$P:$P,"CHECK",0)</f>
        <v>1</v>
      </c>
      <c r="Z112">
        <f t="shared" si="3"/>
        <v>1</v>
      </c>
      <c r="AA112">
        <f>_xlfn.XLOOKUP(B112,Remittance_Data!A:A,Remittance_Data!B:B,"CHECK")</f>
        <v>70579</v>
      </c>
      <c r="AB112">
        <f>_xlfn.XLOOKUP(B112,Remittance_Data!A:A,Remittance_Data!C:C,"CHECK")</f>
        <v>48331</v>
      </c>
      <c r="AC112">
        <f>_xlfn.XLOOKUP(B112,Remittance_Data!A:A,Remittance_Data!D:D,"CHECK")</f>
        <v>22248</v>
      </c>
    </row>
    <row r="113" spans="1:29">
      <c r="A113" t="str">
        <v>Gazipur-3</v>
      </c>
      <c r="B113" t="str" cm="1">
        <f t="array" ref="B1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Nawabganj","Chapainawabganj"),Final_Merged_Data!$B$2:$B$1000=$A113)))</f>
        <v>Gazipur</v>
      </c>
      <c r="C113" t="str" cm="1">
        <f t="array" ref="C113">_xlfn.TEXTJOIN(", ",TRUE,_xlfn._xlws.FILTER(Final_Merged_Data!$C$2:$C$1000,Final_Merged_Data!$B$2:$B$1000=$A113))</f>
        <v>Sreepur</v>
      </c>
      <c r="D113" cm="1">
        <f t="array" ref="D113">COUNTA(_xlfn._xlws.FILTER(Final_Merged_Data!$C$2:$C$1000,Final_Merged_Data!$B$2:$B$1000=$A113))</f>
        <v>1</v>
      </c>
      <c r="E113">
        <f>SUMIFS(Final_Merged_Data!$E:$E,Final_Merged_Data!$B:$B,$A113)</f>
        <v>353.67</v>
      </c>
      <c r="F113">
        <f>SUMIFS(Final_Merged_Data!$F:$F,Final_Merged_Data!$B:$B,$A113)</f>
        <v>855204</v>
      </c>
      <c r="G113">
        <f t="shared" si="2"/>
        <v>2418.0846551870386</v>
      </c>
      <c r="H113" cm="1">
        <f t="array" ref="H113">SUMPRODUCT((Final_Merged_Data!$B$2:$B$1000=$A113)*Final_Merged_Data!$H$2:$H$1000*Final_Merged_Data!$F$2:$F$1000)/F113</f>
        <v>3.34</v>
      </c>
      <c r="I113" cm="1">
        <f t="array" ref="I113">SUMPRODUCT((Final_Merged_Data!$B$2:$B$1000=$A113)*Final_Merged_Data!$I$2:$I$1000*Final_Merged_Data!$F$2:$F$1000)/F113</f>
        <v>78.150000000000006</v>
      </c>
      <c r="J113" t="str" cm="1">
        <f t="array" ref="J113">_xlfn.TEXTJOIN(", ",TRUE,_xlfn.UNIQUE(_xlfn._xlws.FILTER(Final_Merged_Data!$J$2:$J$1000,Final_Merged_Data!$B$2:$B$1000=$A113)))</f>
        <v>Dhaka Range</v>
      </c>
      <c r="K113" cm="1">
        <f t="array" ref="K113">SUMPRODUCT((Final_Merged_Data!$B$2:$B$1000=$A113)*Final_Merged_Data!$K$2:$K$1000*Final_Merged_Data!$F$2:$F$1000)/F113</f>
        <v>87.055167395391194</v>
      </c>
      <c r="L113" cm="1">
        <f t="array" ref="L113">SUMPRODUCT((Final_Merged_Data!$B$2:$B$1000=$A113)*Final_Merged_Data!$L$2:$L$1000*Final_Merged_Data!$F$2:$F$1000)/F113</f>
        <v>14.083489099923572</v>
      </c>
      <c r="M113" t="str">
        <f>IF(COUNTIF(Master_Data!$C:$C,$A113)&gt;0,"Found","Missing")</f>
        <v>Found</v>
      </c>
      <c r="N113" t="str">
        <f>_xlfn.XLOOKUP($A113,Master_Data!$C:$C,Master_Data!$D:$D,"CHECK",0)</f>
        <v>S. M. Rafiqul Islam</v>
      </c>
      <c r="O113" t="str">
        <f>_xlfn.XLOOKUP($A113,Master_Data!$C:$C,Master_Data!$E:$E,"CHECK",0)</f>
        <v>BNP</v>
      </c>
      <c r="P113">
        <f>_xlfn.XLOOKUP($A113,Master_Data!$C:$C,Master_Data!$F:$F,"CHECK",0)</f>
        <v>1</v>
      </c>
      <c r="Q113">
        <f>_xlfn.XLOOKUP($A113,Master_Data!$C:$C,Master_Data!$G:$G,"CHECK",0)</f>
        <v>162343</v>
      </c>
      <c r="R113">
        <f>IFERROR(_xlfn.XLOOKUP($A113,Master_Data!$C:$C,Master_Data!$H:$H,"CHECK",0),"")</f>
        <v>61.755084030097152</v>
      </c>
      <c r="S113" t="str">
        <f>_xlfn.XLOOKUP($A113,Master_Data!$C:$C,Master_Data!$I:$I,"CHECK",0)</f>
        <v>Muhammad Ehsanul Haque</v>
      </c>
      <c r="T113">
        <f>_xlfn.XLOOKUP($A113,Master_Data!$C:$C,Master_Data!$K:$K,"CHECK",0)</f>
        <v>100539</v>
      </c>
      <c r="U113">
        <f>IFERROR(_xlfn.XLOOKUP($A113,Master_Data!$C:$C,Master_Data!$L:$L,"CHECK",0),"")</f>
        <v>38.244915969902848</v>
      </c>
      <c r="V113">
        <f>_xlfn.XLOOKUP($A113,Master_Data!$C:$C,Master_Data!$M:$M,"CHECK",0)</f>
        <v>61804</v>
      </c>
      <c r="W113">
        <f>IFERROR(_xlfn.XLOOKUP($A113,Master_Data!$C:$C,Master_Data!$N:$N,"CHECK",0),"")</f>
        <v>23.51016806019431</v>
      </c>
      <c r="X113" t="str">
        <f>IFERROR(_xlfn.XLOOKUP($A113,Master_Data!$C:$C,Master_Data!$O:$O,"CHECK",0),"No Result")</f>
        <v>Safe Seat</v>
      </c>
      <c r="Y113">
        <f>_xlfn.XLOOKUP($A113,Master_Data!$C:$C,Master_Data!$P:$P,"CHECK",0)</f>
        <v>0</v>
      </c>
      <c r="Z113">
        <f t="shared" si="3"/>
        <v>1</v>
      </c>
      <c r="AA113">
        <f>_xlfn.XLOOKUP(B113,Remittance_Data!A:A,Remittance_Data!B:B,"CHECK")</f>
        <v>70579</v>
      </c>
      <c r="AB113">
        <f>_xlfn.XLOOKUP(B113,Remittance_Data!A:A,Remittance_Data!C:C,"CHECK")</f>
        <v>48331</v>
      </c>
      <c r="AC113">
        <f>_xlfn.XLOOKUP(B113,Remittance_Data!A:A,Remittance_Data!D:D,"CHECK")</f>
        <v>22248</v>
      </c>
    </row>
    <row r="114" spans="1:29">
      <c r="A114" t="str">
        <v>Gazipur-4</v>
      </c>
      <c r="B114" t="str" cm="1">
        <f t="array" ref="B1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Nawabganj","Chapainawabganj"),Final_Merged_Data!$B$2:$B$1000=$A114)))</f>
        <v>Gazipur</v>
      </c>
      <c r="C114" t="str" cm="1">
        <f t="array" ref="C114">_xlfn.TEXTJOIN(", ",TRUE,_xlfn._xlws.FILTER(Final_Merged_Data!$C$2:$C$1000,Final_Merged_Data!$B$2:$B$1000=$A114))</f>
        <v>Kapasia</v>
      </c>
      <c r="D114" cm="1">
        <f t="array" ref="D114">COUNTA(_xlfn._xlws.FILTER(Final_Merged_Data!$C$2:$C$1000,Final_Merged_Data!$B$2:$B$1000=$A114))</f>
        <v>1</v>
      </c>
      <c r="E114">
        <f>SUMIFS(Final_Merged_Data!$E:$E,Final_Merged_Data!$B:$B,$A114)</f>
        <v>356.33</v>
      </c>
      <c r="F114">
        <f>SUMIFS(Final_Merged_Data!$F:$F,Final_Merged_Data!$B:$B,$A114)</f>
        <v>379093</v>
      </c>
      <c r="G114">
        <f t="shared" si="2"/>
        <v>1063.8817949653412</v>
      </c>
      <c r="H114" cm="1">
        <f t="array" ref="H114">SUMPRODUCT((Final_Merged_Data!$B$2:$B$1000=$A114)*Final_Merged_Data!$H$2:$H$1000*Final_Merged_Data!$F$2:$F$1000)/F114</f>
        <v>3.83</v>
      </c>
      <c r="I114" cm="1">
        <f t="array" ref="I114">SUMPRODUCT((Final_Merged_Data!$B$2:$B$1000=$A114)*Final_Merged_Data!$I$2:$I$1000*Final_Merged_Data!$F$2:$F$1000)/F114</f>
        <v>77.849999999999994</v>
      </c>
      <c r="J114" t="str" cm="1">
        <f t="array" ref="J114">_xlfn.TEXTJOIN(", ",TRUE,_xlfn.UNIQUE(_xlfn._xlws.FILTER(Final_Merged_Data!$J$2:$J$1000,Final_Merged_Data!$B$2:$B$1000=$A114)))</f>
        <v>Dhaka Range</v>
      </c>
      <c r="K114" cm="1">
        <f t="array" ref="K114">SUMPRODUCT((Final_Merged_Data!$B$2:$B$1000=$A114)*Final_Merged_Data!$K$2:$K$1000*Final_Merged_Data!$F$2:$F$1000)/F114</f>
        <v>87.055167395391194</v>
      </c>
      <c r="L114" cm="1">
        <f t="array" ref="L114">SUMPRODUCT((Final_Merged_Data!$B$2:$B$1000=$A114)*Final_Merged_Data!$L$2:$L$1000*Final_Merged_Data!$F$2:$F$1000)/F114</f>
        <v>14.083489099923572</v>
      </c>
      <c r="M114" t="str">
        <f>IF(COUNTIF(Master_Data!$C:$C,$A114)&gt;0,"Found","Missing")</f>
        <v>Found</v>
      </c>
      <c r="N114" t="str">
        <f>_xlfn.XLOOKUP($A114,Master_Data!$C:$C,Master_Data!$D:$D,"CHECK",0)</f>
        <v>Salahuddin Aiyubi</v>
      </c>
      <c r="O114" t="str">
        <f>_xlfn.XLOOKUP($A114,Master_Data!$C:$C,Master_Data!$E:$E,"CHECK",0)</f>
        <v>Jamaat</v>
      </c>
      <c r="P114">
        <f>_xlfn.XLOOKUP($A114,Master_Data!$C:$C,Master_Data!$F:$F,"CHECK",0)</f>
        <v>2</v>
      </c>
      <c r="Q114">
        <f>_xlfn.XLOOKUP($A114,Master_Data!$C:$C,Master_Data!$G:$G,"CHECK",0)</f>
        <v>101779</v>
      </c>
      <c r="R114">
        <f>IFERROR(_xlfn.XLOOKUP($A114,Master_Data!$C:$C,Master_Data!$H:$H,"CHECK",0),"")</f>
        <v>52.963277115455668</v>
      </c>
      <c r="S114" t="str">
        <f>_xlfn.XLOOKUP($A114,Master_Data!$C:$C,Master_Data!$I:$I,"CHECK",0)</f>
        <v>Shah Riazul Hannan</v>
      </c>
      <c r="T114">
        <f>_xlfn.XLOOKUP($A114,Master_Data!$C:$C,Master_Data!$K:$K,"CHECK",0)</f>
        <v>90390</v>
      </c>
      <c r="U114">
        <f>IFERROR(_xlfn.XLOOKUP($A114,Master_Data!$C:$C,Master_Data!$L:$L,"CHECK",0),"")</f>
        <v>47.036722884544332</v>
      </c>
      <c r="V114">
        <f>_xlfn.XLOOKUP($A114,Master_Data!$C:$C,Master_Data!$M:$M,"CHECK",0)</f>
        <v>11389</v>
      </c>
      <c r="W114">
        <f>IFERROR(_xlfn.XLOOKUP($A114,Master_Data!$C:$C,Master_Data!$N:$N,"CHECK",0),"")</f>
        <v>5.926554230911333</v>
      </c>
      <c r="X114" t="str">
        <f>IFERROR(_xlfn.XLOOKUP($A114,Master_Data!$C:$C,Master_Data!$O:$O,"CHECK",0),"No Result")</f>
        <v>Safe Seat</v>
      </c>
      <c r="Y114">
        <f>_xlfn.XLOOKUP($A114,Master_Data!$C:$C,Master_Data!$P:$P,"CHECK",0)</f>
        <v>0</v>
      </c>
      <c r="Z114">
        <f t="shared" si="3"/>
        <v>1</v>
      </c>
      <c r="AA114">
        <f>_xlfn.XLOOKUP(B114,Remittance_Data!A:A,Remittance_Data!B:B,"CHECK")</f>
        <v>70579</v>
      </c>
      <c r="AB114">
        <f>_xlfn.XLOOKUP(B114,Remittance_Data!A:A,Remittance_Data!C:C,"CHECK")</f>
        <v>48331</v>
      </c>
      <c r="AC114">
        <f>_xlfn.XLOOKUP(B114,Remittance_Data!A:A,Remittance_Data!D:D,"CHECK")</f>
        <v>22248</v>
      </c>
    </row>
    <row r="115" spans="1:29">
      <c r="A115" t="str">
        <v>Gazipur-5</v>
      </c>
      <c r="B115" t="str" cm="1">
        <f t="array" ref="B1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Nawabganj","Chapainawabganj"),Final_Merged_Data!$B$2:$B$1000=$A115)))</f>
        <v>Gazipur</v>
      </c>
      <c r="C115" t="str" cm="1">
        <f t="array" ref="C115">_xlfn.TEXTJOIN(", ",TRUE,_xlfn._xlws.FILTER(Final_Merged_Data!$C$2:$C$1000,Final_Merged_Data!$B$2:$B$1000=$A115))</f>
        <v>Gazipur Sadar</v>
      </c>
      <c r="D115" cm="1">
        <f t="array" ref="D115">COUNTA(_xlfn._xlws.FILTER(Final_Merged_Data!$C$2:$C$1000,Final_Merged_Data!$B$2:$B$1000=$A115))</f>
        <v>1</v>
      </c>
      <c r="E115">
        <f>SUMIFS(Final_Merged_Data!$E:$E,Final_Merged_Data!$B:$B,$A115)</f>
        <v>174.09</v>
      </c>
      <c r="F115">
        <f>SUMIFS(Final_Merged_Data!$F:$F,Final_Merged_Data!$B:$B,$A115)</f>
        <v>345760</v>
      </c>
      <c r="G115">
        <f t="shared" si="2"/>
        <v>1986.0991441208571</v>
      </c>
      <c r="H115" cm="1">
        <f t="array" ref="H115">SUMPRODUCT((Final_Merged_Data!$B$2:$B$1000=$A115)*Final_Merged_Data!$H$2:$H$1000*Final_Merged_Data!$F$2:$F$1000)/F115</f>
        <v>3.18</v>
      </c>
      <c r="I115" cm="1">
        <f t="array" ref="I115">SUMPRODUCT((Final_Merged_Data!$B$2:$B$1000=$A115)*Final_Merged_Data!$I$2:$I$1000*Final_Merged_Data!$F$2:$F$1000)/F115</f>
        <v>80.680000000000007</v>
      </c>
      <c r="J115" t="str" cm="1">
        <f t="array" ref="J115">_xlfn.TEXTJOIN(", ",TRUE,_xlfn.UNIQUE(_xlfn._xlws.FILTER(Final_Merged_Data!$J$2:$J$1000,Final_Merged_Data!$B$2:$B$1000=$A115)))</f>
        <v>Dhaka Range</v>
      </c>
      <c r="K115" cm="1">
        <f t="array" ref="K115">SUMPRODUCT((Final_Merged_Data!$B$2:$B$1000=$A115)*Final_Merged_Data!$K$2:$K$1000*Final_Merged_Data!$F$2:$F$1000)/F115</f>
        <v>87.055167395391194</v>
      </c>
      <c r="L115" cm="1">
        <f t="array" ref="L115">SUMPRODUCT((Final_Merged_Data!$B$2:$B$1000=$A115)*Final_Merged_Data!$L$2:$L$1000*Final_Merged_Data!$F$2:$F$1000)/F115</f>
        <v>14.083489099923572</v>
      </c>
      <c r="M115" t="str">
        <f>IF(COUNTIF(Master_Data!$C:$C,$A115)&gt;0,"Found","Missing")</f>
        <v>Found</v>
      </c>
      <c r="N115" t="str">
        <f>_xlfn.XLOOKUP($A115,Master_Data!$C:$C,Master_Data!$D:$D,"CHECK",0)</f>
        <v>AKM Fazlul Haque Milon</v>
      </c>
      <c r="O115" t="str">
        <f>_xlfn.XLOOKUP($A115,Master_Data!$C:$C,Master_Data!$E:$E,"CHECK",0)</f>
        <v>BNP</v>
      </c>
      <c r="P115">
        <f>_xlfn.XLOOKUP($A115,Master_Data!$C:$C,Master_Data!$F:$F,"CHECK",0)</f>
        <v>1</v>
      </c>
      <c r="Q115">
        <f>_xlfn.XLOOKUP($A115,Master_Data!$C:$C,Master_Data!$G:$G,"CHECK",0)</f>
        <v>133869</v>
      </c>
      <c r="R115">
        <f>IFERROR(_xlfn.XLOOKUP($A115,Master_Data!$C:$C,Master_Data!$H:$H,"CHECK",0),"")</f>
        <v>63.148137665572293</v>
      </c>
      <c r="S115" t="str">
        <f>_xlfn.XLOOKUP($A115,Master_Data!$C:$C,Master_Data!$I:$I,"CHECK",0)</f>
        <v>Md. Khairul Hasan</v>
      </c>
      <c r="T115">
        <f>_xlfn.XLOOKUP($A115,Master_Data!$C:$C,Master_Data!$K:$K,"CHECK",0)</f>
        <v>78123</v>
      </c>
      <c r="U115">
        <f>IFERROR(_xlfn.XLOOKUP($A115,Master_Data!$C:$C,Master_Data!$L:$L,"CHECK",0),"")</f>
        <v>36.851862334427715</v>
      </c>
      <c r="V115">
        <f>_xlfn.XLOOKUP($A115,Master_Data!$C:$C,Master_Data!$M:$M,"CHECK",0)</f>
        <v>55746</v>
      </c>
      <c r="W115">
        <f>IFERROR(_xlfn.XLOOKUP($A115,Master_Data!$C:$C,Master_Data!$N:$N,"CHECK",0),"")</f>
        <v>26.296275331144571</v>
      </c>
      <c r="X115" t="str">
        <f>IFERROR(_xlfn.XLOOKUP($A115,Master_Data!$C:$C,Master_Data!$O:$O,"CHECK",0),"No Result")</f>
        <v>Safe Seat</v>
      </c>
      <c r="Y115">
        <f>_xlfn.XLOOKUP($A115,Master_Data!$C:$C,Master_Data!$P:$P,"CHECK",0)</f>
        <v>1</v>
      </c>
      <c r="Z115">
        <f t="shared" si="3"/>
        <v>1</v>
      </c>
      <c r="AA115">
        <f>_xlfn.XLOOKUP(B115,Remittance_Data!A:A,Remittance_Data!B:B,"CHECK")</f>
        <v>70579</v>
      </c>
      <c r="AB115">
        <f>_xlfn.XLOOKUP(B115,Remittance_Data!A:A,Remittance_Data!C:C,"CHECK")</f>
        <v>48331</v>
      </c>
      <c r="AC115">
        <f>_xlfn.XLOOKUP(B115,Remittance_Data!A:A,Remittance_Data!D:D,"CHECK")</f>
        <v>22248</v>
      </c>
    </row>
    <row r="116" spans="1:29">
      <c r="A116" t="str">
        <v>Gopalganj-1</v>
      </c>
      <c r="B116" t="str" cm="1">
        <f t="array" ref="B1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Nawabganj","Chapainawabganj"),Final_Merged_Data!$B$2:$B$1000=$A116)))</f>
        <v>Gopalganj</v>
      </c>
      <c r="C116" t="str" cm="1">
        <f t="array" ref="C116">_xlfn.TEXTJOIN(", ",TRUE,_xlfn._xlws.FILTER(Final_Merged_Data!$C$2:$C$1000,Final_Merged_Data!$B$2:$B$1000=$A116))</f>
        <v>Muksudpur, Kashiani</v>
      </c>
      <c r="D116" cm="1">
        <f t="array" ref="D116">COUNTA(_xlfn._xlws.FILTER(Final_Merged_Data!$C$2:$C$1000,Final_Merged_Data!$B$2:$B$1000=$A116))</f>
        <v>2</v>
      </c>
      <c r="E116">
        <f>SUMIFS(Final_Merged_Data!$E:$E,Final_Merged_Data!$B:$B,$A116)</f>
        <v>535.77</v>
      </c>
      <c r="F116">
        <f>SUMIFS(Final_Merged_Data!$F:$F,Final_Merged_Data!$B:$B,$A116)</f>
        <v>535668</v>
      </c>
      <c r="G116">
        <f t="shared" si="2"/>
        <v>999.80961979954088</v>
      </c>
      <c r="H116" cm="1">
        <f t="array" ref="H116">SUMPRODUCT((Final_Merged_Data!$B$2:$B$1000=$A116)*Final_Merged_Data!$H$2:$H$1000*Final_Merged_Data!$F$2:$F$1000)/F116</f>
        <v>4.027222215999462</v>
      </c>
      <c r="I116" cm="1">
        <f t="array" ref="I116">SUMPRODUCT((Final_Merged_Data!$B$2:$B$1000=$A116)*Final_Merged_Data!$I$2:$I$1000*Final_Merged_Data!$F$2:$F$1000)/F116</f>
        <v>77.451296418677245</v>
      </c>
      <c r="J116" t="str" cm="1">
        <f t="array" ref="J116">_xlfn.TEXTJOIN(", ",TRUE,_xlfn.UNIQUE(_xlfn._xlws.FILTER(Final_Merged_Data!$J$2:$J$1000,Final_Merged_Data!$B$2:$B$1000=$A116)))</f>
        <v>Dhaka Range</v>
      </c>
      <c r="K116" cm="1">
        <f t="array" ref="K116">SUMPRODUCT((Final_Merged_Data!$B$2:$B$1000=$A116)*Final_Merged_Data!$K$2:$K$1000*Final_Merged_Data!$F$2:$F$1000)/F116</f>
        <v>87.055167395391209</v>
      </c>
      <c r="L116" cm="1">
        <f t="array" ref="L116">SUMPRODUCT((Final_Merged_Data!$B$2:$B$1000=$A116)*Final_Merged_Data!$L$2:$L$1000*Final_Merged_Data!$F$2:$F$1000)/F116</f>
        <v>14.083489099923572</v>
      </c>
      <c r="M116" t="str">
        <f>IF(COUNTIF(Master_Data!$C:$C,$A116)&gt;0,"Found","Missing")</f>
        <v>Found</v>
      </c>
      <c r="N116" t="str">
        <f>_xlfn.XLOOKUP($A116,Master_Data!$C:$C,Master_Data!$D:$D,"CHECK",0)</f>
        <v>Md. Selimuzzaman Molya</v>
      </c>
      <c r="O116" t="str">
        <f>_xlfn.XLOOKUP($A116,Master_Data!$C:$C,Master_Data!$E:$E,"CHECK",0)</f>
        <v>BNP</v>
      </c>
      <c r="P116">
        <f>_xlfn.XLOOKUP($A116,Master_Data!$C:$C,Master_Data!$F:$F,"CHECK",0)</f>
        <v>1</v>
      </c>
      <c r="Q116">
        <f>_xlfn.XLOOKUP($A116,Master_Data!$C:$C,Master_Data!$G:$G,"CHECK",0)</f>
        <v>69462</v>
      </c>
      <c r="R116">
        <f>IFERROR(_xlfn.XLOOKUP($A116,Master_Data!$C:$C,Master_Data!$H:$H,"CHECK",0),"")</f>
        <v>56.112318343013627</v>
      </c>
      <c r="S116" t="str">
        <f>_xlfn.XLOOKUP($A116,Master_Data!$C:$C,Master_Data!$I:$I,"CHECK",0)</f>
        <v>Md. Kabir Miya</v>
      </c>
      <c r="T116">
        <f>_xlfn.XLOOKUP($A116,Master_Data!$C:$C,Master_Data!$K:$K,"CHECK",0)</f>
        <v>54329</v>
      </c>
      <c r="U116">
        <f>IFERROR(_xlfn.XLOOKUP($A116,Master_Data!$C:$C,Master_Data!$L:$L,"CHECK",0),"")</f>
        <v>43.887681656986373</v>
      </c>
      <c r="V116">
        <f>_xlfn.XLOOKUP($A116,Master_Data!$C:$C,Master_Data!$M:$M,"CHECK",0)</f>
        <v>15133</v>
      </c>
      <c r="W116">
        <f>IFERROR(_xlfn.XLOOKUP($A116,Master_Data!$C:$C,Master_Data!$N:$N,"CHECK",0),"")</f>
        <v>12.224636686027255</v>
      </c>
      <c r="X116" t="str">
        <f>IFERROR(_xlfn.XLOOKUP($A116,Master_Data!$C:$C,Master_Data!$O:$O,"CHECK",0),"No Result")</f>
        <v>Safe Seat</v>
      </c>
      <c r="Y116">
        <f>_xlfn.XLOOKUP($A116,Master_Data!$C:$C,Master_Data!$P:$P,"CHECK",0)</f>
        <v>0</v>
      </c>
      <c r="Z116">
        <f t="shared" si="3"/>
        <v>1</v>
      </c>
      <c r="AA116">
        <f>_xlfn.XLOOKUP(B116,Remittance_Data!A:A,Remittance_Data!B:B,"CHECK")</f>
        <v>20294</v>
      </c>
      <c r="AB116">
        <f>_xlfn.XLOOKUP(B116,Remittance_Data!A:A,Remittance_Data!C:C,"CHECK")</f>
        <v>16827</v>
      </c>
      <c r="AC116">
        <f>_xlfn.XLOOKUP(B116,Remittance_Data!A:A,Remittance_Data!D:D,"CHECK")</f>
        <v>3467</v>
      </c>
    </row>
    <row r="117" spans="1:29">
      <c r="A117" t="str">
        <v>Gopalganj-2</v>
      </c>
      <c r="B117" t="str" cm="1">
        <f t="array" ref="B1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Nawabganj","Chapainawabganj"),Final_Merged_Data!$B$2:$B$1000=$A117)))</f>
        <v>Gopalganj</v>
      </c>
      <c r="C117" t="str" cm="1">
        <f t="array" ref="C117">_xlfn.TEXTJOIN(", ",TRUE,_xlfn._xlws.FILTER(Final_Merged_Data!$C$2:$C$1000,Final_Merged_Data!$B$2:$B$1000=$A117))</f>
        <v>Gopalganj Sadar, Kotalipara</v>
      </c>
      <c r="D117" cm="1">
        <f t="array" ref="D117">COUNTA(_xlfn._xlws.FILTER(Final_Merged_Data!$C$2:$C$1000,Final_Merged_Data!$B$2:$B$1000=$A117))</f>
        <v>2</v>
      </c>
      <c r="E117">
        <f>SUMIFS(Final_Merged_Data!$E:$E,Final_Merged_Data!$B:$B,$A117)</f>
        <v>629.33000000000004</v>
      </c>
      <c r="F117">
        <f>SUMIFS(Final_Merged_Data!$F:$F,Final_Merged_Data!$B:$B,$A117)</f>
        <v>644857</v>
      </c>
      <c r="G117">
        <f t="shared" si="2"/>
        <v>1024.6722705099073</v>
      </c>
      <c r="H117" cm="1">
        <f t="array" ref="H117">SUMPRODUCT((Final_Merged_Data!$B$2:$B$1000=$A117)*Final_Merged_Data!$H$2:$H$1000*Final_Merged_Data!$F$2:$F$1000)/F117</f>
        <v>4.1688971353338804</v>
      </c>
      <c r="I117" cm="1">
        <f t="array" ref="I117">SUMPRODUCT((Final_Merged_Data!$B$2:$B$1000=$A117)*Final_Merged_Data!$I$2:$I$1000*Final_Merged_Data!$F$2:$F$1000)/F117</f>
        <v>81.537658597177355</v>
      </c>
      <c r="J117" t="str" cm="1">
        <f t="array" ref="J117">_xlfn.TEXTJOIN(", ",TRUE,_xlfn.UNIQUE(_xlfn._xlws.FILTER(Final_Merged_Data!$J$2:$J$1000,Final_Merged_Data!$B$2:$B$1000=$A117)))</f>
        <v>Dhaka Range</v>
      </c>
      <c r="K117" cm="1">
        <f t="array" ref="K117">SUMPRODUCT((Final_Merged_Data!$B$2:$B$1000=$A117)*Final_Merged_Data!$K$2:$K$1000*Final_Merged_Data!$F$2:$F$1000)/F117</f>
        <v>87.055167395391194</v>
      </c>
      <c r="L117" cm="1">
        <f t="array" ref="L117">SUMPRODUCT((Final_Merged_Data!$B$2:$B$1000=$A117)*Final_Merged_Data!$L$2:$L$1000*Final_Merged_Data!$F$2:$F$1000)/F117</f>
        <v>14.08348909992357</v>
      </c>
      <c r="M117" t="str">
        <f>IF(COUNTIF(Master_Data!$C:$C,$A117)&gt;0,"Found","Missing")</f>
        <v>Found</v>
      </c>
      <c r="N117" t="str">
        <f>_xlfn.XLOOKUP($A117,Master_Data!$C:$C,Master_Data!$D:$D,"CHECK",0)</f>
        <v>KM Babar</v>
      </c>
      <c r="O117" t="str">
        <f>_xlfn.XLOOKUP($A117,Master_Data!$C:$C,Master_Data!$E:$E,"CHECK",0)</f>
        <v>BNP</v>
      </c>
      <c r="P117">
        <f>_xlfn.XLOOKUP($A117,Master_Data!$C:$C,Master_Data!$F:$F,"CHECK",0)</f>
        <v>1</v>
      </c>
      <c r="Q117">
        <f>_xlfn.XLOOKUP($A117,Master_Data!$C:$C,Master_Data!$G:$G,"CHECK",0)</f>
        <v>40048</v>
      </c>
      <c r="R117">
        <f>IFERROR(_xlfn.XLOOKUP($A117,Master_Data!$C:$C,Master_Data!$H:$H,"CHECK",0),"")</f>
        <v>54.794970377768962</v>
      </c>
      <c r="S117" t="str">
        <f>_xlfn.XLOOKUP($A117,Master_Data!$C:$C,Master_Data!$I:$I,"CHECK",0)</f>
        <v>M. H. Khan Manju</v>
      </c>
      <c r="T117">
        <f>_xlfn.XLOOKUP($A117,Master_Data!$C:$C,Master_Data!$K:$K,"CHECK",0)</f>
        <v>33039</v>
      </c>
      <c r="U117">
        <f>IFERROR(_xlfn.XLOOKUP($A117,Master_Data!$C:$C,Master_Data!$L:$L,"CHECK",0),"")</f>
        <v>45.205029622231038</v>
      </c>
      <c r="V117">
        <f>_xlfn.XLOOKUP($A117,Master_Data!$C:$C,Master_Data!$M:$M,"CHECK",0)</f>
        <v>7009</v>
      </c>
      <c r="W117">
        <f>IFERROR(_xlfn.XLOOKUP($A117,Master_Data!$C:$C,Master_Data!$N:$N,"CHECK",0),"")</f>
        <v>9.5899407555379206</v>
      </c>
      <c r="X117" t="str">
        <f>IFERROR(_xlfn.XLOOKUP($A117,Master_Data!$C:$C,Master_Data!$O:$O,"CHECK",0),"No Result")</f>
        <v>Safe Seat</v>
      </c>
      <c r="Y117">
        <f>_xlfn.XLOOKUP($A117,Master_Data!$C:$C,Master_Data!$P:$P,"CHECK",0)</f>
        <v>0</v>
      </c>
      <c r="Z117">
        <f t="shared" si="3"/>
        <v>1</v>
      </c>
      <c r="AA117">
        <f>_xlfn.XLOOKUP(B117,Remittance_Data!A:A,Remittance_Data!B:B,"CHECK")</f>
        <v>20294</v>
      </c>
      <c r="AB117">
        <f>_xlfn.XLOOKUP(B117,Remittance_Data!A:A,Remittance_Data!C:C,"CHECK")</f>
        <v>16827</v>
      </c>
      <c r="AC117">
        <f>_xlfn.XLOOKUP(B117,Remittance_Data!A:A,Remittance_Data!D:D,"CHECK")</f>
        <v>3467</v>
      </c>
    </row>
    <row r="118" spans="1:29">
      <c r="A118" t="str">
        <v>Gopalganj-3</v>
      </c>
      <c r="B118" t="str" cm="1">
        <f t="array" ref="B1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Nawabganj","Chapainawabganj"),Final_Merged_Data!$B$2:$B$1000=$A118)))</f>
        <v>Gopalganj</v>
      </c>
      <c r="C118" t="str" cm="1">
        <f t="array" ref="C118">_xlfn.TEXTJOIN(", ",TRUE,_xlfn._xlws.FILTER(Final_Merged_Data!$C$2:$C$1000,Final_Merged_Data!$B$2:$B$1000=$A118))</f>
        <v>Tungipara</v>
      </c>
      <c r="D118" cm="1">
        <f t="array" ref="D118">COUNTA(_xlfn._xlws.FILTER(Final_Merged_Data!$C$2:$C$1000,Final_Merged_Data!$B$2:$B$1000=$A118))</f>
        <v>1</v>
      </c>
      <c r="E118">
        <f>SUMIFS(Final_Merged_Data!$E:$E,Final_Merged_Data!$B:$B,$A118)</f>
        <v>127.49</v>
      </c>
      <c r="F118">
        <f>SUMIFS(Final_Merged_Data!$F:$F,Final_Merged_Data!$B:$B,$A118)</f>
        <v>114480</v>
      </c>
      <c r="G118">
        <f t="shared" si="2"/>
        <v>897.95278061024396</v>
      </c>
      <c r="H118" cm="1">
        <f t="array" ref="H118">SUMPRODUCT((Final_Merged_Data!$B$2:$B$1000=$A118)*Final_Merged_Data!$H$2:$H$1000*Final_Merged_Data!$F$2:$F$1000)/F118</f>
        <v>4.2300000000000004</v>
      </c>
      <c r="I118" cm="1">
        <f t="array" ref="I118">SUMPRODUCT((Final_Merged_Data!$B$2:$B$1000=$A118)*Final_Merged_Data!$I$2:$I$1000*Final_Merged_Data!$F$2:$F$1000)/F118</f>
        <v>81.41</v>
      </c>
      <c r="J118" t="str" cm="1">
        <f t="array" ref="J118">_xlfn.TEXTJOIN(", ",TRUE,_xlfn.UNIQUE(_xlfn._xlws.FILTER(Final_Merged_Data!$J$2:$J$1000,Final_Merged_Data!$B$2:$B$1000=$A118)))</f>
        <v>Dhaka Range</v>
      </c>
      <c r="K118" cm="1">
        <f t="array" ref="K118">SUMPRODUCT((Final_Merged_Data!$B$2:$B$1000=$A118)*Final_Merged_Data!$K$2:$K$1000*Final_Merged_Data!$F$2:$F$1000)/F118</f>
        <v>87.055167395391194</v>
      </c>
      <c r="L118" cm="1">
        <f t="array" ref="L118">SUMPRODUCT((Final_Merged_Data!$B$2:$B$1000=$A118)*Final_Merged_Data!$L$2:$L$1000*Final_Merged_Data!$F$2:$F$1000)/F118</f>
        <v>14.083489099923572</v>
      </c>
      <c r="M118" t="str">
        <f>IF(COUNTIF(Master_Data!$C:$C,$A118)&gt;0,"Found","Missing")</f>
        <v>Found</v>
      </c>
      <c r="N118" t="str">
        <f>_xlfn.XLOOKUP($A118,Master_Data!$C:$C,Master_Data!$D:$D,"CHECK",0)</f>
        <v>S. M. Jilani</v>
      </c>
      <c r="O118" t="str">
        <f>_xlfn.XLOOKUP($A118,Master_Data!$C:$C,Master_Data!$E:$E,"CHECK",0)</f>
        <v>BNP</v>
      </c>
      <c r="P118">
        <f>_xlfn.XLOOKUP($A118,Master_Data!$C:$C,Master_Data!$F:$F,"CHECK",0)</f>
        <v>1</v>
      </c>
      <c r="Q118">
        <f>_xlfn.XLOOKUP($A118,Master_Data!$C:$C,Master_Data!$G:$G,"CHECK",0)</f>
        <v>60166</v>
      </c>
      <c r="R118">
        <f>IFERROR(_xlfn.XLOOKUP($A118,Master_Data!$C:$C,Master_Data!$H:$H,"CHECK",0),"")</f>
        <v>63.983920538534342</v>
      </c>
      <c r="S118" t="str">
        <f>_xlfn.XLOOKUP($A118,Master_Data!$C:$C,Master_Data!$I:$I,"CHECK",0)</f>
        <v>Gobinda Chandra Pramanik</v>
      </c>
      <c r="T118">
        <f>_xlfn.XLOOKUP($A118,Master_Data!$C:$C,Master_Data!$K:$K,"CHECK",0)</f>
        <v>33867</v>
      </c>
      <c r="U118">
        <f>IFERROR(_xlfn.XLOOKUP($A118,Master_Data!$C:$C,Master_Data!$L:$L,"CHECK",0),"")</f>
        <v>36.016079461465658</v>
      </c>
      <c r="V118">
        <f>_xlfn.XLOOKUP($A118,Master_Data!$C:$C,Master_Data!$M:$M,"CHECK",0)</f>
        <v>26299</v>
      </c>
      <c r="W118">
        <f>IFERROR(_xlfn.XLOOKUP($A118,Master_Data!$C:$C,Master_Data!$N:$N,"CHECK",0),"")</f>
        <v>27.967841077068691</v>
      </c>
      <c r="X118" t="str">
        <f>IFERROR(_xlfn.XLOOKUP($A118,Master_Data!$C:$C,Master_Data!$O:$O,"CHECK",0),"No Result")</f>
        <v>Safe Seat</v>
      </c>
      <c r="Y118">
        <f>_xlfn.XLOOKUP($A118,Master_Data!$C:$C,Master_Data!$P:$P,"CHECK",0)</f>
        <v>0</v>
      </c>
      <c r="Z118">
        <f t="shared" si="3"/>
        <v>1</v>
      </c>
      <c r="AA118">
        <f>_xlfn.XLOOKUP(B118,Remittance_Data!A:A,Remittance_Data!B:B,"CHECK")</f>
        <v>20294</v>
      </c>
      <c r="AB118">
        <f>_xlfn.XLOOKUP(B118,Remittance_Data!A:A,Remittance_Data!C:C,"CHECK")</f>
        <v>16827</v>
      </c>
      <c r="AC118">
        <f>_xlfn.XLOOKUP(B118,Remittance_Data!A:A,Remittance_Data!D:D,"CHECK")</f>
        <v>3467</v>
      </c>
    </row>
    <row r="119" spans="1:29">
      <c r="A119" t="str">
        <v>Habiganj-1</v>
      </c>
      <c r="B119" t="str" cm="1">
        <f t="array" ref="B1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Nawabganj","Chapainawabganj"),Final_Merged_Data!$B$2:$B$1000=$A119)))</f>
        <v>Habiganj</v>
      </c>
      <c r="C119" t="str" cm="1">
        <f t="array" ref="C119">_xlfn.TEXTJOIN(", ",TRUE,_xlfn._xlws.FILTER(Final_Merged_Data!$C$2:$C$1000,Final_Merged_Data!$B$2:$B$1000=$A119))</f>
        <v>Nabiganj, Bahubal</v>
      </c>
      <c r="D119" cm="1">
        <f t="array" ref="D119">COUNTA(_xlfn._xlws.FILTER(Final_Merged_Data!$C$2:$C$1000,Final_Merged_Data!$B$2:$B$1000=$A119))</f>
        <v>2</v>
      </c>
      <c r="E119">
        <f>SUMIFS(Final_Merged_Data!$E:$E,Final_Merged_Data!$B:$B,$A119)</f>
        <v>677.14</v>
      </c>
      <c r="F119">
        <f>SUMIFS(Final_Merged_Data!$F:$F,Final_Merged_Data!$B:$B,$A119)</f>
        <v>586736</v>
      </c>
      <c r="G119">
        <f t="shared" si="2"/>
        <v>866.49141979502031</v>
      </c>
      <c r="H119" cm="1">
        <f t="array" ref="H119">SUMPRODUCT((Final_Merged_Data!$B$2:$B$1000=$A119)*Final_Merged_Data!$H$2:$H$1000*Final_Merged_Data!$F$2:$F$1000)/F119</f>
        <v>4.9813951248943313</v>
      </c>
      <c r="I119" cm="1">
        <f t="array" ref="I119">SUMPRODUCT((Final_Merged_Data!$B$2:$B$1000=$A119)*Final_Merged_Data!$I$2:$I$1000*Final_Merged_Data!$F$2:$F$1000)/F119</f>
        <v>69.607813190259336</v>
      </c>
      <c r="J119" t="str" cm="1">
        <f t="array" ref="J119">_xlfn.TEXTJOIN(", ",TRUE,_xlfn.UNIQUE(_xlfn._xlws.FILTER(Final_Merged_Data!$J$2:$J$1000,Final_Merged_Data!$B$2:$B$1000=$A119)))</f>
        <v>Sylhet Range</v>
      </c>
      <c r="K119" cm="1">
        <f t="array" ref="K119">SUMPRODUCT((Final_Merged_Data!$B$2:$B$1000=$A119)*Final_Merged_Data!$K$2:$K$1000*Final_Merged_Data!$F$2:$F$1000)/F119</f>
        <v>74.251724391082064</v>
      </c>
      <c r="L119" cm="1">
        <f t="array" ref="L119">SUMPRODUCT((Final_Merged_Data!$B$2:$B$1000=$A119)*Final_Merged_Data!$L$2:$L$1000*Final_Merged_Data!$F$2:$F$1000)/F119</f>
        <v>9.6171122896887518</v>
      </c>
      <c r="M119" t="str">
        <f>IF(COUNTIF(Master_Data!$C:$C,$A119)&gt;0,"Found","Missing")</f>
        <v>Found</v>
      </c>
      <c r="N119" t="str">
        <f>_xlfn.XLOOKUP($A119,Master_Data!$C:$C,Master_Data!$D:$D,"CHECK",0)</f>
        <v>Reza Kibria</v>
      </c>
      <c r="O119" t="str">
        <f>_xlfn.XLOOKUP($A119,Master_Data!$C:$C,Master_Data!$E:$E,"CHECK",0)</f>
        <v>BNP</v>
      </c>
      <c r="P119">
        <f>_xlfn.XLOOKUP($A119,Master_Data!$C:$C,Master_Data!$F:$F,"CHECK",0)</f>
        <v>1</v>
      </c>
      <c r="Q119">
        <f>_xlfn.XLOOKUP($A119,Master_Data!$C:$C,Master_Data!$G:$G,"CHECK",0)</f>
        <v>111999</v>
      </c>
      <c r="R119">
        <f>IFERROR(_xlfn.XLOOKUP($A119,Master_Data!$C:$C,Master_Data!$H:$H,"CHECK",0),"")</f>
        <v>66.614128269028313</v>
      </c>
      <c r="S119" t="str">
        <f>_xlfn.XLOOKUP($A119,Master_Data!$C:$C,Master_Data!$I:$I,"CHECK",0)</f>
        <v>Maulana Sirajul Islam</v>
      </c>
      <c r="T119">
        <f>_xlfn.XLOOKUP($A119,Master_Data!$C:$C,Master_Data!$K:$K,"CHECK",0)</f>
        <v>56132</v>
      </c>
      <c r="U119">
        <f>IFERROR(_xlfn.XLOOKUP($A119,Master_Data!$C:$C,Master_Data!$L:$L,"CHECK",0),"")</f>
        <v>33.385871730971687</v>
      </c>
      <c r="V119">
        <f>_xlfn.XLOOKUP($A119,Master_Data!$C:$C,Master_Data!$M:$M,"CHECK",0)</f>
        <v>55867</v>
      </c>
      <c r="W119">
        <f>IFERROR(_xlfn.XLOOKUP($A119,Master_Data!$C:$C,Master_Data!$N:$N,"CHECK",0),"")</f>
        <v>33.228256538056634</v>
      </c>
      <c r="X119" t="str">
        <f>IFERROR(_xlfn.XLOOKUP($A119,Master_Data!$C:$C,Master_Data!$O:$O,"CHECK",0),"No Result")</f>
        <v>Safe Seat</v>
      </c>
      <c r="Y119">
        <f>_xlfn.XLOOKUP($A119,Master_Data!$C:$C,Master_Data!$P:$P,"CHECK",0)</f>
        <v>0</v>
      </c>
      <c r="Z119">
        <f t="shared" si="3"/>
        <v>1</v>
      </c>
      <c r="AA119">
        <f>_xlfn.XLOOKUP(B119,Remittance_Data!A:A,Remittance_Data!B:B,"CHECK")</f>
        <v>63766</v>
      </c>
      <c r="AB119">
        <f>_xlfn.XLOOKUP(B119,Remittance_Data!A:A,Remittance_Data!C:C,"CHECK")</f>
        <v>54519</v>
      </c>
      <c r="AC119">
        <f>_xlfn.XLOOKUP(B119,Remittance_Data!A:A,Remittance_Data!D:D,"CHECK")</f>
        <v>9247</v>
      </c>
    </row>
    <row r="120" spans="1:29">
      <c r="A120" t="str">
        <v>Habiganj-2</v>
      </c>
      <c r="B120" t="str" cm="1">
        <f t="array" ref="B1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Nawabganj","Chapainawabganj"),Final_Merged_Data!$B$2:$B$1000=$A120)))</f>
        <v>Habiganj</v>
      </c>
      <c r="C120" t="str" cm="1">
        <f t="array" ref="C120">_xlfn.TEXTJOIN(", ",TRUE,_xlfn._xlws.FILTER(Final_Merged_Data!$C$2:$C$1000,Final_Merged_Data!$B$2:$B$1000=$A120))</f>
        <v>Ajmiriganj, Baniachong</v>
      </c>
      <c r="D120" cm="1">
        <f t="array" ref="D120">COUNTA(_xlfn._xlws.FILTER(Final_Merged_Data!$C$2:$C$1000,Final_Merged_Data!$B$2:$B$1000=$A120))</f>
        <v>2</v>
      </c>
      <c r="E120">
        <f>SUMIFS(Final_Merged_Data!$E:$E,Final_Merged_Data!$B:$B,$A120)</f>
        <v>676.17000000000007</v>
      </c>
      <c r="F120">
        <f>SUMIFS(Final_Merged_Data!$F:$F,Final_Merged_Data!$B:$B,$A120)</f>
        <v>482722</v>
      </c>
      <c r="G120">
        <f t="shared" si="2"/>
        <v>713.90626617566579</v>
      </c>
      <c r="H120" cm="1">
        <f t="array" ref="H120">SUMPRODUCT((Final_Merged_Data!$B$2:$B$1000=$A120)*Final_Merged_Data!$H$2:$H$1000*Final_Merged_Data!$F$2:$F$1000)/F120</f>
        <v>5.0469154503005873</v>
      </c>
      <c r="I120" cm="1">
        <f t="array" ref="I120">SUMPRODUCT((Final_Merged_Data!$B$2:$B$1000=$A120)*Final_Merged_Data!$I$2:$I$1000*Final_Merged_Data!$F$2:$F$1000)/F120</f>
        <v>65.238299642444304</v>
      </c>
      <c r="J120" t="str" cm="1">
        <f t="array" ref="J120">_xlfn.TEXTJOIN(", ",TRUE,_xlfn.UNIQUE(_xlfn._xlws.FILTER(Final_Merged_Data!$J$2:$J$1000,Final_Merged_Data!$B$2:$B$1000=$A120)))</f>
        <v>Sylhet Range</v>
      </c>
      <c r="K120" cm="1">
        <f t="array" ref="K120">SUMPRODUCT((Final_Merged_Data!$B$2:$B$1000=$A120)*Final_Merged_Data!$K$2:$K$1000*Final_Merged_Data!$F$2:$F$1000)/F120</f>
        <v>74.251724391082064</v>
      </c>
      <c r="L120" cm="1">
        <f t="array" ref="L120">SUMPRODUCT((Final_Merged_Data!$B$2:$B$1000=$A120)*Final_Merged_Data!$L$2:$L$1000*Final_Merged_Data!$F$2:$F$1000)/F120</f>
        <v>9.6171122896887518</v>
      </c>
      <c r="M120" t="str">
        <f>IF(COUNTIF(Master_Data!$C:$C,$A120)&gt;0,"Found","Missing")</f>
        <v>Found</v>
      </c>
      <c r="N120" t="str">
        <f>_xlfn.XLOOKUP($A120,Master_Data!$C:$C,Master_Data!$D:$D,"CHECK",0)</f>
        <v>Abu Mansoor Sakhawat Hasan</v>
      </c>
      <c r="O120" t="str">
        <f>_xlfn.XLOOKUP($A120,Master_Data!$C:$C,Master_Data!$E:$E,"CHECK",0)</f>
        <v>BNP</v>
      </c>
      <c r="P120">
        <f>_xlfn.XLOOKUP($A120,Master_Data!$C:$C,Master_Data!$F:$F,"CHECK",0)</f>
        <v>1</v>
      </c>
      <c r="Q120">
        <f>_xlfn.XLOOKUP($A120,Master_Data!$C:$C,Master_Data!$G:$G,"CHECK",0)</f>
        <v>126583</v>
      </c>
      <c r="R120">
        <f>IFERROR(_xlfn.XLOOKUP($A120,Master_Data!$C:$C,Master_Data!$H:$H,"CHECK",0),"")</f>
        <v>65.810392783799941</v>
      </c>
      <c r="S120" t="str">
        <f>_xlfn.XLOOKUP($A120,Master_Data!$C:$C,Master_Data!$I:$I,"CHECK",0)</f>
        <v>Abdul Basit Azad</v>
      </c>
      <c r="T120">
        <f>_xlfn.XLOOKUP($A120,Master_Data!$C:$C,Master_Data!$K:$K,"CHECK",0)</f>
        <v>65762</v>
      </c>
      <c r="U120">
        <f>IFERROR(_xlfn.XLOOKUP($A120,Master_Data!$C:$C,Master_Data!$L:$L,"CHECK",0),"")</f>
        <v>34.189607216200059</v>
      </c>
      <c r="V120">
        <f>_xlfn.XLOOKUP($A120,Master_Data!$C:$C,Master_Data!$M:$M,"CHECK",0)</f>
        <v>60821</v>
      </c>
      <c r="W120">
        <f>IFERROR(_xlfn.XLOOKUP($A120,Master_Data!$C:$C,Master_Data!$N:$N,"CHECK",0),"")</f>
        <v>31.620785567599885</v>
      </c>
      <c r="X120" t="str">
        <f>IFERROR(_xlfn.XLOOKUP($A120,Master_Data!$C:$C,Master_Data!$O:$O,"CHECK",0),"No Result")</f>
        <v>Safe Seat</v>
      </c>
      <c r="Y120">
        <f>_xlfn.XLOOKUP($A120,Master_Data!$C:$C,Master_Data!$P:$P,"CHECK",0)</f>
        <v>0</v>
      </c>
      <c r="Z120">
        <f t="shared" si="3"/>
        <v>1</v>
      </c>
      <c r="AA120">
        <f>_xlfn.XLOOKUP(B120,Remittance_Data!A:A,Remittance_Data!B:B,"CHECK")</f>
        <v>63766</v>
      </c>
      <c r="AB120">
        <f>_xlfn.XLOOKUP(B120,Remittance_Data!A:A,Remittance_Data!C:C,"CHECK")</f>
        <v>54519</v>
      </c>
      <c r="AC120">
        <f>_xlfn.XLOOKUP(B120,Remittance_Data!A:A,Remittance_Data!D:D,"CHECK")</f>
        <v>9247</v>
      </c>
    </row>
    <row r="121" spans="1:29">
      <c r="A121" t="str">
        <v>Habiganj-3</v>
      </c>
      <c r="B121" t="str" cm="1">
        <f t="array" ref="B1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Nawabganj","Chapainawabganj"),Final_Merged_Data!$B$2:$B$1000=$A121)))</f>
        <v>Habiganj</v>
      </c>
      <c r="C121" t="str" cm="1">
        <f t="array" ref="C121">_xlfn.TEXTJOIN(", ",TRUE,_xlfn._xlws.FILTER(Final_Merged_Data!$C$2:$C$1000,Final_Merged_Data!$B$2:$B$1000=$A121))</f>
        <v>Habiganj Sadar, Lakhai, Shayestaganj</v>
      </c>
      <c r="D121" cm="1">
        <f t="array" ref="D121">COUNTA(_xlfn._xlws.FILTER(Final_Merged_Data!$C$2:$C$1000,Final_Merged_Data!$B$2:$B$1000=$A121))</f>
        <v>3</v>
      </c>
      <c r="E121">
        <f>SUMIFS(Final_Merged_Data!$E:$E,Final_Merged_Data!$B:$B,$A121)</f>
        <v>849.75</v>
      </c>
      <c r="F121">
        <f>SUMIFS(Final_Merged_Data!$F:$F,Final_Merged_Data!$B:$B,$A121)</f>
        <v>562803</v>
      </c>
      <c r="G121">
        <f t="shared" si="2"/>
        <v>662.31597528684904</v>
      </c>
      <c r="H121" cm="1">
        <f t="array" ref="H121">SUMPRODUCT((Final_Merged_Data!$B$2:$B$1000=$A121)*Final_Merged_Data!$H$2:$H$1000*Final_Merged_Data!$F$2:$F$1000)/F121</f>
        <v>4.6894230840986983</v>
      </c>
      <c r="I121" cm="1">
        <f t="array" ref="I121">SUMPRODUCT((Final_Merged_Data!$B$2:$B$1000=$A121)*Final_Merged_Data!$I$2:$I$1000*Final_Merged_Data!$F$2:$F$1000)/F121</f>
        <v>72.570976647246027</v>
      </c>
      <c r="J121" t="str" cm="1">
        <f t="array" ref="J121">_xlfn.TEXTJOIN(", ",TRUE,_xlfn.UNIQUE(_xlfn._xlws.FILTER(Final_Merged_Data!$J$2:$J$1000,Final_Merged_Data!$B$2:$B$1000=$A121)))</f>
        <v>Sylhet Range</v>
      </c>
      <c r="K121" cm="1">
        <f t="array" ref="K121">SUMPRODUCT((Final_Merged_Data!$B$2:$B$1000=$A121)*Final_Merged_Data!$K$2:$K$1000*Final_Merged_Data!$F$2:$F$1000)/F121</f>
        <v>74.251724391082064</v>
      </c>
      <c r="L121" cm="1">
        <f t="array" ref="L121">SUMPRODUCT((Final_Merged_Data!$B$2:$B$1000=$A121)*Final_Merged_Data!$L$2:$L$1000*Final_Merged_Data!$F$2:$F$1000)/F121</f>
        <v>9.6171122896887535</v>
      </c>
      <c r="M121" t="str">
        <f>IF(COUNTIF(Master_Data!$C:$C,$A121)&gt;0,"Found","Missing")</f>
        <v>Found</v>
      </c>
      <c r="N121" t="str">
        <f>_xlfn.XLOOKUP($A121,Master_Data!$C:$C,Master_Data!$D:$D,"CHECK",0)</f>
        <v>G. K. Gouse</v>
      </c>
      <c r="O121" t="str">
        <f>_xlfn.XLOOKUP($A121,Master_Data!$C:$C,Master_Data!$E:$E,"CHECK",0)</f>
        <v>BNP</v>
      </c>
      <c r="P121">
        <f>_xlfn.XLOOKUP($A121,Master_Data!$C:$C,Master_Data!$F:$F,"CHECK",0)</f>
        <v>1</v>
      </c>
      <c r="Q121">
        <f>_xlfn.XLOOKUP($A121,Master_Data!$C:$C,Master_Data!$G:$G,"CHECK",0)</f>
        <v>142348</v>
      </c>
      <c r="R121">
        <f>IFERROR(_xlfn.XLOOKUP($A121,Master_Data!$C:$C,Master_Data!$H:$H,"CHECK",0),"")</f>
        <v>75.750867408842254</v>
      </c>
      <c r="S121" t="str">
        <f>_xlfn.XLOOKUP($A121,Master_Data!$C:$C,Master_Data!$I:$I,"CHECK",0)</f>
        <v>Qazi Mohsin Ahmad</v>
      </c>
      <c r="T121">
        <f>_xlfn.XLOOKUP($A121,Master_Data!$C:$C,Master_Data!$K:$K,"CHECK",0)</f>
        <v>45568</v>
      </c>
      <c r="U121">
        <f>IFERROR(_xlfn.XLOOKUP($A121,Master_Data!$C:$C,Master_Data!$L:$L,"CHECK",0),"")</f>
        <v>24.249132591157753</v>
      </c>
      <c r="V121">
        <f>_xlfn.XLOOKUP($A121,Master_Data!$C:$C,Master_Data!$M:$M,"CHECK",0)</f>
        <v>96780</v>
      </c>
      <c r="W121">
        <f>IFERROR(_xlfn.XLOOKUP($A121,Master_Data!$C:$C,Master_Data!$N:$N,"CHECK",0),"")</f>
        <v>51.501734817684493</v>
      </c>
      <c r="X121" t="str">
        <f>IFERROR(_xlfn.XLOOKUP($A121,Master_Data!$C:$C,Master_Data!$O:$O,"CHECK",0),"No Result")</f>
        <v>Safe Seat</v>
      </c>
      <c r="Y121">
        <f>_xlfn.XLOOKUP($A121,Master_Data!$C:$C,Master_Data!$P:$P,"CHECK",0)</f>
        <v>0</v>
      </c>
      <c r="Z121">
        <f t="shared" si="3"/>
        <v>1</v>
      </c>
      <c r="AA121">
        <f>_xlfn.XLOOKUP(B121,Remittance_Data!A:A,Remittance_Data!B:B,"CHECK")</f>
        <v>63766</v>
      </c>
      <c r="AB121">
        <f>_xlfn.XLOOKUP(B121,Remittance_Data!A:A,Remittance_Data!C:C,"CHECK")</f>
        <v>54519</v>
      </c>
      <c r="AC121">
        <f>_xlfn.XLOOKUP(B121,Remittance_Data!A:A,Remittance_Data!D:D,"CHECK")</f>
        <v>9247</v>
      </c>
    </row>
    <row r="122" spans="1:29">
      <c r="A122" t="str">
        <v>Habiganj-4</v>
      </c>
      <c r="B122" t="str" cm="1">
        <f t="array" ref="B1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Nawabganj","Chapainawabganj"),Final_Merged_Data!$B$2:$B$1000=$A122)))</f>
        <v>Habiganj</v>
      </c>
      <c r="C122" t="str" cm="1">
        <f t="array" ref="C122">_xlfn.TEXTJOIN(", ",TRUE,_xlfn._xlws.FILTER(Final_Merged_Data!$C$2:$C$1000,Final_Merged_Data!$B$2:$B$1000=$A122))</f>
        <v>Madhabpur, Chunarughat</v>
      </c>
      <c r="D122" cm="1">
        <f t="array" ref="D122">COUNTA(_xlfn._xlws.FILTER(Final_Merged_Data!$C$2:$C$1000,Final_Merged_Data!$B$2:$B$1000=$A122))</f>
        <v>2</v>
      </c>
      <c r="E122">
        <f>SUMIFS(Final_Merged_Data!$E:$E,Final_Merged_Data!$B:$B,$A122)</f>
        <v>866.06999999999994</v>
      </c>
      <c r="F122">
        <f>SUMIFS(Final_Merged_Data!$F:$F,Final_Merged_Data!$B:$B,$A122)</f>
        <v>726486</v>
      </c>
      <c r="G122">
        <f t="shared" si="2"/>
        <v>838.83057951435808</v>
      </c>
      <c r="H122" cm="1">
        <f t="array" ref="H122">SUMPRODUCT((Final_Merged_Data!$B$2:$B$1000=$A122)*Final_Merged_Data!$H$2:$H$1000*Final_Merged_Data!$F$2:$F$1000)/F122</f>
        <v>4.4911545439278937</v>
      </c>
      <c r="I122" cm="1">
        <f t="array" ref="I122">SUMPRODUCT((Final_Merged_Data!$B$2:$B$1000=$A122)*Final_Merged_Data!$I$2:$I$1000*Final_Merged_Data!$F$2:$F$1000)/F122</f>
        <v>69.533054594307401</v>
      </c>
      <c r="J122" t="str" cm="1">
        <f t="array" ref="J122">_xlfn.TEXTJOIN(", ",TRUE,_xlfn.UNIQUE(_xlfn._xlws.FILTER(Final_Merged_Data!$J$2:$J$1000,Final_Merged_Data!$B$2:$B$1000=$A122)))</f>
        <v>Sylhet Range</v>
      </c>
      <c r="K122" cm="1">
        <f t="array" ref="K122">SUMPRODUCT((Final_Merged_Data!$B$2:$B$1000=$A122)*Final_Merged_Data!$K$2:$K$1000*Final_Merged_Data!$F$2:$F$1000)/F122</f>
        <v>74.251724391082064</v>
      </c>
      <c r="L122" cm="1">
        <f t="array" ref="L122">SUMPRODUCT((Final_Merged_Data!$B$2:$B$1000=$A122)*Final_Merged_Data!$L$2:$L$1000*Final_Merged_Data!$F$2:$F$1000)/F122</f>
        <v>9.6171122896887518</v>
      </c>
      <c r="M122" t="str">
        <f>IF(COUNTIF(Master_Data!$C:$C,$A122)&gt;0,"Found","Missing")</f>
        <v>Found</v>
      </c>
      <c r="N122" t="str">
        <f>_xlfn.XLOOKUP($A122,Master_Data!$C:$C,Master_Data!$D:$D,"CHECK",0)</f>
        <v>S. M. Faisal</v>
      </c>
      <c r="O122" t="str">
        <f>_xlfn.XLOOKUP($A122,Master_Data!$C:$C,Master_Data!$E:$E,"CHECK",0)</f>
        <v>BNP</v>
      </c>
      <c r="P122">
        <f>_xlfn.XLOOKUP($A122,Master_Data!$C:$C,Master_Data!$F:$F,"CHECK",0)</f>
        <v>1</v>
      </c>
      <c r="Q122">
        <f>_xlfn.XLOOKUP($A122,Master_Data!$C:$C,Master_Data!$G:$G,"CHECK",0)</f>
        <v>188072</v>
      </c>
      <c r="R122">
        <f>IFERROR(_xlfn.XLOOKUP($A122,Master_Data!$C:$C,Master_Data!$H:$H,"CHECK",0),"")</f>
        <v>69.043851759393533</v>
      </c>
      <c r="S122" t="str">
        <f>_xlfn.XLOOKUP($A122,Master_Data!$C:$C,Master_Data!$I:$I,"CHECK",0)</f>
        <v>Md Ghiyas Uddin</v>
      </c>
      <c r="T122">
        <f>_xlfn.XLOOKUP($A122,Master_Data!$C:$C,Master_Data!$K:$K,"CHECK",0)</f>
        <v>84323</v>
      </c>
      <c r="U122">
        <f>IFERROR(_xlfn.XLOOKUP($A122,Master_Data!$C:$C,Master_Data!$L:$L,"CHECK",0),"")</f>
        <v>30.956148240606474</v>
      </c>
      <c r="V122">
        <f>_xlfn.XLOOKUP($A122,Master_Data!$C:$C,Master_Data!$M:$M,"CHECK",0)</f>
        <v>103749</v>
      </c>
      <c r="W122">
        <f>IFERROR(_xlfn.XLOOKUP($A122,Master_Data!$C:$C,Master_Data!$N:$N,"CHECK",0),"")</f>
        <v>38.087703518787059</v>
      </c>
      <c r="X122" t="str">
        <f>IFERROR(_xlfn.XLOOKUP($A122,Master_Data!$C:$C,Master_Data!$O:$O,"CHECK",0),"No Result")</f>
        <v>Safe Seat</v>
      </c>
      <c r="Y122">
        <f>_xlfn.XLOOKUP($A122,Master_Data!$C:$C,Master_Data!$P:$P,"CHECK",0)</f>
        <v>0</v>
      </c>
      <c r="Z122">
        <f t="shared" si="3"/>
        <v>1</v>
      </c>
      <c r="AA122">
        <f>_xlfn.XLOOKUP(B122,Remittance_Data!A:A,Remittance_Data!B:B,"CHECK")</f>
        <v>63766</v>
      </c>
      <c r="AB122">
        <f>_xlfn.XLOOKUP(B122,Remittance_Data!A:A,Remittance_Data!C:C,"CHECK")</f>
        <v>54519</v>
      </c>
      <c r="AC122">
        <f>_xlfn.XLOOKUP(B122,Remittance_Data!A:A,Remittance_Data!D:D,"CHECK")</f>
        <v>9247</v>
      </c>
    </row>
    <row r="123" spans="1:29">
      <c r="A123" t="str">
        <v>Jamalpur-1</v>
      </c>
      <c r="B123" t="str" cm="1">
        <f t="array" ref="B1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Nawabganj","Chapainawabganj"),Final_Merged_Data!$B$2:$B$1000=$A123)))</f>
        <v>Jamalpur</v>
      </c>
      <c r="C123" t="str" cm="1">
        <f t="array" ref="C123">_xlfn.TEXTJOIN(", ",TRUE,_xlfn._xlws.FILTER(Final_Merged_Data!$C$2:$C$1000,Final_Merged_Data!$B$2:$B$1000=$A123))</f>
        <v>Dewanganj, Bakshiganj</v>
      </c>
      <c r="D123" cm="1">
        <f t="array" ref="D123">COUNTA(_xlfn._xlws.FILTER(Final_Merged_Data!$C$2:$C$1000,Final_Merged_Data!$B$2:$B$1000=$A123))</f>
        <v>2</v>
      </c>
      <c r="E123">
        <f>SUMIFS(Final_Merged_Data!$E:$E,Final_Merged_Data!$B:$B,$A123)</f>
        <v>560.92000000000007</v>
      </c>
      <c r="F123">
        <f>SUMIFS(Final_Merged_Data!$F:$F,Final_Merged_Data!$B:$B,$A123)</f>
        <v>528013</v>
      </c>
      <c r="G123">
        <f t="shared" si="2"/>
        <v>941.33388005419658</v>
      </c>
      <c r="H123" cm="1">
        <f t="array" ref="H123">SUMPRODUCT((Final_Merged_Data!$B$2:$B$1000=$A123)*Final_Merged_Data!$H$2:$H$1000*Final_Merged_Data!$F$2:$F$1000)/F123</f>
        <v>3.875489296665044</v>
      </c>
      <c r="I123" cm="1">
        <f t="array" ref="I123">SUMPRODUCT((Final_Merged_Data!$B$2:$B$1000=$A123)*Final_Merged_Data!$I$2:$I$1000*Final_Merged_Data!$F$2:$F$1000)/F123</f>
        <v>60.239458460303062</v>
      </c>
      <c r="J123" t="str" cm="1">
        <f t="array" ref="J123">_xlfn.TEXTJOIN(", ",TRUE,_xlfn.UNIQUE(_xlfn._xlws.FILTER(Final_Merged_Data!$J$2:$J$1000,Final_Merged_Data!$B$2:$B$1000=$A123)))</f>
        <v>Mymensingh Range</v>
      </c>
      <c r="K123" cm="1">
        <f t="array" ref="K123">SUMPRODUCT((Final_Merged_Data!$B$2:$B$1000=$A123)*Final_Merged_Data!$K$2:$K$1000*Final_Merged_Data!$F$2:$F$1000)/F123</f>
        <v>84.741263899591758</v>
      </c>
      <c r="L123" cm="1">
        <f t="array" ref="L123">SUMPRODUCT((Final_Merged_Data!$B$2:$B$1000=$A123)*Final_Merged_Data!$L$2:$L$1000*Final_Merged_Data!$F$2:$F$1000)/F123</f>
        <v>13.635491015503808</v>
      </c>
      <c r="M123" t="str">
        <f>IF(COUNTIF(Master_Data!$C:$C,$A123)&gt;0,"Found","Missing")</f>
        <v>Found</v>
      </c>
      <c r="N123" t="str">
        <f>_xlfn.XLOOKUP($A123,Master_Data!$C:$C,Master_Data!$D:$D,"CHECK",0)</f>
        <v>M Rashiduzzaman Millat</v>
      </c>
      <c r="O123" t="str">
        <f>_xlfn.XLOOKUP($A123,Master_Data!$C:$C,Master_Data!$E:$E,"CHECK",0)</f>
        <v>BNP</v>
      </c>
      <c r="P123">
        <f>_xlfn.XLOOKUP($A123,Master_Data!$C:$C,Master_Data!$F:$F,"CHECK",0)</f>
        <v>1</v>
      </c>
      <c r="Q123">
        <f>_xlfn.XLOOKUP($A123,Master_Data!$C:$C,Master_Data!$G:$G,"CHECK",0)</f>
        <v>172011</v>
      </c>
      <c r="R123">
        <f>IFERROR(_xlfn.XLOOKUP($A123,Master_Data!$C:$C,Master_Data!$H:$H,"CHECK",0),"")</f>
        <v>64.745626185672549</v>
      </c>
      <c r="S123" t="str">
        <f>_xlfn.XLOOKUP($A123,Master_Data!$C:$C,Master_Data!$I:$I,"CHECK",0)</f>
        <v>Muhammad Nazmul Haque Sayeedi</v>
      </c>
      <c r="T123">
        <f>_xlfn.XLOOKUP($A123,Master_Data!$C:$C,Master_Data!$K:$K,"CHECK",0)</f>
        <v>93661</v>
      </c>
      <c r="U123">
        <f>IFERROR(_xlfn.XLOOKUP($A123,Master_Data!$C:$C,Master_Data!$L:$L,"CHECK",0),"")</f>
        <v>35.254373814327437</v>
      </c>
      <c r="V123">
        <f>_xlfn.XLOOKUP($A123,Master_Data!$C:$C,Master_Data!$M:$M,"CHECK",0)</f>
        <v>78350</v>
      </c>
      <c r="W123">
        <f>IFERROR(_xlfn.XLOOKUP($A123,Master_Data!$C:$C,Master_Data!$N:$N,"CHECK",0),"")</f>
        <v>29.491252371345116</v>
      </c>
      <c r="X123" t="str">
        <f>IFERROR(_xlfn.XLOOKUP($A123,Master_Data!$C:$C,Master_Data!$O:$O,"CHECK",0),"No Result")</f>
        <v>Safe Seat</v>
      </c>
      <c r="Y123">
        <f>_xlfn.XLOOKUP($A123,Master_Data!$C:$C,Master_Data!$P:$P,"CHECK",0)</f>
        <v>0</v>
      </c>
      <c r="Z123">
        <f t="shared" si="3"/>
        <v>1</v>
      </c>
      <c r="AA123">
        <f>_xlfn.XLOOKUP(B123,Remittance_Data!A:A,Remittance_Data!B:B,"CHECK")</f>
        <v>23323</v>
      </c>
      <c r="AB123">
        <f>_xlfn.XLOOKUP(B123,Remittance_Data!A:A,Remittance_Data!C:C,"CHECK")</f>
        <v>18815</v>
      </c>
      <c r="AC123">
        <f>_xlfn.XLOOKUP(B123,Remittance_Data!A:A,Remittance_Data!D:D,"CHECK")</f>
        <v>4508</v>
      </c>
    </row>
    <row r="124" spans="1:29">
      <c r="A124" t="str">
        <v>Jamalpur-2</v>
      </c>
      <c r="B124" t="str" cm="1">
        <f t="array" ref="B1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Nawabganj","Chapainawabganj"),Final_Merged_Data!$B$2:$B$1000=$A124)))</f>
        <v>Jamalpur</v>
      </c>
      <c r="C124" t="str" cm="1">
        <f t="array" ref="C124">_xlfn.TEXTJOIN(", ",TRUE,_xlfn._xlws.FILTER(Final_Merged_Data!$C$2:$C$1000,Final_Merged_Data!$B$2:$B$1000=$A124))</f>
        <v>Islampur</v>
      </c>
      <c r="D124" cm="1">
        <f t="array" ref="D124">COUNTA(_xlfn._xlws.FILTER(Final_Merged_Data!$C$2:$C$1000,Final_Merged_Data!$B$2:$B$1000=$A124))</f>
        <v>1</v>
      </c>
      <c r="E124">
        <f>SUMIFS(Final_Merged_Data!$E:$E,Final_Merged_Data!$B:$B,$A124)</f>
        <v>245.12</v>
      </c>
      <c r="F124">
        <f>SUMIFS(Final_Merged_Data!$F:$F,Final_Merged_Data!$B:$B,$A124)</f>
        <v>319746</v>
      </c>
      <c r="G124">
        <f t="shared" si="2"/>
        <v>1304.4468015665796</v>
      </c>
      <c r="H124" cm="1">
        <f t="array" ref="H124">SUMPRODUCT((Final_Merged_Data!$B$2:$B$1000=$A124)*Final_Merged_Data!$H$2:$H$1000*Final_Merged_Data!$F$2:$F$1000)/F124</f>
        <v>3.81</v>
      </c>
      <c r="I124" cm="1">
        <f t="array" ref="I124">SUMPRODUCT((Final_Merged_Data!$B$2:$B$1000=$A124)*Final_Merged_Data!$I$2:$I$1000*Final_Merged_Data!$F$2:$F$1000)/F124</f>
        <v>54.66</v>
      </c>
      <c r="J124" t="str" cm="1">
        <f t="array" ref="J124">_xlfn.TEXTJOIN(", ",TRUE,_xlfn.UNIQUE(_xlfn._xlws.FILTER(Final_Merged_Data!$J$2:$J$1000,Final_Merged_Data!$B$2:$B$1000=$A124)))</f>
        <v>Mymensingh Range</v>
      </c>
      <c r="K124" cm="1">
        <f t="array" ref="K124">SUMPRODUCT((Final_Merged_Data!$B$2:$B$1000=$A124)*Final_Merged_Data!$K$2:$K$1000*Final_Merged_Data!$F$2:$F$1000)/F124</f>
        <v>84.741263899591743</v>
      </c>
      <c r="L124" cm="1">
        <f t="array" ref="L124">SUMPRODUCT((Final_Merged_Data!$B$2:$B$1000=$A124)*Final_Merged_Data!$L$2:$L$1000*Final_Merged_Data!$F$2:$F$1000)/F124</f>
        <v>13.63549101550381</v>
      </c>
      <c r="M124" t="str">
        <f>IF(COUNTIF(Master_Data!$C:$C,$A124)&gt;0,"Found","Missing")</f>
        <v>Found</v>
      </c>
      <c r="N124" t="str">
        <f>_xlfn.XLOOKUP($A124,Master_Data!$C:$C,Master_Data!$D:$D,"CHECK",0)</f>
        <v>A. E. Sultan Mahmud Babu</v>
      </c>
      <c r="O124" t="str">
        <f>_xlfn.XLOOKUP($A124,Master_Data!$C:$C,Master_Data!$E:$E,"CHECK",0)</f>
        <v>BNP</v>
      </c>
      <c r="P124">
        <f>_xlfn.XLOOKUP($A124,Master_Data!$C:$C,Master_Data!$F:$F,"CHECK",0)</f>
        <v>1</v>
      </c>
      <c r="Q124">
        <f>_xlfn.XLOOKUP($A124,Master_Data!$C:$C,Master_Data!$G:$G,"CHECK",0)</f>
        <v>95860</v>
      </c>
      <c r="R124">
        <f>IFERROR(_xlfn.XLOOKUP($A124,Master_Data!$C:$C,Master_Data!$H:$H,"CHECK",0),"")</f>
        <v>60.558201826980174</v>
      </c>
      <c r="S124" t="str">
        <f>_xlfn.XLOOKUP($A124,Master_Data!$C:$C,Master_Data!$I:$I,"CHECK",0)</f>
        <v>Md. Shamiul Haque</v>
      </c>
      <c r="T124">
        <f>_xlfn.XLOOKUP($A124,Master_Data!$C:$C,Master_Data!$K:$K,"CHECK",0)</f>
        <v>62434</v>
      </c>
      <c r="U124">
        <f>IFERROR(_xlfn.XLOOKUP($A124,Master_Data!$C:$C,Master_Data!$L:$L,"CHECK",0),"")</f>
        <v>39.441798173019826</v>
      </c>
      <c r="V124">
        <f>_xlfn.XLOOKUP($A124,Master_Data!$C:$C,Master_Data!$M:$M,"CHECK",0)</f>
        <v>33426</v>
      </c>
      <c r="W124">
        <f>IFERROR(_xlfn.XLOOKUP($A124,Master_Data!$C:$C,Master_Data!$N:$N,"CHECK",0),"")</f>
        <v>21.116403653960354</v>
      </c>
      <c r="X124" t="str">
        <f>IFERROR(_xlfn.XLOOKUP($A124,Master_Data!$C:$C,Master_Data!$O:$O,"CHECK",0),"No Result")</f>
        <v>Safe Seat</v>
      </c>
      <c r="Y124">
        <f>_xlfn.XLOOKUP($A124,Master_Data!$C:$C,Master_Data!$P:$P,"CHECK",0)</f>
        <v>0</v>
      </c>
      <c r="Z124">
        <f t="shared" si="3"/>
        <v>1</v>
      </c>
      <c r="AA124">
        <f>_xlfn.XLOOKUP(B124,Remittance_Data!A:A,Remittance_Data!B:B,"CHECK")</f>
        <v>23323</v>
      </c>
      <c r="AB124">
        <f>_xlfn.XLOOKUP(B124,Remittance_Data!A:A,Remittance_Data!C:C,"CHECK")</f>
        <v>18815</v>
      </c>
      <c r="AC124">
        <f>_xlfn.XLOOKUP(B124,Remittance_Data!A:A,Remittance_Data!D:D,"CHECK")</f>
        <v>4508</v>
      </c>
    </row>
    <row r="125" spans="1:29">
      <c r="A125" t="str">
        <v>Jamalpur-3</v>
      </c>
      <c r="B125" t="str" cm="1">
        <f t="array" ref="B1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Nawabganj","Chapainawabganj"),Final_Merged_Data!$B$2:$B$1000=$A125)))</f>
        <v>Jamalpur</v>
      </c>
      <c r="C125" t="str" cm="1">
        <f t="array" ref="C125">_xlfn.TEXTJOIN(", ",TRUE,_xlfn._xlws.FILTER(Final_Merged_Data!$C$2:$C$1000,Final_Merged_Data!$B$2:$B$1000=$A125))</f>
        <v>Jamalpur Sadar</v>
      </c>
      <c r="D125" cm="1">
        <f t="array" ref="D125">COUNTA(_xlfn._xlws.FILTER(Final_Merged_Data!$C$2:$C$1000,Final_Merged_Data!$B$2:$B$1000=$A125))</f>
        <v>1</v>
      </c>
      <c r="E125">
        <f>SUMIFS(Final_Merged_Data!$E:$E,Final_Merged_Data!$B:$B,$A125)</f>
        <v>489.56</v>
      </c>
      <c r="F125">
        <f>SUMIFS(Final_Merged_Data!$F:$F,Final_Merged_Data!$B:$B,$A125)</f>
        <v>668212</v>
      </c>
      <c r="G125">
        <f t="shared" si="2"/>
        <v>1364.9236048696789</v>
      </c>
      <c r="H125" cm="1">
        <f t="array" ref="H125">SUMPRODUCT((Final_Merged_Data!$B$2:$B$1000=$A125)*Final_Merged_Data!$H$2:$H$1000*Final_Merged_Data!$F$2:$F$1000)/F125</f>
        <v>3.75</v>
      </c>
      <c r="I125" cm="1">
        <f t="array" ref="I125">SUMPRODUCT((Final_Merged_Data!$B$2:$B$1000=$A125)*Final_Merged_Data!$I$2:$I$1000*Final_Merged_Data!$F$2:$F$1000)/F125</f>
        <v>67.41</v>
      </c>
      <c r="J125" t="str" cm="1">
        <f t="array" ref="J125">_xlfn.TEXTJOIN(", ",TRUE,_xlfn.UNIQUE(_xlfn._xlws.FILTER(Final_Merged_Data!$J$2:$J$1000,Final_Merged_Data!$B$2:$B$1000=$A125)))</f>
        <v>Mymensingh Range</v>
      </c>
      <c r="K125" cm="1">
        <f t="array" ref="K125">SUMPRODUCT((Final_Merged_Data!$B$2:$B$1000=$A125)*Final_Merged_Data!$K$2:$K$1000*Final_Merged_Data!$F$2:$F$1000)/F125</f>
        <v>84.741263899591743</v>
      </c>
      <c r="L125" cm="1">
        <f t="array" ref="L125">SUMPRODUCT((Final_Merged_Data!$B$2:$B$1000=$A125)*Final_Merged_Data!$L$2:$L$1000*Final_Merged_Data!$F$2:$F$1000)/F125</f>
        <v>13.635491015503808</v>
      </c>
      <c r="M125" t="str">
        <f>IF(COUNTIF(Master_Data!$C:$C,$A125)&gt;0,"Found","Missing")</f>
        <v>Found</v>
      </c>
      <c r="N125" t="str">
        <f>_xlfn.XLOOKUP($A125,Master_Data!$C:$C,Master_Data!$D:$D,"CHECK",0)</f>
        <v>Md. Mostafizur Rahman Babul</v>
      </c>
      <c r="O125" t="str">
        <f>_xlfn.XLOOKUP($A125,Master_Data!$C:$C,Master_Data!$E:$E,"CHECK",0)</f>
        <v>BNP</v>
      </c>
      <c r="P125">
        <f>_xlfn.XLOOKUP($A125,Master_Data!$C:$C,Master_Data!$F:$F,"CHECK",0)</f>
        <v>1</v>
      </c>
      <c r="Q125">
        <f>_xlfn.XLOOKUP($A125,Master_Data!$C:$C,Master_Data!$G:$G,"CHECK",0)</f>
        <v>207412</v>
      </c>
      <c r="R125">
        <f>IFERROR(_xlfn.XLOOKUP($A125,Master_Data!$C:$C,Master_Data!$H:$H,"CHECK",0),"")</f>
        <v>71.808116548147424</v>
      </c>
      <c r="S125" t="str">
        <f>_xlfn.XLOOKUP($A125,Master_Data!$C:$C,Master_Data!$I:$I,"CHECK",0)</f>
        <v>Md. Mujibur Rahman Azadi</v>
      </c>
      <c r="T125">
        <f>_xlfn.XLOOKUP($A125,Master_Data!$C:$C,Master_Data!$K:$K,"CHECK",0)</f>
        <v>81430</v>
      </c>
      <c r="U125">
        <f>IFERROR(_xlfn.XLOOKUP($A125,Master_Data!$C:$C,Master_Data!$L:$L,"CHECK",0),"")</f>
        <v>28.191883451852568</v>
      </c>
      <c r="V125">
        <f>_xlfn.XLOOKUP($A125,Master_Data!$C:$C,Master_Data!$M:$M,"CHECK",0)</f>
        <v>125982</v>
      </c>
      <c r="W125">
        <f>IFERROR(_xlfn.XLOOKUP($A125,Master_Data!$C:$C,Master_Data!$N:$N,"CHECK",0),"")</f>
        <v>43.616233096294863</v>
      </c>
      <c r="X125" t="str">
        <f>IFERROR(_xlfn.XLOOKUP($A125,Master_Data!$C:$C,Master_Data!$O:$O,"CHECK",0),"No Result")</f>
        <v>Safe Seat</v>
      </c>
      <c r="Y125">
        <f>_xlfn.XLOOKUP($A125,Master_Data!$C:$C,Master_Data!$P:$P,"CHECK",0)</f>
        <v>0</v>
      </c>
      <c r="Z125">
        <f t="shared" si="3"/>
        <v>1</v>
      </c>
      <c r="AA125">
        <f>_xlfn.XLOOKUP(B125,Remittance_Data!A:A,Remittance_Data!B:B,"CHECK")</f>
        <v>23323</v>
      </c>
      <c r="AB125">
        <f>_xlfn.XLOOKUP(B125,Remittance_Data!A:A,Remittance_Data!C:C,"CHECK")</f>
        <v>18815</v>
      </c>
      <c r="AC125">
        <f>_xlfn.XLOOKUP(B125,Remittance_Data!A:A,Remittance_Data!D:D,"CHECK")</f>
        <v>4508</v>
      </c>
    </row>
    <row r="126" spans="1:29">
      <c r="A126" t="str">
        <v>Jamalpur-4</v>
      </c>
      <c r="B126" t="str" cm="1">
        <f t="array" ref="B1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Nawabganj","Chapainawabganj"),Final_Merged_Data!$B$2:$B$1000=$A126)))</f>
        <v>Jamalpur</v>
      </c>
      <c r="C126" t="str" cm="1">
        <f t="array" ref="C126">_xlfn.TEXTJOIN(", ",TRUE,_xlfn._xlws.FILTER(Final_Merged_Data!$C$2:$C$1000,Final_Merged_Data!$B$2:$B$1000=$A126))</f>
        <v>Sarishabari</v>
      </c>
      <c r="D126" cm="1">
        <f t="array" ref="D126">COUNTA(_xlfn._xlws.FILTER(Final_Merged_Data!$C$2:$C$1000,Final_Merged_Data!$B$2:$B$1000=$A126))</f>
        <v>1</v>
      </c>
      <c r="E126">
        <f>SUMIFS(Final_Merged_Data!$E:$E,Final_Merged_Data!$B:$B,$A126)</f>
        <v>263.5</v>
      </c>
      <c r="F126">
        <f>SUMIFS(Final_Merged_Data!$F:$F,Final_Merged_Data!$B:$B,$A126)</f>
        <v>343161</v>
      </c>
      <c r="G126">
        <f t="shared" si="2"/>
        <v>1302.3187855787476</v>
      </c>
      <c r="H126" cm="1">
        <f t="array" ref="H126">SUMPRODUCT((Final_Merged_Data!$B$2:$B$1000=$A126)*Final_Merged_Data!$H$2:$H$1000*Final_Merged_Data!$F$2:$F$1000)/F126</f>
        <v>3.84</v>
      </c>
      <c r="I126" cm="1">
        <f t="array" ref="I126">SUMPRODUCT((Final_Merged_Data!$B$2:$B$1000=$A126)*Final_Merged_Data!$I$2:$I$1000*Final_Merged_Data!$F$2:$F$1000)/F126</f>
        <v>64.42</v>
      </c>
      <c r="J126" t="str" cm="1">
        <f t="array" ref="J126">_xlfn.TEXTJOIN(", ",TRUE,_xlfn.UNIQUE(_xlfn._xlws.FILTER(Final_Merged_Data!$J$2:$J$1000,Final_Merged_Data!$B$2:$B$1000=$A126)))</f>
        <v>Mymensingh Range</v>
      </c>
      <c r="K126" cm="1">
        <f t="array" ref="K126">SUMPRODUCT((Final_Merged_Data!$B$2:$B$1000=$A126)*Final_Merged_Data!$K$2:$K$1000*Final_Merged_Data!$F$2:$F$1000)/F126</f>
        <v>84.741263899591743</v>
      </c>
      <c r="L126" cm="1">
        <f t="array" ref="L126">SUMPRODUCT((Final_Merged_Data!$B$2:$B$1000=$A126)*Final_Merged_Data!$L$2:$L$1000*Final_Merged_Data!$F$2:$F$1000)/F126</f>
        <v>13.635491015503808</v>
      </c>
      <c r="M126" t="str">
        <f>IF(COUNTIF(Master_Data!$C:$C,$A126)&gt;0,"Found","Missing")</f>
        <v>Found</v>
      </c>
      <c r="N126" t="str">
        <f>_xlfn.XLOOKUP($A126,Master_Data!$C:$C,Master_Data!$D:$D,"CHECK",0)</f>
        <v>Md. Faridul Kabir Talukder</v>
      </c>
      <c r="O126" t="str">
        <f>_xlfn.XLOOKUP($A126,Master_Data!$C:$C,Master_Data!$E:$E,"CHECK",0)</f>
        <v>BNP</v>
      </c>
      <c r="P126">
        <f>_xlfn.XLOOKUP($A126,Master_Data!$C:$C,Master_Data!$F:$F,"CHECK",0)</f>
        <v>1</v>
      </c>
      <c r="Q126">
        <f>_xlfn.XLOOKUP($A126,Master_Data!$C:$C,Master_Data!$G:$G,"CHECK",0)</f>
        <v>147406</v>
      </c>
      <c r="R126">
        <f>IFERROR(_xlfn.XLOOKUP($A126,Master_Data!$C:$C,Master_Data!$H:$H,"CHECK",0),"")</f>
        <v>76.633065249827141</v>
      </c>
      <c r="S126" t="str">
        <f>_xlfn.XLOOKUP($A126,Master_Data!$C:$C,Master_Data!$I:$I,"CHECK",0)</f>
        <v>Mohammad Abdul Awal</v>
      </c>
      <c r="T126">
        <f>_xlfn.XLOOKUP($A126,Master_Data!$C:$C,Master_Data!$K:$K,"CHECK",0)</f>
        <v>44947</v>
      </c>
      <c r="U126">
        <f>IFERROR(_xlfn.XLOOKUP($A126,Master_Data!$C:$C,Master_Data!$L:$L,"CHECK",0),"")</f>
        <v>23.366934750172859</v>
      </c>
      <c r="V126">
        <f>_xlfn.XLOOKUP($A126,Master_Data!$C:$C,Master_Data!$M:$M,"CHECK",0)</f>
        <v>102459</v>
      </c>
      <c r="W126">
        <f>IFERROR(_xlfn.XLOOKUP($A126,Master_Data!$C:$C,Master_Data!$N:$N,"CHECK",0),"")</f>
        <v>53.266130499654288</v>
      </c>
      <c r="X126" t="str">
        <f>IFERROR(_xlfn.XLOOKUP($A126,Master_Data!$C:$C,Master_Data!$O:$O,"CHECK",0),"No Result")</f>
        <v>Safe Seat</v>
      </c>
      <c r="Y126">
        <f>_xlfn.XLOOKUP($A126,Master_Data!$C:$C,Master_Data!$P:$P,"CHECK",0)</f>
        <v>0</v>
      </c>
      <c r="Z126">
        <f t="shared" si="3"/>
        <v>1</v>
      </c>
      <c r="AA126">
        <f>_xlfn.XLOOKUP(B126,Remittance_Data!A:A,Remittance_Data!B:B,"CHECK")</f>
        <v>23323</v>
      </c>
      <c r="AB126">
        <f>_xlfn.XLOOKUP(B126,Remittance_Data!A:A,Remittance_Data!C:C,"CHECK")</f>
        <v>18815</v>
      </c>
      <c r="AC126">
        <f>_xlfn.XLOOKUP(B126,Remittance_Data!A:A,Remittance_Data!D:D,"CHECK")</f>
        <v>4508</v>
      </c>
    </row>
    <row r="127" spans="1:29">
      <c r="A127" t="str">
        <v>Jamalpur-5</v>
      </c>
      <c r="B127" t="str" cm="1">
        <f t="array" ref="B1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Nawabganj","Chapainawabganj"),Final_Merged_Data!$B$2:$B$1000=$A127)))</f>
        <v>Jamalpur</v>
      </c>
      <c r="C127" t="str" cm="1">
        <f t="array" ref="C127">_xlfn.TEXTJOIN(", ",TRUE,_xlfn._xlws.FILTER(Final_Merged_Data!$C$2:$C$1000,Final_Merged_Data!$B$2:$B$1000=$A127))</f>
        <v>Melandaha, Madarganj</v>
      </c>
      <c r="D127" cm="1">
        <f t="array" ref="D127">COUNTA(_xlfn._xlws.FILTER(Final_Merged_Data!$C$2:$C$1000,Final_Merged_Data!$B$2:$B$1000=$A127))</f>
        <v>2</v>
      </c>
      <c r="E127">
        <f>SUMIFS(Final_Merged_Data!$E:$E,Final_Merged_Data!$B:$B,$A127)</f>
        <v>670.49</v>
      </c>
      <c r="F127">
        <f>SUMIFS(Final_Merged_Data!$F:$F,Final_Merged_Data!$B:$B,$A127)</f>
        <v>640495</v>
      </c>
      <c r="G127">
        <f t="shared" si="2"/>
        <v>955.26406061238799</v>
      </c>
      <c r="H127" cm="1">
        <f t="array" ref="H127">SUMPRODUCT((Final_Merged_Data!$B$2:$B$1000=$A127)*Final_Merged_Data!$H$2:$H$1000*Final_Merged_Data!$F$2:$F$1000)/F127</f>
        <v>3.8076745329783996</v>
      </c>
      <c r="I127" cm="1">
        <f t="array" ref="I127">SUMPRODUCT((Final_Merged_Data!$B$2:$B$1000=$A127)*Final_Merged_Data!$I$2:$I$1000*Final_Merged_Data!$F$2:$F$1000)/F127</f>
        <v>58.861536873824157</v>
      </c>
      <c r="J127" t="str" cm="1">
        <f t="array" ref="J127">_xlfn.TEXTJOIN(", ",TRUE,_xlfn.UNIQUE(_xlfn._xlws.FILTER(Final_Merged_Data!$J$2:$J$1000,Final_Merged_Data!$B$2:$B$1000=$A127)))</f>
        <v>Mymensingh Range</v>
      </c>
      <c r="K127" cm="1">
        <f t="array" ref="K127">SUMPRODUCT((Final_Merged_Data!$B$2:$B$1000=$A127)*Final_Merged_Data!$K$2:$K$1000*Final_Merged_Data!$F$2:$F$1000)/F127</f>
        <v>84.741263899591743</v>
      </c>
      <c r="L127" cm="1">
        <f t="array" ref="L127">SUMPRODUCT((Final_Merged_Data!$B$2:$B$1000=$A127)*Final_Merged_Data!$L$2:$L$1000*Final_Merged_Data!$F$2:$F$1000)/F127</f>
        <v>13.635491015503808</v>
      </c>
      <c r="M127" t="str">
        <f>IF(COUNTIF(Master_Data!$C:$C,$A127)&gt;0,"Found","Missing")</f>
        <v>Found</v>
      </c>
      <c r="N127" t="str">
        <f>_xlfn.XLOOKUP($A127,Master_Data!$C:$C,Master_Data!$D:$D,"CHECK",0)</f>
        <v>Shah Md Waresh Ali Mamun</v>
      </c>
      <c r="O127" t="str">
        <f>_xlfn.XLOOKUP($A127,Master_Data!$C:$C,Master_Data!$E:$E,"CHECK",0)</f>
        <v>BNP</v>
      </c>
      <c r="P127">
        <f>_xlfn.XLOOKUP($A127,Master_Data!$C:$C,Master_Data!$F:$F,"CHECK",0)</f>
        <v>1</v>
      </c>
      <c r="Q127">
        <f>_xlfn.XLOOKUP($A127,Master_Data!$C:$C,Master_Data!$G:$G,"CHECK",0)</f>
        <v>199344</v>
      </c>
      <c r="R127">
        <f>IFERROR(_xlfn.XLOOKUP($A127,Master_Data!$C:$C,Master_Data!$H:$H,"CHECK",0),"")</f>
        <v>63.780895551040651</v>
      </c>
      <c r="S127" t="str">
        <f>_xlfn.XLOOKUP($A127,Master_Data!$C:$C,Master_Data!$I:$I,"CHECK",0)</f>
        <v>Muhammad Abdus Sattar</v>
      </c>
      <c r="T127">
        <f>_xlfn.XLOOKUP($A127,Master_Data!$C:$C,Master_Data!$K:$K,"CHECK",0)</f>
        <v>113201</v>
      </c>
      <c r="U127">
        <f>IFERROR(_xlfn.XLOOKUP($A127,Master_Data!$C:$C,Master_Data!$L:$L,"CHECK",0),"")</f>
        <v>36.219104448959349</v>
      </c>
      <c r="V127">
        <f>_xlfn.XLOOKUP($A127,Master_Data!$C:$C,Master_Data!$M:$M,"CHECK",0)</f>
        <v>86143</v>
      </c>
      <c r="W127">
        <f>IFERROR(_xlfn.XLOOKUP($A127,Master_Data!$C:$C,Master_Data!$N:$N,"CHECK",0),"")</f>
        <v>27.561791102081301</v>
      </c>
      <c r="X127" t="str">
        <f>IFERROR(_xlfn.XLOOKUP($A127,Master_Data!$C:$C,Master_Data!$O:$O,"CHECK",0),"No Result")</f>
        <v>Safe Seat</v>
      </c>
      <c r="Y127">
        <f>_xlfn.XLOOKUP($A127,Master_Data!$C:$C,Master_Data!$P:$P,"CHECK",0)</f>
        <v>0</v>
      </c>
      <c r="Z127">
        <f t="shared" si="3"/>
        <v>1</v>
      </c>
      <c r="AA127">
        <f>_xlfn.XLOOKUP(B127,Remittance_Data!A:A,Remittance_Data!B:B,"CHECK")</f>
        <v>23323</v>
      </c>
      <c r="AB127">
        <f>_xlfn.XLOOKUP(B127,Remittance_Data!A:A,Remittance_Data!C:C,"CHECK")</f>
        <v>18815</v>
      </c>
      <c r="AC127">
        <f>_xlfn.XLOOKUP(B127,Remittance_Data!A:A,Remittance_Data!D:D,"CHECK")</f>
        <v>4508</v>
      </c>
    </row>
    <row r="128" spans="1:29">
      <c r="A128" t="str">
        <v>Jashore-1</v>
      </c>
      <c r="B128" t="str" cm="1">
        <f t="array" ref="B1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Nawabganj","Chapainawabganj"),Final_Merged_Data!$B$2:$B$1000=$A128)))</f>
        <v>Jashore</v>
      </c>
      <c r="C128" t="str" cm="1">
        <f t="array" ref="C128">_xlfn.TEXTJOIN(", ",TRUE,_xlfn._xlws.FILTER(Final_Merged_Data!$C$2:$C$1000,Final_Merged_Data!$B$2:$B$1000=$A128))</f>
        <v>Sharsha, Bagherpara</v>
      </c>
      <c r="D128" cm="1">
        <f t="array" ref="D128">COUNTA(_xlfn._xlws.FILTER(Final_Merged_Data!$C$2:$C$1000,Final_Merged_Data!$B$2:$B$1000=$A128))</f>
        <v>2</v>
      </c>
      <c r="E128">
        <f>SUMIFS(Final_Merged_Data!$E:$E,Final_Merged_Data!$B:$B,$A128)</f>
        <v>644.56999999999994</v>
      </c>
      <c r="F128">
        <f>SUMIFS(Final_Merged_Data!$F:$F,Final_Merged_Data!$B:$B,$A128)</f>
        <v>625723</v>
      </c>
      <c r="G128">
        <f t="shared" si="2"/>
        <v>970.76035186248203</v>
      </c>
      <c r="H128" cm="1">
        <f t="array" ref="H128">SUMPRODUCT((Final_Merged_Data!$B$2:$B$1000=$A128)*Final_Merged_Data!$H$2:$H$1000*Final_Merged_Data!$F$2:$F$1000)/F128</f>
        <v>3.8184912653042962</v>
      </c>
      <c r="I128" cm="1">
        <f t="array" ref="I128">SUMPRODUCT((Final_Merged_Data!$B$2:$B$1000=$A128)*Final_Merged_Data!$I$2:$I$1000*Final_Merged_Data!$F$2:$F$1000)/F128</f>
        <v>75.747317215445179</v>
      </c>
      <c r="J128" t="str" cm="1">
        <f t="array" ref="J128">_xlfn.TEXTJOIN(", ",TRUE,_xlfn.UNIQUE(_xlfn._xlws.FILTER(Final_Merged_Data!$J$2:$J$1000,Final_Merged_Data!$B$2:$B$1000=$A128)))</f>
        <v>Khulna Range</v>
      </c>
      <c r="K128" cm="1">
        <f t="array" ref="K128">SUMPRODUCT((Final_Merged_Data!$B$2:$B$1000=$A128)*Final_Merged_Data!$K$2:$K$1000*Final_Merged_Data!$F$2:$F$1000)/F128</f>
        <v>102.32166075410298</v>
      </c>
      <c r="L128" cm="1">
        <f t="array" ref="L128">SUMPRODUCT((Final_Merged_Data!$B$2:$B$1000=$A128)*Final_Merged_Data!$L$2:$L$1000*Final_Merged_Data!$F$2:$F$1000)/F128</f>
        <v>12.212237548443921</v>
      </c>
      <c r="M128" t="str">
        <f>IF(COUNTIF(Master_Data!$C:$C,$A128)&gt;0,"Found","Missing")</f>
        <v>Found</v>
      </c>
      <c r="N128" t="str">
        <f>_xlfn.XLOOKUP($A128,Master_Data!$C:$C,Master_Data!$D:$D,"CHECK",0)</f>
        <v>Muhammad Azizur Rahman</v>
      </c>
      <c r="O128" t="str">
        <f>_xlfn.XLOOKUP($A128,Master_Data!$C:$C,Master_Data!$E:$E,"CHECK",0)</f>
        <v>Jamaat</v>
      </c>
      <c r="P128">
        <f>_xlfn.XLOOKUP($A128,Master_Data!$C:$C,Master_Data!$F:$F,"CHECK",0)</f>
        <v>2</v>
      </c>
      <c r="Q128">
        <f>_xlfn.XLOOKUP($A128,Master_Data!$C:$C,Master_Data!$G:$G,"CHECK",0)</f>
        <v>119093</v>
      </c>
      <c r="R128">
        <f>IFERROR(_xlfn.XLOOKUP($A128,Master_Data!$C:$C,Master_Data!$H:$H,"CHECK",0),"")</f>
        <v>56.008183036659062</v>
      </c>
      <c r="S128" t="str">
        <f>_xlfn.XLOOKUP($A128,Master_Data!$C:$C,Master_Data!$I:$I,"CHECK",0)</f>
        <v>Md. Nuruzzaman Liton</v>
      </c>
      <c r="T128">
        <f>_xlfn.XLOOKUP($A128,Master_Data!$C:$C,Master_Data!$K:$K,"CHECK",0)</f>
        <v>93542</v>
      </c>
      <c r="U128">
        <f>IFERROR(_xlfn.XLOOKUP($A128,Master_Data!$C:$C,Master_Data!$L:$L,"CHECK",0),"")</f>
        <v>43.991816963340938</v>
      </c>
      <c r="V128">
        <f>_xlfn.XLOOKUP($A128,Master_Data!$C:$C,Master_Data!$M:$M,"CHECK",0)</f>
        <v>25551</v>
      </c>
      <c r="W128">
        <f>IFERROR(_xlfn.XLOOKUP($A128,Master_Data!$C:$C,Master_Data!$N:$N,"CHECK",0),"")</f>
        <v>12.016366073318126</v>
      </c>
      <c r="X128" t="str">
        <f>IFERROR(_xlfn.XLOOKUP($A128,Master_Data!$C:$C,Master_Data!$O:$O,"CHECK",0),"No Result")</f>
        <v>Safe Seat</v>
      </c>
      <c r="Y128">
        <f>_xlfn.XLOOKUP($A128,Master_Data!$C:$C,Master_Data!$P:$P,"CHECK",0)</f>
        <v>0</v>
      </c>
      <c r="Z128">
        <f t="shared" si="3"/>
        <v>1</v>
      </c>
      <c r="AA128">
        <f>_xlfn.XLOOKUP(B128,Remittance_Data!A:A,Remittance_Data!B:B,"CHECK")</f>
        <v>57950</v>
      </c>
      <c r="AB128">
        <f>_xlfn.XLOOKUP(B128,Remittance_Data!A:A,Remittance_Data!C:C,"CHECK")</f>
        <v>49623</v>
      </c>
      <c r="AC128">
        <f>_xlfn.XLOOKUP(B128,Remittance_Data!A:A,Remittance_Data!D:D,"CHECK")</f>
        <v>8327</v>
      </c>
    </row>
    <row r="129" spans="1:29">
      <c r="A129" t="str">
        <v>Jashore-2</v>
      </c>
      <c r="B129" t="str" cm="1">
        <f t="array" ref="B1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Nawabganj","Chapainawabganj"),Final_Merged_Data!$B$2:$B$1000=$A129)))</f>
        <v>Jashore</v>
      </c>
      <c r="C129" t="str" cm="1">
        <f t="array" ref="C129">_xlfn.TEXTJOIN(", ",TRUE,_xlfn._xlws.FILTER(Final_Merged_Data!$C$2:$C$1000,Final_Merged_Data!$B$2:$B$1000=$A129))</f>
        <v>Chaugachha, Jhikargacha</v>
      </c>
      <c r="D129" cm="1">
        <f t="array" ref="D129">COUNTA(_xlfn._xlws.FILTER(Final_Merged_Data!$C$2:$C$1000,Final_Merged_Data!$B$2:$B$1000=$A129))</f>
        <v>2</v>
      </c>
      <c r="E129">
        <f>SUMIFS(Final_Merged_Data!$E:$E,Final_Merged_Data!$B:$B,$A129)</f>
        <v>473.52</v>
      </c>
      <c r="F129">
        <f>SUMIFS(Final_Merged_Data!$F:$F,Final_Merged_Data!$B:$B,$A129)</f>
        <v>580394</v>
      </c>
      <c r="G129">
        <f t="shared" si="2"/>
        <v>1225.7011319479643</v>
      </c>
      <c r="H129" cm="1">
        <f t="array" ref="H129">SUMPRODUCT((Final_Merged_Data!$B$2:$B$1000=$A129)*Final_Merged_Data!$H$2:$H$1000*Final_Merged_Data!$F$2:$F$1000)/F129</f>
        <v>3.7042308500777055</v>
      </c>
      <c r="I129" cm="1">
        <f t="array" ref="I129">SUMPRODUCT((Final_Merged_Data!$B$2:$B$1000=$A129)*Final_Merged_Data!$I$2:$I$1000*Final_Merged_Data!$F$2:$F$1000)/F129</f>
        <v>75.100196228768723</v>
      </c>
      <c r="J129" t="str" cm="1">
        <f t="array" ref="J129">_xlfn.TEXTJOIN(", ",TRUE,_xlfn.UNIQUE(_xlfn._xlws.FILTER(Final_Merged_Data!$J$2:$J$1000,Final_Merged_Data!$B$2:$B$1000=$A129)))</f>
        <v>Khulna Range</v>
      </c>
      <c r="K129" cm="1">
        <f t="array" ref="K129">SUMPRODUCT((Final_Merged_Data!$B$2:$B$1000=$A129)*Final_Merged_Data!$K$2:$K$1000*Final_Merged_Data!$F$2:$F$1000)/F129</f>
        <v>102.32166075410298</v>
      </c>
      <c r="L129" cm="1">
        <f t="array" ref="L129">SUMPRODUCT((Final_Merged_Data!$B$2:$B$1000=$A129)*Final_Merged_Data!$L$2:$L$1000*Final_Merged_Data!$F$2:$F$1000)/F129</f>
        <v>12.212237548443923</v>
      </c>
      <c r="M129" t="str">
        <f>IF(COUNTIF(Master_Data!$C:$C,$A129)&gt;0,"Found","Missing")</f>
        <v>Found</v>
      </c>
      <c r="N129" t="str">
        <f>_xlfn.XLOOKUP($A129,Master_Data!$C:$C,Master_Data!$D:$D,"CHECK",0)</f>
        <v>Mohammad Moslehuddin Farid</v>
      </c>
      <c r="O129" t="str">
        <f>_xlfn.XLOOKUP($A129,Master_Data!$C:$C,Master_Data!$E:$E,"CHECK",0)</f>
        <v>Jamaat</v>
      </c>
      <c r="P129">
        <f>_xlfn.XLOOKUP($A129,Master_Data!$C:$C,Master_Data!$F:$F,"CHECK",0)</f>
        <v>2</v>
      </c>
      <c r="Q129">
        <f>_xlfn.XLOOKUP($A129,Master_Data!$C:$C,Master_Data!$G:$G,"CHECK",0)</f>
        <v>180965</v>
      </c>
      <c r="R129">
        <f>IFERROR(_xlfn.XLOOKUP($A129,Master_Data!$C:$C,Master_Data!$H:$H,"CHECK",0),"")</f>
        <v>55.271340085274822</v>
      </c>
      <c r="S129" t="str">
        <f>_xlfn.XLOOKUP($A129,Master_Data!$C:$C,Master_Data!$I:$I,"CHECK",0)</f>
        <v>Sabira Sultana</v>
      </c>
      <c r="T129">
        <f>_xlfn.XLOOKUP($A129,Master_Data!$C:$C,Master_Data!$K:$K,"CHECK",0)</f>
        <v>146447</v>
      </c>
      <c r="U129">
        <f>IFERROR(_xlfn.XLOOKUP($A129,Master_Data!$C:$C,Master_Data!$L:$L,"CHECK",0),"")</f>
        <v>44.728659914725178</v>
      </c>
      <c r="V129">
        <f>_xlfn.XLOOKUP($A129,Master_Data!$C:$C,Master_Data!$M:$M,"CHECK",0)</f>
        <v>34518</v>
      </c>
      <c r="W129">
        <f>IFERROR(_xlfn.XLOOKUP($A129,Master_Data!$C:$C,Master_Data!$N:$N,"CHECK",0),"")</f>
        <v>10.542680170549644</v>
      </c>
      <c r="X129" t="str">
        <f>IFERROR(_xlfn.XLOOKUP($A129,Master_Data!$C:$C,Master_Data!$O:$O,"CHECK",0),"No Result")</f>
        <v>Safe Seat</v>
      </c>
      <c r="Y129">
        <f>_xlfn.XLOOKUP($A129,Master_Data!$C:$C,Master_Data!$P:$P,"CHECK",0)</f>
        <v>0</v>
      </c>
      <c r="Z129">
        <f t="shared" si="3"/>
        <v>1</v>
      </c>
      <c r="AA129">
        <f>_xlfn.XLOOKUP(B129,Remittance_Data!A:A,Remittance_Data!B:B,"CHECK")</f>
        <v>57950</v>
      </c>
      <c r="AB129">
        <f>_xlfn.XLOOKUP(B129,Remittance_Data!A:A,Remittance_Data!C:C,"CHECK")</f>
        <v>49623</v>
      </c>
      <c r="AC129">
        <f>_xlfn.XLOOKUP(B129,Remittance_Data!A:A,Remittance_Data!D:D,"CHECK")</f>
        <v>8327</v>
      </c>
    </row>
    <row r="130" spans="1:29">
      <c r="A130" t="str">
        <v>Jashore-3</v>
      </c>
      <c r="B130" t="str" cm="1">
        <f t="array" ref="B1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Nawabganj","Chapainawabganj"),Final_Merged_Data!$B$2:$B$1000=$A130)))</f>
        <v>Jashore</v>
      </c>
      <c r="C130" t="str" cm="1">
        <f t="array" ref="C130">_xlfn.TEXTJOIN(", ",TRUE,_xlfn._xlws.FILTER(Final_Merged_Data!$C$2:$C$1000,Final_Merged_Data!$B$2:$B$1000=$A130))</f>
        <v>Jessore Sadar</v>
      </c>
      <c r="D130" cm="1">
        <f t="array" ref="D130">COUNTA(_xlfn._xlws.FILTER(Final_Merged_Data!$C$2:$C$1000,Final_Merged_Data!$B$2:$B$1000=$A130))</f>
        <v>1</v>
      </c>
      <c r="E130">
        <f>SUMIFS(Final_Merged_Data!$E:$E,Final_Merged_Data!$B:$B,$A130)</f>
        <v>444.72</v>
      </c>
      <c r="F130">
        <f>SUMIFS(Final_Merged_Data!$F:$F,Final_Merged_Data!$B:$B,$A130)</f>
        <v>844323</v>
      </c>
      <c r="G130">
        <f t="shared" si="2"/>
        <v>1898.549649217485</v>
      </c>
      <c r="H130" cm="1">
        <f t="array" ref="H130">SUMPRODUCT((Final_Merged_Data!$B$2:$B$1000=$A130)*Final_Merged_Data!$H$2:$H$1000*Final_Merged_Data!$F$2:$F$1000)/F130</f>
        <v>3.8299999999999996</v>
      </c>
      <c r="I130" cm="1">
        <f t="array" ref="I130">SUMPRODUCT((Final_Merged_Data!$B$2:$B$1000=$A130)*Final_Merged_Data!$I$2:$I$1000*Final_Merged_Data!$F$2:$F$1000)/F130</f>
        <v>81.739999999999995</v>
      </c>
      <c r="J130" t="str" cm="1">
        <f t="array" ref="J130">_xlfn.TEXTJOIN(", ",TRUE,_xlfn.UNIQUE(_xlfn._xlws.FILTER(Final_Merged_Data!$J$2:$J$1000,Final_Merged_Data!$B$2:$B$1000=$A130)))</f>
        <v>Khulna Range</v>
      </c>
      <c r="K130" cm="1">
        <f t="array" ref="K130">SUMPRODUCT((Final_Merged_Data!$B$2:$B$1000=$A130)*Final_Merged_Data!$K$2:$K$1000*Final_Merged_Data!$F$2:$F$1000)/F130</f>
        <v>102.32166075410299</v>
      </c>
      <c r="L130" cm="1">
        <f t="array" ref="L130">SUMPRODUCT((Final_Merged_Data!$B$2:$B$1000=$A130)*Final_Merged_Data!$L$2:$L$1000*Final_Merged_Data!$F$2:$F$1000)/F130</f>
        <v>12.212237548443921</v>
      </c>
      <c r="M130" t="str">
        <f>IF(COUNTIF(Master_Data!$C:$C,$A130)&gt;0,"Found","Missing")</f>
        <v>Found</v>
      </c>
      <c r="N130" t="str">
        <f>_xlfn.XLOOKUP($A130,Master_Data!$C:$C,Master_Data!$D:$D,"CHECK",0)</f>
        <v>Anindya Islam Amit</v>
      </c>
      <c r="O130" t="str">
        <f>_xlfn.XLOOKUP($A130,Master_Data!$C:$C,Master_Data!$E:$E,"CHECK",0)</f>
        <v>BNP</v>
      </c>
      <c r="P130">
        <f>_xlfn.XLOOKUP($A130,Master_Data!$C:$C,Master_Data!$F:$F,"CHECK",0)</f>
        <v>1</v>
      </c>
      <c r="Q130">
        <f>_xlfn.XLOOKUP($A130,Master_Data!$C:$C,Master_Data!$G:$G,"CHECK",0)</f>
        <v>201339</v>
      </c>
      <c r="R130">
        <f>IFERROR(_xlfn.XLOOKUP($A130,Master_Data!$C:$C,Master_Data!$H:$H,"CHECK",0),"")</f>
        <v>51.784455841276532</v>
      </c>
      <c r="S130" t="str">
        <f>_xlfn.XLOOKUP($A130,Master_Data!$C:$C,Master_Data!$I:$I,"CHECK",0)</f>
        <v>Md. Abdul Quader</v>
      </c>
      <c r="T130">
        <f>_xlfn.XLOOKUP($A130,Master_Data!$C:$C,Master_Data!$K:$K,"CHECK",0)</f>
        <v>187463</v>
      </c>
      <c r="U130">
        <f>IFERROR(_xlfn.XLOOKUP($A130,Master_Data!$C:$C,Master_Data!$L:$L,"CHECK",0),"")</f>
        <v>48.215544158723461</v>
      </c>
      <c r="V130">
        <f>_xlfn.XLOOKUP($A130,Master_Data!$C:$C,Master_Data!$M:$M,"CHECK",0)</f>
        <v>13876</v>
      </c>
      <c r="W130">
        <f>IFERROR(_xlfn.XLOOKUP($A130,Master_Data!$C:$C,Master_Data!$N:$N,"CHECK",0),"")</f>
        <v>3.5689116825530736</v>
      </c>
      <c r="X130" t="str">
        <f>IFERROR(_xlfn.XLOOKUP($A130,Master_Data!$C:$C,Master_Data!$O:$O,"CHECK",0),"No Result")</f>
        <v>Highly Competitive</v>
      </c>
      <c r="Y130">
        <f>_xlfn.XLOOKUP($A130,Master_Data!$C:$C,Master_Data!$P:$P,"CHECK",0)</f>
        <v>0</v>
      </c>
      <c r="Z130">
        <f t="shared" si="3"/>
        <v>1</v>
      </c>
      <c r="AA130">
        <f>_xlfn.XLOOKUP(B130,Remittance_Data!A:A,Remittance_Data!B:B,"CHECK")</f>
        <v>57950</v>
      </c>
      <c r="AB130">
        <f>_xlfn.XLOOKUP(B130,Remittance_Data!A:A,Remittance_Data!C:C,"CHECK")</f>
        <v>49623</v>
      </c>
      <c r="AC130">
        <f>_xlfn.XLOOKUP(B130,Remittance_Data!A:A,Remittance_Data!D:D,"CHECK")</f>
        <v>8327</v>
      </c>
    </row>
    <row r="131" spans="1:29">
      <c r="A131" t="str">
        <v>Jashore-4</v>
      </c>
      <c r="B131" t="str" cm="1">
        <f t="array" ref="B1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Nawabganj","Chapainawabganj"),Final_Merged_Data!$B$2:$B$1000=$A131)))</f>
        <v>Jashore</v>
      </c>
      <c r="C131" t="str" cm="1">
        <f t="array" ref="C131">_xlfn.TEXTJOIN(", ",TRUE,_xlfn._xlws.FILTER(Final_Merged_Data!$C$2:$C$1000,Final_Merged_Data!$B$2:$B$1000=$A131))</f>
        <v>Abhaynagar</v>
      </c>
      <c r="D131" cm="1">
        <f t="array" ref="D131">COUNTA(_xlfn._xlws.FILTER(Final_Merged_Data!$C$2:$C$1000,Final_Merged_Data!$B$2:$B$1000=$A131))</f>
        <v>1</v>
      </c>
      <c r="E131">
        <f>SUMIFS(Final_Merged_Data!$E:$E,Final_Merged_Data!$B:$B,$A131)</f>
        <v>216</v>
      </c>
      <c r="F131">
        <f>SUMIFS(Final_Merged_Data!$F:$F,Final_Merged_Data!$B:$B,$A131)</f>
        <v>290136</v>
      </c>
      <c r="G131">
        <f t="shared" ref="G131:G194" si="4">IF(E131=0,"",F131/E131)</f>
        <v>1343.2222222222222</v>
      </c>
      <c r="H131" cm="1">
        <f t="array" ref="H131">SUMPRODUCT((Final_Merged_Data!$B$2:$B$1000=$A131)*Final_Merged_Data!$H$2:$H$1000*Final_Merged_Data!$F$2:$F$1000)/F131</f>
        <v>3.86</v>
      </c>
      <c r="I131" cm="1">
        <f t="array" ref="I131">SUMPRODUCT((Final_Merged_Data!$B$2:$B$1000=$A131)*Final_Merged_Data!$I$2:$I$1000*Final_Merged_Data!$F$2:$F$1000)/F131</f>
        <v>77.760000000000005</v>
      </c>
      <c r="J131" t="str" cm="1">
        <f t="array" ref="J131">_xlfn.TEXTJOIN(", ",TRUE,_xlfn.UNIQUE(_xlfn._xlws.FILTER(Final_Merged_Data!$J$2:$J$1000,Final_Merged_Data!$B$2:$B$1000=$A131)))</f>
        <v>Khulna Range</v>
      </c>
      <c r="K131" cm="1">
        <f t="array" ref="K131">SUMPRODUCT((Final_Merged_Data!$B$2:$B$1000=$A131)*Final_Merged_Data!$K$2:$K$1000*Final_Merged_Data!$F$2:$F$1000)/F131</f>
        <v>102.32166075410298</v>
      </c>
      <c r="L131" cm="1">
        <f t="array" ref="L131">SUMPRODUCT((Final_Merged_Data!$B$2:$B$1000=$A131)*Final_Merged_Data!$L$2:$L$1000*Final_Merged_Data!$F$2:$F$1000)/F131</f>
        <v>12.212237548443923</v>
      </c>
      <c r="M131" t="str">
        <f>IF(COUNTIF(Master_Data!$C:$C,$A131)&gt;0,"Found","Missing")</f>
        <v>Found</v>
      </c>
      <c r="N131" t="str">
        <f>_xlfn.XLOOKUP($A131,Master_Data!$C:$C,Master_Data!$D:$D,"CHECK",0)</f>
        <v>Ghulam Rasul</v>
      </c>
      <c r="O131" t="str">
        <f>_xlfn.XLOOKUP($A131,Master_Data!$C:$C,Master_Data!$E:$E,"CHECK",0)</f>
        <v>Jamaat</v>
      </c>
      <c r="P131">
        <f>_xlfn.XLOOKUP($A131,Master_Data!$C:$C,Master_Data!$F:$F,"CHECK",0)</f>
        <v>2</v>
      </c>
      <c r="Q131">
        <f>_xlfn.XLOOKUP($A131,Master_Data!$C:$C,Master_Data!$G:$G,"CHECK",0)</f>
        <v>176912</v>
      </c>
      <c r="R131">
        <f>IFERROR(_xlfn.XLOOKUP($A131,Master_Data!$C:$C,Master_Data!$H:$H,"CHECK",0),"")</f>
        <v>57.284775717306346</v>
      </c>
      <c r="S131" t="str">
        <f>_xlfn.XLOOKUP($A131,Master_Data!$C:$C,Master_Data!$I:$I,"CHECK",0)</f>
        <v>Mujibur Rahman Khokon</v>
      </c>
      <c r="T131">
        <f>_xlfn.XLOOKUP($A131,Master_Data!$C:$C,Master_Data!$K:$K,"CHECK",0)</f>
        <v>131917</v>
      </c>
      <c r="U131">
        <f>IFERROR(_xlfn.XLOOKUP($A131,Master_Data!$C:$C,Master_Data!$L:$L,"CHECK",0),"")</f>
        <v>42.715224282693661</v>
      </c>
      <c r="V131">
        <f>_xlfn.XLOOKUP($A131,Master_Data!$C:$C,Master_Data!$M:$M,"CHECK",0)</f>
        <v>44995</v>
      </c>
      <c r="W131">
        <f>IFERROR(_xlfn.XLOOKUP($A131,Master_Data!$C:$C,Master_Data!$N:$N,"CHECK",0),"")</f>
        <v>14.569551434612682</v>
      </c>
      <c r="X131" t="str">
        <f>IFERROR(_xlfn.XLOOKUP($A131,Master_Data!$C:$C,Master_Data!$O:$O,"CHECK",0),"No Result")</f>
        <v>Safe Seat</v>
      </c>
      <c r="Y131">
        <f>_xlfn.XLOOKUP($A131,Master_Data!$C:$C,Master_Data!$P:$P,"CHECK",0)</f>
        <v>0</v>
      </c>
      <c r="Z131">
        <f t="shared" ref="Z131:Z194" si="5">IF(OR(R131="",Y131="No Result",N131="Election postponed",N131="Result withheld"),0,1)</f>
        <v>1</v>
      </c>
      <c r="AA131">
        <f>_xlfn.XLOOKUP(B131,Remittance_Data!A:A,Remittance_Data!B:B,"CHECK")</f>
        <v>57950</v>
      </c>
      <c r="AB131">
        <f>_xlfn.XLOOKUP(B131,Remittance_Data!A:A,Remittance_Data!C:C,"CHECK")</f>
        <v>49623</v>
      </c>
      <c r="AC131">
        <f>_xlfn.XLOOKUP(B131,Remittance_Data!A:A,Remittance_Data!D:D,"CHECK")</f>
        <v>8327</v>
      </c>
    </row>
    <row r="132" spans="1:29">
      <c r="A132" t="str">
        <v>Jashore-5</v>
      </c>
      <c r="B132" t="str" cm="1">
        <f t="array" ref="B1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Nawabganj","Chapainawabganj"),Final_Merged_Data!$B$2:$B$1000=$A132)))</f>
        <v>Jashore</v>
      </c>
      <c r="C132" t="str" cm="1">
        <f t="array" ref="C132">_xlfn.TEXTJOIN(", ",TRUE,_xlfn._xlws.FILTER(Final_Merged_Data!$C$2:$C$1000,Final_Merged_Data!$B$2:$B$1000=$A132))</f>
        <v>Monirampur</v>
      </c>
      <c r="D132" cm="1">
        <f t="array" ref="D132">COUNTA(_xlfn._xlws.FILTER(Final_Merged_Data!$C$2:$C$1000,Final_Merged_Data!$B$2:$B$1000=$A132))</f>
        <v>1</v>
      </c>
      <c r="E132">
        <f>SUMIFS(Final_Merged_Data!$E:$E,Final_Merged_Data!$B:$B,$A132)</f>
        <v>240.17</v>
      </c>
      <c r="F132">
        <f>SUMIFS(Final_Merged_Data!$F:$F,Final_Merged_Data!$B:$B,$A132)</f>
        <v>454516</v>
      </c>
      <c r="G132">
        <f t="shared" si="4"/>
        <v>1892.4761627180749</v>
      </c>
      <c r="H132" cm="1">
        <f t="array" ref="H132">SUMPRODUCT((Final_Merged_Data!$B$2:$B$1000=$A132)*Final_Merged_Data!$H$2:$H$1000*Final_Merged_Data!$F$2:$F$1000)/F132</f>
        <v>3.78</v>
      </c>
      <c r="I132" cm="1">
        <f t="array" ref="I132">SUMPRODUCT((Final_Merged_Data!$B$2:$B$1000=$A132)*Final_Merged_Data!$I$2:$I$1000*Final_Merged_Data!$F$2:$F$1000)/F132</f>
        <v>74.19</v>
      </c>
      <c r="J132" t="str" cm="1">
        <f t="array" ref="J132">_xlfn.TEXTJOIN(", ",TRUE,_xlfn.UNIQUE(_xlfn._xlws.FILTER(Final_Merged_Data!$J$2:$J$1000,Final_Merged_Data!$B$2:$B$1000=$A132)))</f>
        <v>Khulna Range</v>
      </c>
      <c r="K132" cm="1">
        <f t="array" ref="K132">SUMPRODUCT((Final_Merged_Data!$B$2:$B$1000=$A132)*Final_Merged_Data!$K$2:$K$1000*Final_Merged_Data!$F$2:$F$1000)/F132</f>
        <v>102.32166075410298</v>
      </c>
      <c r="L132" cm="1">
        <f t="array" ref="L132">SUMPRODUCT((Final_Merged_Data!$B$2:$B$1000=$A132)*Final_Merged_Data!$L$2:$L$1000*Final_Merged_Data!$F$2:$F$1000)/F132</f>
        <v>12.212237548443923</v>
      </c>
      <c r="M132" t="str">
        <f>IF(COUNTIF(Master_Data!$C:$C,$A132)&gt;0,"Found","Missing")</f>
        <v>Found</v>
      </c>
      <c r="N132" t="str">
        <f>_xlfn.XLOOKUP($A132,Master_Data!$C:$C,Master_Data!$D:$D,"CHECK",0)</f>
        <v>Gazi Enamul Haque</v>
      </c>
      <c r="O132" t="str">
        <f>_xlfn.XLOOKUP($A132,Master_Data!$C:$C,Master_Data!$E:$E,"CHECK",0)</f>
        <v>Jamaat</v>
      </c>
      <c r="P132">
        <f>_xlfn.XLOOKUP($A132,Master_Data!$C:$C,Master_Data!$F:$F,"CHECK",0)</f>
        <v>2</v>
      </c>
      <c r="Q132">
        <f>_xlfn.XLOOKUP($A132,Master_Data!$C:$C,Master_Data!$G:$G,"CHECK",0)</f>
        <v>132876</v>
      </c>
      <c r="R132">
        <f>IFERROR(_xlfn.XLOOKUP($A132,Master_Data!$C:$C,Master_Data!$H:$H,"CHECK",0),"")</f>
        <v>60.974389801808911</v>
      </c>
      <c r="S132" t="str">
        <f>_xlfn.XLOOKUP($A132,Master_Data!$C:$C,Master_Data!$I:$I,"CHECK",0)</f>
        <v>Shahid Md. Iqbal Hossain</v>
      </c>
      <c r="T132">
        <f>_xlfn.XLOOKUP($A132,Master_Data!$C:$C,Master_Data!$K:$K,"CHECK",0)</f>
        <v>85045</v>
      </c>
      <c r="U132">
        <f>IFERROR(_xlfn.XLOOKUP($A132,Master_Data!$C:$C,Master_Data!$L:$L,"CHECK",0),"")</f>
        <v>39.025610198191089</v>
      </c>
      <c r="V132">
        <f>_xlfn.XLOOKUP($A132,Master_Data!$C:$C,Master_Data!$M:$M,"CHECK",0)</f>
        <v>47831</v>
      </c>
      <c r="W132">
        <f>IFERROR(_xlfn.XLOOKUP($A132,Master_Data!$C:$C,Master_Data!$N:$N,"CHECK",0),"")</f>
        <v>21.948779603617822</v>
      </c>
      <c r="X132" t="str">
        <f>IFERROR(_xlfn.XLOOKUP($A132,Master_Data!$C:$C,Master_Data!$O:$O,"CHECK",0),"No Result")</f>
        <v>Safe Seat</v>
      </c>
      <c r="Y132">
        <f>_xlfn.XLOOKUP($A132,Master_Data!$C:$C,Master_Data!$P:$P,"CHECK",0)</f>
        <v>0</v>
      </c>
      <c r="Z132">
        <f t="shared" si="5"/>
        <v>1</v>
      </c>
      <c r="AA132">
        <f>_xlfn.XLOOKUP(B132,Remittance_Data!A:A,Remittance_Data!B:B,"CHECK")</f>
        <v>57950</v>
      </c>
      <c r="AB132">
        <f>_xlfn.XLOOKUP(B132,Remittance_Data!A:A,Remittance_Data!C:C,"CHECK")</f>
        <v>49623</v>
      </c>
      <c r="AC132">
        <f>_xlfn.XLOOKUP(B132,Remittance_Data!A:A,Remittance_Data!D:D,"CHECK")</f>
        <v>8327</v>
      </c>
    </row>
    <row r="133" spans="1:29">
      <c r="A133" t="str">
        <v>Jashore-6</v>
      </c>
      <c r="B133" t="str" cm="1">
        <f t="array" ref="B1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Nawabganj","Chapainawabganj"),Final_Merged_Data!$B$2:$B$1000=$A133)))</f>
        <v>Jashore</v>
      </c>
      <c r="C133" t="str" cm="1">
        <f t="array" ref="C133">_xlfn.TEXTJOIN(", ",TRUE,_xlfn._xlws.FILTER(Final_Merged_Data!$C$2:$C$1000,Final_Merged_Data!$B$2:$B$1000=$A133))</f>
        <v>Keshabpur</v>
      </c>
      <c r="D133" cm="1">
        <f t="array" ref="D133">COUNTA(_xlfn._xlws.FILTER(Final_Merged_Data!$C$2:$C$1000,Final_Merged_Data!$B$2:$B$1000=$A133))</f>
        <v>1</v>
      </c>
      <c r="E133">
        <f>SUMIFS(Final_Merged_Data!$E:$E,Final_Merged_Data!$B:$B,$A133)</f>
        <v>258.69</v>
      </c>
      <c r="F133">
        <f>SUMIFS(Final_Merged_Data!$F:$F,Final_Merged_Data!$B:$B,$A133)</f>
        <v>280924</v>
      </c>
      <c r="G133">
        <f t="shared" si="4"/>
        <v>1085.9484324867601</v>
      </c>
      <c r="H133" cm="1">
        <f t="array" ref="H133">SUMPRODUCT((Final_Merged_Data!$B$2:$B$1000=$A133)*Final_Merged_Data!$H$2:$H$1000*Final_Merged_Data!$F$2:$F$1000)/F133</f>
        <v>3.75</v>
      </c>
      <c r="I133" cm="1">
        <f t="array" ref="I133">SUMPRODUCT((Final_Merged_Data!$B$2:$B$1000=$A133)*Final_Merged_Data!$I$2:$I$1000*Final_Merged_Data!$F$2:$F$1000)/F133</f>
        <v>74.05</v>
      </c>
      <c r="J133" t="str" cm="1">
        <f t="array" ref="J133">_xlfn.TEXTJOIN(", ",TRUE,_xlfn.UNIQUE(_xlfn._xlws.FILTER(Final_Merged_Data!$J$2:$J$1000,Final_Merged_Data!$B$2:$B$1000=$A133)))</f>
        <v>Khulna Range</v>
      </c>
      <c r="K133" cm="1">
        <f t="array" ref="K133">SUMPRODUCT((Final_Merged_Data!$B$2:$B$1000=$A133)*Final_Merged_Data!$K$2:$K$1000*Final_Merged_Data!$F$2:$F$1000)/F133</f>
        <v>102.32166075410298</v>
      </c>
      <c r="L133" cm="1">
        <f t="array" ref="L133">SUMPRODUCT((Final_Merged_Data!$B$2:$B$1000=$A133)*Final_Merged_Data!$L$2:$L$1000*Final_Merged_Data!$F$2:$F$1000)/F133</f>
        <v>12.212237548443923</v>
      </c>
      <c r="M133" t="str">
        <f>IF(COUNTIF(Master_Data!$C:$C,$A133)&gt;0,"Found","Missing")</f>
        <v>Found</v>
      </c>
      <c r="N133" t="str">
        <f>_xlfn.XLOOKUP($A133,Master_Data!$C:$C,Master_Data!$D:$D,"CHECK",0)</f>
        <v>Md. Mokhtar Ali</v>
      </c>
      <c r="O133" t="str">
        <f>_xlfn.XLOOKUP($A133,Master_Data!$C:$C,Master_Data!$E:$E,"CHECK",0)</f>
        <v>Jamaat</v>
      </c>
      <c r="P133">
        <f>_xlfn.XLOOKUP($A133,Master_Data!$C:$C,Master_Data!$F:$F,"CHECK",0)</f>
        <v>2</v>
      </c>
      <c r="Q133">
        <f>_xlfn.XLOOKUP($A133,Master_Data!$C:$C,Master_Data!$G:$G,"CHECK",0)</f>
        <v>92234</v>
      </c>
      <c r="R133">
        <f>IFERROR(_xlfn.XLOOKUP($A133,Master_Data!$C:$C,Master_Data!$H:$H,"CHECK",0),"")</f>
        <v>53.507759245830314</v>
      </c>
      <c r="S133" t="str">
        <f>_xlfn.XLOOKUP($A133,Master_Data!$C:$C,Master_Data!$I:$I,"CHECK",0)</f>
        <v>Md. Abul Hossain Azad</v>
      </c>
      <c r="T133">
        <f>_xlfn.XLOOKUP($A133,Master_Data!$C:$C,Master_Data!$K:$K,"CHECK",0)</f>
        <v>80141</v>
      </c>
      <c r="U133">
        <f>IFERROR(_xlfn.XLOOKUP($A133,Master_Data!$C:$C,Master_Data!$L:$L,"CHECK",0),"")</f>
        <v>46.492240754169686</v>
      </c>
      <c r="V133">
        <f>_xlfn.XLOOKUP($A133,Master_Data!$C:$C,Master_Data!$M:$M,"CHECK",0)</f>
        <v>12093</v>
      </c>
      <c r="W133">
        <f>IFERROR(_xlfn.XLOOKUP($A133,Master_Data!$C:$C,Master_Data!$N:$N,"CHECK",0),"")</f>
        <v>7.0155184916606235</v>
      </c>
      <c r="X133" t="str">
        <f>IFERROR(_xlfn.XLOOKUP($A133,Master_Data!$C:$C,Master_Data!$O:$O,"CHECK",0),"No Result")</f>
        <v>Safe Seat</v>
      </c>
      <c r="Y133">
        <f>_xlfn.XLOOKUP($A133,Master_Data!$C:$C,Master_Data!$P:$P,"CHECK",0)</f>
        <v>0</v>
      </c>
      <c r="Z133">
        <f t="shared" si="5"/>
        <v>1</v>
      </c>
      <c r="AA133">
        <f>_xlfn.XLOOKUP(B133,Remittance_Data!A:A,Remittance_Data!B:B,"CHECK")</f>
        <v>57950</v>
      </c>
      <c r="AB133">
        <f>_xlfn.XLOOKUP(B133,Remittance_Data!A:A,Remittance_Data!C:C,"CHECK")</f>
        <v>49623</v>
      </c>
      <c r="AC133">
        <f>_xlfn.XLOOKUP(B133,Remittance_Data!A:A,Remittance_Data!D:D,"CHECK")</f>
        <v>8327</v>
      </c>
    </row>
    <row r="134" spans="1:29">
      <c r="A134" t="str">
        <v>Jhalokati-1</v>
      </c>
      <c r="B134" t="str" cm="1">
        <f t="array" ref="B1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Nawabganj","Chapainawabganj"),Final_Merged_Data!$B$2:$B$1000=$A134)))</f>
        <v>Jhalokati</v>
      </c>
      <c r="C134" t="str" cm="1">
        <f t="array" ref="C134">_xlfn.TEXTJOIN(", ",TRUE,_xlfn._xlws.FILTER(Final_Merged_Data!$C$2:$C$1000,Final_Merged_Data!$B$2:$B$1000=$A134))</f>
        <v>Jhalokati Sadar, Nalchity</v>
      </c>
      <c r="D134" cm="1">
        <f t="array" ref="D134">COUNTA(_xlfn._xlws.FILTER(Final_Merged_Data!$C$2:$C$1000,Final_Merged_Data!$B$2:$B$1000=$A134))</f>
        <v>2</v>
      </c>
      <c r="E134">
        <f>SUMIFS(Final_Merged_Data!$E:$E,Final_Merged_Data!$B:$B,$A134)</f>
        <v>747.31999999999994</v>
      </c>
      <c r="F134">
        <f>SUMIFS(Final_Merged_Data!$F:$F,Final_Merged_Data!$B:$B,$A134)</f>
        <v>404797</v>
      </c>
      <c r="G134">
        <f t="shared" si="4"/>
        <v>541.66488251351495</v>
      </c>
      <c r="H134" cm="1">
        <f t="array" ref="H134">SUMPRODUCT((Final_Merged_Data!$B$2:$B$1000=$A134)*Final_Merged_Data!$H$2:$H$1000*Final_Merged_Data!$F$2:$F$1000)/F134</f>
        <v>4.0677170038315502</v>
      </c>
      <c r="I134" cm="1">
        <f t="array" ref="I134">SUMPRODUCT((Final_Merged_Data!$B$2:$B$1000=$A134)*Final_Merged_Data!$I$2:$I$1000*Final_Merged_Data!$F$2:$F$1000)/F134</f>
        <v>83.499949307924723</v>
      </c>
      <c r="J134" t="str" cm="1">
        <f t="array" ref="J134">_xlfn.TEXTJOIN(", ",TRUE,_xlfn.UNIQUE(_xlfn._xlws.FILTER(Final_Merged_Data!$J$2:$J$1000,Final_Merged_Data!$B$2:$B$1000=$A134)))</f>
        <v>Barishal Range</v>
      </c>
      <c r="K134" cm="1">
        <f t="array" ref="K134">SUMPRODUCT((Final_Merged_Data!$B$2:$B$1000=$A134)*Final_Merged_Data!$K$2:$K$1000*Final_Merged_Data!$F$2:$F$1000)/F134</f>
        <v>112.01964836613053</v>
      </c>
      <c r="L134" cm="1">
        <f t="array" ref="L134">SUMPRODUCT((Final_Merged_Data!$B$2:$B$1000=$A134)*Final_Merged_Data!$L$2:$L$1000*Final_Merged_Data!$F$2:$F$1000)/F134</f>
        <v>22.37167391269287</v>
      </c>
      <c r="M134" t="str">
        <f>IF(COUNTIF(Master_Data!$C:$C,$A134)&gt;0,"Found","Missing")</f>
        <v>Found</v>
      </c>
      <c r="N134" t="str">
        <f>_xlfn.XLOOKUP($A134,Master_Data!$C:$C,Master_Data!$D:$D,"CHECK",0)</f>
        <v>Rafiqul Islam Jamal</v>
      </c>
      <c r="O134" t="str">
        <f>_xlfn.XLOOKUP($A134,Master_Data!$C:$C,Master_Data!$E:$E,"CHECK",0)</f>
        <v>BNP</v>
      </c>
      <c r="P134">
        <f>_xlfn.XLOOKUP($A134,Master_Data!$C:$C,Master_Data!$F:$F,"CHECK",0)</f>
        <v>1</v>
      </c>
      <c r="Q134">
        <f>_xlfn.XLOOKUP($A134,Master_Data!$C:$C,Master_Data!$G:$G,"CHECK",0)</f>
        <v>62010</v>
      </c>
      <c r="R134">
        <f>IFERROR(_xlfn.XLOOKUP($A134,Master_Data!$C:$C,Master_Data!$H:$H,"CHECK",0),"")</f>
        <v>52.941176470588239</v>
      </c>
      <c r="S134" t="str">
        <f>_xlfn.XLOOKUP($A134,Master_Data!$C:$C,Master_Data!$I:$I,"CHECK",0)</f>
        <v>Faizul Haque</v>
      </c>
      <c r="T134">
        <f>_xlfn.XLOOKUP($A134,Master_Data!$C:$C,Master_Data!$K:$K,"CHECK",0)</f>
        <v>55120</v>
      </c>
      <c r="U134">
        <f>IFERROR(_xlfn.XLOOKUP($A134,Master_Data!$C:$C,Master_Data!$L:$L,"CHECK",0),"")</f>
        <v>47.058823529411761</v>
      </c>
      <c r="V134">
        <f>_xlfn.XLOOKUP($A134,Master_Data!$C:$C,Master_Data!$M:$M,"CHECK",0)</f>
        <v>6890</v>
      </c>
      <c r="W134">
        <f>IFERROR(_xlfn.XLOOKUP($A134,Master_Data!$C:$C,Master_Data!$N:$N,"CHECK",0),"")</f>
        <v>5.8823529411764701</v>
      </c>
      <c r="X134" t="str">
        <f>IFERROR(_xlfn.XLOOKUP($A134,Master_Data!$C:$C,Master_Data!$O:$O,"CHECK",0),"No Result")</f>
        <v>Safe Seat</v>
      </c>
      <c r="Y134">
        <f>_xlfn.XLOOKUP($A134,Master_Data!$C:$C,Master_Data!$P:$P,"CHECK",0)</f>
        <v>0</v>
      </c>
      <c r="Z134">
        <f t="shared" si="5"/>
        <v>1</v>
      </c>
      <c r="AA134">
        <f>_xlfn.XLOOKUP(B134,Remittance_Data!A:A,Remittance_Data!B:B,"CHECK")</f>
        <v>11423</v>
      </c>
      <c r="AB134">
        <f>_xlfn.XLOOKUP(B134,Remittance_Data!A:A,Remittance_Data!C:C,"CHECK")</f>
        <v>7841</v>
      </c>
      <c r="AC134">
        <f>_xlfn.XLOOKUP(B134,Remittance_Data!A:A,Remittance_Data!D:D,"CHECK")</f>
        <v>3582</v>
      </c>
    </row>
    <row r="135" spans="1:29">
      <c r="A135" t="str">
        <v>Jhalokati-2</v>
      </c>
      <c r="B135" t="str" cm="1">
        <f t="array" ref="B1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Nawabganj","Chapainawabganj"),Final_Merged_Data!$B$2:$B$1000=$A135)))</f>
        <v>Jhalokati</v>
      </c>
      <c r="C135" t="str" cm="1">
        <f t="array" ref="C135">_xlfn.TEXTJOIN(", ",TRUE,_xlfn._xlws.FILTER(Final_Merged_Data!$C$2:$C$1000,Final_Merged_Data!$B$2:$B$1000=$A135))</f>
        <v>Rajapur, Kathalia</v>
      </c>
      <c r="D135" cm="1">
        <f t="array" ref="D135">COUNTA(_xlfn._xlws.FILTER(Final_Merged_Data!$C$2:$C$1000,Final_Merged_Data!$B$2:$B$1000=$A135))</f>
        <v>2</v>
      </c>
      <c r="E135">
        <f>SUMIFS(Final_Merged_Data!$E:$E,Final_Merged_Data!$B:$B,$A135)</f>
        <v>409.53999999999996</v>
      </c>
      <c r="F135">
        <f>SUMIFS(Final_Merged_Data!$F:$F,Final_Merged_Data!$B:$B,$A135)</f>
        <v>256334</v>
      </c>
      <c r="G135">
        <f t="shared" si="4"/>
        <v>625.90711530009287</v>
      </c>
      <c r="H135" cm="1">
        <f t="array" ref="H135">SUMPRODUCT((Final_Merged_Data!$B$2:$B$1000=$A135)*Final_Merged_Data!$H$2:$H$1000*Final_Merged_Data!$F$2:$F$1000)/F135</f>
        <v>3.9472390318880839</v>
      </c>
      <c r="I135" cm="1">
        <f t="array" ref="I135">SUMPRODUCT((Final_Merged_Data!$B$2:$B$1000=$A135)*Final_Merged_Data!$I$2:$I$1000*Final_Merged_Data!$F$2:$F$1000)/F135</f>
        <v>82.739813680588597</v>
      </c>
      <c r="J135" t="str" cm="1">
        <f t="array" ref="J135">_xlfn.TEXTJOIN(", ",TRUE,_xlfn.UNIQUE(_xlfn._xlws.FILTER(Final_Merged_Data!$J$2:$J$1000,Final_Merged_Data!$B$2:$B$1000=$A135)))</f>
        <v>Barishal Range</v>
      </c>
      <c r="K135" cm="1">
        <f t="array" ref="K135">SUMPRODUCT((Final_Merged_Data!$B$2:$B$1000=$A135)*Final_Merged_Data!$K$2:$K$1000*Final_Merged_Data!$F$2:$F$1000)/F135</f>
        <v>112.01964836613054</v>
      </c>
      <c r="L135" cm="1">
        <f t="array" ref="L135">SUMPRODUCT((Final_Merged_Data!$B$2:$B$1000=$A135)*Final_Merged_Data!$L$2:$L$1000*Final_Merged_Data!$F$2:$F$1000)/F135</f>
        <v>22.37167391269287</v>
      </c>
      <c r="M135" t="str">
        <f>IF(COUNTIF(Master_Data!$C:$C,$A135)&gt;0,"Found","Missing")</f>
        <v>Found</v>
      </c>
      <c r="N135" t="str">
        <f>_xlfn.XLOOKUP($A135,Master_Data!$C:$C,Master_Data!$D:$D,"CHECK",0)</f>
        <v>Israt Sultana Ilein Bhutto</v>
      </c>
      <c r="O135" t="str">
        <f>_xlfn.XLOOKUP($A135,Master_Data!$C:$C,Master_Data!$E:$E,"CHECK",0)</f>
        <v>BNP</v>
      </c>
      <c r="P135">
        <f>_xlfn.XLOOKUP($A135,Master_Data!$C:$C,Master_Data!$F:$F,"CHECK",0)</f>
        <v>1</v>
      </c>
      <c r="Q135">
        <f>_xlfn.XLOOKUP($A135,Master_Data!$C:$C,Master_Data!$G:$G,"CHECK",0)</f>
        <v>113419</v>
      </c>
      <c r="R135">
        <f>IFERROR(_xlfn.XLOOKUP($A135,Master_Data!$C:$C,Master_Data!$H:$H,"CHECK",0),"")</f>
        <v>61.649137111020522</v>
      </c>
      <c r="S135" t="str">
        <f>_xlfn.XLOOKUP($A135,Master_Data!$C:$C,Master_Data!$I:$I,"CHECK",0)</f>
        <v>SM Nayeamul Karim</v>
      </c>
      <c r="T135">
        <f>_xlfn.XLOOKUP($A135,Master_Data!$C:$C,Master_Data!$K:$K,"CHECK",0)</f>
        <v>70556</v>
      </c>
      <c r="U135">
        <f>IFERROR(_xlfn.XLOOKUP($A135,Master_Data!$C:$C,Master_Data!$L:$L,"CHECK",0),"")</f>
        <v>38.350862888979478</v>
      </c>
      <c r="V135">
        <f>_xlfn.XLOOKUP($A135,Master_Data!$C:$C,Master_Data!$M:$M,"CHECK",0)</f>
        <v>42863</v>
      </c>
      <c r="W135">
        <f>IFERROR(_xlfn.XLOOKUP($A135,Master_Data!$C:$C,Master_Data!$N:$N,"CHECK",0),"")</f>
        <v>23.298274222041037</v>
      </c>
      <c r="X135" t="str">
        <f>IFERROR(_xlfn.XLOOKUP($A135,Master_Data!$C:$C,Master_Data!$O:$O,"CHECK",0),"No Result")</f>
        <v>Safe Seat</v>
      </c>
      <c r="Y135">
        <f>_xlfn.XLOOKUP($A135,Master_Data!$C:$C,Master_Data!$P:$P,"CHECK",0)</f>
        <v>0</v>
      </c>
      <c r="Z135">
        <f t="shared" si="5"/>
        <v>1</v>
      </c>
      <c r="AA135">
        <f>_xlfn.XLOOKUP(B135,Remittance_Data!A:A,Remittance_Data!B:B,"CHECK")</f>
        <v>11423</v>
      </c>
      <c r="AB135">
        <f>_xlfn.XLOOKUP(B135,Remittance_Data!A:A,Remittance_Data!C:C,"CHECK")</f>
        <v>7841</v>
      </c>
      <c r="AC135">
        <f>_xlfn.XLOOKUP(B135,Remittance_Data!A:A,Remittance_Data!D:D,"CHECK")</f>
        <v>3582</v>
      </c>
    </row>
    <row r="136" spans="1:29">
      <c r="A136" t="str">
        <v>Jhenaidah-1</v>
      </c>
      <c r="B136" t="str" cm="1">
        <f t="array" ref="B1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Nawabganj","Chapainawabganj"),Final_Merged_Data!$B$2:$B$1000=$A136)))</f>
        <v>Jhenaidah</v>
      </c>
      <c r="C136" t="str" cm="1">
        <f t="array" ref="C136">_xlfn.TEXTJOIN(", ",TRUE,_xlfn._xlws.FILTER(Final_Merged_Data!$C$2:$C$1000,Final_Merged_Data!$B$2:$B$1000=$A136))</f>
        <v>Shailkupa</v>
      </c>
      <c r="D136" cm="1">
        <f t="array" ref="D136">COUNTA(_xlfn._xlws.FILTER(Final_Merged_Data!$C$2:$C$1000,Final_Merged_Data!$B$2:$B$1000=$A136))</f>
        <v>1</v>
      </c>
      <c r="E136">
        <f>SUMIFS(Final_Merged_Data!$E:$E,Final_Merged_Data!$B:$B,$A136)</f>
        <v>248.36</v>
      </c>
      <c r="F136">
        <f>SUMIFS(Final_Merged_Data!$F:$F,Final_Merged_Data!$B:$B,$A136)</f>
        <v>406735</v>
      </c>
      <c r="G136">
        <f t="shared" si="4"/>
        <v>1637.6832018038331</v>
      </c>
      <c r="H136" cm="1">
        <f t="array" ref="H136">SUMPRODUCT((Final_Merged_Data!$B$2:$B$1000=$A136)*Final_Merged_Data!$H$2:$H$1000*Final_Merged_Data!$F$2:$F$1000)/F136</f>
        <v>3.95</v>
      </c>
      <c r="I136" cm="1">
        <f t="array" ref="I136">SUMPRODUCT((Final_Merged_Data!$B$2:$B$1000=$A136)*Final_Merged_Data!$I$2:$I$1000*Final_Merged_Data!$F$2:$F$1000)/F136</f>
        <v>71.63</v>
      </c>
      <c r="J136" t="str" cm="1">
        <f t="array" ref="J136">_xlfn.TEXTJOIN(", ",TRUE,_xlfn.UNIQUE(_xlfn._xlws.FILTER(Final_Merged_Data!$J$2:$J$1000,Final_Merged_Data!$B$2:$B$1000=$A136)))</f>
        <v>Khulna Range</v>
      </c>
      <c r="K136" cm="1">
        <f t="array" ref="K136">SUMPRODUCT((Final_Merged_Data!$B$2:$B$1000=$A136)*Final_Merged_Data!$K$2:$K$1000*Final_Merged_Data!$F$2:$F$1000)/F136</f>
        <v>102.32166075410298</v>
      </c>
      <c r="L136" cm="1">
        <f t="array" ref="L136">SUMPRODUCT((Final_Merged_Data!$B$2:$B$1000=$A136)*Final_Merged_Data!$L$2:$L$1000*Final_Merged_Data!$F$2:$F$1000)/F136</f>
        <v>12.212237548443923</v>
      </c>
      <c r="M136" t="str">
        <f>IF(COUNTIF(Master_Data!$C:$C,$A136)&gt;0,"Found","Missing")</f>
        <v>Found</v>
      </c>
      <c r="N136" t="str">
        <f>_xlfn.XLOOKUP($A136,Master_Data!$C:$C,Master_Data!$D:$D,"CHECK",0)</f>
        <v>Md. Asaduzzaman</v>
      </c>
      <c r="O136" t="str">
        <f>_xlfn.XLOOKUP($A136,Master_Data!$C:$C,Master_Data!$E:$E,"CHECK",0)</f>
        <v>BNP</v>
      </c>
      <c r="P136">
        <f>_xlfn.XLOOKUP($A136,Master_Data!$C:$C,Master_Data!$F:$F,"CHECK",0)</f>
        <v>1</v>
      </c>
      <c r="Q136">
        <f>_xlfn.XLOOKUP($A136,Master_Data!$C:$C,Master_Data!$G:$G,"CHECK",0)</f>
        <v>173381</v>
      </c>
      <c r="R136">
        <f>IFERROR(_xlfn.XLOOKUP($A136,Master_Data!$C:$C,Master_Data!$H:$H,"CHECK",0),"")</f>
        <v>75.240413824228852</v>
      </c>
      <c r="S136" t="str">
        <f>_xlfn.XLOOKUP($A136,Master_Data!$C:$C,Master_Data!$I:$I,"CHECK",0)</f>
        <v>Abu Saleh Md. Matiur Rahman</v>
      </c>
      <c r="T136">
        <f>_xlfn.XLOOKUP($A136,Master_Data!$C:$C,Master_Data!$K:$K,"CHECK",0)</f>
        <v>57055</v>
      </c>
      <c r="U136">
        <f>IFERROR(_xlfn.XLOOKUP($A136,Master_Data!$C:$C,Master_Data!$L:$L,"CHECK",0),"")</f>
        <v>24.759586175771148</v>
      </c>
      <c r="V136">
        <f>_xlfn.XLOOKUP($A136,Master_Data!$C:$C,Master_Data!$M:$M,"CHECK",0)</f>
        <v>116326</v>
      </c>
      <c r="W136">
        <f>IFERROR(_xlfn.XLOOKUP($A136,Master_Data!$C:$C,Master_Data!$N:$N,"CHECK",0),"")</f>
        <v>50.480827648457705</v>
      </c>
      <c r="X136" t="str">
        <f>IFERROR(_xlfn.XLOOKUP($A136,Master_Data!$C:$C,Master_Data!$O:$O,"CHECK",0),"No Result")</f>
        <v>Safe Seat</v>
      </c>
      <c r="Y136">
        <f>_xlfn.XLOOKUP($A136,Master_Data!$C:$C,Master_Data!$P:$P,"CHECK",0)</f>
        <v>0</v>
      </c>
      <c r="Z136">
        <f t="shared" si="5"/>
        <v>1</v>
      </c>
      <c r="AA136">
        <f>_xlfn.XLOOKUP(B136,Remittance_Data!A:A,Remittance_Data!B:B,"CHECK")</f>
        <v>35955</v>
      </c>
      <c r="AB136">
        <f>_xlfn.XLOOKUP(B136,Remittance_Data!A:A,Remittance_Data!C:C,"CHECK")</f>
        <v>30344</v>
      </c>
      <c r="AC136">
        <f>_xlfn.XLOOKUP(B136,Remittance_Data!A:A,Remittance_Data!D:D,"CHECK")</f>
        <v>5611</v>
      </c>
    </row>
    <row r="137" spans="1:29">
      <c r="A137" t="str">
        <v>Jhenaidah-2</v>
      </c>
      <c r="B137" t="str" cm="1">
        <f t="array" ref="B1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Nawabganj","Chapainawabganj"),Final_Merged_Data!$B$2:$B$1000=$A137)))</f>
        <v>Jhenaidah</v>
      </c>
      <c r="C137" t="str" cm="1">
        <f t="array" ref="C137">_xlfn.TEXTJOIN(", ",TRUE,_xlfn._xlws.FILTER(Final_Merged_Data!$C$2:$C$1000,Final_Merged_Data!$B$2:$B$1000=$A137))</f>
        <v>Harinakunda, Jhenaidah Sadar</v>
      </c>
      <c r="D137" cm="1">
        <f t="array" ref="D137">COUNTA(_xlfn._xlws.FILTER(Final_Merged_Data!$C$2:$C$1000,Final_Merged_Data!$B$2:$B$1000=$A137))</f>
        <v>2</v>
      </c>
      <c r="E137">
        <f>SUMIFS(Final_Merged_Data!$E:$E,Final_Merged_Data!$B:$B,$A137)</f>
        <v>634.79</v>
      </c>
      <c r="F137">
        <f>SUMIFS(Final_Merged_Data!$F:$F,Final_Merged_Data!$B:$B,$A137)</f>
        <v>762716</v>
      </c>
      <c r="G137">
        <f t="shared" si="4"/>
        <v>1201.5249137510043</v>
      </c>
      <c r="H137" cm="1">
        <f t="array" ref="H137">SUMPRODUCT((Final_Merged_Data!$B$2:$B$1000=$A137)*Final_Merged_Data!$H$2:$H$1000*Final_Merged_Data!$F$2:$F$1000)/F137</f>
        <v>3.7914770897686685</v>
      </c>
      <c r="I137" cm="1">
        <f t="array" ref="I137">SUMPRODUCT((Final_Merged_Data!$B$2:$B$1000=$A137)*Final_Merged_Data!$I$2:$I$1000*Final_Merged_Data!$F$2:$F$1000)/F137</f>
        <v>73.214548377115477</v>
      </c>
      <c r="J137" t="str" cm="1">
        <f t="array" ref="J137">_xlfn.TEXTJOIN(", ",TRUE,_xlfn.UNIQUE(_xlfn._xlws.FILTER(Final_Merged_Data!$J$2:$J$1000,Final_Merged_Data!$B$2:$B$1000=$A137)))</f>
        <v>Khulna Range</v>
      </c>
      <c r="K137" cm="1">
        <f t="array" ref="K137">SUMPRODUCT((Final_Merged_Data!$B$2:$B$1000=$A137)*Final_Merged_Data!$K$2:$K$1000*Final_Merged_Data!$F$2:$F$1000)/F137</f>
        <v>102.32166075410298</v>
      </c>
      <c r="L137" cm="1">
        <f t="array" ref="L137">SUMPRODUCT((Final_Merged_Data!$B$2:$B$1000=$A137)*Final_Merged_Data!$L$2:$L$1000*Final_Merged_Data!$F$2:$F$1000)/F137</f>
        <v>12.212237548443921</v>
      </c>
      <c r="M137" t="str">
        <f>IF(COUNTIF(Master_Data!$C:$C,$A137)&gt;0,"Found","Missing")</f>
        <v>Found</v>
      </c>
      <c r="N137" t="str">
        <f>_xlfn.XLOOKUP($A137,Master_Data!$C:$C,Master_Data!$D:$D,"CHECK",0)</f>
        <v>Ali Azam Md. Abu Bakr</v>
      </c>
      <c r="O137" t="str">
        <f>_xlfn.XLOOKUP($A137,Master_Data!$C:$C,Master_Data!$E:$E,"CHECK",0)</f>
        <v>Jamaat</v>
      </c>
      <c r="P137">
        <f>_xlfn.XLOOKUP($A137,Master_Data!$C:$C,Master_Data!$F:$F,"CHECK",0)</f>
        <v>2</v>
      </c>
      <c r="Q137">
        <f>_xlfn.XLOOKUP($A137,Master_Data!$C:$C,Master_Data!$G:$G,"CHECK",0)</f>
        <v>195702</v>
      </c>
      <c r="R137">
        <f>IFERROR(_xlfn.XLOOKUP($A137,Master_Data!$C:$C,Master_Data!$H:$H,"CHECK",0),"")</f>
        <v>52.652507761928078</v>
      </c>
      <c r="S137" t="str">
        <f>_xlfn.XLOOKUP($A137,Master_Data!$C:$C,Master_Data!$I:$I,"CHECK",0)</f>
        <v>Md. Abdul Majeed</v>
      </c>
      <c r="T137">
        <f>_xlfn.XLOOKUP($A137,Master_Data!$C:$C,Master_Data!$K:$K,"CHECK",0)</f>
        <v>175984</v>
      </c>
      <c r="U137">
        <f>IFERROR(_xlfn.XLOOKUP($A137,Master_Data!$C:$C,Master_Data!$L:$L,"CHECK",0),"")</f>
        <v>47.347492238071922</v>
      </c>
      <c r="V137">
        <f>_xlfn.XLOOKUP($A137,Master_Data!$C:$C,Master_Data!$M:$M,"CHECK",0)</f>
        <v>19718</v>
      </c>
      <c r="W137">
        <f>IFERROR(_xlfn.XLOOKUP($A137,Master_Data!$C:$C,Master_Data!$N:$N,"CHECK",0),"")</f>
        <v>5.3050155238561585</v>
      </c>
      <c r="X137" t="str">
        <f>IFERROR(_xlfn.XLOOKUP($A137,Master_Data!$C:$C,Master_Data!$O:$O,"CHECK",0),"No Result")</f>
        <v>Safe Seat</v>
      </c>
      <c r="Y137">
        <f>_xlfn.XLOOKUP($A137,Master_Data!$C:$C,Master_Data!$P:$P,"CHECK",0)</f>
        <v>0</v>
      </c>
      <c r="Z137">
        <f t="shared" si="5"/>
        <v>1</v>
      </c>
      <c r="AA137">
        <f>_xlfn.XLOOKUP(B137,Remittance_Data!A:A,Remittance_Data!B:B,"CHECK")</f>
        <v>35955</v>
      </c>
      <c r="AB137">
        <f>_xlfn.XLOOKUP(B137,Remittance_Data!A:A,Remittance_Data!C:C,"CHECK")</f>
        <v>30344</v>
      </c>
      <c r="AC137">
        <f>_xlfn.XLOOKUP(B137,Remittance_Data!A:A,Remittance_Data!D:D,"CHECK")</f>
        <v>5611</v>
      </c>
    </row>
    <row r="138" spans="1:29">
      <c r="A138" t="str">
        <v>Jhenaidah-3</v>
      </c>
      <c r="B138" t="str" cm="1">
        <f t="array" ref="B1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Nawabganj","Chapainawabganj"),Final_Merged_Data!$B$2:$B$1000=$A138)))</f>
        <v>Jhenaidah</v>
      </c>
      <c r="C138" t="str" cm="1">
        <f t="array" ref="C138">_xlfn.TEXTJOIN(", ",TRUE,_xlfn._xlws.FILTER(Final_Merged_Data!$C$2:$C$1000,Final_Merged_Data!$B$2:$B$1000=$A138))</f>
        <v>Kotchandpur, Maheshpur</v>
      </c>
      <c r="D138" cm="1">
        <f t="array" ref="D138">COUNTA(_xlfn._xlws.FILTER(Final_Merged_Data!$C$2:$C$1000,Final_Merged_Data!$B$2:$B$1000=$A138))</f>
        <v>2</v>
      </c>
      <c r="E138">
        <f>SUMIFS(Final_Merged_Data!$E:$E,Final_Merged_Data!$B:$B,$A138)</f>
        <v>758.56</v>
      </c>
      <c r="F138">
        <f>SUMIFS(Final_Merged_Data!$F:$F,Final_Merged_Data!$B:$B,$A138)</f>
        <v>527809</v>
      </c>
      <c r="G138">
        <f t="shared" si="4"/>
        <v>695.8038915840541</v>
      </c>
      <c r="H138" cm="1">
        <f t="array" ref="H138">SUMPRODUCT((Final_Merged_Data!$B$2:$B$1000=$A138)*Final_Merged_Data!$H$2:$H$1000*Final_Merged_Data!$F$2:$F$1000)/F138</f>
        <v>3.7707609191961482</v>
      </c>
      <c r="I138" cm="1">
        <f t="array" ref="I138">SUMPRODUCT((Final_Merged_Data!$B$2:$B$1000=$A138)*Final_Merged_Data!$I$2:$I$1000*Final_Merged_Data!$F$2:$F$1000)/F138</f>
        <v>71.961167467777173</v>
      </c>
      <c r="J138" t="str" cm="1">
        <f t="array" ref="J138">_xlfn.TEXTJOIN(", ",TRUE,_xlfn.UNIQUE(_xlfn._xlws.FILTER(Final_Merged_Data!$J$2:$J$1000,Final_Merged_Data!$B$2:$B$1000=$A138)))</f>
        <v>Khulna Range</v>
      </c>
      <c r="K138" cm="1">
        <f t="array" ref="K138">SUMPRODUCT((Final_Merged_Data!$B$2:$B$1000=$A138)*Final_Merged_Data!$K$2:$K$1000*Final_Merged_Data!$F$2:$F$1000)/F138</f>
        <v>102.32166075410299</v>
      </c>
      <c r="L138" cm="1">
        <f t="array" ref="L138">SUMPRODUCT((Final_Merged_Data!$B$2:$B$1000=$A138)*Final_Merged_Data!$L$2:$L$1000*Final_Merged_Data!$F$2:$F$1000)/F138</f>
        <v>12.212237548443923</v>
      </c>
      <c r="M138" t="str">
        <f>IF(COUNTIF(Master_Data!$C:$C,$A138)&gt;0,"Found","Missing")</f>
        <v>Found</v>
      </c>
      <c r="N138" t="str">
        <f>_xlfn.XLOOKUP($A138,Master_Data!$C:$C,Master_Data!$D:$D,"CHECK",0)</f>
        <v>Md. Motiyar Rahman</v>
      </c>
      <c r="O138" t="str">
        <f>_xlfn.XLOOKUP($A138,Master_Data!$C:$C,Master_Data!$E:$E,"CHECK",0)</f>
        <v>Jamaat</v>
      </c>
      <c r="P138">
        <f>_xlfn.XLOOKUP($A138,Master_Data!$C:$C,Master_Data!$F:$F,"CHECK",0)</f>
        <v>2</v>
      </c>
      <c r="Q138">
        <f>_xlfn.XLOOKUP($A138,Master_Data!$C:$C,Master_Data!$G:$G,"CHECK",0)</f>
        <v>175857</v>
      </c>
      <c r="R138">
        <f>IFERROR(_xlfn.XLOOKUP($A138,Master_Data!$C:$C,Master_Data!$H:$H,"CHECK",0),"")</f>
        <v>53.997199688035423</v>
      </c>
      <c r="S138" t="str">
        <f>_xlfn.XLOOKUP($A138,Master_Data!$C:$C,Master_Data!$I:$I,"CHECK",0)</f>
        <v>Mohammad Mehdi Hasan</v>
      </c>
      <c r="T138">
        <f>_xlfn.XLOOKUP($A138,Master_Data!$C:$C,Master_Data!$K:$K,"CHECK",0)</f>
        <v>149821</v>
      </c>
      <c r="U138">
        <f>IFERROR(_xlfn.XLOOKUP($A138,Master_Data!$C:$C,Master_Data!$L:$L,"CHECK",0),"")</f>
        <v>46.002800311964585</v>
      </c>
      <c r="V138">
        <f>_xlfn.XLOOKUP($A138,Master_Data!$C:$C,Master_Data!$M:$M,"CHECK",0)</f>
        <v>26036</v>
      </c>
      <c r="W138">
        <f>IFERROR(_xlfn.XLOOKUP($A138,Master_Data!$C:$C,Master_Data!$N:$N,"CHECK",0),"")</f>
        <v>7.9943993760708434</v>
      </c>
      <c r="X138" t="str">
        <f>IFERROR(_xlfn.XLOOKUP($A138,Master_Data!$C:$C,Master_Data!$O:$O,"CHECK",0),"No Result")</f>
        <v>Safe Seat</v>
      </c>
      <c r="Y138">
        <f>_xlfn.XLOOKUP($A138,Master_Data!$C:$C,Master_Data!$P:$P,"CHECK",0)</f>
        <v>0</v>
      </c>
      <c r="Z138">
        <f t="shared" si="5"/>
        <v>1</v>
      </c>
      <c r="AA138">
        <f>_xlfn.XLOOKUP(B138,Remittance_Data!A:A,Remittance_Data!B:B,"CHECK")</f>
        <v>35955</v>
      </c>
      <c r="AB138">
        <f>_xlfn.XLOOKUP(B138,Remittance_Data!A:A,Remittance_Data!C:C,"CHECK")</f>
        <v>30344</v>
      </c>
      <c r="AC138">
        <f>_xlfn.XLOOKUP(B138,Remittance_Data!A:A,Remittance_Data!D:D,"CHECK")</f>
        <v>5611</v>
      </c>
    </row>
    <row r="139" spans="1:29">
      <c r="A139" t="str">
        <v>Jhenaidah-4</v>
      </c>
      <c r="B139" t="str" cm="1">
        <f t="array" ref="B1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Nawabganj","Chapainawabganj"),Final_Merged_Data!$B$2:$B$1000=$A139)))</f>
        <v>Jhenaidah</v>
      </c>
      <c r="C139" t="str" cm="1">
        <f t="array" ref="C139">_xlfn.TEXTJOIN(", ",TRUE,_xlfn._xlws.FILTER(Final_Merged_Data!$C$2:$C$1000,Final_Merged_Data!$B$2:$B$1000=$A139))</f>
        <v>Kaliganj</v>
      </c>
      <c r="D139" cm="1">
        <f t="array" ref="D139">COUNTA(_xlfn._xlws.FILTER(Final_Merged_Data!$C$2:$C$1000,Final_Merged_Data!$B$2:$B$1000=$A139))</f>
        <v>1</v>
      </c>
      <c r="E139">
        <f>SUMIFS(Final_Merged_Data!$E:$E,Final_Merged_Data!$B:$B,$A139)</f>
        <v>236.67</v>
      </c>
      <c r="F139">
        <f>SUMIFS(Final_Merged_Data!$F:$F,Final_Merged_Data!$B:$B,$A139)</f>
        <v>310943</v>
      </c>
      <c r="G139">
        <f t="shared" si="4"/>
        <v>1313.8251573921495</v>
      </c>
      <c r="H139" cm="1">
        <f t="array" ref="H139">SUMPRODUCT((Final_Merged_Data!$B$2:$B$1000=$A139)*Final_Merged_Data!$H$2:$H$1000*Final_Merged_Data!$F$2:$F$1000)/F139</f>
        <v>3.9699999999999998</v>
      </c>
      <c r="I139" cm="1">
        <f t="array" ref="I139">SUMPRODUCT((Final_Merged_Data!$B$2:$B$1000=$A139)*Final_Merged_Data!$I$2:$I$1000*Final_Merged_Data!$F$2:$F$1000)/F139</f>
        <v>79.58</v>
      </c>
      <c r="J139" t="str" cm="1">
        <f t="array" ref="J139">_xlfn.TEXTJOIN(", ",TRUE,_xlfn.UNIQUE(_xlfn._xlws.FILTER(Final_Merged_Data!$J$2:$J$1000,Final_Merged_Data!$B$2:$B$1000=$A139)))</f>
        <v>Khulna Range</v>
      </c>
      <c r="K139" cm="1">
        <f t="array" ref="K139">SUMPRODUCT((Final_Merged_Data!$B$2:$B$1000=$A139)*Final_Merged_Data!$K$2:$K$1000*Final_Merged_Data!$F$2:$F$1000)/F139</f>
        <v>102.32166075410298</v>
      </c>
      <c r="L139" cm="1">
        <f t="array" ref="L139">SUMPRODUCT((Final_Merged_Data!$B$2:$B$1000=$A139)*Final_Merged_Data!$L$2:$L$1000*Final_Merged_Data!$F$2:$F$1000)/F139</f>
        <v>12.212237548443923</v>
      </c>
      <c r="M139" t="str">
        <f>IF(COUNTIF(Master_Data!$C:$C,$A139)&gt;0,"Found","Missing")</f>
        <v>Found</v>
      </c>
      <c r="N139" t="str">
        <f>_xlfn.XLOOKUP($A139,Master_Data!$C:$C,Master_Data!$D:$D,"CHECK",0)</f>
        <v>Md. Abu Talib</v>
      </c>
      <c r="O139" t="str">
        <f>_xlfn.XLOOKUP($A139,Master_Data!$C:$C,Master_Data!$E:$E,"CHECK",0)</f>
        <v>Jamaat</v>
      </c>
      <c r="P139">
        <f>_xlfn.XLOOKUP($A139,Master_Data!$C:$C,Master_Data!$F:$F,"CHECK",0)</f>
        <v>2</v>
      </c>
      <c r="Q139">
        <f>_xlfn.XLOOKUP($A139,Master_Data!$C:$C,Master_Data!$G:$G,"CHECK",0)</f>
        <v>105999</v>
      </c>
      <c r="R139">
        <f>IFERROR(_xlfn.XLOOKUP($A139,Master_Data!$C:$C,Master_Data!$H:$H,"CHECK",0),"")</f>
        <v>57.890367716531131</v>
      </c>
      <c r="S139" t="str">
        <f>_xlfn.XLOOKUP($A139,Master_Data!$C:$C,Master_Data!$I:$I,"CHECK",0)</f>
        <v>Md. Saiful Islam Feroze</v>
      </c>
      <c r="T139">
        <f>_xlfn.XLOOKUP($A139,Master_Data!$C:$C,Master_Data!$K:$K,"CHECK",0)</f>
        <v>77104</v>
      </c>
      <c r="U139">
        <f>IFERROR(_xlfn.XLOOKUP($A139,Master_Data!$C:$C,Master_Data!$L:$L,"CHECK",0),"")</f>
        <v>42.109632283468869</v>
      </c>
      <c r="V139">
        <f>_xlfn.XLOOKUP($A139,Master_Data!$C:$C,Master_Data!$M:$M,"CHECK",0)</f>
        <v>28895</v>
      </c>
      <c r="W139">
        <f>IFERROR(_xlfn.XLOOKUP($A139,Master_Data!$C:$C,Master_Data!$N:$N,"CHECK",0),"")</f>
        <v>15.780735433062265</v>
      </c>
      <c r="X139" t="str">
        <f>IFERROR(_xlfn.XLOOKUP($A139,Master_Data!$C:$C,Master_Data!$O:$O,"CHECK",0),"No Result")</f>
        <v>Safe Seat</v>
      </c>
      <c r="Y139">
        <f>_xlfn.XLOOKUP($A139,Master_Data!$C:$C,Master_Data!$P:$P,"CHECK",0)</f>
        <v>0</v>
      </c>
      <c r="Z139">
        <f t="shared" si="5"/>
        <v>1</v>
      </c>
      <c r="AA139">
        <f>_xlfn.XLOOKUP(B139,Remittance_Data!A:A,Remittance_Data!B:B,"CHECK")</f>
        <v>35955</v>
      </c>
      <c r="AB139">
        <f>_xlfn.XLOOKUP(B139,Remittance_Data!A:A,Remittance_Data!C:C,"CHECK")</f>
        <v>30344</v>
      </c>
      <c r="AC139">
        <f>_xlfn.XLOOKUP(B139,Remittance_Data!A:A,Remittance_Data!D:D,"CHECK")</f>
        <v>5611</v>
      </c>
    </row>
    <row r="140" spans="1:29">
      <c r="A140" t="str">
        <v>Joypurhat-1</v>
      </c>
      <c r="B140" t="str" cm="1">
        <f t="array" ref="B1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Nawabganj","Chapainawabganj"),Final_Merged_Data!$B$2:$B$1000=$A140)))</f>
        <v>Joypurhat</v>
      </c>
      <c r="C140" t="str" cm="1">
        <f t="array" ref="C140">_xlfn.TEXTJOIN(", ",TRUE,_xlfn._xlws.FILTER(Final_Merged_Data!$C$2:$C$1000,Final_Merged_Data!$B$2:$B$1000=$A140))</f>
        <v>Joypurhat Sadar, Panchbibi</v>
      </c>
      <c r="D140" cm="1">
        <f t="array" ref="D140">COUNTA(_xlfn._xlws.FILTER(Final_Merged_Data!$C$2:$C$1000,Final_Merged_Data!$B$2:$B$1000=$A140))</f>
        <v>2</v>
      </c>
      <c r="E140">
        <f>SUMIFS(Final_Merged_Data!$E:$E,Final_Merged_Data!$B:$B,$A140)</f>
        <v>524.85</v>
      </c>
      <c r="F140">
        <f>SUMIFS(Final_Merged_Data!$F:$F,Final_Merged_Data!$B:$B,$A140)</f>
        <v>554782</v>
      </c>
      <c r="G140">
        <f t="shared" si="4"/>
        <v>1057.0296275126227</v>
      </c>
      <c r="H140" cm="1">
        <f t="array" ref="H140">SUMPRODUCT((Final_Merged_Data!$B$2:$B$1000=$A140)*Final_Merged_Data!$H$2:$H$1000*Final_Merged_Data!$F$2:$F$1000)/F140</f>
        <v>3.5556813487099435</v>
      </c>
      <c r="I140" cm="1">
        <f t="array" ref="I140">SUMPRODUCT((Final_Merged_Data!$B$2:$B$1000=$A140)*Final_Merged_Data!$I$2:$I$1000*Final_Merged_Data!$F$2:$F$1000)/F140</f>
        <v>75.27551609461014</v>
      </c>
      <c r="J140" t="str" cm="1">
        <f t="array" ref="J140">_xlfn.TEXTJOIN(", ",TRUE,_xlfn.UNIQUE(_xlfn._xlws.FILTER(Final_Merged_Data!$J$2:$J$1000,Final_Merged_Data!$B$2:$B$1000=$A140)))</f>
        <v>Rajshahi Range</v>
      </c>
      <c r="K140" cm="1">
        <f t="array" ref="K140">SUMPRODUCT((Final_Merged_Data!$B$2:$B$1000=$A140)*Final_Merged_Data!$K$2:$K$1000*Final_Merged_Data!$F$2:$F$1000)/F140</f>
        <v>112.81411131450233</v>
      </c>
      <c r="L140" cm="1">
        <f t="array" ref="L140">SUMPRODUCT((Final_Merged_Data!$B$2:$B$1000=$A140)*Final_Merged_Data!$L$2:$L$1000*Final_Merged_Data!$F$2:$F$1000)/F140</f>
        <v>14.272851259111949</v>
      </c>
      <c r="M140" t="str">
        <f>IF(COUNTIF(Master_Data!$C:$C,$A140)&gt;0,"Found","Missing")</f>
        <v>Found</v>
      </c>
      <c r="N140" t="str">
        <f>_xlfn.XLOOKUP($A140,Master_Data!$C:$C,Master_Data!$D:$D,"CHECK",0)</f>
        <v>Md. Fazlur Rahman Sayeed</v>
      </c>
      <c r="O140" t="str">
        <f>_xlfn.XLOOKUP($A140,Master_Data!$C:$C,Master_Data!$E:$E,"CHECK",0)</f>
        <v>Jamaat</v>
      </c>
      <c r="P140">
        <f>_xlfn.XLOOKUP($A140,Master_Data!$C:$C,Master_Data!$F:$F,"CHECK",0)</f>
        <v>2</v>
      </c>
      <c r="Q140">
        <f>_xlfn.XLOOKUP($A140,Master_Data!$C:$C,Master_Data!$G:$G,"CHECK",0)</f>
        <v>165192</v>
      </c>
      <c r="R140">
        <f>IFERROR(_xlfn.XLOOKUP($A140,Master_Data!$C:$C,Master_Data!$H:$H,"CHECK",0),"")</f>
        <v>51.54180486176331</v>
      </c>
      <c r="S140" t="str">
        <f>_xlfn.XLOOKUP($A140,Master_Data!$C:$C,Master_Data!$I:$I,"CHECK",0)</f>
        <v>Md. Masud Rana Pradhan</v>
      </c>
      <c r="T140">
        <f>_xlfn.XLOOKUP($A140,Master_Data!$C:$C,Master_Data!$K:$K,"CHECK",0)</f>
        <v>155309</v>
      </c>
      <c r="U140">
        <f>IFERROR(_xlfn.XLOOKUP($A140,Master_Data!$C:$C,Master_Data!$L:$L,"CHECK",0),"")</f>
        <v>48.458195138236697</v>
      </c>
      <c r="V140">
        <f>_xlfn.XLOOKUP($A140,Master_Data!$C:$C,Master_Data!$M:$M,"CHECK",0)</f>
        <v>9883</v>
      </c>
      <c r="W140">
        <f>IFERROR(_xlfn.XLOOKUP($A140,Master_Data!$C:$C,Master_Data!$N:$N,"CHECK",0),"")</f>
        <v>3.0836097235266036</v>
      </c>
      <c r="X140" t="str">
        <f>IFERROR(_xlfn.XLOOKUP($A140,Master_Data!$C:$C,Master_Data!$O:$O,"CHECK",0),"No Result")</f>
        <v>Highly Competitive</v>
      </c>
      <c r="Y140">
        <f>_xlfn.XLOOKUP($A140,Master_Data!$C:$C,Master_Data!$P:$P,"CHECK",0)</f>
        <v>0</v>
      </c>
      <c r="Z140">
        <f t="shared" si="5"/>
        <v>1</v>
      </c>
      <c r="AA140">
        <f>_xlfn.XLOOKUP(B140,Remittance_Data!A:A,Remittance_Data!B:B,"CHECK")</f>
        <v>9894</v>
      </c>
      <c r="AB140">
        <f>_xlfn.XLOOKUP(B140,Remittance_Data!A:A,Remittance_Data!C:C,"CHECK")</f>
        <v>8115</v>
      </c>
      <c r="AC140">
        <f>_xlfn.XLOOKUP(B140,Remittance_Data!A:A,Remittance_Data!D:D,"CHECK")</f>
        <v>1779</v>
      </c>
    </row>
    <row r="141" spans="1:29">
      <c r="A141" t="str">
        <v>Joypurhat-2</v>
      </c>
      <c r="B141" t="str" cm="1">
        <f t="array" ref="B1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Nawabganj","Chapainawabganj"),Final_Merged_Data!$B$2:$B$1000=$A141)))</f>
        <v>Joypurhat</v>
      </c>
      <c r="C141" t="str" cm="1">
        <f t="array" ref="C141">_xlfn.TEXTJOIN(", ",TRUE,_xlfn._xlws.FILTER(Final_Merged_Data!$C$2:$C$1000,Final_Merged_Data!$B$2:$B$1000=$A141))</f>
        <v>Akkelpur, Kalai, Khetlal</v>
      </c>
      <c r="D141" cm="1">
        <f t="array" ref="D141">COUNTA(_xlfn._xlws.FILTER(Final_Merged_Data!$C$2:$C$1000,Final_Merged_Data!$B$2:$B$1000=$A141))</f>
        <v>3</v>
      </c>
      <c r="E141">
        <f>SUMIFS(Final_Merged_Data!$E:$E,Final_Merged_Data!$B:$B,$A141)</f>
        <v>448.83000000000004</v>
      </c>
      <c r="F141">
        <f>SUMIFS(Final_Merged_Data!$F:$F,Final_Merged_Data!$B:$B,$A141)</f>
        <v>401560</v>
      </c>
      <c r="G141">
        <f t="shared" si="4"/>
        <v>894.68172804848155</v>
      </c>
      <c r="H141" cm="1">
        <f t="array" ref="H141">SUMPRODUCT((Final_Merged_Data!$B$2:$B$1000=$A141)*Final_Merged_Data!$H$2:$H$1000*Final_Merged_Data!$F$2:$F$1000)/F141</f>
        <v>3.4214183932662618</v>
      </c>
      <c r="I141" cm="1">
        <f t="array" ref="I141">SUMPRODUCT((Final_Merged_Data!$B$2:$B$1000=$A141)*Final_Merged_Data!$I$2:$I$1000*Final_Merged_Data!$F$2:$F$1000)/F141</f>
        <v>71.599053043131789</v>
      </c>
      <c r="J141" t="str" cm="1">
        <f t="array" ref="J141">_xlfn.TEXTJOIN(", ",TRUE,_xlfn.UNIQUE(_xlfn._xlws.FILTER(Final_Merged_Data!$J$2:$J$1000,Final_Merged_Data!$B$2:$B$1000=$A141)))</f>
        <v>Rajshahi Range</v>
      </c>
      <c r="K141" cm="1">
        <f t="array" ref="K141">SUMPRODUCT((Final_Merged_Data!$B$2:$B$1000=$A141)*Final_Merged_Data!$K$2:$K$1000*Final_Merged_Data!$F$2:$F$1000)/F141</f>
        <v>112.81411131450233</v>
      </c>
      <c r="L141" cm="1">
        <f t="array" ref="L141">SUMPRODUCT((Final_Merged_Data!$B$2:$B$1000=$A141)*Final_Merged_Data!$L$2:$L$1000*Final_Merged_Data!$F$2:$F$1000)/F141</f>
        <v>14.272851259111949</v>
      </c>
      <c r="M141" t="str">
        <f>IF(COUNTIF(Master_Data!$C:$C,$A141)&gt;0,"Found","Missing")</f>
        <v>Found</v>
      </c>
      <c r="N141" t="str">
        <f>_xlfn.XLOOKUP($A141,Master_Data!$C:$C,Master_Data!$D:$D,"CHECK",0)</f>
        <v>Md. Abdul Bari</v>
      </c>
      <c r="O141" t="str">
        <f>_xlfn.XLOOKUP($A141,Master_Data!$C:$C,Master_Data!$E:$E,"CHECK",0)</f>
        <v>BNP</v>
      </c>
      <c r="P141">
        <f>_xlfn.XLOOKUP($A141,Master_Data!$C:$C,Master_Data!$F:$F,"CHECK",0)</f>
        <v>1</v>
      </c>
      <c r="Q141">
        <f>_xlfn.XLOOKUP($A141,Master_Data!$C:$C,Master_Data!$G:$G,"CHECK",0)</f>
        <v>158065</v>
      </c>
      <c r="R141">
        <f>IFERROR(_xlfn.XLOOKUP($A141,Master_Data!$C:$C,Master_Data!$H:$H,"CHECK",0),"")</f>
        <v>63.079151734761474</v>
      </c>
      <c r="S141" t="str">
        <f>_xlfn.XLOOKUP($A141,Master_Data!$C:$C,Master_Data!$I:$I,"CHECK",0)</f>
        <v>SM Rashedul Alam</v>
      </c>
      <c r="T141">
        <f>_xlfn.XLOOKUP($A141,Master_Data!$C:$C,Master_Data!$K:$K,"CHECK",0)</f>
        <v>92517</v>
      </c>
      <c r="U141">
        <f>IFERROR(_xlfn.XLOOKUP($A141,Master_Data!$C:$C,Master_Data!$L:$L,"CHECK",0),"")</f>
        <v>36.920848265238526</v>
      </c>
      <c r="V141">
        <f>_xlfn.XLOOKUP($A141,Master_Data!$C:$C,Master_Data!$M:$M,"CHECK",0)</f>
        <v>65548</v>
      </c>
      <c r="W141">
        <f>IFERROR(_xlfn.XLOOKUP($A141,Master_Data!$C:$C,Master_Data!$N:$N,"CHECK",0),"")</f>
        <v>26.158303469522952</v>
      </c>
      <c r="X141" t="str">
        <f>IFERROR(_xlfn.XLOOKUP($A141,Master_Data!$C:$C,Master_Data!$O:$O,"CHECK",0),"No Result")</f>
        <v>Safe Seat</v>
      </c>
      <c r="Y141">
        <f>_xlfn.XLOOKUP($A141,Master_Data!$C:$C,Master_Data!$P:$P,"CHECK",0)</f>
        <v>0</v>
      </c>
      <c r="Z141">
        <f t="shared" si="5"/>
        <v>1</v>
      </c>
      <c r="AA141">
        <f>_xlfn.XLOOKUP(B141,Remittance_Data!A:A,Remittance_Data!B:B,"CHECK")</f>
        <v>9894</v>
      </c>
      <c r="AB141">
        <f>_xlfn.XLOOKUP(B141,Remittance_Data!A:A,Remittance_Data!C:C,"CHECK")</f>
        <v>8115</v>
      </c>
      <c r="AC141">
        <f>_xlfn.XLOOKUP(B141,Remittance_Data!A:A,Remittance_Data!D:D,"CHECK")</f>
        <v>1779</v>
      </c>
    </row>
    <row r="142" spans="1:29">
      <c r="A142" t="str">
        <v>Khagrachhari-1</v>
      </c>
      <c r="B142" t="str" cm="1">
        <f t="array" ref="B1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Nawabganj","Chapainawabganj"),Final_Merged_Data!$B$2:$B$1000=$A142)))</f>
        <v>Khagrachhari</v>
      </c>
      <c r="C142" t="str" cm="1">
        <f t="array" ref="C142">_xlfn.TEXTJOIN(", ",TRUE,_xlfn._xlws.FILTER(Final_Merged_Data!$C$2:$C$1000,Final_Merged_Data!$B$2:$B$1000=$A142))</f>
        <v>Khagrachhari Sadar, Dighinala, Panchhari, Mahalchhari, Matiranga, Ramgarh, Manikchhari, Lakshmichhari</v>
      </c>
      <c r="D142" cm="1">
        <f t="array" ref="D142">COUNTA(_xlfn._xlws.FILTER(Final_Merged_Data!$C$2:$C$1000,Final_Merged_Data!$B$2:$B$1000=$A142))</f>
        <v>8</v>
      </c>
      <c r="E142">
        <f>SUMIFS(Final_Merged_Data!$E:$E,Final_Merged_Data!$B:$B,$A142)</f>
        <v>3674.1699999999996</v>
      </c>
      <c r="F142">
        <f>SUMIFS(Final_Merged_Data!$F:$F,Final_Merged_Data!$B:$B,$A142)</f>
        <v>660829</v>
      </c>
      <c r="G142">
        <f t="shared" si="4"/>
        <v>179.85803596458521</v>
      </c>
      <c r="H142" cm="1">
        <f t="array" ref="H142">SUMPRODUCT((Final_Merged_Data!$B$2:$B$1000=$A142)*Final_Merged_Data!$H$2:$H$1000*Final_Merged_Data!$F$2:$F$1000)/F142</f>
        <v>4.1383026017320672</v>
      </c>
      <c r="I142" cm="1">
        <f t="array" ref="I142">SUMPRODUCT((Final_Merged_Data!$B$2:$B$1000=$A142)*Final_Merged_Data!$I$2:$I$1000*Final_Merged_Data!$F$2:$F$1000)/F142</f>
        <v>72.231419883207309</v>
      </c>
      <c r="J142" t="str" cm="1">
        <f t="array" ref="J142">_xlfn.TEXTJOIN(", ",TRUE,_xlfn.UNIQUE(_xlfn._xlws.FILTER(Final_Merged_Data!$J$2:$J$1000,Final_Merged_Data!$B$2:$B$1000=$A142)))</f>
        <v>Chittagong Range</v>
      </c>
      <c r="K142" cm="1">
        <f t="array" ref="K142">SUMPRODUCT((Final_Merged_Data!$B$2:$B$1000=$A142)*Final_Merged_Data!$K$2:$K$1000*Final_Merged_Data!$F$2:$F$1000)/F142</f>
        <v>84.879645400600893</v>
      </c>
      <c r="L142" cm="1">
        <f t="array" ref="L142">SUMPRODUCT((Final_Merged_Data!$B$2:$B$1000=$A142)*Final_Merged_Data!$L$2:$L$1000*Final_Merged_Data!$F$2:$F$1000)/F142</f>
        <v>10.309673910686191</v>
      </c>
      <c r="M142" t="str">
        <f>IF(COUNTIF(Master_Data!$C:$C,$A142)&gt;0,"Found","Missing")</f>
        <v>Found</v>
      </c>
      <c r="N142" t="str">
        <f>_xlfn.XLOOKUP($A142,Master_Data!$C:$C,Master_Data!$D:$D,"CHECK",0)</f>
        <v>Wadud Bhuiyan</v>
      </c>
      <c r="O142" t="str">
        <f>_xlfn.XLOOKUP($A142,Master_Data!$C:$C,Master_Data!$E:$E,"CHECK",0)</f>
        <v>BNP</v>
      </c>
      <c r="P142">
        <f>_xlfn.XLOOKUP($A142,Master_Data!$C:$C,Master_Data!$F:$F,"CHECK",0)</f>
        <v>1</v>
      </c>
      <c r="Q142">
        <f>_xlfn.XLOOKUP($A142,Master_Data!$C:$C,Master_Data!$G:$G,"CHECK",0)</f>
        <v>151040</v>
      </c>
      <c r="R142">
        <f>IFERROR(_xlfn.XLOOKUP($A142,Master_Data!$C:$C,Master_Data!$H:$H,"CHECK",0),"")</f>
        <v>68.856419958514735</v>
      </c>
      <c r="S142" t="str">
        <f>_xlfn.XLOOKUP($A142,Master_Data!$C:$C,Master_Data!$I:$I,"CHECK",0)</f>
        <v>Dharma Jyoti Chakma</v>
      </c>
      <c r="T142">
        <f>_xlfn.XLOOKUP($A142,Master_Data!$C:$C,Master_Data!$K:$K,"CHECK",0)</f>
        <v>68315</v>
      </c>
      <c r="U142">
        <f>IFERROR(_xlfn.XLOOKUP($A142,Master_Data!$C:$C,Master_Data!$L:$L,"CHECK",0),"")</f>
        <v>31.143580041485265</v>
      </c>
      <c r="V142">
        <f>_xlfn.XLOOKUP($A142,Master_Data!$C:$C,Master_Data!$M:$M,"CHECK",0)</f>
        <v>82725</v>
      </c>
      <c r="W142">
        <f>IFERROR(_xlfn.XLOOKUP($A142,Master_Data!$C:$C,Master_Data!$N:$N,"CHECK",0),"")</f>
        <v>37.71283991702947</v>
      </c>
      <c r="X142" t="str">
        <f>IFERROR(_xlfn.XLOOKUP($A142,Master_Data!$C:$C,Master_Data!$O:$O,"CHECK",0),"No Result")</f>
        <v>Safe Seat</v>
      </c>
      <c r="Y142">
        <f>_xlfn.XLOOKUP($A142,Master_Data!$C:$C,Master_Data!$P:$P,"CHECK",0)</f>
        <v>0</v>
      </c>
      <c r="Z142">
        <f t="shared" si="5"/>
        <v>1</v>
      </c>
      <c r="AA142">
        <f>_xlfn.XLOOKUP(B142,Remittance_Data!A:A,Remittance_Data!B:B,"CHECK")</f>
        <v>5192</v>
      </c>
      <c r="AB142">
        <f>_xlfn.XLOOKUP(B142,Remittance_Data!A:A,Remittance_Data!C:C,"CHECK")</f>
        <v>2269</v>
      </c>
      <c r="AC142">
        <f>_xlfn.XLOOKUP(B142,Remittance_Data!A:A,Remittance_Data!D:D,"CHECK")</f>
        <v>2923</v>
      </c>
    </row>
    <row r="143" spans="1:29">
      <c r="A143" t="str">
        <v>Khulna-1</v>
      </c>
      <c r="B143" t="str" cm="1">
        <f t="array" ref="B1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Nawabganj","Chapainawabganj"),Final_Merged_Data!$B$2:$B$1000=$A143)))</f>
        <v>Khulna</v>
      </c>
      <c r="C143" t="str" cm="1">
        <f t="array" ref="C143">_xlfn.TEXTJOIN(", ",TRUE,_xlfn._xlws.FILTER(Final_Merged_Data!$C$2:$C$1000,Final_Merged_Data!$B$2:$B$1000=$A143))</f>
        <v>Dacope</v>
      </c>
      <c r="D143" cm="1">
        <f t="array" ref="D143">COUNTA(_xlfn._xlws.FILTER(Final_Merged_Data!$C$2:$C$1000,Final_Merged_Data!$B$2:$B$1000=$A143))</f>
        <v>1</v>
      </c>
      <c r="E143">
        <f>SUMIFS(Final_Merged_Data!$E:$E,Final_Merged_Data!$B:$B,$A143)</f>
        <v>454.23</v>
      </c>
      <c r="F143">
        <f>SUMIFS(Final_Merged_Data!$F:$F,Final_Merged_Data!$B:$B,$A143)</f>
        <v>159362</v>
      </c>
      <c r="G143">
        <f t="shared" si="4"/>
        <v>350.83988287871784</v>
      </c>
      <c r="H143" cm="1">
        <f t="array" ref="H143">SUMPRODUCT((Final_Merged_Data!$B$2:$B$1000=$A143)*Final_Merged_Data!$H$2:$H$1000*Final_Merged_Data!$F$2:$F$1000)/F143</f>
        <v>3.76</v>
      </c>
      <c r="I143" cm="1">
        <f t="array" ref="I143">SUMPRODUCT((Final_Merged_Data!$B$2:$B$1000=$A143)*Final_Merged_Data!$I$2:$I$1000*Final_Merged_Data!$F$2:$F$1000)/F143</f>
        <v>78.040000000000006</v>
      </c>
      <c r="J143" t="str" cm="1">
        <f t="array" ref="J143">_xlfn.TEXTJOIN(", ",TRUE,_xlfn.UNIQUE(_xlfn._xlws.FILTER(Final_Merged_Data!$J$2:$J$1000,Final_Merged_Data!$B$2:$B$1000=$A143)))</f>
        <v>Khulna Range</v>
      </c>
      <c r="K143" cm="1">
        <f t="array" ref="K143">SUMPRODUCT((Final_Merged_Data!$B$2:$B$1000=$A143)*Final_Merged_Data!$K$2:$K$1000*Final_Merged_Data!$F$2:$F$1000)/F143</f>
        <v>102.32166075410298</v>
      </c>
      <c r="L143" cm="1">
        <f t="array" ref="L143">SUMPRODUCT((Final_Merged_Data!$B$2:$B$1000=$A143)*Final_Merged_Data!$L$2:$L$1000*Final_Merged_Data!$F$2:$F$1000)/F143</f>
        <v>12.212237548443923</v>
      </c>
      <c r="M143" t="str">
        <f>IF(COUNTIF(Master_Data!$C:$C,$A143)&gt;0,"Found","Missing")</f>
        <v>Found</v>
      </c>
      <c r="N143" t="str">
        <f>_xlfn.XLOOKUP($A143,Master_Data!$C:$C,Master_Data!$D:$D,"CHECK",0)</f>
        <v>Amir Ejaz Khan</v>
      </c>
      <c r="O143" t="str">
        <f>_xlfn.XLOOKUP($A143,Master_Data!$C:$C,Master_Data!$E:$E,"CHECK",0)</f>
        <v>BNP</v>
      </c>
      <c r="P143">
        <f>_xlfn.XLOOKUP($A143,Master_Data!$C:$C,Master_Data!$F:$F,"CHECK",0)</f>
        <v>1</v>
      </c>
      <c r="Q143">
        <f>_xlfn.XLOOKUP($A143,Master_Data!$C:$C,Master_Data!$G:$G,"CHECK",0)</f>
        <v>121352</v>
      </c>
      <c r="R143">
        <f>IFERROR(_xlfn.XLOOKUP($A143,Master_Data!$C:$C,Master_Data!$H:$H,"CHECK",0),"")</f>
        <v>63.303738171498921</v>
      </c>
      <c r="S143" t="str">
        <f>_xlfn.XLOOKUP($A143,Master_Data!$C:$C,Master_Data!$I:$I,"CHECK",0)</f>
        <v>Krishna Nandi</v>
      </c>
      <c r="T143">
        <f>_xlfn.XLOOKUP($A143,Master_Data!$C:$C,Master_Data!$K:$K,"CHECK",0)</f>
        <v>70346</v>
      </c>
      <c r="U143">
        <f>IFERROR(_xlfn.XLOOKUP($A143,Master_Data!$C:$C,Master_Data!$L:$L,"CHECK",0),"")</f>
        <v>36.696261828501079</v>
      </c>
      <c r="V143">
        <f>_xlfn.XLOOKUP($A143,Master_Data!$C:$C,Master_Data!$M:$M,"CHECK",0)</f>
        <v>51006</v>
      </c>
      <c r="W143">
        <f>IFERROR(_xlfn.XLOOKUP($A143,Master_Data!$C:$C,Master_Data!$N:$N,"CHECK",0),"")</f>
        <v>26.607476342997838</v>
      </c>
      <c r="X143" t="str">
        <f>IFERROR(_xlfn.XLOOKUP($A143,Master_Data!$C:$C,Master_Data!$O:$O,"CHECK",0),"No Result")</f>
        <v>Safe Seat</v>
      </c>
      <c r="Y143">
        <f>_xlfn.XLOOKUP($A143,Master_Data!$C:$C,Master_Data!$P:$P,"CHECK",0)</f>
        <v>0</v>
      </c>
      <c r="Z143">
        <f t="shared" si="5"/>
        <v>1</v>
      </c>
      <c r="AA143">
        <f>_xlfn.XLOOKUP(B143,Remittance_Data!A:A,Remittance_Data!B:B,"CHECK")</f>
        <v>17169</v>
      </c>
      <c r="AB143">
        <f>_xlfn.XLOOKUP(B143,Remittance_Data!A:A,Remittance_Data!C:C,"CHECK")</f>
        <v>8309</v>
      </c>
      <c r="AC143">
        <f>_xlfn.XLOOKUP(B143,Remittance_Data!A:A,Remittance_Data!D:D,"CHECK")</f>
        <v>8860</v>
      </c>
    </row>
    <row r="144" spans="1:29">
      <c r="A144" t="str">
        <v>Khulna-2</v>
      </c>
      <c r="B144" t="str" cm="1">
        <f t="array" ref="B1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Nawabganj","Chapainawabganj"),Final_Merged_Data!$B$2:$B$1000=$A144)))</f>
        <v>Khulna</v>
      </c>
      <c r="C144" t="str" cm="1">
        <f t="array" ref="C144">_xlfn.TEXTJOIN(", ",TRUE,_xlfn._xlws.FILTER(Final_Merged_Data!$C$2:$C$1000,Final_Merged_Data!$B$2:$B$1000=$A144))</f>
        <v>Khulna City Corporation</v>
      </c>
      <c r="D144" cm="1">
        <f t="array" ref="D144">COUNTA(_xlfn._xlws.FILTER(Final_Merged_Data!$C$2:$C$1000,Final_Merged_Data!$B$2:$B$1000=$A144))</f>
        <v>1</v>
      </c>
      <c r="E144">
        <f>SUMIFS(Final_Merged_Data!$E:$E,Final_Merged_Data!$B:$B,$A144)</f>
        <v>22.83</v>
      </c>
      <c r="F144">
        <f>SUMIFS(Final_Merged_Data!$F:$F,Final_Merged_Data!$B:$B,$A144)</f>
        <v>359779</v>
      </c>
      <c r="G144">
        <f t="shared" si="4"/>
        <v>15759.04511607534</v>
      </c>
      <c r="H144" cm="1">
        <f t="array" ref="H144">SUMPRODUCT((Final_Merged_Data!$B$2:$B$1000=$A144)*Final_Merged_Data!$H$2:$H$1000*Final_Merged_Data!$F$2:$F$1000)/F144</f>
        <v>3.75</v>
      </c>
      <c r="I144" cm="1">
        <f t="array" ref="I144">SUMPRODUCT((Final_Merged_Data!$B$2:$B$1000=$A144)*Final_Merged_Data!$I$2:$I$1000*Final_Merged_Data!$F$2:$F$1000)/F144</f>
        <v>88.07</v>
      </c>
      <c r="J144" t="str" cm="1">
        <f t="array" ref="J144">_xlfn.TEXTJOIN(", ",TRUE,_xlfn.UNIQUE(_xlfn._xlws.FILTER(Final_Merged_Data!$J$2:$J$1000,Final_Merged_Data!$B$2:$B$1000=$A144)))</f>
        <v>Khulna Range</v>
      </c>
      <c r="K144" cm="1">
        <f t="array" ref="K144">SUMPRODUCT((Final_Merged_Data!$B$2:$B$1000=$A144)*Final_Merged_Data!$K$2:$K$1000*Final_Merged_Data!$F$2:$F$1000)/F144</f>
        <v>102.32166075410299</v>
      </c>
      <c r="L144" cm="1">
        <f t="array" ref="L144">SUMPRODUCT((Final_Merged_Data!$B$2:$B$1000=$A144)*Final_Merged_Data!$L$2:$L$1000*Final_Merged_Data!$F$2:$F$1000)/F144</f>
        <v>12.212237548443923</v>
      </c>
      <c r="M144" t="str">
        <f>IF(COUNTIF(Master_Data!$C:$C,$A144)&gt;0,"Found","Missing")</f>
        <v>Found</v>
      </c>
      <c r="N144" t="str">
        <f>_xlfn.XLOOKUP($A144,Master_Data!$C:$C,Master_Data!$D:$D,"CHECK",0)</f>
        <v>Sheikh Jahangir Hussain Helal</v>
      </c>
      <c r="O144" t="str">
        <f>_xlfn.XLOOKUP($A144,Master_Data!$C:$C,Master_Data!$E:$E,"CHECK",0)</f>
        <v>Jamaat</v>
      </c>
      <c r="P144">
        <f>_xlfn.XLOOKUP($A144,Master_Data!$C:$C,Master_Data!$F:$F,"CHECK",0)</f>
        <v>2</v>
      </c>
      <c r="Q144">
        <f>_xlfn.XLOOKUP($A144,Master_Data!$C:$C,Master_Data!$G:$G,"CHECK",0)</f>
        <v>93789</v>
      </c>
      <c r="R144">
        <f>IFERROR(_xlfn.XLOOKUP($A144,Master_Data!$C:$C,Master_Data!$H:$H,"CHECK",0),"")</f>
        <v>51.536381919488313</v>
      </c>
      <c r="S144" t="str">
        <f>_xlfn.XLOOKUP($A144,Master_Data!$C:$C,Master_Data!$I:$I,"CHECK",0)</f>
        <v>Nazrul Islam Manju</v>
      </c>
      <c r="T144">
        <f>_xlfn.XLOOKUP($A144,Master_Data!$C:$C,Master_Data!$K:$K,"CHECK",0)</f>
        <v>88197</v>
      </c>
      <c r="U144">
        <f>IFERROR(_xlfn.XLOOKUP($A144,Master_Data!$C:$C,Master_Data!$L:$L,"CHECK",0),"")</f>
        <v>48.463618080511687</v>
      </c>
      <c r="V144">
        <f>_xlfn.XLOOKUP($A144,Master_Data!$C:$C,Master_Data!$M:$M,"CHECK",0)</f>
        <v>5592</v>
      </c>
      <c r="W144">
        <f>IFERROR(_xlfn.XLOOKUP($A144,Master_Data!$C:$C,Master_Data!$N:$N,"CHECK",0),"")</f>
        <v>3.0727638389766243</v>
      </c>
      <c r="X144" t="str">
        <f>IFERROR(_xlfn.XLOOKUP($A144,Master_Data!$C:$C,Master_Data!$O:$O,"CHECK",0),"No Result")</f>
        <v>Highly Competitive</v>
      </c>
      <c r="Y144">
        <f>_xlfn.XLOOKUP($A144,Master_Data!$C:$C,Master_Data!$P:$P,"CHECK",0)</f>
        <v>1</v>
      </c>
      <c r="Z144">
        <f t="shared" si="5"/>
        <v>1</v>
      </c>
      <c r="AA144">
        <f>_xlfn.XLOOKUP(B144,Remittance_Data!A:A,Remittance_Data!B:B,"CHECK")</f>
        <v>17169</v>
      </c>
      <c r="AB144">
        <f>_xlfn.XLOOKUP(B144,Remittance_Data!A:A,Remittance_Data!C:C,"CHECK")</f>
        <v>8309</v>
      </c>
      <c r="AC144">
        <f>_xlfn.XLOOKUP(B144,Remittance_Data!A:A,Remittance_Data!D:D,"CHECK")</f>
        <v>8860</v>
      </c>
    </row>
    <row r="145" spans="1:29">
      <c r="A145" t="str">
        <v>Khulna-3</v>
      </c>
      <c r="B145" t="str" cm="1">
        <f t="array" ref="B1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Nawabganj","Chapainawabganj"),Final_Merged_Data!$B$2:$B$1000=$A145)))</f>
        <v>Khulna</v>
      </c>
      <c r="C145" t="str" cm="1">
        <f t="array" ref="C145">_xlfn.TEXTJOIN(", ",TRUE,_xlfn._xlws.FILTER(Final_Merged_Data!$C$2:$C$1000,Final_Merged_Data!$B$2:$B$1000=$A145))</f>
        <v>Khulna City Corporation</v>
      </c>
      <c r="D145" cm="1">
        <f t="array" ref="D145">COUNTA(_xlfn._xlws.FILTER(Final_Merged_Data!$C$2:$C$1000,Final_Merged_Data!$B$2:$B$1000=$A145))</f>
        <v>1</v>
      </c>
      <c r="E145">
        <f>SUMIFS(Final_Merged_Data!$E:$E,Final_Merged_Data!$B:$B,$A145)</f>
        <v>22.83</v>
      </c>
      <c r="F145">
        <f>SUMIFS(Final_Merged_Data!$F:$F,Final_Merged_Data!$B:$B,$A145)</f>
        <v>359779</v>
      </c>
      <c r="G145">
        <f t="shared" si="4"/>
        <v>15759.04511607534</v>
      </c>
      <c r="H145" cm="1">
        <f t="array" ref="H145">SUMPRODUCT((Final_Merged_Data!$B$2:$B$1000=$A145)*Final_Merged_Data!$H$2:$H$1000*Final_Merged_Data!$F$2:$F$1000)/F145</f>
        <v>3.75</v>
      </c>
      <c r="I145" cm="1">
        <f t="array" ref="I145">SUMPRODUCT((Final_Merged_Data!$B$2:$B$1000=$A145)*Final_Merged_Data!$I$2:$I$1000*Final_Merged_Data!$F$2:$F$1000)/F145</f>
        <v>88.07</v>
      </c>
      <c r="J145" t="str" cm="1">
        <f t="array" ref="J145">_xlfn.TEXTJOIN(", ",TRUE,_xlfn.UNIQUE(_xlfn._xlws.FILTER(Final_Merged_Data!$J$2:$J$1000,Final_Merged_Data!$B$2:$B$1000=$A145)))</f>
        <v>Khulna Range</v>
      </c>
      <c r="K145" cm="1">
        <f t="array" ref="K145">SUMPRODUCT((Final_Merged_Data!$B$2:$B$1000=$A145)*Final_Merged_Data!$K$2:$K$1000*Final_Merged_Data!$F$2:$F$1000)/F145</f>
        <v>102.32166075410299</v>
      </c>
      <c r="L145" cm="1">
        <f t="array" ref="L145">SUMPRODUCT((Final_Merged_Data!$B$2:$B$1000=$A145)*Final_Merged_Data!$L$2:$L$1000*Final_Merged_Data!$F$2:$F$1000)/F145</f>
        <v>12.212237548443923</v>
      </c>
      <c r="M145" t="str">
        <f>IF(COUNTIF(Master_Data!$C:$C,$A145)&gt;0,"Found","Missing")</f>
        <v>Found</v>
      </c>
      <c r="N145" t="str">
        <f>_xlfn.XLOOKUP($A145,Master_Data!$C:$C,Master_Data!$D:$D,"CHECK",0)</f>
        <v>Rakibul Islam</v>
      </c>
      <c r="O145" t="str">
        <f>_xlfn.XLOOKUP($A145,Master_Data!$C:$C,Master_Data!$E:$E,"CHECK",0)</f>
        <v>BNP</v>
      </c>
      <c r="P145">
        <f>_xlfn.XLOOKUP($A145,Master_Data!$C:$C,Master_Data!$F:$F,"CHECK",0)</f>
        <v>1</v>
      </c>
      <c r="Q145">
        <f>_xlfn.XLOOKUP($A145,Master_Data!$C:$C,Master_Data!$G:$G,"CHECK",0)</f>
        <v>74845</v>
      </c>
      <c r="R145">
        <f>IFERROR(_xlfn.XLOOKUP($A145,Master_Data!$C:$C,Master_Data!$H:$H,"CHECK",0),"")</f>
        <v>53.136203897625222</v>
      </c>
      <c r="S145" t="str">
        <f>_xlfn.XLOOKUP($A145,Master_Data!$C:$C,Master_Data!$I:$I,"CHECK",0)</f>
        <v>Mohammad Mahfuzur Rahman</v>
      </c>
      <c r="T145">
        <f>_xlfn.XLOOKUP($A145,Master_Data!$C:$C,Master_Data!$K:$K,"CHECK",0)</f>
        <v>66010</v>
      </c>
      <c r="U145">
        <f>IFERROR(_xlfn.XLOOKUP($A145,Master_Data!$C:$C,Master_Data!$L:$L,"CHECK",0),"")</f>
        <v>46.863796102374785</v>
      </c>
      <c r="V145">
        <f>_xlfn.XLOOKUP($A145,Master_Data!$C:$C,Master_Data!$M:$M,"CHECK",0)</f>
        <v>8835</v>
      </c>
      <c r="W145">
        <f>IFERROR(_xlfn.XLOOKUP($A145,Master_Data!$C:$C,Master_Data!$N:$N,"CHECK",0),"")</f>
        <v>6.2724077952504338</v>
      </c>
      <c r="X145" t="str">
        <f>IFERROR(_xlfn.XLOOKUP($A145,Master_Data!$C:$C,Master_Data!$O:$O,"CHECK",0),"No Result")</f>
        <v>Safe Seat</v>
      </c>
      <c r="Y145">
        <f>_xlfn.XLOOKUP($A145,Master_Data!$C:$C,Master_Data!$P:$P,"CHECK",0)</f>
        <v>1</v>
      </c>
      <c r="Z145">
        <f t="shared" si="5"/>
        <v>1</v>
      </c>
      <c r="AA145">
        <f>_xlfn.XLOOKUP(B145,Remittance_Data!A:A,Remittance_Data!B:B,"CHECK")</f>
        <v>17169</v>
      </c>
      <c r="AB145">
        <f>_xlfn.XLOOKUP(B145,Remittance_Data!A:A,Remittance_Data!C:C,"CHECK")</f>
        <v>8309</v>
      </c>
      <c r="AC145">
        <f>_xlfn.XLOOKUP(B145,Remittance_Data!A:A,Remittance_Data!D:D,"CHECK")</f>
        <v>8860</v>
      </c>
    </row>
    <row r="146" spans="1:29">
      <c r="A146" t="str">
        <v>Khulna-4</v>
      </c>
      <c r="B146" t="str" cm="1">
        <f t="array" ref="B1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Nawabganj","Chapainawabganj"),Final_Merged_Data!$B$2:$B$1000=$A146)))</f>
        <v>Khulna</v>
      </c>
      <c r="C146" t="str" cm="1">
        <f t="array" ref="C146">_xlfn.TEXTJOIN(", ",TRUE,_xlfn._xlws.FILTER(Final_Merged_Data!$C$2:$C$1000,Final_Merged_Data!$B$2:$B$1000=$A146))</f>
        <v>Terokhada, Rupsa, Dighalia</v>
      </c>
      <c r="D146" cm="1">
        <f t="array" ref="D146">COUNTA(_xlfn._xlws.FILTER(Final_Merged_Data!$C$2:$C$1000,Final_Merged_Data!$B$2:$B$1000=$A146))</f>
        <v>3</v>
      </c>
      <c r="E146">
        <f>SUMIFS(Final_Merged_Data!$E:$E,Final_Merged_Data!$B:$B,$A146)</f>
        <v>487.39</v>
      </c>
      <c r="F146">
        <f>SUMIFS(Final_Merged_Data!$F:$F,Final_Merged_Data!$B:$B,$A146)</f>
        <v>502679</v>
      </c>
      <c r="G146">
        <f t="shared" si="4"/>
        <v>1031.3691294445925</v>
      </c>
      <c r="H146" cm="1">
        <f t="array" ref="H146">SUMPRODUCT((Final_Merged_Data!$B$2:$B$1000=$A146)*Final_Merged_Data!$H$2:$H$1000*Final_Merged_Data!$F$2:$F$1000)/F146</f>
        <v>3.9552903144949365</v>
      </c>
      <c r="I146" cm="1">
        <f t="array" ref="I146">SUMPRODUCT((Final_Merged_Data!$B$2:$B$1000=$A146)*Final_Merged_Data!$I$2:$I$1000*Final_Merged_Data!$F$2:$F$1000)/F146</f>
        <v>78.828064788861283</v>
      </c>
      <c r="J146" t="str" cm="1">
        <f t="array" ref="J146">_xlfn.TEXTJOIN(", ",TRUE,_xlfn.UNIQUE(_xlfn._xlws.FILTER(Final_Merged_Data!$J$2:$J$1000,Final_Merged_Data!$B$2:$B$1000=$A146)))</f>
        <v>Khulna Range</v>
      </c>
      <c r="K146" cm="1">
        <f t="array" ref="K146">SUMPRODUCT((Final_Merged_Data!$B$2:$B$1000=$A146)*Final_Merged_Data!$K$2:$K$1000*Final_Merged_Data!$F$2:$F$1000)/F146</f>
        <v>102.32166075410298</v>
      </c>
      <c r="L146" cm="1">
        <f t="array" ref="L146">SUMPRODUCT((Final_Merged_Data!$B$2:$B$1000=$A146)*Final_Merged_Data!$L$2:$L$1000*Final_Merged_Data!$F$2:$F$1000)/F146</f>
        <v>12.212237548443925</v>
      </c>
      <c r="M146" t="str">
        <f>IF(COUNTIF(Master_Data!$C:$C,$A146)&gt;0,"Found","Missing")</f>
        <v>Found</v>
      </c>
      <c r="N146" t="str">
        <f>_xlfn.XLOOKUP($A146,Master_Data!$C:$C,Master_Data!$D:$D,"CHECK",0)</f>
        <v>SK Azizul Bari Helal</v>
      </c>
      <c r="O146" t="str">
        <f>_xlfn.XLOOKUP($A146,Master_Data!$C:$C,Master_Data!$E:$E,"CHECK",0)</f>
        <v>BNP</v>
      </c>
      <c r="P146">
        <f>_xlfn.XLOOKUP($A146,Master_Data!$C:$C,Master_Data!$F:$F,"CHECK",0)</f>
        <v>1</v>
      </c>
      <c r="Q146">
        <f>_xlfn.XLOOKUP($A146,Master_Data!$C:$C,Master_Data!$G:$G,"CHECK",0)</f>
        <v>123162</v>
      </c>
      <c r="R146">
        <f>IFERROR(_xlfn.XLOOKUP($A146,Master_Data!$C:$C,Master_Data!$H:$H,"CHECK",0),"")</f>
        <v>52.929193955958951</v>
      </c>
      <c r="S146" t="str">
        <f>_xlfn.XLOOKUP($A146,Master_Data!$C:$C,Master_Data!$I:$I,"CHECK",0)</f>
        <v>SM Sakhawat Hossain</v>
      </c>
      <c r="T146">
        <f>_xlfn.XLOOKUP($A146,Master_Data!$C:$C,Master_Data!$K:$K,"CHECK",0)</f>
        <v>109530</v>
      </c>
      <c r="U146">
        <f>IFERROR(_xlfn.XLOOKUP($A146,Master_Data!$C:$C,Master_Data!$L:$L,"CHECK",0),"")</f>
        <v>47.070806044041049</v>
      </c>
      <c r="V146">
        <f>_xlfn.XLOOKUP($A146,Master_Data!$C:$C,Master_Data!$M:$M,"CHECK",0)</f>
        <v>13632</v>
      </c>
      <c r="W146">
        <f>IFERROR(_xlfn.XLOOKUP($A146,Master_Data!$C:$C,Master_Data!$N:$N,"CHECK",0),"")</f>
        <v>5.8583879119178999</v>
      </c>
      <c r="X146" t="str">
        <f>IFERROR(_xlfn.XLOOKUP($A146,Master_Data!$C:$C,Master_Data!$O:$O,"CHECK",0),"No Result")</f>
        <v>Safe Seat</v>
      </c>
      <c r="Y146">
        <f>_xlfn.XLOOKUP($A146,Master_Data!$C:$C,Master_Data!$P:$P,"CHECK",0)</f>
        <v>0</v>
      </c>
      <c r="Z146">
        <f t="shared" si="5"/>
        <v>1</v>
      </c>
      <c r="AA146">
        <f>_xlfn.XLOOKUP(B146,Remittance_Data!A:A,Remittance_Data!B:B,"CHECK")</f>
        <v>17169</v>
      </c>
      <c r="AB146">
        <f>_xlfn.XLOOKUP(B146,Remittance_Data!A:A,Remittance_Data!C:C,"CHECK")</f>
        <v>8309</v>
      </c>
      <c r="AC146">
        <f>_xlfn.XLOOKUP(B146,Remittance_Data!A:A,Remittance_Data!D:D,"CHECK")</f>
        <v>8860</v>
      </c>
    </row>
    <row r="147" spans="1:29">
      <c r="A147" t="str">
        <v>Khulna-5</v>
      </c>
      <c r="B147" t="str" cm="1">
        <f t="array" ref="B1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Nawabganj","Chapainawabganj"),Final_Merged_Data!$B$2:$B$1000=$A147)))</f>
        <v>Khulna</v>
      </c>
      <c r="C147" t="str" cm="1">
        <f t="array" ref="C147">_xlfn.TEXTJOIN(", ",TRUE,_xlfn._xlws.FILTER(Final_Merged_Data!$C$2:$C$1000,Final_Merged_Data!$B$2:$B$1000=$A147))</f>
        <v>Phultala, Dumuria</v>
      </c>
      <c r="D147" cm="1">
        <f t="array" ref="D147">COUNTA(_xlfn._xlws.FILTER(Final_Merged_Data!$C$2:$C$1000,Final_Merged_Data!$B$2:$B$1000=$A147))</f>
        <v>2</v>
      </c>
      <c r="E147">
        <f>SUMIFS(Final_Merged_Data!$E:$E,Final_Merged_Data!$B:$B,$A147)</f>
        <v>239.39999999999998</v>
      </c>
      <c r="F147">
        <f>SUMIFS(Final_Merged_Data!$F:$F,Final_Merged_Data!$B:$B,$A147)</f>
        <v>492387</v>
      </c>
      <c r="G147">
        <f t="shared" si="4"/>
        <v>2056.7543859649127</v>
      </c>
      <c r="H147" cm="1">
        <f t="array" ref="H147">SUMPRODUCT((Final_Merged_Data!$B$2:$B$1000=$A147)*Final_Merged_Data!$H$2:$H$1000*Final_Merged_Data!$F$2:$F$1000)/F147</f>
        <v>3.866984038977471</v>
      </c>
      <c r="I147" cm="1">
        <f t="array" ref="I147">SUMPRODUCT((Final_Merged_Data!$B$2:$B$1000=$A147)*Final_Merged_Data!$I$2:$I$1000*Final_Merged_Data!$F$2:$F$1000)/F147</f>
        <v>77.758464886359718</v>
      </c>
      <c r="J147" t="str" cm="1">
        <f t="array" ref="J147">_xlfn.TEXTJOIN(", ",TRUE,_xlfn.UNIQUE(_xlfn._xlws.FILTER(Final_Merged_Data!$J$2:$J$1000,Final_Merged_Data!$B$2:$B$1000=$A147)))</f>
        <v>Khulna Range</v>
      </c>
      <c r="K147" cm="1">
        <f t="array" ref="K147">SUMPRODUCT((Final_Merged_Data!$B$2:$B$1000=$A147)*Final_Merged_Data!$K$2:$K$1000*Final_Merged_Data!$F$2:$F$1000)/F147</f>
        <v>102.32166075410298</v>
      </c>
      <c r="L147" cm="1">
        <f t="array" ref="L147">SUMPRODUCT((Final_Merged_Data!$B$2:$B$1000=$A147)*Final_Merged_Data!$L$2:$L$1000*Final_Merged_Data!$F$2:$F$1000)/F147</f>
        <v>12.212237548443925</v>
      </c>
      <c r="M147" t="str">
        <f>IF(COUNTIF(Master_Data!$C:$C,$A147)&gt;0,"Found","Missing")</f>
        <v>Found</v>
      </c>
      <c r="N147" t="str">
        <f>_xlfn.XLOOKUP($A147,Master_Data!$C:$C,Master_Data!$D:$D,"CHECK",0)</f>
        <v>Mohammad Ali Asghar Lobby</v>
      </c>
      <c r="O147" t="str">
        <f>_xlfn.XLOOKUP($A147,Master_Data!$C:$C,Master_Data!$E:$E,"CHECK",0)</f>
        <v>BNP</v>
      </c>
      <c r="P147">
        <f>_xlfn.XLOOKUP($A147,Master_Data!$C:$C,Master_Data!$F:$F,"CHECK",0)</f>
        <v>1</v>
      </c>
      <c r="Q147">
        <f>_xlfn.XLOOKUP($A147,Master_Data!$C:$C,Master_Data!$G:$G,"CHECK",0)</f>
        <v>148854</v>
      </c>
      <c r="R147">
        <f>IFERROR(_xlfn.XLOOKUP($A147,Master_Data!$C:$C,Master_Data!$H:$H,"CHECK",0),"")</f>
        <v>50.441884107082345</v>
      </c>
      <c r="S147" t="str">
        <f>_xlfn.XLOOKUP($A147,Master_Data!$C:$C,Master_Data!$I:$I,"CHECK",0)</f>
        <v>Mia Golam Parwar</v>
      </c>
      <c r="T147">
        <f>_xlfn.XLOOKUP($A147,Master_Data!$C:$C,Master_Data!$K:$K,"CHECK",0)</f>
        <v>146246</v>
      </c>
      <c r="U147">
        <f>IFERROR(_xlfn.XLOOKUP($A147,Master_Data!$C:$C,Master_Data!$L:$L,"CHECK",0),"")</f>
        <v>49.558115892917655</v>
      </c>
      <c r="V147">
        <f>_xlfn.XLOOKUP($A147,Master_Data!$C:$C,Master_Data!$M:$M,"CHECK",0)</f>
        <v>2608</v>
      </c>
      <c r="W147">
        <f>IFERROR(_xlfn.XLOOKUP($A147,Master_Data!$C:$C,Master_Data!$N:$N,"CHECK",0),"")</f>
        <v>0.88376821416468987</v>
      </c>
      <c r="X147" t="str">
        <f>IFERROR(_xlfn.XLOOKUP($A147,Master_Data!$C:$C,Master_Data!$O:$O,"CHECK",0),"No Result")</f>
        <v>Highly Competitive</v>
      </c>
      <c r="Y147">
        <f>_xlfn.XLOOKUP($A147,Master_Data!$C:$C,Master_Data!$P:$P,"CHECK",0)</f>
        <v>0</v>
      </c>
      <c r="Z147">
        <f t="shared" si="5"/>
        <v>1</v>
      </c>
      <c r="AA147">
        <f>_xlfn.XLOOKUP(B147,Remittance_Data!A:A,Remittance_Data!B:B,"CHECK")</f>
        <v>17169</v>
      </c>
      <c r="AB147">
        <f>_xlfn.XLOOKUP(B147,Remittance_Data!A:A,Remittance_Data!C:C,"CHECK")</f>
        <v>8309</v>
      </c>
      <c r="AC147">
        <f>_xlfn.XLOOKUP(B147,Remittance_Data!A:A,Remittance_Data!D:D,"CHECK")</f>
        <v>8860</v>
      </c>
    </row>
    <row r="148" spans="1:29">
      <c r="A148" t="str">
        <v>Khulna-6</v>
      </c>
      <c r="B148" t="str" cm="1">
        <f t="array" ref="B1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Nawabganj","Chapainawabganj"),Final_Merged_Data!$B$2:$B$1000=$A148)))</f>
        <v>Khulna</v>
      </c>
      <c r="C148" t="str" cm="1">
        <f t="array" ref="C148">_xlfn.TEXTJOIN(", ",TRUE,_xlfn._xlws.FILTER(Final_Merged_Data!$C$2:$C$1000,Final_Merged_Data!$B$2:$B$1000=$A148))</f>
        <v>Paikgachha, Koyra</v>
      </c>
      <c r="D148" cm="1">
        <f t="array" ref="D148">COUNTA(_xlfn._xlws.FILTER(Final_Merged_Data!$C$2:$C$1000,Final_Merged_Data!$B$2:$B$1000=$A148))</f>
        <v>2</v>
      </c>
      <c r="E148">
        <f>SUMIFS(Final_Merged_Data!$E:$E,Final_Merged_Data!$B:$B,$A148)</f>
        <v>2187.2000000000003</v>
      </c>
      <c r="F148">
        <f>SUMIFS(Final_Merged_Data!$F:$F,Final_Merged_Data!$B:$B,$A148)</f>
        <v>506284</v>
      </c>
      <c r="G148">
        <f t="shared" si="4"/>
        <v>231.47585954645206</v>
      </c>
      <c r="H148" cm="1">
        <f t="array" ref="H148">SUMPRODUCT((Final_Merged_Data!$B$2:$B$1000=$A148)*Final_Merged_Data!$H$2:$H$1000*Final_Merged_Data!$F$2:$F$1000)/F148</f>
        <v>3.8978192476949696</v>
      </c>
      <c r="I148" cm="1">
        <f t="array" ref="I148">SUMPRODUCT((Final_Merged_Data!$B$2:$B$1000=$A148)*Final_Merged_Data!$I$2:$I$1000*Final_Merged_Data!$F$2:$F$1000)/F148</f>
        <v>75.569942798903384</v>
      </c>
      <c r="J148" t="str" cm="1">
        <f t="array" ref="J148">_xlfn.TEXTJOIN(", ",TRUE,_xlfn.UNIQUE(_xlfn._xlws.FILTER(Final_Merged_Data!$J$2:$J$1000,Final_Merged_Data!$B$2:$B$1000=$A148)))</f>
        <v>Khulna Range</v>
      </c>
      <c r="K148" cm="1">
        <f t="array" ref="K148">SUMPRODUCT((Final_Merged_Data!$B$2:$B$1000=$A148)*Final_Merged_Data!$K$2:$K$1000*Final_Merged_Data!$F$2:$F$1000)/F148</f>
        <v>102.32166075410298</v>
      </c>
      <c r="L148" cm="1">
        <f t="array" ref="L148">SUMPRODUCT((Final_Merged_Data!$B$2:$B$1000=$A148)*Final_Merged_Data!$L$2:$L$1000*Final_Merged_Data!$F$2:$F$1000)/F148</f>
        <v>12.212237548443923</v>
      </c>
      <c r="M148" t="str">
        <f>IF(COUNTIF(Master_Data!$C:$C,$A148)&gt;0,"Found","Missing")</f>
        <v>Found</v>
      </c>
      <c r="N148" t="str">
        <f>_xlfn.XLOOKUP($A148,Master_Data!$C:$C,Master_Data!$D:$D,"CHECK",0)</f>
        <v>Abul Kalam Azad</v>
      </c>
      <c r="O148" t="str">
        <f>_xlfn.XLOOKUP($A148,Master_Data!$C:$C,Master_Data!$E:$E,"CHECK",0)</f>
        <v>Jamaat</v>
      </c>
      <c r="P148">
        <f>_xlfn.XLOOKUP($A148,Master_Data!$C:$C,Master_Data!$F:$F,"CHECK",0)</f>
        <v>2</v>
      </c>
      <c r="Q148">
        <f>_xlfn.XLOOKUP($A148,Master_Data!$C:$C,Master_Data!$G:$G,"CHECK",0)</f>
        <v>150724</v>
      </c>
      <c r="R148">
        <f>IFERROR(_xlfn.XLOOKUP($A148,Master_Data!$C:$C,Master_Data!$H:$H,"CHECK",0),"")</f>
        <v>54.722365430556863</v>
      </c>
      <c r="S148" t="str">
        <f>_xlfn.XLOOKUP($A148,Master_Data!$C:$C,Master_Data!$I:$I,"CHECK",0)</f>
        <v>SM Monirul Hasan</v>
      </c>
      <c r="T148">
        <f>_xlfn.XLOOKUP($A148,Master_Data!$C:$C,Master_Data!$K:$K,"CHECK",0)</f>
        <v>124710</v>
      </c>
      <c r="U148">
        <f>IFERROR(_xlfn.XLOOKUP($A148,Master_Data!$C:$C,Master_Data!$L:$L,"CHECK",0),"")</f>
        <v>45.27763456944313</v>
      </c>
      <c r="V148">
        <f>_xlfn.XLOOKUP($A148,Master_Data!$C:$C,Master_Data!$M:$M,"CHECK",0)</f>
        <v>26014</v>
      </c>
      <c r="W148">
        <f>IFERROR(_xlfn.XLOOKUP($A148,Master_Data!$C:$C,Master_Data!$N:$N,"CHECK",0),"")</f>
        <v>9.4447308611137331</v>
      </c>
      <c r="X148" t="str">
        <f>IFERROR(_xlfn.XLOOKUP($A148,Master_Data!$C:$C,Master_Data!$O:$O,"CHECK",0),"No Result")</f>
        <v>Safe Seat</v>
      </c>
      <c r="Y148">
        <f>_xlfn.XLOOKUP($A148,Master_Data!$C:$C,Master_Data!$P:$P,"CHECK",0)</f>
        <v>0</v>
      </c>
      <c r="Z148">
        <f t="shared" si="5"/>
        <v>1</v>
      </c>
      <c r="AA148">
        <f>_xlfn.XLOOKUP(B148,Remittance_Data!A:A,Remittance_Data!B:B,"CHECK")</f>
        <v>17169</v>
      </c>
      <c r="AB148">
        <f>_xlfn.XLOOKUP(B148,Remittance_Data!A:A,Remittance_Data!C:C,"CHECK")</f>
        <v>8309</v>
      </c>
      <c r="AC148">
        <f>_xlfn.XLOOKUP(B148,Remittance_Data!A:A,Remittance_Data!D:D,"CHECK")</f>
        <v>8860</v>
      </c>
    </row>
    <row r="149" spans="1:29">
      <c r="A149" t="str">
        <v>Kishoreganj-1</v>
      </c>
      <c r="B149" t="str" cm="1">
        <f t="array" ref="B1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Nawabganj","Chapainawabganj"),Final_Merged_Data!$B$2:$B$1000=$A149)))</f>
        <v>Kishoreganj</v>
      </c>
      <c r="C149" t="str" cm="1">
        <f t="array" ref="C149">_xlfn.TEXTJOIN(", ",TRUE,_xlfn._xlws.FILTER(Final_Merged_Data!$C$2:$C$1000,Final_Merged_Data!$B$2:$B$1000=$A149))</f>
        <v>Itna, Mithamain, Austagram</v>
      </c>
      <c r="D149" cm="1">
        <f t="array" ref="D149">COUNTA(_xlfn._xlws.FILTER(Final_Merged_Data!$C$2:$C$1000,Final_Merged_Data!$B$2:$B$1000=$A149))</f>
        <v>3</v>
      </c>
      <c r="E149">
        <f>SUMIFS(Final_Merged_Data!$E:$E,Final_Merged_Data!$B:$B,$A149)</f>
        <v>920.52</v>
      </c>
      <c r="F149">
        <f>SUMIFS(Final_Merged_Data!$F:$F,Final_Merged_Data!$B:$B,$A149)</f>
        <v>445222</v>
      </c>
      <c r="G149">
        <f t="shared" si="4"/>
        <v>483.66358145396083</v>
      </c>
      <c r="H149" cm="1">
        <f t="array" ref="H149">SUMPRODUCT((Final_Merged_Data!$B$2:$B$1000=$A149)*Final_Merged_Data!$H$2:$H$1000*Final_Merged_Data!$F$2:$F$1000)/F149</f>
        <v>4.5209943578709044</v>
      </c>
      <c r="I149" cm="1">
        <f t="array" ref="I149">SUMPRODUCT((Final_Merged_Data!$B$2:$B$1000=$A149)*Final_Merged_Data!$I$2:$I$1000*Final_Merged_Data!$F$2:$F$1000)/F149</f>
        <v>59.092143537381354</v>
      </c>
      <c r="J149" t="str" cm="1">
        <f t="array" ref="J149">_xlfn.TEXTJOIN(", ",TRUE,_xlfn.UNIQUE(_xlfn._xlws.FILTER(Final_Merged_Data!$J$2:$J$1000,Final_Merged_Data!$B$2:$B$1000=$A149)))</f>
        <v>Dhaka Range</v>
      </c>
      <c r="K149" cm="1">
        <f t="array" ref="K149">SUMPRODUCT((Final_Merged_Data!$B$2:$B$1000=$A149)*Final_Merged_Data!$K$2:$K$1000*Final_Merged_Data!$F$2:$F$1000)/F149</f>
        <v>87.055167395391194</v>
      </c>
      <c r="L149" cm="1">
        <f t="array" ref="L149">SUMPRODUCT((Final_Merged_Data!$B$2:$B$1000=$A149)*Final_Merged_Data!$L$2:$L$1000*Final_Merged_Data!$F$2:$F$1000)/F149</f>
        <v>14.083489099923572</v>
      </c>
      <c r="M149" t="str">
        <f>IF(COUNTIF(Master_Data!$C:$C,$A149)&gt;0,"Found","Missing")</f>
        <v>Found</v>
      </c>
      <c r="N149" t="str">
        <f>_xlfn.XLOOKUP($A149,Master_Data!$C:$C,Master_Data!$D:$D,"CHECK",0)</f>
        <v>Mazharul Islam</v>
      </c>
      <c r="O149" t="str">
        <f>_xlfn.XLOOKUP($A149,Master_Data!$C:$C,Master_Data!$E:$E,"CHECK",0)</f>
        <v>BNP</v>
      </c>
      <c r="P149">
        <f>_xlfn.XLOOKUP($A149,Master_Data!$C:$C,Master_Data!$F:$F,"CHECK",0)</f>
        <v>1</v>
      </c>
      <c r="Q149">
        <f>_xlfn.XLOOKUP($A149,Master_Data!$C:$C,Master_Data!$G:$G,"CHECK",0)</f>
        <v>124035</v>
      </c>
      <c r="R149">
        <f>IFERROR(_xlfn.XLOOKUP($A149,Master_Data!$C:$C,Master_Data!$H:$H,"CHECK",0),"")</f>
        <v>55.085780776046221</v>
      </c>
      <c r="S149" t="str">
        <f>_xlfn.XLOOKUP($A149,Master_Data!$C:$C,Master_Data!$I:$I,"CHECK",0)</f>
        <v>Hedayatullah Hadi</v>
      </c>
      <c r="T149">
        <f>_xlfn.XLOOKUP($A149,Master_Data!$C:$C,Master_Data!$K:$K,"CHECK",0)</f>
        <v>101132</v>
      </c>
      <c r="U149">
        <f>IFERROR(_xlfn.XLOOKUP($A149,Master_Data!$C:$C,Master_Data!$L:$L,"CHECK",0),"")</f>
        <v>44.914219223953779</v>
      </c>
      <c r="V149">
        <f>_xlfn.XLOOKUP($A149,Master_Data!$C:$C,Master_Data!$M:$M,"CHECK",0)</f>
        <v>22903</v>
      </c>
      <c r="W149">
        <f>IFERROR(_xlfn.XLOOKUP($A149,Master_Data!$C:$C,Master_Data!$N:$N,"CHECK",0),"")</f>
        <v>10.171561552092447</v>
      </c>
      <c r="X149" t="str">
        <f>IFERROR(_xlfn.XLOOKUP($A149,Master_Data!$C:$C,Master_Data!$O:$O,"CHECK",0),"No Result")</f>
        <v>Safe Seat</v>
      </c>
      <c r="Y149">
        <f>_xlfn.XLOOKUP($A149,Master_Data!$C:$C,Master_Data!$P:$P,"CHECK",0)</f>
        <v>0</v>
      </c>
      <c r="Z149">
        <f t="shared" si="5"/>
        <v>1</v>
      </c>
      <c r="AA149">
        <f>_xlfn.XLOOKUP(B149,Remittance_Data!A:A,Remittance_Data!B:B,"CHECK")</f>
        <v>93532</v>
      </c>
      <c r="AB149">
        <f>_xlfn.XLOOKUP(B149,Remittance_Data!A:A,Remittance_Data!C:C,"CHECK")</f>
        <v>70016</v>
      </c>
      <c r="AC149">
        <f>_xlfn.XLOOKUP(B149,Remittance_Data!A:A,Remittance_Data!D:D,"CHECK")</f>
        <v>23516</v>
      </c>
    </row>
    <row r="150" spans="1:29">
      <c r="A150" t="str">
        <v>Kishoreganj-2</v>
      </c>
      <c r="B150" t="str" cm="1">
        <f t="array" ref="B1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Nawabganj","Chapainawabganj"),Final_Merged_Data!$B$2:$B$1000=$A150)))</f>
        <v>Kishoreganj</v>
      </c>
      <c r="C150" t="str" cm="1">
        <f t="array" ref="C150">_xlfn.TEXTJOIN(", ",TRUE,_xlfn._xlws.FILTER(Final_Merged_Data!$C$2:$C$1000,Final_Merged_Data!$B$2:$B$1000=$A150))</f>
        <v>Katiadi</v>
      </c>
      <c r="D150" cm="1">
        <f t="array" ref="D150">COUNTA(_xlfn._xlws.FILTER(Final_Merged_Data!$C$2:$C$1000,Final_Merged_Data!$B$2:$B$1000=$A150))</f>
        <v>1</v>
      </c>
      <c r="E150">
        <f>SUMIFS(Final_Merged_Data!$E:$E,Final_Merged_Data!$B:$B,$A150)</f>
        <v>224.97</v>
      </c>
      <c r="F150">
        <f>SUMIFS(Final_Merged_Data!$F:$F,Final_Merged_Data!$B:$B,$A150)</f>
        <v>351441</v>
      </c>
      <c r="G150">
        <f t="shared" si="4"/>
        <v>1562.1682891052139</v>
      </c>
      <c r="H150" cm="1">
        <f t="array" ref="H150">SUMPRODUCT((Final_Merged_Data!$B$2:$B$1000=$A150)*Final_Merged_Data!$H$2:$H$1000*Final_Merged_Data!$F$2:$F$1000)/F150</f>
        <v>4.12</v>
      </c>
      <c r="I150" cm="1">
        <f t="array" ref="I150">SUMPRODUCT((Final_Merged_Data!$B$2:$B$1000=$A150)*Final_Merged_Data!$I$2:$I$1000*Final_Merged_Data!$F$2:$F$1000)/F150</f>
        <v>67.09</v>
      </c>
      <c r="J150" t="str" cm="1">
        <f t="array" ref="J150">_xlfn.TEXTJOIN(", ",TRUE,_xlfn.UNIQUE(_xlfn._xlws.FILTER(Final_Merged_Data!$J$2:$J$1000,Final_Merged_Data!$B$2:$B$1000=$A150)))</f>
        <v>Dhaka Range</v>
      </c>
      <c r="K150" cm="1">
        <f t="array" ref="K150">SUMPRODUCT((Final_Merged_Data!$B$2:$B$1000=$A150)*Final_Merged_Data!$K$2:$K$1000*Final_Merged_Data!$F$2:$F$1000)/F150</f>
        <v>87.055167395391194</v>
      </c>
      <c r="L150" cm="1">
        <f t="array" ref="L150">SUMPRODUCT((Final_Merged_Data!$B$2:$B$1000=$A150)*Final_Merged_Data!$L$2:$L$1000*Final_Merged_Data!$F$2:$F$1000)/F150</f>
        <v>14.083489099923572</v>
      </c>
      <c r="M150" t="str">
        <f>IF(COUNTIF(Master_Data!$C:$C,$A150)&gt;0,"Found","Missing")</f>
        <v>Found</v>
      </c>
      <c r="N150" t="str">
        <f>_xlfn.XLOOKUP($A150,Master_Data!$C:$C,Master_Data!$D:$D,"CHECK",0)</f>
        <v>Advocate Md. Jalal Uddin</v>
      </c>
      <c r="O150" t="str">
        <f>_xlfn.XLOOKUP($A150,Master_Data!$C:$C,Master_Data!$E:$E,"CHECK",0)</f>
        <v>BNP</v>
      </c>
      <c r="P150">
        <f>_xlfn.XLOOKUP($A150,Master_Data!$C:$C,Master_Data!$F:$F,"CHECK",0)</f>
        <v>1</v>
      </c>
      <c r="Q150">
        <f>_xlfn.XLOOKUP($A150,Master_Data!$C:$C,Master_Data!$G:$G,"CHECK",0)</f>
        <v>143669</v>
      </c>
      <c r="R150">
        <f>IFERROR(_xlfn.XLOOKUP($A150,Master_Data!$C:$C,Master_Data!$H:$H,"CHECK",0),"")</f>
        <v>54.287646800985478</v>
      </c>
      <c r="S150" t="str">
        <f>_xlfn.XLOOKUP($A150,Master_Data!$C:$C,Master_Data!$I:$I,"CHECK",0)</f>
        <v>Md. Shafiul Islam</v>
      </c>
      <c r="T150">
        <f>_xlfn.XLOOKUP($A150,Master_Data!$C:$C,Master_Data!$K:$K,"CHECK",0)</f>
        <v>120975</v>
      </c>
      <c r="U150">
        <f>IFERROR(_xlfn.XLOOKUP($A150,Master_Data!$C:$C,Master_Data!$L:$L,"CHECK",0),"")</f>
        <v>45.71235319901453</v>
      </c>
      <c r="V150">
        <f>_xlfn.XLOOKUP($A150,Master_Data!$C:$C,Master_Data!$M:$M,"CHECK",0)</f>
        <v>22694</v>
      </c>
      <c r="W150">
        <f>IFERROR(_xlfn.XLOOKUP($A150,Master_Data!$C:$C,Master_Data!$N:$N,"CHECK",0),"")</f>
        <v>8.5752936019709498</v>
      </c>
      <c r="X150" t="str">
        <f>IFERROR(_xlfn.XLOOKUP($A150,Master_Data!$C:$C,Master_Data!$O:$O,"CHECK",0),"No Result")</f>
        <v>Safe Seat</v>
      </c>
      <c r="Y150">
        <f>_xlfn.XLOOKUP($A150,Master_Data!$C:$C,Master_Data!$P:$P,"CHECK",0)</f>
        <v>0</v>
      </c>
      <c r="Z150">
        <f t="shared" si="5"/>
        <v>1</v>
      </c>
      <c r="AA150">
        <f>_xlfn.XLOOKUP(B150,Remittance_Data!A:A,Remittance_Data!B:B,"CHECK")</f>
        <v>93532</v>
      </c>
      <c r="AB150">
        <f>_xlfn.XLOOKUP(B150,Remittance_Data!A:A,Remittance_Data!C:C,"CHECK")</f>
        <v>70016</v>
      </c>
      <c r="AC150">
        <f>_xlfn.XLOOKUP(B150,Remittance_Data!A:A,Remittance_Data!D:D,"CHECK")</f>
        <v>23516</v>
      </c>
    </row>
    <row r="151" spans="1:29">
      <c r="A151" t="str">
        <v>Kishoreganj-3</v>
      </c>
      <c r="B151" t="str" cm="1">
        <f t="array" ref="B1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Nawabganj","Chapainawabganj"),Final_Merged_Data!$B$2:$B$1000=$A151)))</f>
        <v>Kishoreganj</v>
      </c>
      <c r="C151" t="str" cm="1">
        <f t="array" ref="C151">_xlfn.TEXTJOIN(", ",TRUE,_xlfn._xlws.FILTER(Final_Merged_Data!$C$2:$C$1000,Final_Merged_Data!$B$2:$B$1000=$A151))</f>
        <v>Karimganj, Tarail</v>
      </c>
      <c r="D151" cm="1">
        <f t="array" ref="D151">COUNTA(_xlfn._xlws.FILTER(Final_Merged_Data!$C$2:$C$1000,Final_Merged_Data!$B$2:$B$1000=$A151))</f>
        <v>2</v>
      </c>
      <c r="E151">
        <f>SUMIFS(Final_Merged_Data!$E:$E,Final_Merged_Data!$B:$B,$A151)</f>
        <v>465.17999999999995</v>
      </c>
      <c r="F151">
        <f>SUMIFS(Final_Merged_Data!$F:$F,Final_Merged_Data!$B:$B,$A151)</f>
        <v>498372</v>
      </c>
      <c r="G151">
        <f t="shared" si="4"/>
        <v>1071.3530246356249</v>
      </c>
      <c r="H151" cm="1">
        <f t="array" ref="H151">SUMPRODUCT((Final_Merged_Data!$B$2:$B$1000=$A151)*Final_Merged_Data!$H$2:$H$1000*Final_Merged_Data!$F$2:$F$1000)/F151</f>
        <v>4.2429360397454108</v>
      </c>
      <c r="I151" cm="1">
        <f t="array" ref="I151">SUMPRODUCT((Final_Merged_Data!$B$2:$B$1000=$A151)*Final_Merged_Data!$I$2:$I$1000*Final_Merged_Data!$F$2:$F$1000)/F151</f>
        <v>62.527866413040854</v>
      </c>
      <c r="J151" t="str" cm="1">
        <f t="array" ref="J151">_xlfn.TEXTJOIN(", ",TRUE,_xlfn.UNIQUE(_xlfn._xlws.FILTER(Final_Merged_Data!$J$2:$J$1000,Final_Merged_Data!$B$2:$B$1000=$A151)))</f>
        <v>Dhaka Range</v>
      </c>
      <c r="K151" cm="1">
        <f t="array" ref="K151">SUMPRODUCT((Final_Merged_Data!$B$2:$B$1000=$A151)*Final_Merged_Data!$K$2:$K$1000*Final_Merged_Data!$F$2:$F$1000)/F151</f>
        <v>87.055167395391194</v>
      </c>
      <c r="L151" cm="1">
        <f t="array" ref="L151">SUMPRODUCT((Final_Merged_Data!$B$2:$B$1000=$A151)*Final_Merged_Data!$L$2:$L$1000*Final_Merged_Data!$F$2:$F$1000)/F151</f>
        <v>14.083489099923572</v>
      </c>
      <c r="M151" t="str">
        <f>IF(COUNTIF(Master_Data!$C:$C,$A151)&gt;0,"Found","Missing")</f>
        <v>Found</v>
      </c>
      <c r="N151" t="str">
        <f>_xlfn.XLOOKUP($A151,Master_Data!$C:$C,Master_Data!$D:$D,"CHECK",0)</f>
        <v>Osman Faruk</v>
      </c>
      <c r="O151" t="str">
        <f>_xlfn.XLOOKUP($A151,Master_Data!$C:$C,Master_Data!$E:$E,"CHECK",0)</f>
        <v>BNP</v>
      </c>
      <c r="P151">
        <f>_xlfn.XLOOKUP($A151,Master_Data!$C:$C,Master_Data!$F:$F,"CHECK",0)</f>
        <v>1</v>
      </c>
      <c r="Q151">
        <f>_xlfn.XLOOKUP($A151,Master_Data!$C:$C,Master_Data!$G:$G,"CHECK",0)</f>
        <v>112466</v>
      </c>
      <c r="R151">
        <f>IFERROR(_xlfn.XLOOKUP($A151,Master_Data!$C:$C,Master_Data!$H:$H,"CHECK",0),"")</f>
        <v>52.323882721850545</v>
      </c>
      <c r="S151" t="str">
        <f>_xlfn.XLOOKUP($A151,Master_Data!$C:$C,Master_Data!$I:$I,"CHECK",0)</f>
        <v>Jehad Khan</v>
      </c>
      <c r="T151">
        <f>_xlfn.XLOOKUP($A151,Master_Data!$C:$C,Master_Data!$K:$K,"CHECK",0)</f>
        <v>102476</v>
      </c>
      <c r="U151">
        <f>IFERROR(_xlfn.XLOOKUP($A151,Master_Data!$C:$C,Master_Data!$L:$L,"CHECK",0),"")</f>
        <v>47.676117278149455</v>
      </c>
      <c r="V151">
        <f>_xlfn.XLOOKUP($A151,Master_Data!$C:$C,Master_Data!$M:$M,"CHECK",0)</f>
        <v>9990</v>
      </c>
      <c r="W151">
        <f>IFERROR(_xlfn.XLOOKUP($A151,Master_Data!$C:$C,Master_Data!$N:$N,"CHECK",0),"")</f>
        <v>4.6477654437010916</v>
      </c>
      <c r="X151" t="str">
        <f>IFERROR(_xlfn.XLOOKUP($A151,Master_Data!$C:$C,Master_Data!$O:$O,"CHECK",0),"No Result")</f>
        <v>Highly Competitive</v>
      </c>
      <c r="Y151">
        <f>_xlfn.XLOOKUP($A151,Master_Data!$C:$C,Master_Data!$P:$P,"CHECK",0)</f>
        <v>0</v>
      </c>
      <c r="Z151">
        <f t="shared" si="5"/>
        <v>1</v>
      </c>
      <c r="AA151">
        <f>_xlfn.XLOOKUP(B151,Remittance_Data!A:A,Remittance_Data!B:B,"CHECK")</f>
        <v>93532</v>
      </c>
      <c r="AB151">
        <f>_xlfn.XLOOKUP(B151,Remittance_Data!A:A,Remittance_Data!C:C,"CHECK")</f>
        <v>70016</v>
      </c>
      <c r="AC151">
        <f>_xlfn.XLOOKUP(B151,Remittance_Data!A:A,Remittance_Data!D:D,"CHECK")</f>
        <v>23516</v>
      </c>
    </row>
    <row r="152" spans="1:29">
      <c r="A152" t="str">
        <v>Kishoreganj-4</v>
      </c>
      <c r="B152" t="str" cm="1">
        <f t="array" ref="B1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Nawabganj","Chapainawabganj"),Final_Merged_Data!$B$2:$B$1000=$A152)))</f>
        <v>Kishoreganj</v>
      </c>
      <c r="C152" t="str" cm="1">
        <f t="array" ref="C152">_xlfn.TEXTJOIN(", ",TRUE,_xlfn._xlws.FILTER(Final_Merged_Data!$C$2:$C$1000,Final_Merged_Data!$B$2:$B$1000=$A152))</f>
        <v>Kishoreganj Sadar, Hossainpur</v>
      </c>
      <c r="D152" cm="1">
        <f t="array" ref="D152">COUNTA(_xlfn._xlws.FILTER(Final_Merged_Data!$C$2:$C$1000,Final_Merged_Data!$B$2:$B$1000=$A152))</f>
        <v>2</v>
      </c>
      <c r="E152">
        <f>SUMIFS(Final_Merged_Data!$E:$E,Final_Merged_Data!$B:$B,$A152)</f>
        <v>620.01</v>
      </c>
      <c r="F152">
        <f>SUMIFS(Final_Merged_Data!$F:$F,Final_Merged_Data!$B:$B,$A152)</f>
        <v>708719</v>
      </c>
      <c r="G152">
        <f t="shared" si="4"/>
        <v>1143.0767245689585</v>
      </c>
      <c r="H152" cm="1">
        <f t="array" ref="H152">SUMPRODUCT((Final_Merged_Data!$B$2:$B$1000=$A152)*Final_Merged_Data!$H$2:$H$1000*Final_Merged_Data!$F$2:$F$1000)/F152</f>
        <v>4.1586655077682417</v>
      </c>
      <c r="I152" cm="1">
        <f t="array" ref="I152">SUMPRODUCT((Final_Merged_Data!$B$2:$B$1000=$A152)*Final_Merged_Data!$I$2:$I$1000*Final_Merged_Data!$F$2:$F$1000)/F152</f>
        <v>71.967697945165853</v>
      </c>
      <c r="J152" t="str" cm="1">
        <f t="array" ref="J152">_xlfn.TEXTJOIN(", ",TRUE,_xlfn.UNIQUE(_xlfn._xlws.FILTER(Final_Merged_Data!$J$2:$J$1000,Final_Merged_Data!$B$2:$B$1000=$A152)))</f>
        <v>Dhaka Range</v>
      </c>
      <c r="K152" cm="1">
        <f t="array" ref="K152">SUMPRODUCT((Final_Merged_Data!$B$2:$B$1000=$A152)*Final_Merged_Data!$K$2:$K$1000*Final_Merged_Data!$F$2:$F$1000)/F152</f>
        <v>87.055167395391194</v>
      </c>
      <c r="L152" cm="1">
        <f t="array" ref="L152">SUMPRODUCT((Final_Merged_Data!$B$2:$B$1000=$A152)*Final_Merged_Data!$L$2:$L$1000*Final_Merged_Data!$F$2:$F$1000)/F152</f>
        <v>14.083489099923572</v>
      </c>
      <c r="M152" t="str">
        <f>IF(COUNTIF(Master_Data!$C:$C,$A152)&gt;0,"Found","Missing")</f>
        <v>Found</v>
      </c>
      <c r="N152" t="str">
        <f>_xlfn.XLOOKUP($A152,Master_Data!$C:$C,Master_Data!$D:$D,"CHECK",0)</f>
        <v>Md. Fazlur Rahman</v>
      </c>
      <c r="O152" t="str">
        <f>_xlfn.XLOOKUP($A152,Master_Data!$C:$C,Master_Data!$E:$E,"CHECK",0)</f>
        <v>BNP</v>
      </c>
      <c r="P152">
        <f>_xlfn.XLOOKUP($A152,Master_Data!$C:$C,Master_Data!$F:$F,"CHECK",0)</f>
        <v>1</v>
      </c>
      <c r="Q152">
        <f>_xlfn.XLOOKUP($A152,Master_Data!$C:$C,Master_Data!$G:$G,"CHECK",0)</f>
        <v>132472</v>
      </c>
      <c r="R152">
        <f>IFERROR(_xlfn.XLOOKUP($A152,Master_Data!$C:$C,Master_Data!$H:$H,"CHECK",0),"")</f>
        <v>69.611825476481997</v>
      </c>
      <c r="S152" t="str">
        <f>_xlfn.XLOOKUP($A152,Master_Data!$C:$C,Master_Data!$I:$I,"CHECK",0)</f>
        <v>Md. Rokan Reza Sheikh</v>
      </c>
      <c r="T152">
        <f>_xlfn.XLOOKUP($A152,Master_Data!$C:$C,Master_Data!$K:$K,"CHECK",0)</f>
        <v>57829</v>
      </c>
      <c r="U152">
        <f>IFERROR(_xlfn.XLOOKUP($A152,Master_Data!$C:$C,Master_Data!$L:$L,"CHECK",0),"")</f>
        <v>30.388174523518007</v>
      </c>
      <c r="V152">
        <f>_xlfn.XLOOKUP($A152,Master_Data!$C:$C,Master_Data!$M:$M,"CHECK",0)</f>
        <v>74643</v>
      </c>
      <c r="W152">
        <f>IFERROR(_xlfn.XLOOKUP($A152,Master_Data!$C:$C,Master_Data!$N:$N,"CHECK",0),"")</f>
        <v>39.223650952963993</v>
      </c>
      <c r="X152" t="str">
        <f>IFERROR(_xlfn.XLOOKUP($A152,Master_Data!$C:$C,Master_Data!$O:$O,"CHECK",0),"No Result")</f>
        <v>Safe Seat</v>
      </c>
      <c r="Y152">
        <f>_xlfn.XLOOKUP($A152,Master_Data!$C:$C,Master_Data!$P:$P,"CHECK",0)</f>
        <v>0</v>
      </c>
      <c r="Z152">
        <f t="shared" si="5"/>
        <v>1</v>
      </c>
      <c r="AA152">
        <f>_xlfn.XLOOKUP(B152,Remittance_Data!A:A,Remittance_Data!B:B,"CHECK")</f>
        <v>93532</v>
      </c>
      <c r="AB152">
        <f>_xlfn.XLOOKUP(B152,Remittance_Data!A:A,Remittance_Data!C:C,"CHECK")</f>
        <v>70016</v>
      </c>
      <c r="AC152">
        <f>_xlfn.XLOOKUP(B152,Remittance_Data!A:A,Remittance_Data!D:D,"CHECK")</f>
        <v>23516</v>
      </c>
    </row>
    <row r="153" spans="1:29">
      <c r="A153" t="str">
        <v>Kishoreganj-5</v>
      </c>
      <c r="B153" t="str" cm="1">
        <f t="array" ref="B1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Nawabganj","Chapainawabganj"),Final_Merged_Data!$B$2:$B$1000=$A153)))</f>
        <v>Kishoreganj</v>
      </c>
      <c r="C153" t="str" cm="1">
        <f t="array" ref="C153">_xlfn.TEXTJOIN(", ",TRUE,_xlfn._xlws.FILTER(Final_Merged_Data!$C$2:$C$1000,Final_Merged_Data!$B$2:$B$1000=$A153))</f>
        <v>Bajitpur, Nikli</v>
      </c>
      <c r="D153" cm="1">
        <f t="array" ref="D153">COUNTA(_xlfn._xlws.FILTER(Final_Merged_Data!$C$2:$C$1000,Final_Merged_Data!$B$2:$B$1000=$A153))</f>
        <v>2</v>
      </c>
      <c r="E153">
        <f>SUMIFS(Final_Merged_Data!$E:$E,Final_Merged_Data!$B:$B,$A153)</f>
        <v>387.41</v>
      </c>
      <c r="F153">
        <f>SUMIFS(Final_Merged_Data!$F:$F,Final_Merged_Data!$B:$B,$A153)</f>
        <v>415620</v>
      </c>
      <c r="G153">
        <f t="shared" si="4"/>
        <v>1072.8169123151183</v>
      </c>
      <c r="H153" cm="1">
        <f t="array" ref="H153">SUMPRODUCT((Final_Merged_Data!$B$2:$B$1000=$A153)*Final_Merged_Data!$H$2:$H$1000*Final_Merged_Data!$F$2:$F$1000)/F153</f>
        <v>4.2835100091429679</v>
      </c>
      <c r="I153" cm="1">
        <f t="array" ref="I153">SUMPRODUCT((Final_Merged_Data!$B$2:$B$1000=$A153)*Final_Merged_Data!$I$2:$I$1000*Final_Merged_Data!$F$2:$F$1000)/F153</f>
        <v>65.237811606756168</v>
      </c>
      <c r="J153" t="str" cm="1">
        <f t="array" ref="J153">_xlfn.TEXTJOIN(", ",TRUE,_xlfn.UNIQUE(_xlfn._xlws.FILTER(Final_Merged_Data!$J$2:$J$1000,Final_Merged_Data!$B$2:$B$1000=$A153)))</f>
        <v>Dhaka Range</v>
      </c>
      <c r="K153" cm="1">
        <f t="array" ref="K153">SUMPRODUCT((Final_Merged_Data!$B$2:$B$1000=$A153)*Final_Merged_Data!$K$2:$K$1000*Final_Merged_Data!$F$2:$F$1000)/F153</f>
        <v>87.055167395391209</v>
      </c>
      <c r="L153" cm="1">
        <f t="array" ref="L153">SUMPRODUCT((Final_Merged_Data!$B$2:$B$1000=$A153)*Final_Merged_Data!$L$2:$L$1000*Final_Merged_Data!$F$2:$F$1000)/F153</f>
        <v>14.083489099923572</v>
      </c>
      <c r="M153" t="str">
        <f>IF(COUNTIF(Master_Data!$C:$C,$A153)&gt;0,"Found","Missing")</f>
        <v>Found</v>
      </c>
      <c r="N153" t="str">
        <f>_xlfn.XLOOKUP($A153,Master_Data!$C:$C,Master_Data!$D:$D,"CHECK",0)</f>
        <v>Syed Ehsanul Huda</v>
      </c>
      <c r="O153" t="str">
        <f>_xlfn.XLOOKUP($A153,Master_Data!$C:$C,Master_Data!$E:$E,"CHECK",0)</f>
        <v>BNP</v>
      </c>
      <c r="P153">
        <f>_xlfn.XLOOKUP($A153,Master_Data!$C:$C,Master_Data!$F:$F,"CHECK",0)</f>
        <v>1</v>
      </c>
      <c r="Q153">
        <f>_xlfn.XLOOKUP($A153,Master_Data!$C:$C,Master_Data!$G:$G,"CHECK",0)</f>
        <v>66450</v>
      </c>
      <c r="R153">
        <f>IFERROR(_xlfn.XLOOKUP($A153,Master_Data!$C:$C,Master_Data!$H:$H,"CHECK",0),"")</f>
        <v>54.985519238725686</v>
      </c>
      <c r="S153" t="str">
        <f>_xlfn.XLOOKUP($A153,Master_Data!$C:$C,Master_Data!$I:$I,"CHECK",0)</f>
        <v>Md Ramzan Ali</v>
      </c>
      <c r="T153">
        <f>_xlfn.XLOOKUP($A153,Master_Data!$C:$C,Master_Data!$K:$K,"CHECK",0)</f>
        <v>54400</v>
      </c>
      <c r="U153">
        <f>IFERROR(_xlfn.XLOOKUP($A153,Master_Data!$C:$C,Master_Data!$L:$L,"CHECK",0),"")</f>
        <v>45.014480761274307</v>
      </c>
      <c r="V153">
        <f>_xlfn.XLOOKUP($A153,Master_Data!$C:$C,Master_Data!$M:$M,"CHECK",0)</f>
        <v>12050</v>
      </c>
      <c r="W153">
        <f>IFERROR(_xlfn.XLOOKUP($A153,Master_Data!$C:$C,Master_Data!$N:$N,"CHECK",0),"")</f>
        <v>9.9710384774513852</v>
      </c>
      <c r="X153" t="str">
        <f>IFERROR(_xlfn.XLOOKUP($A153,Master_Data!$C:$C,Master_Data!$O:$O,"CHECK",0),"No Result")</f>
        <v>Safe Seat</v>
      </c>
      <c r="Y153">
        <f>_xlfn.XLOOKUP($A153,Master_Data!$C:$C,Master_Data!$P:$P,"CHECK",0)</f>
        <v>0</v>
      </c>
      <c r="Z153">
        <f t="shared" si="5"/>
        <v>1</v>
      </c>
      <c r="AA153">
        <f>_xlfn.XLOOKUP(B153,Remittance_Data!A:A,Remittance_Data!B:B,"CHECK")</f>
        <v>93532</v>
      </c>
      <c r="AB153">
        <f>_xlfn.XLOOKUP(B153,Remittance_Data!A:A,Remittance_Data!C:C,"CHECK")</f>
        <v>70016</v>
      </c>
      <c r="AC153">
        <f>_xlfn.XLOOKUP(B153,Remittance_Data!A:A,Remittance_Data!D:D,"CHECK")</f>
        <v>23516</v>
      </c>
    </row>
    <row r="154" spans="1:29">
      <c r="A154" t="str">
        <v>Kishoreganj-6</v>
      </c>
      <c r="B154" t="str" cm="1">
        <f t="array" ref="B1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Nawabganj","Chapainawabganj"),Final_Merged_Data!$B$2:$B$1000=$A154)))</f>
        <v>Kishoreganj</v>
      </c>
      <c r="C154" t="str" cm="1">
        <f t="array" ref="C154">_xlfn.TEXTJOIN(", ",TRUE,_xlfn._xlws.FILTER(Final_Merged_Data!$C$2:$C$1000,Final_Merged_Data!$B$2:$B$1000=$A154))</f>
        <v>Bhairab</v>
      </c>
      <c r="D154" cm="1">
        <f t="array" ref="D154">COUNTA(_xlfn._xlws.FILTER(Final_Merged_Data!$C$2:$C$1000,Final_Merged_Data!$B$2:$B$1000=$A154))</f>
        <v>1</v>
      </c>
      <c r="E154">
        <f>SUMIFS(Final_Merged_Data!$E:$E,Final_Merged_Data!$B:$B,$A154)</f>
        <v>229.47</v>
      </c>
      <c r="F154">
        <f>SUMIFS(Final_Merged_Data!$F:$F,Final_Merged_Data!$B:$B,$A154)</f>
        <v>362665</v>
      </c>
      <c r="G154">
        <f t="shared" si="4"/>
        <v>1580.4462456966053</v>
      </c>
      <c r="H154" cm="1">
        <f t="array" ref="H154">SUMPRODUCT((Final_Merged_Data!$B$2:$B$1000=$A154)*Final_Merged_Data!$H$2:$H$1000*Final_Merged_Data!$F$2:$F$1000)/F154</f>
        <v>4.5</v>
      </c>
      <c r="I154" cm="1">
        <f t="array" ref="I154">SUMPRODUCT((Final_Merged_Data!$B$2:$B$1000=$A154)*Final_Merged_Data!$I$2:$I$1000*Final_Merged_Data!$F$2:$F$1000)/F154</f>
        <v>71.819999999999993</v>
      </c>
      <c r="J154" t="str" cm="1">
        <f t="array" ref="J154">_xlfn.TEXTJOIN(", ",TRUE,_xlfn.UNIQUE(_xlfn._xlws.FILTER(Final_Merged_Data!$J$2:$J$1000,Final_Merged_Data!$B$2:$B$1000=$A154)))</f>
        <v>Dhaka Range</v>
      </c>
      <c r="K154" cm="1">
        <f t="array" ref="K154">SUMPRODUCT((Final_Merged_Data!$B$2:$B$1000=$A154)*Final_Merged_Data!$K$2:$K$1000*Final_Merged_Data!$F$2:$F$1000)/F154</f>
        <v>87.055167395391194</v>
      </c>
      <c r="L154" cm="1">
        <f t="array" ref="L154">SUMPRODUCT((Final_Merged_Data!$B$2:$B$1000=$A154)*Final_Merged_Data!$L$2:$L$1000*Final_Merged_Data!$F$2:$F$1000)/F154</f>
        <v>14.083489099923574</v>
      </c>
      <c r="M154" t="str">
        <f>IF(COUNTIF(Master_Data!$C:$C,$A154)&gt;0,"Found","Missing")</f>
        <v>Found</v>
      </c>
      <c r="N154" t="str">
        <f>_xlfn.XLOOKUP($A154,Master_Data!$C:$C,Master_Data!$D:$D,"CHECK",0)</f>
        <v>Md. Shariful Alam</v>
      </c>
      <c r="O154" t="str">
        <f>_xlfn.XLOOKUP($A154,Master_Data!$C:$C,Master_Data!$E:$E,"CHECK",0)</f>
        <v>BNP</v>
      </c>
      <c r="P154">
        <f>_xlfn.XLOOKUP($A154,Master_Data!$C:$C,Master_Data!$F:$F,"CHECK",0)</f>
        <v>1</v>
      </c>
      <c r="Q154">
        <f>_xlfn.XLOOKUP($A154,Master_Data!$C:$C,Master_Data!$G:$G,"CHECK",0)</f>
        <v>185813</v>
      </c>
      <c r="R154">
        <f>IFERROR(_xlfn.XLOOKUP($A154,Master_Data!$C:$C,Master_Data!$H:$H,"CHECK",0),"")</f>
        <v>81.36560288656905</v>
      </c>
      <c r="S154" t="str">
        <f>_xlfn.XLOOKUP($A154,Master_Data!$C:$C,Master_Data!$I:$I,"CHECK",0)</f>
        <v>Ataullah Amin</v>
      </c>
      <c r="T154">
        <f>_xlfn.XLOOKUP($A154,Master_Data!$C:$C,Master_Data!$K:$K,"CHECK",0)</f>
        <v>42555</v>
      </c>
      <c r="U154">
        <f>IFERROR(_xlfn.XLOOKUP($A154,Master_Data!$C:$C,Master_Data!$L:$L,"CHECK",0),"")</f>
        <v>18.634397113430953</v>
      </c>
      <c r="V154">
        <f>_xlfn.XLOOKUP($A154,Master_Data!$C:$C,Master_Data!$M:$M,"CHECK",0)</f>
        <v>143258</v>
      </c>
      <c r="W154">
        <f>IFERROR(_xlfn.XLOOKUP($A154,Master_Data!$C:$C,Master_Data!$N:$N,"CHECK",0),"")</f>
        <v>62.731205773138086</v>
      </c>
      <c r="X154" t="str">
        <f>IFERROR(_xlfn.XLOOKUP($A154,Master_Data!$C:$C,Master_Data!$O:$O,"CHECK",0),"No Result")</f>
        <v>Safe Seat</v>
      </c>
      <c r="Y154">
        <f>_xlfn.XLOOKUP($A154,Master_Data!$C:$C,Master_Data!$P:$P,"CHECK",0)</f>
        <v>0</v>
      </c>
      <c r="Z154">
        <f t="shared" si="5"/>
        <v>1</v>
      </c>
      <c r="AA154">
        <f>_xlfn.XLOOKUP(B154,Remittance_Data!A:A,Remittance_Data!B:B,"CHECK")</f>
        <v>93532</v>
      </c>
      <c r="AB154">
        <f>_xlfn.XLOOKUP(B154,Remittance_Data!A:A,Remittance_Data!C:C,"CHECK")</f>
        <v>70016</v>
      </c>
      <c r="AC154">
        <f>_xlfn.XLOOKUP(B154,Remittance_Data!A:A,Remittance_Data!D:D,"CHECK")</f>
        <v>23516</v>
      </c>
    </row>
    <row r="155" spans="1:29">
      <c r="A155" t="str">
        <v>Kurigram-1</v>
      </c>
      <c r="B155" t="str" cm="1">
        <f t="array" ref="B1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Nawabganj","Chapainawabganj"),Final_Merged_Data!$B$2:$B$1000=$A155)))</f>
        <v>Kurigram</v>
      </c>
      <c r="C155" t="str" cm="1">
        <f t="array" ref="C155">_xlfn.TEXTJOIN(", ",TRUE,_xlfn._xlws.FILTER(Final_Merged_Data!$C$2:$C$1000,Final_Merged_Data!$B$2:$B$1000=$A155))</f>
        <v>Bhurungamari, Nageshwari</v>
      </c>
      <c r="D155" cm="1">
        <f t="array" ref="D155">COUNTA(_xlfn._xlws.FILTER(Final_Merged_Data!$C$2:$C$1000,Final_Merged_Data!$B$2:$B$1000=$A155))</f>
        <v>2</v>
      </c>
      <c r="E155">
        <f>SUMIFS(Final_Merged_Data!$E:$E,Final_Merged_Data!$B:$B,$A155)</f>
        <v>707.33999999999992</v>
      </c>
      <c r="F155">
        <f>SUMIFS(Final_Merged_Data!$F:$F,Final_Merged_Data!$B:$B,$A155)</f>
        <v>700235</v>
      </c>
      <c r="G155">
        <f t="shared" si="4"/>
        <v>989.95532558599837</v>
      </c>
      <c r="H155" cm="1">
        <f t="array" ref="H155">SUMPRODUCT((Final_Merged_Data!$B$2:$B$1000=$A155)*Final_Merged_Data!$H$2:$H$1000*Final_Merged_Data!$F$2:$F$1000)/F155</f>
        <v>3.8487656286817997</v>
      </c>
      <c r="I155" cm="1">
        <f t="array" ref="I155">SUMPRODUCT((Final_Merged_Data!$B$2:$B$1000=$A155)*Final_Merged_Data!$I$2:$I$1000*Final_Merged_Data!$F$2:$F$1000)/F155</f>
        <v>62.863130620434575</v>
      </c>
      <c r="J155" t="str" cm="1">
        <f t="array" ref="J155">_xlfn.TEXTJOIN(", ",TRUE,_xlfn.UNIQUE(_xlfn._xlws.FILTER(Final_Merged_Data!$J$2:$J$1000,Final_Merged_Data!$B$2:$B$1000=$A155)))</f>
        <v>Rangpur Range</v>
      </c>
      <c r="K155" cm="1">
        <f t="array" ref="K155">SUMPRODUCT((Final_Merged_Data!$B$2:$B$1000=$A155)*Final_Merged_Data!$K$2:$K$1000*Final_Merged_Data!$F$2:$F$1000)/F155</f>
        <v>101.90869513385242</v>
      </c>
      <c r="L155" cm="1">
        <f t="array" ref="L155">SUMPRODUCT((Final_Merged_Data!$B$2:$B$1000=$A155)*Final_Merged_Data!$L$2:$L$1000*Final_Merged_Data!$F$2:$F$1000)/F155</f>
        <v>15.175373179583826</v>
      </c>
      <c r="M155" t="str">
        <f>IF(COUNTIF(Master_Data!$C:$C,$A155)&gt;0,"Found","Missing")</f>
        <v>Found</v>
      </c>
      <c r="N155" t="str">
        <f>_xlfn.XLOOKUP($A155,Master_Data!$C:$C,Master_Data!$D:$D,"CHECK",0)</f>
        <v>Md. Anwarul Islam</v>
      </c>
      <c r="O155" t="str">
        <f>_xlfn.XLOOKUP($A155,Master_Data!$C:$C,Master_Data!$E:$E,"CHECK",0)</f>
        <v>Jamaat</v>
      </c>
      <c r="P155">
        <f>_xlfn.XLOOKUP($A155,Master_Data!$C:$C,Master_Data!$F:$F,"CHECK",0)</f>
        <v>2</v>
      </c>
      <c r="Q155">
        <f>_xlfn.XLOOKUP($A155,Master_Data!$C:$C,Master_Data!$G:$G,"CHECK",0)</f>
        <v>141090</v>
      </c>
      <c r="R155">
        <f>IFERROR(_xlfn.XLOOKUP($A155,Master_Data!$C:$C,Master_Data!$H:$H,"CHECK",0),"")</f>
        <v>53.419911780853035</v>
      </c>
      <c r="S155" t="str">
        <f>_xlfn.XLOOKUP($A155,Master_Data!$C:$C,Master_Data!$I:$I,"CHECK",0)</f>
        <v>Saifur Rahman Rana</v>
      </c>
      <c r="T155">
        <f>_xlfn.XLOOKUP($A155,Master_Data!$C:$C,Master_Data!$K:$K,"CHECK",0)</f>
        <v>123025</v>
      </c>
      <c r="U155">
        <f>IFERROR(_xlfn.XLOOKUP($A155,Master_Data!$C:$C,Master_Data!$L:$L,"CHECK",0),"")</f>
        <v>46.580088219146965</v>
      </c>
      <c r="V155">
        <f>_xlfn.XLOOKUP($A155,Master_Data!$C:$C,Master_Data!$M:$M,"CHECK",0)</f>
        <v>18065</v>
      </c>
      <c r="W155">
        <f>IFERROR(_xlfn.XLOOKUP($A155,Master_Data!$C:$C,Master_Data!$N:$N,"CHECK",0),"")</f>
        <v>6.8398235617060754</v>
      </c>
      <c r="X155" t="str">
        <f>IFERROR(_xlfn.XLOOKUP($A155,Master_Data!$C:$C,Master_Data!$O:$O,"CHECK",0),"No Result")</f>
        <v>Safe Seat</v>
      </c>
      <c r="Y155">
        <f>_xlfn.XLOOKUP($A155,Master_Data!$C:$C,Master_Data!$P:$P,"CHECK",0)</f>
        <v>0</v>
      </c>
      <c r="Z155">
        <f t="shared" si="5"/>
        <v>1</v>
      </c>
      <c r="AA155">
        <f>_xlfn.XLOOKUP(B155,Remittance_Data!A:A,Remittance_Data!B:B,"CHECK")</f>
        <v>7399</v>
      </c>
      <c r="AB155">
        <f>_xlfn.XLOOKUP(B155,Remittance_Data!A:A,Remittance_Data!C:C,"CHECK")</f>
        <v>5958</v>
      </c>
      <c r="AC155">
        <f>_xlfn.XLOOKUP(B155,Remittance_Data!A:A,Remittance_Data!D:D,"CHECK")</f>
        <v>1441</v>
      </c>
    </row>
    <row r="156" spans="1:29">
      <c r="A156" t="str">
        <v>Kurigram-2</v>
      </c>
      <c r="B156" t="str" cm="1">
        <f t="array" ref="B1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Nawabganj","Chapainawabganj"),Final_Merged_Data!$B$2:$B$1000=$A156)))</f>
        <v>Kurigram</v>
      </c>
      <c r="C156" t="str" cm="1">
        <f t="array" ref="C156">_xlfn.TEXTJOIN(", ",TRUE,_xlfn._xlws.FILTER(Final_Merged_Data!$C$2:$C$1000,Final_Merged_Data!$B$2:$B$1000=$A156))</f>
        <v>Fulbari, Rajarhat, Kurigram Sadar</v>
      </c>
      <c r="D156" cm="1">
        <f t="array" ref="D156">COUNTA(_xlfn._xlws.FILTER(Final_Merged_Data!$C$2:$C$1000,Final_Merged_Data!$B$2:$B$1000=$A156))</f>
        <v>3</v>
      </c>
      <c r="E156">
        <f>SUMIFS(Final_Merged_Data!$E:$E,Final_Merged_Data!$B:$B,$A156)</f>
        <v>1214.1499999999999</v>
      </c>
      <c r="F156">
        <f>SUMIFS(Final_Merged_Data!$F:$F,Final_Merged_Data!$B:$B,$A156)</f>
        <v>759005</v>
      </c>
      <c r="G156">
        <f t="shared" si="4"/>
        <v>625.13280896100161</v>
      </c>
      <c r="H156" cm="1">
        <f t="array" ref="H156">SUMPRODUCT((Final_Merged_Data!$B$2:$B$1000=$A156)*Final_Merged_Data!$H$2:$H$1000*Final_Merged_Data!$F$2:$F$1000)/F156</f>
        <v>3.8491117713322049</v>
      </c>
      <c r="I156" cm="1">
        <f t="array" ref="I156">SUMPRODUCT((Final_Merged_Data!$B$2:$B$1000=$A156)*Final_Merged_Data!$I$2:$I$1000*Final_Merged_Data!$F$2:$F$1000)/F156</f>
        <v>71.961055184089687</v>
      </c>
      <c r="J156" t="str" cm="1">
        <f t="array" ref="J156">_xlfn.TEXTJOIN(", ",TRUE,_xlfn.UNIQUE(_xlfn._xlws.FILTER(Final_Merged_Data!$J$2:$J$1000,Final_Merged_Data!$B$2:$B$1000=$A156)))</f>
        <v>Rangpur Range</v>
      </c>
      <c r="K156" cm="1">
        <f t="array" ref="K156">SUMPRODUCT((Final_Merged_Data!$B$2:$B$1000=$A156)*Final_Merged_Data!$K$2:$K$1000*Final_Merged_Data!$F$2:$F$1000)/F156</f>
        <v>101.90869513385242</v>
      </c>
      <c r="L156" cm="1">
        <f t="array" ref="L156">SUMPRODUCT((Final_Merged_Data!$B$2:$B$1000=$A156)*Final_Merged_Data!$L$2:$L$1000*Final_Merged_Data!$F$2:$F$1000)/F156</f>
        <v>15.175373179583827</v>
      </c>
      <c r="M156" t="str">
        <f>IF(COUNTIF(Master_Data!$C:$C,$A156)&gt;0,"Found","Missing")</f>
        <v>Found</v>
      </c>
      <c r="N156" t="str">
        <f>_xlfn.XLOOKUP($A156,Master_Data!$C:$C,Master_Data!$D:$D,"CHECK",0)</f>
        <v>Atiqur Rahman Mojahid</v>
      </c>
      <c r="O156" t="str">
        <f>_xlfn.XLOOKUP($A156,Master_Data!$C:$C,Master_Data!$E:$E,"CHECK",0)</f>
        <v>NCP</v>
      </c>
      <c r="P156">
        <f>_xlfn.XLOOKUP($A156,Master_Data!$C:$C,Master_Data!$F:$F,"CHECK",0)</f>
        <v>0</v>
      </c>
      <c r="Q156">
        <f>_xlfn.XLOOKUP($A156,Master_Data!$C:$C,Master_Data!$G:$G,"CHECK",0)</f>
        <v>178869</v>
      </c>
      <c r="R156">
        <f>IFERROR(_xlfn.XLOOKUP($A156,Master_Data!$C:$C,Master_Data!$H:$H,"CHECK",0),"")</f>
        <v>51.221921856565224</v>
      </c>
      <c r="S156" t="str">
        <f>_xlfn.XLOOKUP($A156,Master_Data!$C:$C,Master_Data!$I:$I,"CHECK",0)</f>
        <v>Md. Sohail Hosnain Kaikobad</v>
      </c>
      <c r="T156">
        <f>_xlfn.XLOOKUP($A156,Master_Data!$C:$C,Master_Data!$K:$K,"CHECK",0)</f>
        <v>170335</v>
      </c>
      <c r="U156">
        <f>IFERROR(_xlfn.XLOOKUP($A156,Master_Data!$C:$C,Master_Data!$L:$L,"CHECK",0),"")</f>
        <v>48.778078143434783</v>
      </c>
      <c r="V156">
        <f>_xlfn.XLOOKUP($A156,Master_Data!$C:$C,Master_Data!$M:$M,"CHECK",0)</f>
        <v>8534</v>
      </c>
      <c r="W156">
        <f>IFERROR(_xlfn.XLOOKUP($A156,Master_Data!$C:$C,Master_Data!$N:$N,"CHECK",0),"")</f>
        <v>2.443843713130434</v>
      </c>
      <c r="X156" t="str">
        <f>IFERROR(_xlfn.XLOOKUP($A156,Master_Data!$C:$C,Master_Data!$O:$O,"CHECK",0),"No Result")</f>
        <v>Highly Competitive</v>
      </c>
      <c r="Y156">
        <f>_xlfn.XLOOKUP($A156,Master_Data!$C:$C,Master_Data!$P:$P,"CHECK",0)</f>
        <v>0</v>
      </c>
      <c r="Z156">
        <f t="shared" si="5"/>
        <v>1</v>
      </c>
      <c r="AA156">
        <f>_xlfn.XLOOKUP(B156,Remittance_Data!A:A,Remittance_Data!B:B,"CHECK")</f>
        <v>7399</v>
      </c>
      <c r="AB156">
        <f>_xlfn.XLOOKUP(B156,Remittance_Data!A:A,Remittance_Data!C:C,"CHECK")</f>
        <v>5958</v>
      </c>
      <c r="AC156">
        <f>_xlfn.XLOOKUP(B156,Remittance_Data!A:A,Remittance_Data!D:D,"CHECK")</f>
        <v>1441</v>
      </c>
    </row>
    <row r="157" spans="1:29">
      <c r="A157" t="str">
        <v>Kurigram-3</v>
      </c>
      <c r="B157" t="str" cm="1">
        <f t="array" ref="B1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Nawabganj","Chapainawabganj"),Final_Merged_Data!$B$2:$B$1000=$A157)))</f>
        <v>Kurigram</v>
      </c>
      <c r="C157" t="str" cm="1">
        <f t="array" ref="C157">_xlfn.TEXTJOIN(", ",TRUE,_xlfn._xlws.FILTER(Final_Merged_Data!$C$2:$C$1000,Final_Merged_Data!$B$2:$B$1000=$A157))</f>
        <v>Ulipur, Chilmari, Roumari, Rajibpur</v>
      </c>
      <c r="D157" cm="1">
        <f t="array" ref="D157">COUNTA(_xlfn._xlws.FILTER(Final_Merged_Data!$C$2:$C$1000,Final_Merged_Data!$B$2:$B$1000=$A157))</f>
        <v>4</v>
      </c>
      <c r="E157">
        <f>SUMIFS(Final_Merged_Data!$E:$E,Final_Merged_Data!$B:$B,$A157)</f>
        <v>1451.8899999999999</v>
      </c>
      <c r="F157">
        <f>SUMIFS(Final_Merged_Data!$F:$F,Final_Merged_Data!$B:$B,$A157)</f>
        <v>877745</v>
      </c>
      <c r="G157">
        <f t="shared" si="4"/>
        <v>604.55337525570121</v>
      </c>
      <c r="H157" cm="1">
        <f t="array" ref="H157">SUMPRODUCT((Final_Merged_Data!$B$2:$B$1000=$A157)*Final_Merged_Data!$H$2:$H$1000*Final_Merged_Data!$F$2:$F$1000)/F157</f>
        <v>3.7724733607141023</v>
      </c>
      <c r="I157" cm="1">
        <f t="array" ref="I157">SUMPRODUCT((Final_Merged_Data!$B$2:$B$1000=$A157)*Final_Merged_Data!$I$2:$I$1000*Final_Merged_Data!$F$2:$F$1000)/F157</f>
        <v>63.573069558926562</v>
      </c>
      <c r="J157" t="str" cm="1">
        <f t="array" ref="J157">_xlfn.TEXTJOIN(", ",TRUE,_xlfn.UNIQUE(_xlfn._xlws.FILTER(Final_Merged_Data!$J$2:$J$1000,Final_Merged_Data!$B$2:$B$1000=$A157)))</f>
        <v>Rangpur Range</v>
      </c>
      <c r="K157" cm="1">
        <f t="array" ref="K157">SUMPRODUCT((Final_Merged_Data!$B$2:$B$1000=$A157)*Final_Merged_Data!$K$2:$K$1000*Final_Merged_Data!$F$2:$F$1000)/F157</f>
        <v>101.90869513385242</v>
      </c>
      <c r="L157" cm="1">
        <f t="array" ref="L157">SUMPRODUCT((Final_Merged_Data!$B$2:$B$1000=$A157)*Final_Merged_Data!$L$2:$L$1000*Final_Merged_Data!$F$2:$F$1000)/F157</f>
        <v>15.175373179583827</v>
      </c>
      <c r="M157" t="str">
        <f>IF(COUNTIF(Master_Data!$C:$C,$A157)&gt;0,"Found","Missing")</f>
        <v>Found</v>
      </c>
      <c r="N157" t="str">
        <f>_xlfn.XLOOKUP($A157,Master_Data!$C:$C,Master_Data!$D:$D,"CHECK",0)</f>
        <v>Md. Mahbubul Alam</v>
      </c>
      <c r="O157" t="str">
        <f>_xlfn.XLOOKUP($A157,Master_Data!$C:$C,Master_Data!$E:$E,"CHECK",0)</f>
        <v>Jamaat</v>
      </c>
      <c r="P157">
        <f>_xlfn.XLOOKUP($A157,Master_Data!$C:$C,Master_Data!$F:$F,"CHECK",0)</f>
        <v>2</v>
      </c>
      <c r="Q157">
        <f>_xlfn.XLOOKUP($A157,Master_Data!$C:$C,Master_Data!$G:$G,"CHECK",0)</f>
        <v>107930</v>
      </c>
      <c r="R157">
        <f>IFERROR(_xlfn.XLOOKUP($A157,Master_Data!$C:$C,Master_Data!$H:$H,"CHECK",0),"")</f>
        <v>57.629670763874799</v>
      </c>
      <c r="S157" t="str">
        <f>_xlfn.XLOOKUP($A157,Master_Data!$C:$C,Master_Data!$I:$I,"CHECK",0)</f>
        <v>Tasvir Ul Islam</v>
      </c>
      <c r="T157">
        <f>_xlfn.XLOOKUP($A157,Master_Data!$C:$C,Master_Data!$K:$K,"CHECK",0)</f>
        <v>79352</v>
      </c>
      <c r="U157">
        <f>IFERROR(_xlfn.XLOOKUP($A157,Master_Data!$C:$C,Master_Data!$L:$L,"CHECK",0),"")</f>
        <v>42.370329236125201</v>
      </c>
      <c r="V157">
        <f>_xlfn.XLOOKUP($A157,Master_Data!$C:$C,Master_Data!$M:$M,"CHECK",0)</f>
        <v>28578</v>
      </c>
      <c r="W157">
        <f>IFERROR(_xlfn.XLOOKUP($A157,Master_Data!$C:$C,Master_Data!$N:$N,"CHECK",0),"")</f>
        <v>15.259341527749598</v>
      </c>
      <c r="X157" t="str">
        <f>IFERROR(_xlfn.XLOOKUP($A157,Master_Data!$C:$C,Master_Data!$O:$O,"CHECK",0),"No Result")</f>
        <v>Safe Seat</v>
      </c>
      <c r="Y157">
        <f>_xlfn.XLOOKUP($A157,Master_Data!$C:$C,Master_Data!$P:$P,"CHECK",0)</f>
        <v>0</v>
      </c>
      <c r="Z157">
        <f t="shared" si="5"/>
        <v>1</v>
      </c>
      <c r="AA157">
        <f>_xlfn.XLOOKUP(B157,Remittance_Data!A:A,Remittance_Data!B:B,"CHECK")</f>
        <v>7399</v>
      </c>
      <c r="AB157">
        <f>_xlfn.XLOOKUP(B157,Remittance_Data!A:A,Remittance_Data!C:C,"CHECK")</f>
        <v>5958</v>
      </c>
      <c r="AC157">
        <f>_xlfn.XLOOKUP(B157,Remittance_Data!A:A,Remittance_Data!D:D,"CHECK")</f>
        <v>1441</v>
      </c>
    </row>
    <row r="158" spans="1:29">
      <c r="A158" t="str">
        <v>Kurigram-4</v>
      </c>
      <c r="B158" t="str" cm="1">
        <f t="array" ref="B1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Nawabganj","Chapainawabganj"),Final_Merged_Data!$B$2:$B$1000=$A158)))</f>
        <v>Kurigram</v>
      </c>
      <c r="C158" t="str" cm="1">
        <f t="array" ref="C158">_xlfn.TEXTJOIN(", ",TRUE,_xlfn._xlws.FILTER(Final_Merged_Data!$C$2:$C$1000,Final_Merged_Data!$B$2:$B$1000=$A158))</f>
        <v>Phulbari, Rajarhat</v>
      </c>
      <c r="D158" cm="1">
        <f t="array" ref="D158">COUNTA(_xlfn._xlws.FILTER(Final_Merged_Data!$C$2:$C$1000,Final_Merged_Data!$B$2:$B$1000=$A158))</f>
        <v>2</v>
      </c>
      <c r="E158">
        <f>SUMIFS(Final_Merged_Data!$E:$E,Final_Merged_Data!$B:$B,$A158)</f>
        <v>848</v>
      </c>
      <c r="F158">
        <f>SUMIFS(Final_Merged_Data!$F:$F,Final_Merged_Data!$B:$B,$A158)</f>
        <v>389724</v>
      </c>
      <c r="G158">
        <f t="shared" si="4"/>
        <v>459.58018867924528</v>
      </c>
      <c r="H158" cm="1">
        <f t="array" ref="H158">SUMPRODUCT((Final_Merged_Data!$B$2:$B$1000=$A158)*Final_Merged_Data!$H$2:$H$1000*Final_Merged_Data!$F$2:$F$1000)/F158</f>
        <v>3.8083196313288381</v>
      </c>
      <c r="I158" cm="1">
        <f t="array" ref="I158">SUMPRODUCT((Final_Merged_Data!$B$2:$B$1000=$A158)*Final_Merged_Data!$I$2:$I$1000*Final_Merged_Data!$F$2:$F$1000)/F158</f>
        <v>68.22947963173938</v>
      </c>
      <c r="J158" t="str" cm="1">
        <f t="array" ref="J158">_xlfn.TEXTJOIN(", ",TRUE,_xlfn.UNIQUE(_xlfn._xlws.FILTER(Final_Merged_Data!$J$2:$J$1000,Final_Merged_Data!$B$2:$B$1000=$A158)))</f>
        <v>Rangpur Range</v>
      </c>
      <c r="K158" cm="1">
        <f t="array" ref="K158">SUMPRODUCT((Final_Merged_Data!$B$2:$B$1000=$A158)*Final_Merged_Data!$K$2:$K$1000*Final_Merged_Data!$F$2:$F$1000)/F158</f>
        <v>101.90869513385242</v>
      </c>
      <c r="L158" cm="1">
        <f t="array" ref="L158">SUMPRODUCT((Final_Merged_Data!$B$2:$B$1000=$A158)*Final_Merged_Data!$L$2:$L$1000*Final_Merged_Data!$F$2:$F$1000)/F158</f>
        <v>15.175373179583826</v>
      </c>
      <c r="M158" t="str">
        <f>IF(COUNTIF(Master_Data!$C:$C,$A158)&gt;0,"Found","Missing")</f>
        <v>Found</v>
      </c>
      <c r="N158" t="str">
        <f>_xlfn.XLOOKUP($A158,Master_Data!$C:$C,Master_Data!$D:$D,"CHECK",0)</f>
        <v>Md. Mostafizur Rahman</v>
      </c>
      <c r="O158" t="str">
        <f>_xlfn.XLOOKUP($A158,Master_Data!$C:$C,Master_Data!$E:$E,"CHECK",0)</f>
        <v>Jamaat</v>
      </c>
      <c r="P158">
        <f>_xlfn.XLOOKUP($A158,Master_Data!$C:$C,Master_Data!$F:$F,"CHECK",0)</f>
        <v>2</v>
      </c>
      <c r="Q158">
        <f>_xlfn.XLOOKUP($A158,Master_Data!$C:$C,Master_Data!$G:$G,"CHECK",0)</f>
        <v>108210</v>
      </c>
      <c r="R158">
        <f>IFERROR(_xlfn.XLOOKUP($A158,Master_Data!$C:$C,Master_Data!$H:$H,"CHECK",0),"")</f>
        <v>56.174175764277145</v>
      </c>
      <c r="S158" t="str">
        <f>_xlfn.XLOOKUP($A158,Master_Data!$C:$C,Master_Data!$I:$I,"CHECK",0)</f>
        <v>Md. Azizur Rahman</v>
      </c>
      <c r="T158">
        <f>_xlfn.XLOOKUP($A158,Master_Data!$C:$C,Master_Data!$K:$K,"CHECK",0)</f>
        <v>84423</v>
      </c>
      <c r="U158">
        <f>IFERROR(_xlfn.XLOOKUP($A158,Master_Data!$C:$C,Master_Data!$L:$L,"CHECK",0),"")</f>
        <v>43.825824235722848</v>
      </c>
      <c r="V158">
        <f>_xlfn.XLOOKUP($A158,Master_Data!$C:$C,Master_Data!$M:$M,"CHECK",0)</f>
        <v>23787</v>
      </c>
      <c r="W158">
        <f>IFERROR(_xlfn.XLOOKUP($A158,Master_Data!$C:$C,Master_Data!$N:$N,"CHECK",0),"")</f>
        <v>12.348351528554298</v>
      </c>
      <c r="X158" t="str">
        <f>IFERROR(_xlfn.XLOOKUP($A158,Master_Data!$C:$C,Master_Data!$O:$O,"CHECK",0),"No Result")</f>
        <v>Safe Seat</v>
      </c>
      <c r="Y158">
        <f>_xlfn.XLOOKUP($A158,Master_Data!$C:$C,Master_Data!$P:$P,"CHECK",0)</f>
        <v>0</v>
      </c>
      <c r="Z158">
        <f t="shared" si="5"/>
        <v>1</v>
      </c>
      <c r="AA158">
        <f>_xlfn.XLOOKUP(B158,Remittance_Data!A:A,Remittance_Data!B:B,"CHECK")</f>
        <v>7399</v>
      </c>
      <c r="AB158">
        <f>_xlfn.XLOOKUP(B158,Remittance_Data!A:A,Remittance_Data!C:C,"CHECK")</f>
        <v>5958</v>
      </c>
      <c r="AC158">
        <f>_xlfn.XLOOKUP(B158,Remittance_Data!A:A,Remittance_Data!D:D,"CHECK")</f>
        <v>1441</v>
      </c>
    </row>
    <row r="159" spans="1:29">
      <c r="A159" t="str">
        <v>Kushtia-1</v>
      </c>
      <c r="B159" t="str" cm="1">
        <f t="array" ref="B1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Nawabganj","Chapainawabganj"),Final_Merged_Data!$B$2:$B$1000=$A159)))</f>
        <v>Kushtia</v>
      </c>
      <c r="C159" t="str" cm="1">
        <f t="array" ref="C159">_xlfn.TEXTJOIN(", ",TRUE,_xlfn._xlws.FILTER(Final_Merged_Data!$C$2:$C$1000,Final_Merged_Data!$B$2:$B$1000=$A159))</f>
        <v>Daulatpur, Mirpur</v>
      </c>
      <c r="D159" cm="1">
        <f t="array" ref="D159">COUNTA(_xlfn._xlws.FILTER(Final_Merged_Data!$C$2:$C$1000,Final_Merged_Data!$B$2:$B$1000=$A159))</f>
        <v>2</v>
      </c>
      <c r="E159">
        <f>SUMIFS(Final_Merged_Data!$E:$E,Final_Merged_Data!$B:$B,$A159)</f>
        <v>501.3</v>
      </c>
      <c r="F159">
        <f>SUMIFS(Final_Merged_Data!$F:$F,Final_Merged_Data!$B:$B,$A159)</f>
        <v>530500</v>
      </c>
      <c r="G159">
        <f t="shared" si="4"/>
        <v>1058.2485537602233</v>
      </c>
      <c r="H159" cm="1">
        <f t="array" ref="H159">SUMPRODUCT((Final_Merged_Data!$B$2:$B$1000=$A159)*Final_Merged_Data!$H$2:$H$1000*Final_Merged_Data!$F$2:$F$1000)/F159</f>
        <v>3.7757413760603207</v>
      </c>
      <c r="I159" cm="1">
        <f t="array" ref="I159">SUMPRODUCT((Final_Merged_Data!$B$2:$B$1000=$A159)*Final_Merged_Data!$I$2:$I$1000*Final_Merged_Data!$F$2:$F$1000)/F159</f>
        <v>64.305666729500459</v>
      </c>
      <c r="J159" t="str" cm="1">
        <f t="array" ref="J159">_xlfn.TEXTJOIN(", ",TRUE,_xlfn.UNIQUE(_xlfn._xlws.FILTER(Final_Merged_Data!$J$2:$J$1000,Final_Merged_Data!$B$2:$B$1000=$A159)))</f>
        <v>Khulna Range</v>
      </c>
      <c r="K159" cm="1">
        <f t="array" ref="K159">SUMPRODUCT((Final_Merged_Data!$B$2:$B$1000=$A159)*Final_Merged_Data!$K$2:$K$1000*Final_Merged_Data!$F$2:$F$1000)/F159</f>
        <v>102.32166075410298</v>
      </c>
      <c r="L159" cm="1">
        <f t="array" ref="L159">SUMPRODUCT((Final_Merged_Data!$B$2:$B$1000=$A159)*Final_Merged_Data!$L$2:$L$1000*Final_Merged_Data!$F$2:$F$1000)/F159</f>
        <v>12.212237548443923</v>
      </c>
      <c r="M159" t="str">
        <f>IF(COUNTIF(Master_Data!$C:$C,$A159)&gt;0,"Found","Missing")</f>
        <v>Found</v>
      </c>
      <c r="N159" t="str">
        <f>_xlfn.XLOOKUP($A159,Master_Data!$C:$C,Master_Data!$D:$D,"CHECK",0)</f>
        <v>Reza Ahmed</v>
      </c>
      <c r="O159" t="str">
        <f>_xlfn.XLOOKUP($A159,Master_Data!$C:$C,Master_Data!$E:$E,"CHECK",0)</f>
        <v>BNP</v>
      </c>
      <c r="P159">
        <f>_xlfn.XLOOKUP($A159,Master_Data!$C:$C,Master_Data!$F:$F,"CHECK",0)</f>
        <v>1</v>
      </c>
      <c r="Q159">
        <f>_xlfn.XLOOKUP($A159,Master_Data!$C:$C,Master_Data!$G:$G,"CHECK",0)</f>
        <v>165909</v>
      </c>
      <c r="R159">
        <f>IFERROR(_xlfn.XLOOKUP($A159,Master_Data!$C:$C,Master_Data!$H:$H,"CHECK",0),"")</f>
        <v>65.682862809838824</v>
      </c>
      <c r="S159" t="str">
        <f>_xlfn.XLOOKUP($A159,Master_Data!$C:$C,Master_Data!$I:$I,"CHECK",0)</f>
        <v>Md. Belal Uddin</v>
      </c>
      <c r="T159">
        <f>_xlfn.XLOOKUP($A159,Master_Data!$C:$C,Master_Data!$K:$K,"CHECK",0)</f>
        <v>86682</v>
      </c>
      <c r="U159">
        <f>IFERROR(_xlfn.XLOOKUP($A159,Master_Data!$C:$C,Master_Data!$L:$L,"CHECK",0),"")</f>
        <v>34.317137190161169</v>
      </c>
      <c r="V159">
        <f>_xlfn.XLOOKUP($A159,Master_Data!$C:$C,Master_Data!$M:$M,"CHECK",0)</f>
        <v>79227</v>
      </c>
      <c r="W159">
        <f>IFERROR(_xlfn.XLOOKUP($A159,Master_Data!$C:$C,Master_Data!$N:$N,"CHECK",0),"")</f>
        <v>31.365725619677658</v>
      </c>
      <c r="X159" t="str">
        <f>IFERROR(_xlfn.XLOOKUP($A159,Master_Data!$C:$C,Master_Data!$O:$O,"CHECK",0),"No Result")</f>
        <v>Safe Seat</v>
      </c>
      <c r="Y159">
        <f>_xlfn.XLOOKUP($A159,Master_Data!$C:$C,Master_Data!$P:$P,"CHECK",0)</f>
        <v>0</v>
      </c>
      <c r="Z159">
        <f t="shared" si="5"/>
        <v>1</v>
      </c>
      <c r="AA159">
        <f>_xlfn.XLOOKUP(B159,Remittance_Data!A:A,Remittance_Data!B:B,"CHECK")</f>
        <v>34944</v>
      </c>
      <c r="AB159">
        <f>_xlfn.XLOOKUP(B159,Remittance_Data!A:A,Remittance_Data!C:C,"CHECK")</f>
        <v>29456</v>
      </c>
      <c r="AC159">
        <f>_xlfn.XLOOKUP(B159,Remittance_Data!A:A,Remittance_Data!D:D,"CHECK")</f>
        <v>5488</v>
      </c>
    </row>
    <row r="160" spans="1:29">
      <c r="A160" t="str">
        <v>Kushtia-2</v>
      </c>
      <c r="B160" t="str" cm="1">
        <f t="array" ref="B1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Nawabganj","Chapainawabganj"),Final_Merged_Data!$B$2:$B$1000=$A160)))</f>
        <v>Kushtia</v>
      </c>
      <c r="C160" t="str" cm="1">
        <f t="array" ref="C160">_xlfn.TEXTJOIN(", ",TRUE,_xlfn._xlws.FILTER(Final_Merged_Data!$C$2:$C$1000,Final_Merged_Data!$B$2:$B$1000=$A160))</f>
        <v>Bheramara, Kumarkhali</v>
      </c>
      <c r="D160" cm="1">
        <f t="array" ref="D160">COUNTA(_xlfn._xlws.FILTER(Final_Merged_Data!$C$2:$C$1000,Final_Merged_Data!$B$2:$B$1000=$A160))</f>
        <v>2</v>
      </c>
      <c r="E160">
        <f>SUMIFS(Final_Merged_Data!$E:$E,Final_Merged_Data!$B:$B,$A160)</f>
        <v>392.51</v>
      </c>
      <c r="F160">
        <f>SUMIFS(Final_Merged_Data!$F:$F,Final_Merged_Data!$B:$B,$A160)</f>
        <v>598775</v>
      </c>
      <c r="G160">
        <f t="shared" si="4"/>
        <v>1525.5025349672619</v>
      </c>
      <c r="H160" cm="1">
        <f t="array" ref="H160">SUMPRODUCT((Final_Merged_Data!$B$2:$B$1000=$A160)*Final_Merged_Data!$H$2:$H$1000*Final_Merged_Data!$F$2:$F$1000)/F160</f>
        <v>3.9049665734207339</v>
      </c>
      <c r="I160" cm="1">
        <f t="array" ref="I160">SUMPRODUCT((Final_Merged_Data!$B$2:$B$1000=$A160)*Final_Merged_Data!$I$2:$I$1000*Final_Merged_Data!$F$2:$F$1000)/F160</f>
        <v>69.330057133313844</v>
      </c>
      <c r="J160" t="str" cm="1">
        <f t="array" ref="J160">_xlfn.TEXTJOIN(", ",TRUE,_xlfn.UNIQUE(_xlfn._xlws.FILTER(Final_Merged_Data!$J$2:$J$1000,Final_Merged_Data!$B$2:$B$1000=$A160)))</f>
        <v>Khulna Range</v>
      </c>
      <c r="K160" cm="1">
        <f t="array" ref="K160">SUMPRODUCT((Final_Merged_Data!$B$2:$B$1000=$A160)*Final_Merged_Data!$K$2:$K$1000*Final_Merged_Data!$F$2:$F$1000)/F160</f>
        <v>102.32166075410298</v>
      </c>
      <c r="L160" cm="1">
        <f t="array" ref="L160">SUMPRODUCT((Final_Merged_Data!$B$2:$B$1000=$A160)*Final_Merged_Data!$L$2:$L$1000*Final_Merged_Data!$F$2:$F$1000)/F160</f>
        <v>12.212237548443923</v>
      </c>
      <c r="M160" t="str">
        <f>IF(COUNTIF(Master_Data!$C:$C,$A160)&gt;0,"Found","Missing")</f>
        <v>Found</v>
      </c>
      <c r="N160" t="str">
        <f>_xlfn.XLOOKUP($A160,Master_Data!$C:$C,Master_Data!$D:$D,"CHECK",0)</f>
        <v>Abdul Ghafoor</v>
      </c>
      <c r="O160" t="str">
        <f>_xlfn.XLOOKUP($A160,Master_Data!$C:$C,Master_Data!$E:$E,"CHECK",0)</f>
        <v>Jamaat</v>
      </c>
      <c r="P160">
        <f>_xlfn.XLOOKUP($A160,Master_Data!$C:$C,Master_Data!$F:$F,"CHECK",0)</f>
        <v>2</v>
      </c>
      <c r="Q160">
        <f>_xlfn.XLOOKUP($A160,Master_Data!$C:$C,Master_Data!$G:$G,"CHECK",0)</f>
        <v>192083</v>
      </c>
      <c r="R160">
        <f>IFERROR(_xlfn.XLOOKUP($A160,Master_Data!$C:$C,Master_Data!$H:$H,"CHECK",0),"")</f>
        <v>57.183897780318183</v>
      </c>
      <c r="S160" t="str">
        <f>_xlfn.XLOOKUP($A160,Master_Data!$C:$C,Master_Data!$I:$I,"CHECK",0)</f>
        <v>Ragib Rauf Chowdhury</v>
      </c>
      <c r="T160">
        <f>_xlfn.XLOOKUP($A160,Master_Data!$C:$C,Master_Data!$K:$K,"CHECK",0)</f>
        <v>143821</v>
      </c>
      <c r="U160">
        <f>IFERROR(_xlfn.XLOOKUP($A160,Master_Data!$C:$C,Master_Data!$L:$L,"CHECK",0),"")</f>
        <v>42.81610221968181</v>
      </c>
      <c r="V160">
        <f>_xlfn.XLOOKUP($A160,Master_Data!$C:$C,Master_Data!$M:$M,"CHECK",0)</f>
        <v>48262</v>
      </c>
      <c r="W160">
        <f>IFERROR(_xlfn.XLOOKUP($A160,Master_Data!$C:$C,Master_Data!$N:$N,"CHECK",0),"")</f>
        <v>14.367795560636374</v>
      </c>
      <c r="X160" t="str">
        <f>IFERROR(_xlfn.XLOOKUP($A160,Master_Data!$C:$C,Master_Data!$O:$O,"CHECK",0),"No Result")</f>
        <v>Safe Seat</v>
      </c>
      <c r="Y160">
        <f>_xlfn.XLOOKUP($A160,Master_Data!$C:$C,Master_Data!$P:$P,"CHECK",0)</f>
        <v>0</v>
      </c>
      <c r="Z160">
        <f t="shared" si="5"/>
        <v>1</v>
      </c>
      <c r="AA160">
        <f>_xlfn.XLOOKUP(B160,Remittance_Data!A:A,Remittance_Data!B:B,"CHECK")</f>
        <v>34944</v>
      </c>
      <c r="AB160">
        <f>_xlfn.XLOOKUP(B160,Remittance_Data!A:A,Remittance_Data!C:C,"CHECK")</f>
        <v>29456</v>
      </c>
      <c r="AC160">
        <f>_xlfn.XLOOKUP(B160,Remittance_Data!A:A,Remittance_Data!D:D,"CHECK")</f>
        <v>5488</v>
      </c>
    </row>
    <row r="161" spans="1:29">
      <c r="A161" t="str">
        <v>Kushtia-3</v>
      </c>
      <c r="B161" t="str" cm="1">
        <f t="array" ref="B1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Nawabganj","Chapainawabganj"),Final_Merged_Data!$B$2:$B$1000=$A161)))</f>
        <v>Kushtia</v>
      </c>
      <c r="C161" t="str" cm="1">
        <f t="array" ref="C161">_xlfn.TEXTJOIN(", ",TRUE,_xlfn._xlws.FILTER(Final_Merged_Data!$C$2:$C$1000,Final_Merged_Data!$B$2:$B$1000=$A161))</f>
        <v>Kushtia Sadar</v>
      </c>
      <c r="D161" cm="1">
        <f t="array" ref="D161">COUNTA(_xlfn._xlws.FILTER(Final_Merged_Data!$C$2:$C$1000,Final_Merged_Data!$B$2:$B$1000=$A161))</f>
        <v>1</v>
      </c>
      <c r="E161">
        <f>SUMIFS(Final_Merged_Data!$E:$E,Final_Merged_Data!$B:$B,$A161)</f>
        <v>336.11</v>
      </c>
      <c r="F161">
        <f>SUMIFS(Final_Merged_Data!$F:$F,Final_Merged_Data!$B:$B,$A161)</f>
        <v>560952</v>
      </c>
      <c r="G161">
        <f t="shared" si="4"/>
        <v>1668.9536163755913</v>
      </c>
      <c r="H161" cm="1">
        <f t="array" ref="H161">SUMPRODUCT((Final_Merged_Data!$B$2:$B$1000=$A161)*Final_Merged_Data!$H$2:$H$1000*Final_Merged_Data!$F$2:$F$1000)/F161</f>
        <v>3.7800000000000002</v>
      </c>
      <c r="I161" cm="1">
        <f t="array" ref="I161">SUMPRODUCT((Final_Merged_Data!$B$2:$B$1000=$A161)*Final_Merged_Data!$I$2:$I$1000*Final_Merged_Data!$F$2:$F$1000)/F161</f>
        <v>74.48</v>
      </c>
      <c r="J161" t="str" cm="1">
        <f t="array" ref="J161">_xlfn.TEXTJOIN(", ",TRUE,_xlfn.UNIQUE(_xlfn._xlws.FILTER(Final_Merged_Data!$J$2:$J$1000,Final_Merged_Data!$B$2:$B$1000=$A161)))</f>
        <v>Khulna Range</v>
      </c>
      <c r="K161" cm="1">
        <f t="array" ref="K161">SUMPRODUCT((Final_Merged_Data!$B$2:$B$1000=$A161)*Final_Merged_Data!$K$2:$K$1000*Final_Merged_Data!$F$2:$F$1000)/F161</f>
        <v>102.32166075410298</v>
      </c>
      <c r="L161" cm="1">
        <f t="array" ref="L161">SUMPRODUCT((Final_Merged_Data!$B$2:$B$1000=$A161)*Final_Merged_Data!$L$2:$L$1000*Final_Merged_Data!$F$2:$F$1000)/F161</f>
        <v>12.212237548443923</v>
      </c>
      <c r="M161" t="str">
        <f>IF(COUNTIF(Master_Data!$C:$C,$A161)&gt;0,"Found","Missing")</f>
        <v>Found</v>
      </c>
      <c r="N161" t="str">
        <f>_xlfn.XLOOKUP($A161,Master_Data!$C:$C,Master_Data!$D:$D,"CHECK",0)</f>
        <v>Amir Hamza</v>
      </c>
      <c r="O161" t="str">
        <f>_xlfn.XLOOKUP($A161,Master_Data!$C:$C,Master_Data!$E:$E,"CHECK",0)</f>
        <v>Jamaat</v>
      </c>
      <c r="P161">
        <f>_xlfn.XLOOKUP($A161,Master_Data!$C:$C,Master_Data!$F:$F,"CHECK",0)</f>
        <v>2</v>
      </c>
      <c r="Q161">
        <f>_xlfn.XLOOKUP($A161,Master_Data!$C:$C,Master_Data!$G:$G,"CHECK",0)</f>
        <v>180690</v>
      </c>
      <c r="R161">
        <f>IFERROR(_xlfn.XLOOKUP($A161,Master_Data!$C:$C,Master_Data!$H:$H,"CHECK",0),"")</f>
        <v>58.742063530765712</v>
      </c>
      <c r="S161" t="str">
        <f>_xlfn.XLOOKUP($A161,Master_Data!$C:$C,Master_Data!$I:$I,"CHECK",0)</f>
        <v>Md. Zakir Hossain Sarkar</v>
      </c>
      <c r="T161">
        <f>_xlfn.XLOOKUP($A161,Master_Data!$C:$C,Master_Data!$K:$K,"CHECK",0)</f>
        <v>126909</v>
      </c>
      <c r="U161">
        <f>IFERROR(_xlfn.XLOOKUP($A161,Master_Data!$C:$C,Master_Data!$L:$L,"CHECK",0),"")</f>
        <v>41.257936469234295</v>
      </c>
      <c r="V161">
        <f>_xlfn.XLOOKUP($A161,Master_Data!$C:$C,Master_Data!$M:$M,"CHECK",0)</f>
        <v>53781</v>
      </c>
      <c r="W161">
        <f>IFERROR(_xlfn.XLOOKUP($A161,Master_Data!$C:$C,Master_Data!$N:$N,"CHECK",0),"")</f>
        <v>17.48412706153141</v>
      </c>
      <c r="X161" t="str">
        <f>IFERROR(_xlfn.XLOOKUP($A161,Master_Data!$C:$C,Master_Data!$O:$O,"CHECK",0),"No Result")</f>
        <v>Safe Seat</v>
      </c>
      <c r="Y161">
        <f>_xlfn.XLOOKUP($A161,Master_Data!$C:$C,Master_Data!$P:$P,"CHECK",0)</f>
        <v>0</v>
      </c>
      <c r="Z161">
        <f t="shared" si="5"/>
        <v>1</v>
      </c>
      <c r="AA161">
        <f>_xlfn.XLOOKUP(B161,Remittance_Data!A:A,Remittance_Data!B:B,"CHECK")</f>
        <v>34944</v>
      </c>
      <c r="AB161">
        <f>_xlfn.XLOOKUP(B161,Remittance_Data!A:A,Remittance_Data!C:C,"CHECK")</f>
        <v>29456</v>
      </c>
      <c r="AC161">
        <f>_xlfn.XLOOKUP(B161,Remittance_Data!A:A,Remittance_Data!D:D,"CHECK")</f>
        <v>5488</v>
      </c>
    </row>
    <row r="162" spans="1:29">
      <c r="A162" t="str">
        <v>Kushtia-4</v>
      </c>
      <c r="B162" t="str" cm="1">
        <f t="array" ref="B1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Nawabganj","Chapainawabganj"),Final_Merged_Data!$B$2:$B$1000=$A162)))</f>
        <v>Kushtia</v>
      </c>
      <c r="C162" t="str" cm="1">
        <f t="array" ref="C162">_xlfn.TEXTJOIN(", ",TRUE,_xlfn._xlws.FILTER(Final_Merged_Data!$C$2:$C$1000,Final_Merged_Data!$B$2:$B$1000=$A162))</f>
        <v>Khoksa</v>
      </c>
      <c r="D162" cm="1">
        <f t="array" ref="D162">COUNTA(_xlfn._xlws.FILTER(Final_Merged_Data!$C$2:$C$1000,Final_Merged_Data!$B$2:$B$1000=$A162))</f>
        <v>1</v>
      </c>
      <c r="E162">
        <f>SUMIFS(Final_Merged_Data!$E:$E,Final_Merged_Data!$B:$B,$A162)</f>
        <v>100.66</v>
      </c>
      <c r="F162">
        <f>SUMIFS(Final_Merged_Data!$F:$F,Final_Merged_Data!$B:$B,$A162)</f>
        <v>143827</v>
      </c>
      <c r="G162">
        <f t="shared" si="4"/>
        <v>1428.8396582555138</v>
      </c>
      <c r="H162" cm="1">
        <f t="array" ref="H162">SUMPRODUCT((Final_Merged_Data!$B$2:$B$1000=$A162)*Final_Merged_Data!$H$2:$H$1000*Final_Merged_Data!$F$2:$F$1000)/F162</f>
        <v>3.83</v>
      </c>
      <c r="I162" cm="1">
        <f t="array" ref="I162">SUMPRODUCT((Final_Merged_Data!$B$2:$B$1000=$A162)*Final_Merged_Data!$I$2:$I$1000*Final_Merged_Data!$F$2:$F$1000)/F162</f>
        <v>68.180000000000007</v>
      </c>
      <c r="J162" t="str" cm="1">
        <f t="array" ref="J162">_xlfn.TEXTJOIN(", ",TRUE,_xlfn.UNIQUE(_xlfn._xlws.FILTER(Final_Merged_Data!$J$2:$J$1000,Final_Merged_Data!$B$2:$B$1000=$A162)))</f>
        <v>Khulna Range</v>
      </c>
      <c r="K162" cm="1">
        <f t="array" ref="K162">SUMPRODUCT((Final_Merged_Data!$B$2:$B$1000=$A162)*Final_Merged_Data!$K$2:$K$1000*Final_Merged_Data!$F$2:$F$1000)/F162</f>
        <v>102.32166075410298</v>
      </c>
      <c r="L162" cm="1">
        <f t="array" ref="L162">SUMPRODUCT((Final_Merged_Data!$B$2:$B$1000=$A162)*Final_Merged_Data!$L$2:$L$1000*Final_Merged_Data!$F$2:$F$1000)/F162</f>
        <v>12.212237548443923</v>
      </c>
      <c r="M162" t="str">
        <f>IF(COUNTIF(Master_Data!$C:$C,$A162)&gt;0,"Found","Missing")</f>
        <v>Found</v>
      </c>
      <c r="N162" t="str">
        <f>_xlfn.XLOOKUP($A162,Master_Data!$C:$C,Master_Data!$D:$D,"CHECK",0)</f>
        <v>Md. Afjal Hossain</v>
      </c>
      <c r="O162" t="str">
        <f>_xlfn.XLOOKUP($A162,Master_Data!$C:$C,Master_Data!$E:$E,"CHECK",0)</f>
        <v>Jamaat</v>
      </c>
      <c r="P162">
        <f>_xlfn.XLOOKUP($A162,Master_Data!$C:$C,Master_Data!$F:$F,"CHECK",0)</f>
        <v>2</v>
      </c>
      <c r="Q162">
        <f>_xlfn.XLOOKUP($A162,Master_Data!$C:$C,Master_Data!$G:$G,"CHECK",0)</f>
        <v>148201</v>
      </c>
      <c r="R162">
        <f>IFERROR(_xlfn.XLOOKUP($A162,Master_Data!$C:$C,Master_Data!$H:$H,"CHECK",0),"")</f>
        <v>51.493724896109846</v>
      </c>
      <c r="S162" t="str">
        <f>_xlfn.XLOOKUP($A162,Master_Data!$C:$C,Master_Data!$I:$I,"CHECK",0)</f>
        <v>Syed Mehdi Ahmed Rumi</v>
      </c>
      <c r="T162">
        <f>_xlfn.XLOOKUP($A162,Master_Data!$C:$C,Master_Data!$K:$K,"CHECK",0)</f>
        <v>139603</v>
      </c>
      <c r="U162">
        <f>IFERROR(_xlfn.XLOOKUP($A162,Master_Data!$C:$C,Master_Data!$L:$L,"CHECK",0),"")</f>
        <v>48.506275103890147</v>
      </c>
      <c r="V162">
        <f>_xlfn.XLOOKUP($A162,Master_Data!$C:$C,Master_Data!$M:$M,"CHECK",0)</f>
        <v>8598</v>
      </c>
      <c r="W162">
        <f>IFERROR(_xlfn.XLOOKUP($A162,Master_Data!$C:$C,Master_Data!$N:$N,"CHECK",0),"")</f>
        <v>2.9874497922197052</v>
      </c>
      <c r="X162" t="str">
        <f>IFERROR(_xlfn.XLOOKUP($A162,Master_Data!$C:$C,Master_Data!$O:$O,"CHECK",0),"No Result")</f>
        <v>Highly Competitive</v>
      </c>
      <c r="Y162">
        <f>_xlfn.XLOOKUP($A162,Master_Data!$C:$C,Master_Data!$P:$P,"CHECK",0)</f>
        <v>0</v>
      </c>
      <c r="Z162">
        <f t="shared" si="5"/>
        <v>1</v>
      </c>
      <c r="AA162">
        <f>_xlfn.XLOOKUP(B162,Remittance_Data!A:A,Remittance_Data!B:B,"CHECK")</f>
        <v>34944</v>
      </c>
      <c r="AB162">
        <f>_xlfn.XLOOKUP(B162,Remittance_Data!A:A,Remittance_Data!C:C,"CHECK")</f>
        <v>29456</v>
      </c>
      <c r="AC162">
        <f>_xlfn.XLOOKUP(B162,Remittance_Data!A:A,Remittance_Data!D:D,"CHECK")</f>
        <v>5488</v>
      </c>
    </row>
    <row r="163" spans="1:29">
      <c r="A163" t="str">
        <v>Lakshmipur-1</v>
      </c>
      <c r="B163" t="str" cm="1">
        <f t="array" ref="B1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Nawabganj","Chapainawabganj"),Final_Merged_Data!$B$2:$B$1000=$A163)))</f>
        <v>Lakshmipur</v>
      </c>
      <c r="C163" t="str" cm="1">
        <f t="array" ref="C163">_xlfn.TEXTJOIN(", ",TRUE,_xlfn._xlws.FILTER(Final_Merged_Data!$C$2:$C$1000,Final_Merged_Data!$B$2:$B$1000=$A163))</f>
        <v>Ramganj</v>
      </c>
      <c r="D163" cm="1">
        <f t="array" ref="D163">COUNTA(_xlfn._xlws.FILTER(Final_Merged_Data!$C$2:$C$1000,Final_Merged_Data!$B$2:$B$1000=$A163))</f>
        <v>1</v>
      </c>
      <c r="E163">
        <f>SUMIFS(Final_Merged_Data!$E:$E,Final_Merged_Data!$B:$B,$A163)</f>
        <v>570.54999999999995</v>
      </c>
      <c r="F163">
        <f>SUMIFS(Final_Merged_Data!$F:$F,Final_Merged_Data!$B:$B,$A163)</f>
        <v>313209</v>
      </c>
      <c r="G163">
        <f t="shared" si="4"/>
        <v>548.95977565506973</v>
      </c>
      <c r="H163" cm="1">
        <f t="array" ref="H163">SUMPRODUCT((Final_Merged_Data!$B$2:$B$1000=$A163)*Final_Merged_Data!$H$2:$H$1000*Final_Merged_Data!$F$2:$F$1000)/F163</f>
        <v>4.1500000000000004</v>
      </c>
      <c r="I163" cm="1">
        <f t="array" ref="I163">SUMPRODUCT((Final_Merged_Data!$B$2:$B$1000=$A163)*Final_Merged_Data!$I$2:$I$1000*Final_Merged_Data!$F$2:$F$1000)/F163</f>
        <v>82.9</v>
      </c>
      <c r="J163" t="str" cm="1">
        <f t="array" ref="J163">_xlfn.TEXTJOIN(", ",TRUE,_xlfn.UNIQUE(_xlfn._xlws.FILTER(Final_Merged_Data!$J$2:$J$1000,Final_Merged_Data!$B$2:$B$1000=$A163)))</f>
        <v>Chittagong Range</v>
      </c>
      <c r="K163" cm="1">
        <f t="array" ref="K163">SUMPRODUCT((Final_Merged_Data!$B$2:$B$1000=$A163)*Final_Merged_Data!$K$2:$K$1000*Final_Merged_Data!$F$2:$F$1000)/F163</f>
        <v>84.879645400600893</v>
      </c>
      <c r="L163" cm="1">
        <f t="array" ref="L163">SUMPRODUCT((Final_Merged_Data!$B$2:$B$1000=$A163)*Final_Merged_Data!$L$2:$L$1000*Final_Merged_Data!$F$2:$F$1000)/F163</f>
        <v>10.309673910686193</v>
      </c>
      <c r="M163" t="str">
        <f>IF(COUNTIF(Master_Data!$C:$C,$A163)&gt;0,"Found","Missing")</f>
        <v>Found</v>
      </c>
      <c r="N163" t="str">
        <f>_xlfn.XLOOKUP($A163,Master_Data!$C:$C,Master_Data!$D:$D,"CHECK",0)</f>
        <v>Md. Shahadat Hossain</v>
      </c>
      <c r="O163" t="str">
        <f>_xlfn.XLOOKUP($A163,Master_Data!$C:$C,Master_Data!$E:$E,"CHECK",0)</f>
        <v>BNP</v>
      </c>
      <c r="P163">
        <f>_xlfn.XLOOKUP($A163,Master_Data!$C:$C,Master_Data!$F:$F,"CHECK",0)</f>
        <v>1</v>
      </c>
      <c r="Q163">
        <f>_xlfn.XLOOKUP($A163,Master_Data!$C:$C,Master_Data!$G:$G,"CHECK",0)</f>
        <v>86811</v>
      </c>
      <c r="R163">
        <f>IFERROR(_xlfn.XLOOKUP($A163,Master_Data!$C:$C,Master_Data!$H:$H,"CHECK",0),"")</f>
        <v>59.428653577589749</v>
      </c>
      <c r="S163" t="str">
        <f>_xlfn.XLOOKUP($A163,Master_Data!$C:$C,Master_Data!$I:$I,"CHECK",0)</f>
        <v>Md. Mahbub Alam</v>
      </c>
      <c r="T163">
        <f>_xlfn.XLOOKUP($A163,Master_Data!$C:$C,Master_Data!$K:$K,"CHECK",0)</f>
        <v>59265</v>
      </c>
      <c r="U163">
        <f>IFERROR(_xlfn.XLOOKUP($A163,Master_Data!$C:$C,Master_Data!$L:$L,"CHECK",0),"")</f>
        <v>40.571346422410251</v>
      </c>
      <c r="V163">
        <f>_xlfn.XLOOKUP($A163,Master_Data!$C:$C,Master_Data!$M:$M,"CHECK",0)</f>
        <v>27546</v>
      </c>
      <c r="W163">
        <f>IFERROR(_xlfn.XLOOKUP($A163,Master_Data!$C:$C,Master_Data!$N:$N,"CHECK",0),"")</f>
        <v>18.857307155179495</v>
      </c>
      <c r="X163" t="str">
        <f>IFERROR(_xlfn.XLOOKUP($A163,Master_Data!$C:$C,Master_Data!$O:$O,"CHECK",0),"No Result")</f>
        <v>Safe Seat</v>
      </c>
      <c r="Y163">
        <f>_xlfn.XLOOKUP($A163,Master_Data!$C:$C,Master_Data!$P:$P,"CHECK",0)</f>
        <v>0</v>
      </c>
      <c r="Z163">
        <f t="shared" si="5"/>
        <v>1</v>
      </c>
      <c r="AA163">
        <f>_xlfn.XLOOKUP(B163,Remittance_Data!A:A,Remittance_Data!B:B,"CHECK")</f>
        <v>108389</v>
      </c>
      <c r="AB163">
        <f>_xlfn.XLOOKUP(B163,Remittance_Data!A:A,Remittance_Data!C:C,"CHECK")</f>
        <v>84404</v>
      </c>
      <c r="AC163">
        <f>_xlfn.XLOOKUP(B163,Remittance_Data!A:A,Remittance_Data!D:D,"CHECK")</f>
        <v>23985</v>
      </c>
    </row>
    <row r="164" spans="1:29">
      <c r="A164" t="str">
        <v>Lakshmipur-2</v>
      </c>
      <c r="B164" t="str" cm="1">
        <f t="array" ref="B1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Nawabganj","Chapainawabganj"),Final_Merged_Data!$B$2:$B$1000=$A164)))</f>
        <v>Lakshmipur</v>
      </c>
      <c r="C164" t="str" cm="1">
        <f t="array" ref="C164">_xlfn.TEXTJOIN(", ",TRUE,_xlfn._xlws.FILTER(Final_Merged_Data!$C$2:$C$1000,Final_Merged_Data!$B$2:$B$1000=$A164))</f>
        <v>Raipur</v>
      </c>
      <c r="D164" cm="1">
        <f t="array" ref="D164">COUNTA(_xlfn._xlws.FILTER(Final_Merged_Data!$C$2:$C$1000,Final_Merged_Data!$B$2:$B$1000=$A164))</f>
        <v>1</v>
      </c>
      <c r="E164">
        <f>SUMIFS(Final_Merged_Data!$E:$E,Final_Merged_Data!$B:$B,$A164)</f>
        <v>169.31</v>
      </c>
      <c r="F164">
        <f>SUMIFS(Final_Merged_Data!$F:$F,Final_Merged_Data!$B:$B,$A164)</f>
        <v>313648</v>
      </c>
      <c r="G164">
        <f t="shared" si="4"/>
        <v>1852.5072352489517</v>
      </c>
      <c r="H164" cm="1">
        <f t="array" ref="H164">SUMPRODUCT((Final_Merged_Data!$B$2:$B$1000=$A164)*Final_Merged_Data!$H$2:$H$1000*Final_Merged_Data!$F$2:$F$1000)/F164</f>
        <v>3.9300000000000006</v>
      </c>
      <c r="I164" cm="1">
        <f t="array" ref="I164">SUMPRODUCT((Final_Merged_Data!$B$2:$B$1000=$A164)*Final_Merged_Data!$I$2:$I$1000*Final_Merged_Data!$F$2:$F$1000)/F164</f>
        <v>76.319999999999993</v>
      </c>
      <c r="J164" t="str" cm="1">
        <f t="array" ref="J164">_xlfn.TEXTJOIN(", ",TRUE,_xlfn.UNIQUE(_xlfn._xlws.FILTER(Final_Merged_Data!$J$2:$J$1000,Final_Merged_Data!$B$2:$B$1000=$A164)))</f>
        <v>Chittagong Range</v>
      </c>
      <c r="K164" cm="1">
        <f t="array" ref="K164">SUMPRODUCT((Final_Merged_Data!$B$2:$B$1000=$A164)*Final_Merged_Data!$K$2:$K$1000*Final_Merged_Data!$F$2:$F$1000)/F164</f>
        <v>84.879645400600893</v>
      </c>
      <c r="L164" cm="1">
        <f t="array" ref="L164">SUMPRODUCT((Final_Merged_Data!$B$2:$B$1000=$A164)*Final_Merged_Data!$L$2:$L$1000*Final_Merged_Data!$F$2:$F$1000)/F164</f>
        <v>10.309673910686193</v>
      </c>
      <c r="M164" t="str">
        <f>IF(COUNTIF(Master_Data!$C:$C,$A164)&gt;0,"Found","Missing")</f>
        <v>Found</v>
      </c>
      <c r="N164" t="str">
        <f>_xlfn.XLOOKUP($A164,Master_Data!$C:$C,Master_Data!$D:$D,"CHECK",0)</f>
        <v>Md. Abul Khair Bhuiyan</v>
      </c>
      <c r="O164" t="str">
        <f>_xlfn.XLOOKUP($A164,Master_Data!$C:$C,Master_Data!$E:$E,"CHECK",0)</f>
        <v>BNP</v>
      </c>
      <c r="P164">
        <f>_xlfn.XLOOKUP($A164,Master_Data!$C:$C,Master_Data!$F:$F,"CHECK",0)</f>
        <v>1</v>
      </c>
      <c r="Q164">
        <f>_xlfn.XLOOKUP($A164,Master_Data!$C:$C,Master_Data!$G:$G,"CHECK",0)</f>
        <v>146321</v>
      </c>
      <c r="R164">
        <f>IFERROR(_xlfn.XLOOKUP($A164,Master_Data!$C:$C,Master_Data!$H:$H,"CHECK",0),"")</f>
        <v>52.253954195965271</v>
      </c>
      <c r="S164" t="str">
        <f>_xlfn.XLOOKUP($A164,Master_Data!$C:$C,Master_Data!$I:$I,"CHECK",0)</f>
        <v>S. U. M. Ruhul Amin Bhuiyan</v>
      </c>
      <c r="T164">
        <f>_xlfn.XLOOKUP($A164,Master_Data!$C:$C,Master_Data!$K:$K,"CHECK",0)</f>
        <v>133698</v>
      </c>
      <c r="U164">
        <f>IFERROR(_xlfn.XLOOKUP($A164,Master_Data!$C:$C,Master_Data!$L:$L,"CHECK",0),"")</f>
        <v>47.746045804034729</v>
      </c>
      <c r="V164">
        <f>_xlfn.XLOOKUP($A164,Master_Data!$C:$C,Master_Data!$M:$M,"CHECK",0)</f>
        <v>12623</v>
      </c>
      <c r="W164">
        <f>IFERROR(_xlfn.XLOOKUP($A164,Master_Data!$C:$C,Master_Data!$N:$N,"CHECK",0),"")</f>
        <v>4.507908391930548</v>
      </c>
      <c r="X164" t="str">
        <f>IFERROR(_xlfn.XLOOKUP($A164,Master_Data!$C:$C,Master_Data!$O:$O,"CHECK",0),"No Result")</f>
        <v>Highly Competitive</v>
      </c>
      <c r="Y164">
        <f>_xlfn.XLOOKUP($A164,Master_Data!$C:$C,Master_Data!$P:$P,"CHECK",0)</f>
        <v>0</v>
      </c>
      <c r="Z164">
        <f t="shared" si="5"/>
        <v>1</v>
      </c>
      <c r="AA164">
        <f>_xlfn.XLOOKUP(B164,Remittance_Data!A:A,Remittance_Data!B:B,"CHECK")</f>
        <v>108389</v>
      </c>
      <c r="AB164">
        <f>_xlfn.XLOOKUP(B164,Remittance_Data!A:A,Remittance_Data!C:C,"CHECK")</f>
        <v>84404</v>
      </c>
      <c r="AC164">
        <f>_xlfn.XLOOKUP(B164,Remittance_Data!A:A,Remittance_Data!D:D,"CHECK")</f>
        <v>23985</v>
      </c>
    </row>
    <row r="165" spans="1:29">
      <c r="A165" t="str">
        <v>Lakshmipur-3</v>
      </c>
      <c r="B165" t="str" cm="1">
        <f t="array" ref="B1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Nawabganj","Chapainawabganj"),Final_Merged_Data!$B$2:$B$1000=$A165)))</f>
        <v>Lakshmipur</v>
      </c>
      <c r="C165" t="str" cm="1">
        <f t="array" ref="C165">_xlfn.TEXTJOIN(", ",TRUE,_xlfn._xlws.FILTER(Final_Merged_Data!$C$2:$C$1000,Final_Merged_Data!$B$2:$B$1000=$A165))</f>
        <v>Lakshmipur Sadar</v>
      </c>
      <c r="D165" cm="1">
        <f t="array" ref="D165">COUNTA(_xlfn._xlws.FILTER(Final_Merged_Data!$C$2:$C$1000,Final_Merged_Data!$B$2:$B$1000=$A165))</f>
        <v>1</v>
      </c>
      <c r="E165">
        <f>SUMIFS(Final_Merged_Data!$E:$E,Final_Merged_Data!$B:$B,$A165)</f>
        <v>514.80999999999995</v>
      </c>
      <c r="F165">
        <f>SUMIFS(Final_Merged_Data!$F:$F,Final_Merged_Data!$B:$B,$A165)</f>
        <v>814813</v>
      </c>
      <c r="G165">
        <f t="shared" si="4"/>
        <v>1582.7450904217092</v>
      </c>
      <c r="H165" cm="1">
        <f t="array" ref="H165">SUMPRODUCT((Final_Merged_Data!$B$2:$B$1000=$A165)*Final_Merged_Data!$H$2:$H$1000*Final_Merged_Data!$F$2:$F$1000)/F165</f>
        <v>4.16</v>
      </c>
      <c r="I165" cm="1">
        <f t="array" ref="I165">SUMPRODUCT((Final_Merged_Data!$B$2:$B$1000=$A165)*Final_Merged_Data!$I$2:$I$1000*Final_Merged_Data!$F$2:$F$1000)/F165</f>
        <v>75.459999999999994</v>
      </c>
      <c r="J165" t="str" cm="1">
        <f t="array" ref="J165">_xlfn.TEXTJOIN(", ",TRUE,_xlfn.UNIQUE(_xlfn._xlws.FILTER(Final_Merged_Data!$J$2:$J$1000,Final_Merged_Data!$B$2:$B$1000=$A165)))</f>
        <v>Chittagong Range</v>
      </c>
      <c r="K165" cm="1">
        <f t="array" ref="K165">SUMPRODUCT((Final_Merged_Data!$B$2:$B$1000=$A165)*Final_Merged_Data!$K$2:$K$1000*Final_Merged_Data!$F$2:$F$1000)/F165</f>
        <v>84.879645400600893</v>
      </c>
      <c r="L165" cm="1">
        <f t="array" ref="L165">SUMPRODUCT((Final_Merged_Data!$B$2:$B$1000=$A165)*Final_Merged_Data!$L$2:$L$1000*Final_Merged_Data!$F$2:$F$1000)/F165</f>
        <v>10.309673910686195</v>
      </c>
      <c r="M165" t="str">
        <f>IF(COUNTIF(Master_Data!$C:$C,$A165)&gt;0,"Found","Missing")</f>
        <v>Found</v>
      </c>
      <c r="N165" t="str">
        <f>_xlfn.XLOOKUP($A165,Master_Data!$C:$C,Master_Data!$D:$D,"CHECK",0)</f>
        <v>Shahid Uddin Chowdhury Anee</v>
      </c>
      <c r="O165" t="str">
        <f>_xlfn.XLOOKUP($A165,Master_Data!$C:$C,Master_Data!$E:$E,"CHECK",0)</f>
        <v>BNP</v>
      </c>
      <c r="P165">
        <f>_xlfn.XLOOKUP($A165,Master_Data!$C:$C,Master_Data!$F:$F,"CHECK",0)</f>
        <v>1</v>
      </c>
      <c r="Q165">
        <f>_xlfn.XLOOKUP($A165,Master_Data!$C:$C,Master_Data!$G:$G,"CHECK",0)</f>
        <v>135612</v>
      </c>
      <c r="R165">
        <f>IFERROR(_xlfn.XLOOKUP($A165,Master_Data!$C:$C,Master_Data!$H:$H,"CHECK",0),"")</f>
        <v>52.478580881840763</v>
      </c>
      <c r="S165" t="str">
        <f>_xlfn.XLOOKUP($A165,Master_Data!$C:$C,Master_Data!$I:$I,"CHECK",0)</f>
        <v>Md. Rezaul Karim</v>
      </c>
      <c r="T165">
        <f>_xlfn.XLOOKUP($A165,Master_Data!$C:$C,Master_Data!$K:$K,"CHECK",0)</f>
        <v>122802</v>
      </c>
      <c r="U165">
        <f>IFERROR(_xlfn.XLOOKUP($A165,Master_Data!$C:$C,Master_Data!$L:$L,"CHECK",0),"")</f>
        <v>47.52141911815923</v>
      </c>
      <c r="V165">
        <f>_xlfn.XLOOKUP($A165,Master_Data!$C:$C,Master_Data!$M:$M,"CHECK",0)</f>
        <v>12810</v>
      </c>
      <c r="W165">
        <f>IFERROR(_xlfn.XLOOKUP($A165,Master_Data!$C:$C,Master_Data!$N:$N,"CHECK",0),"")</f>
        <v>4.9571617636815342</v>
      </c>
      <c r="X165" t="str">
        <f>IFERROR(_xlfn.XLOOKUP($A165,Master_Data!$C:$C,Master_Data!$O:$O,"CHECK",0),"No Result")</f>
        <v>Highly Competitive</v>
      </c>
      <c r="Y165">
        <f>_xlfn.XLOOKUP($A165,Master_Data!$C:$C,Master_Data!$P:$P,"CHECK",0)</f>
        <v>0</v>
      </c>
      <c r="Z165">
        <f t="shared" si="5"/>
        <v>1</v>
      </c>
      <c r="AA165">
        <f>_xlfn.XLOOKUP(B165,Remittance_Data!A:A,Remittance_Data!B:B,"CHECK")</f>
        <v>108389</v>
      </c>
      <c r="AB165">
        <f>_xlfn.XLOOKUP(B165,Remittance_Data!A:A,Remittance_Data!C:C,"CHECK")</f>
        <v>84404</v>
      </c>
      <c r="AC165">
        <f>_xlfn.XLOOKUP(B165,Remittance_Data!A:A,Remittance_Data!D:D,"CHECK")</f>
        <v>23985</v>
      </c>
    </row>
    <row r="166" spans="1:29">
      <c r="A166" t="str">
        <v>Lakshmipur-4</v>
      </c>
      <c r="B166" t="str" cm="1">
        <f t="array" ref="B1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Nawabganj","Chapainawabganj"),Final_Merged_Data!$B$2:$B$1000=$A166)))</f>
        <v>Lakshmipur</v>
      </c>
      <c r="C166" t="str" cm="1">
        <f t="array" ref="C166">_xlfn.TEXTJOIN(", ",TRUE,_xlfn._xlws.FILTER(Final_Merged_Data!$C$2:$C$1000,Final_Merged_Data!$B$2:$B$1000=$A166))</f>
        <v>Ramgati, Kamalnagar</v>
      </c>
      <c r="D166" cm="1">
        <f t="array" ref="D166">COUNTA(_xlfn._xlws.FILTER(Final_Merged_Data!$C$2:$C$1000,Final_Merged_Data!$B$2:$B$1000=$A166))</f>
        <v>2</v>
      </c>
      <c r="E166">
        <f>SUMIFS(Final_Merged_Data!$E:$E,Final_Merged_Data!$B:$B,$A166)</f>
        <v>1059.28</v>
      </c>
      <c r="F166">
        <f>SUMIFS(Final_Merged_Data!$F:$F,Final_Merged_Data!$B:$B,$A166)</f>
        <v>496192</v>
      </c>
      <c r="G166">
        <f t="shared" si="4"/>
        <v>468.42383505777508</v>
      </c>
      <c r="H166" cm="1">
        <f t="array" ref="H166">SUMPRODUCT((Final_Merged_Data!$B$2:$B$1000=$A166)*Final_Merged_Data!$H$2:$H$1000*Final_Merged_Data!$F$2:$F$1000)/F166</f>
        <v>4.3573922191409782</v>
      </c>
      <c r="I166" cm="1">
        <f t="array" ref="I166">SUMPRODUCT((Final_Merged_Data!$B$2:$B$1000=$A166)*Final_Merged_Data!$I$2:$I$1000*Final_Merged_Data!$F$2:$F$1000)/F166</f>
        <v>64.229543342093379</v>
      </c>
      <c r="J166" t="str" cm="1">
        <f t="array" ref="J166">_xlfn.TEXTJOIN(", ",TRUE,_xlfn.UNIQUE(_xlfn._xlws.FILTER(Final_Merged_Data!$J$2:$J$1000,Final_Merged_Data!$B$2:$B$1000=$A166)))</f>
        <v>Chittagong Range</v>
      </c>
      <c r="K166" cm="1">
        <f t="array" ref="K166">SUMPRODUCT((Final_Merged_Data!$B$2:$B$1000=$A166)*Final_Merged_Data!$K$2:$K$1000*Final_Merged_Data!$F$2:$F$1000)/F166</f>
        <v>84.879645400600893</v>
      </c>
      <c r="L166" cm="1">
        <f t="array" ref="L166">SUMPRODUCT((Final_Merged_Data!$B$2:$B$1000=$A166)*Final_Merged_Data!$L$2:$L$1000*Final_Merged_Data!$F$2:$F$1000)/F166</f>
        <v>10.309673910686193</v>
      </c>
      <c r="M166" t="str">
        <f>IF(COUNTIF(Master_Data!$C:$C,$A166)&gt;0,"Found","Missing")</f>
        <v>Found</v>
      </c>
      <c r="N166" t="str">
        <f>_xlfn.XLOOKUP($A166,Master_Data!$C:$C,Master_Data!$D:$D,"CHECK",0)</f>
        <v>A. B. M. Ashraf Uddin Nijan</v>
      </c>
      <c r="O166" t="str">
        <f>_xlfn.XLOOKUP($A166,Master_Data!$C:$C,Master_Data!$E:$E,"CHECK",0)</f>
        <v>BNP</v>
      </c>
      <c r="P166">
        <f>_xlfn.XLOOKUP($A166,Master_Data!$C:$C,Master_Data!$F:$F,"CHECK",0)</f>
        <v>1</v>
      </c>
      <c r="Q166">
        <f>_xlfn.XLOOKUP($A166,Master_Data!$C:$C,Master_Data!$G:$G,"CHECK",0)</f>
        <v>115199</v>
      </c>
      <c r="R166">
        <f>IFERROR(_xlfn.XLOOKUP($A166,Master_Data!$C:$C,Master_Data!$H:$H,"CHECK",0),"")</f>
        <v>60.966367653674155</v>
      </c>
      <c r="S166" t="str">
        <f>_xlfn.XLOOKUP($A166,Master_Data!$C:$C,Master_Data!$I:$I,"CHECK",0)</f>
        <v>Md. Ashraful Rahman Hafizulya</v>
      </c>
      <c r="T166">
        <f>_xlfn.XLOOKUP($A166,Master_Data!$C:$C,Master_Data!$K:$K,"CHECK",0)</f>
        <v>73756</v>
      </c>
      <c r="U166">
        <f>IFERROR(_xlfn.XLOOKUP($A166,Master_Data!$C:$C,Master_Data!$L:$L,"CHECK",0),"")</f>
        <v>39.033632346325845</v>
      </c>
      <c r="V166">
        <f>_xlfn.XLOOKUP($A166,Master_Data!$C:$C,Master_Data!$M:$M,"CHECK",0)</f>
        <v>41443</v>
      </c>
      <c r="W166">
        <f>IFERROR(_xlfn.XLOOKUP($A166,Master_Data!$C:$C,Master_Data!$N:$N,"CHECK",0),"")</f>
        <v>21.93273530734831</v>
      </c>
      <c r="X166" t="str">
        <f>IFERROR(_xlfn.XLOOKUP($A166,Master_Data!$C:$C,Master_Data!$O:$O,"CHECK",0),"No Result")</f>
        <v>Safe Seat</v>
      </c>
      <c r="Y166">
        <f>_xlfn.XLOOKUP($A166,Master_Data!$C:$C,Master_Data!$P:$P,"CHECK",0)</f>
        <v>0</v>
      </c>
      <c r="Z166">
        <f t="shared" si="5"/>
        <v>1</v>
      </c>
      <c r="AA166">
        <f>_xlfn.XLOOKUP(B166,Remittance_Data!A:A,Remittance_Data!B:B,"CHECK")</f>
        <v>108389</v>
      </c>
      <c r="AB166">
        <f>_xlfn.XLOOKUP(B166,Remittance_Data!A:A,Remittance_Data!C:C,"CHECK")</f>
        <v>84404</v>
      </c>
      <c r="AC166">
        <f>_xlfn.XLOOKUP(B166,Remittance_Data!A:A,Remittance_Data!D:D,"CHECK")</f>
        <v>23985</v>
      </c>
    </row>
    <row r="167" spans="1:29">
      <c r="A167" t="str">
        <v>Lalmonirhat-1</v>
      </c>
      <c r="B167" t="str" cm="1">
        <f t="array" ref="B1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Nawabganj","Chapainawabganj"),Final_Merged_Data!$B$2:$B$1000=$A167)))</f>
        <v>Lalmonirhat</v>
      </c>
      <c r="C167" t="str" cm="1">
        <f t="array" ref="C167">_xlfn.TEXTJOIN(", ",TRUE,_xlfn._xlws.FILTER(Final_Merged_Data!$C$2:$C$1000,Final_Merged_Data!$B$2:$B$1000=$A167))</f>
        <v>Patgram, Hatibandha</v>
      </c>
      <c r="D167" cm="1">
        <f t="array" ref="D167">COUNTA(_xlfn._xlws.FILTER(Final_Merged_Data!$C$2:$C$1000,Final_Merged_Data!$B$2:$B$1000=$A167))</f>
        <v>2</v>
      </c>
      <c r="E167">
        <f>SUMIFS(Final_Merged_Data!$E:$E,Final_Merged_Data!$B:$B,$A167)</f>
        <v>436.05</v>
      </c>
      <c r="F167">
        <f>SUMIFS(Final_Merged_Data!$F:$F,Final_Merged_Data!$B:$B,$A167)</f>
        <v>526671</v>
      </c>
      <c r="G167">
        <f t="shared" si="4"/>
        <v>1207.8224974200207</v>
      </c>
      <c r="H167" cm="1">
        <f t="array" ref="H167">SUMPRODUCT((Final_Merged_Data!$B$2:$B$1000=$A167)*Final_Merged_Data!$H$2:$H$1000*Final_Merged_Data!$F$2:$F$1000)/F167</f>
        <v>4.3344643240277136</v>
      </c>
      <c r="I167" cm="1">
        <f t="array" ref="I167">SUMPRODUCT((Final_Merged_Data!$B$2:$B$1000=$A167)*Final_Merged_Data!$I$2:$I$1000*Final_Merged_Data!$F$2:$F$1000)/F167</f>
        <v>72.682784907465958</v>
      </c>
      <c r="J167" t="str" cm="1">
        <f t="array" ref="J167">_xlfn.TEXTJOIN(", ",TRUE,_xlfn.UNIQUE(_xlfn._xlws.FILTER(Final_Merged_Data!$J$2:$J$1000,Final_Merged_Data!$B$2:$B$1000=$A167)))</f>
        <v>Rangpur Range</v>
      </c>
      <c r="K167" cm="1">
        <f t="array" ref="K167">SUMPRODUCT((Final_Merged_Data!$B$2:$B$1000=$A167)*Final_Merged_Data!$K$2:$K$1000*Final_Merged_Data!$F$2:$F$1000)/F167</f>
        <v>101.9086951338524</v>
      </c>
      <c r="L167" cm="1">
        <f t="array" ref="L167">SUMPRODUCT((Final_Merged_Data!$B$2:$B$1000=$A167)*Final_Merged_Data!$L$2:$L$1000*Final_Merged_Data!$F$2:$F$1000)/F167</f>
        <v>15.175373179583827</v>
      </c>
      <c r="M167" t="str">
        <f>IF(COUNTIF(Master_Data!$C:$C,$A167)&gt;0,"Found","Missing")</f>
        <v>Found</v>
      </c>
      <c r="N167" t="str">
        <f>_xlfn.XLOOKUP($A167,Master_Data!$C:$C,Master_Data!$D:$D,"CHECK",0)</f>
        <v>Hasan Rajib Pradhan</v>
      </c>
      <c r="O167" t="str">
        <f>_xlfn.XLOOKUP($A167,Master_Data!$C:$C,Master_Data!$E:$E,"CHECK",0)</f>
        <v>BNP</v>
      </c>
      <c r="P167">
        <f>_xlfn.XLOOKUP($A167,Master_Data!$C:$C,Master_Data!$F:$F,"CHECK",0)</f>
        <v>1</v>
      </c>
      <c r="Q167">
        <f>_xlfn.XLOOKUP($A167,Master_Data!$C:$C,Master_Data!$G:$G,"CHECK",0)</f>
        <v>138686</v>
      </c>
      <c r="R167">
        <f>IFERROR(_xlfn.XLOOKUP($A167,Master_Data!$C:$C,Master_Data!$H:$H,"CHECK",0),"")</f>
        <v>51.698737782284219</v>
      </c>
      <c r="S167" t="str">
        <f>_xlfn.XLOOKUP($A167,Master_Data!$C:$C,Master_Data!$I:$I,"CHECK",0)</f>
        <v>Md. Anwarul Islam Raju</v>
      </c>
      <c r="T167">
        <f>_xlfn.XLOOKUP($A167,Master_Data!$C:$C,Master_Data!$K:$K,"CHECK",0)</f>
        <v>129572</v>
      </c>
      <c r="U167">
        <f>IFERROR(_xlfn.XLOOKUP($A167,Master_Data!$C:$C,Master_Data!$L:$L,"CHECK",0),"")</f>
        <v>48.301262217715781</v>
      </c>
      <c r="V167">
        <f>_xlfn.XLOOKUP($A167,Master_Data!$C:$C,Master_Data!$M:$M,"CHECK",0)</f>
        <v>9114</v>
      </c>
      <c r="W167">
        <f>IFERROR(_xlfn.XLOOKUP($A167,Master_Data!$C:$C,Master_Data!$N:$N,"CHECK",0),"")</f>
        <v>3.3974755645684378</v>
      </c>
      <c r="X167" t="str">
        <f>IFERROR(_xlfn.XLOOKUP($A167,Master_Data!$C:$C,Master_Data!$O:$O,"CHECK",0),"No Result")</f>
        <v>Highly Competitive</v>
      </c>
      <c r="Y167">
        <f>_xlfn.XLOOKUP($A167,Master_Data!$C:$C,Master_Data!$P:$P,"CHECK",0)</f>
        <v>0</v>
      </c>
      <c r="Z167">
        <f t="shared" si="5"/>
        <v>1</v>
      </c>
      <c r="AA167">
        <f>_xlfn.XLOOKUP(B167,Remittance_Data!A:A,Remittance_Data!B:B,"CHECK")</f>
        <v>2418</v>
      </c>
      <c r="AB167">
        <f>_xlfn.XLOOKUP(B167,Remittance_Data!A:A,Remittance_Data!C:C,"CHECK")</f>
        <v>1846</v>
      </c>
      <c r="AC167">
        <f>_xlfn.XLOOKUP(B167,Remittance_Data!A:A,Remittance_Data!D:D,"CHECK")</f>
        <v>572</v>
      </c>
    </row>
    <row r="168" spans="1:29">
      <c r="A168" t="str">
        <v>Lalmonirhat-2</v>
      </c>
      <c r="B168" t="str" cm="1">
        <f t="array" ref="B1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Nawabganj","Chapainawabganj"),Final_Merged_Data!$B$2:$B$1000=$A168)))</f>
        <v>Lalmonirhat</v>
      </c>
      <c r="C168" t="str" cm="1">
        <f t="array" ref="C168">_xlfn.TEXTJOIN(", ",TRUE,_xlfn._xlws.FILTER(Final_Merged_Data!$C$2:$C$1000,Final_Merged_Data!$B$2:$B$1000=$A168))</f>
        <v>Lalmonirhat Sadar, Kaliganj</v>
      </c>
      <c r="D168" cm="1">
        <f t="array" ref="D168">COUNTA(_xlfn._xlws.FILTER(Final_Merged_Data!$C$2:$C$1000,Final_Merged_Data!$B$2:$B$1000=$A168))</f>
        <v>2</v>
      </c>
      <c r="E168">
        <f>SUMIFS(Final_Merged_Data!$E:$E,Final_Merged_Data!$B:$B,$A168)</f>
        <v>462.04999999999995</v>
      </c>
      <c r="F168">
        <f>SUMIFS(Final_Merged_Data!$F:$F,Final_Merged_Data!$B:$B,$A168)</f>
        <v>684406</v>
      </c>
      <c r="G168">
        <f t="shared" si="4"/>
        <v>1481.2379612596042</v>
      </c>
      <c r="H168" cm="1">
        <f t="array" ref="H168">SUMPRODUCT((Final_Merged_Data!$B$2:$B$1000=$A168)*Final_Merged_Data!$H$2:$H$1000*Final_Merged_Data!$F$2:$F$1000)/F168</f>
        <v>3.9972837321706702</v>
      </c>
      <c r="I168" cm="1">
        <f t="array" ref="I168">SUMPRODUCT((Final_Merged_Data!$B$2:$B$1000=$A168)*Final_Merged_Data!$I$2:$I$1000*Final_Merged_Data!$F$2:$F$1000)/F168</f>
        <v>73.866786483461567</v>
      </c>
      <c r="J168" t="str" cm="1">
        <f t="array" ref="J168">_xlfn.TEXTJOIN(", ",TRUE,_xlfn.UNIQUE(_xlfn._xlws.FILTER(Final_Merged_Data!$J$2:$J$1000,Final_Merged_Data!$B$2:$B$1000=$A168)))</f>
        <v>Rangpur Range</v>
      </c>
      <c r="K168" cm="1">
        <f t="array" ref="K168">SUMPRODUCT((Final_Merged_Data!$B$2:$B$1000=$A168)*Final_Merged_Data!$K$2:$K$1000*Final_Merged_Data!$F$2:$F$1000)/F168</f>
        <v>101.90869513385242</v>
      </c>
      <c r="L168" cm="1">
        <f t="array" ref="L168">SUMPRODUCT((Final_Merged_Data!$B$2:$B$1000=$A168)*Final_Merged_Data!$L$2:$L$1000*Final_Merged_Data!$F$2:$F$1000)/F168</f>
        <v>15.175373179583826</v>
      </c>
      <c r="M168" t="str">
        <f>IF(COUNTIF(Master_Data!$C:$C,$A168)&gt;0,"Found","Missing")</f>
        <v>Found</v>
      </c>
      <c r="N168" t="str">
        <f>_xlfn.XLOOKUP($A168,Master_Data!$C:$C,Master_Data!$D:$D,"CHECK",0)</f>
        <v>Md. Rokun Uddin Babul</v>
      </c>
      <c r="O168" t="str">
        <f>_xlfn.XLOOKUP($A168,Master_Data!$C:$C,Master_Data!$E:$E,"CHECK",0)</f>
        <v>BNP</v>
      </c>
      <c r="P168">
        <f>_xlfn.XLOOKUP($A168,Master_Data!$C:$C,Master_Data!$F:$F,"CHECK",0)</f>
        <v>1</v>
      </c>
      <c r="Q168">
        <f>_xlfn.XLOOKUP($A168,Master_Data!$C:$C,Master_Data!$G:$G,"CHECK",0)</f>
        <v>123946</v>
      </c>
      <c r="R168">
        <f>IFERROR(_xlfn.XLOOKUP($A168,Master_Data!$C:$C,Master_Data!$H:$H,"CHECK",0),"")</f>
        <v>64.944197013361276</v>
      </c>
      <c r="S168" t="str">
        <f>_xlfn.XLOOKUP($A168,Master_Data!$C:$C,Master_Data!$I:$I,"CHECK",0)</f>
        <v>Md. Feroz Haider</v>
      </c>
      <c r="T168">
        <f>_xlfn.XLOOKUP($A168,Master_Data!$C:$C,Master_Data!$K:$K,"CHECK",0)</f>
        <v>66904</v>
      </c>
      <c r="U168">
        <f>IFERROR(_xlfn.XLOOKUP($A168,Master_Data!$C:$C,Master_Data!$L:$L,"CHECK",0),"")</f>
        <v>35.055802986638724</v>
      </c>
      <c r="V168">
        <f>_xlfn.XLOOKUP($A168,Master_Data!$C:$C,Master_Data!$M:$M,"CHECK",0)</f>
        <v>57042</v>
      </c>
      <c r="W168">
        <f>IFERROR(_xlfn.XLOOKUP($A168,Master_Data!$C:$C,Master_Data!$N:$N,"CHECK",0),"")</f>
        <v>29.888394026722558</v>
      </c>
      <c r="X168" t="str">
        <f>IFERROR(_xlfn.XLOOKUP($A168,Master_Data!$C:$C,Master_Data!$O:$O,"CHECK",0),"No Result")</f>
        <v>Safe Seat</v>
      </c>
      <c r="Y168">
        <f>_xlfn.XLOOKUP($A168,Master_Data!$C:$C,Master_Data!$P:$P,"CHECK",0)</f>
        <v>0</v>
      </c>
      <c r="Z168">
        <f t="shared" si="5"/>
        <v>1</v>
      </c>
      <c r="AA168">
        <f>_xlfn.XLOOKUP(B168,Remittance_Data!A:A,Remittance_Data!B:B,"CHECK")</f>
        <v>2418</v>
      </c>
      <c r="AB168">
        <f>_xlfn.XLOOKUP(B168,Remittance_Data!A:A,Remittance_Data!C:C,"CHECK")</f>
        <v>1846</v>
      </c>
      <c r="AC168">
        <f>_xlfn.XLOOKUP(B168,Remittance_Data!A:A,Remittance_Data!D:D,"CHECK")</f>
        <v>572</v>
      </c>
    </row>
    <row r="169" spans="1:29">
      <c r="A169" t="str">
        <v>Lalmonirhat-3</v>
      </c>
      <c r="B169" t="str" cm="1">
        <f t="array" ref="B1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Nawabganj","Chapainawabganj"),Final_Merged_Data!$B$2:$B$1000=$A169)))</f>
        <v>Lalmonirhat</v>
      </c>
      <c r="C169" t="str" cm="1">
        <f t="array" ref="C169">_xlfn.TEXTJOIN(", ",TRUE,_xlfn._xlws.FILTER(Final_Merged_Data!$C$2:$C$1000,Final_Merged_Data!$B$2:$B$1000=$A169))</f>
        <v>Aditmari</v>
      </c>
      <c r="D169" cm="1">
        <f t="array" ref="D169">COUNTA(_xlfn._xlws.FILTER(Final_Merged_Data!$C$2:$C$1000,Final_Merged_Data!$B$2:$B$1000=$A169))</f>
        <v>1</v>
      </c>
      <c r="E169">
        <f>SUMIFS(Final_Merged_Data!$E:$E,Final_Merged_Data!$B:$B,$A169)</f>
        <v>189.42</v>
      </c>
      <c r="F169">
        <f>SUMIFS(Final_Merged_Data!$F:$F,Final_Merged_Data!$B:$B,$A169)</f>
        <v>251223</v>
      </c>
      <c r="G169">
        <f t="shared" si="4"/>
        <v>1326.2749445676275</v>
      </c>
      <c r="H169" cm="1">
        <f t="array" ref="H169">SUMPRODUCT((Final_Merged_Data!$B$2:$B$1000=$A169)*Final_Merged_Data!$H$2:$H$1000*Final_Merged_Data!$F$2:$F$1000)/F169</f>
        <v>4.0999999999999996</v>
      </c>
      <c r="I169" cm="1">
        <f t="array" ref="I169">SUMPRODUCT((Final_Merged_Data!$B$2:$B$1000=$A169)*Final_Merged_Data!$I$2:$I$1000*Final_Merged_Data!$F$2:$F$1000)/F169</f>
        <v>70.34</v>
      </c>
      <c r="J169" t="str" cm="1">
        <f t="array" ref="J169">_xlfn.TEXTJOIN(", ",TRUE,_xlfn.UNIQUE(_xlfn._xlws.FILTER(Final_Merged_Data!$J$2:$J$1000,Final_Merged_Data!$B$2:$B$1000=$A169)))</f>
        <v>Rangpur Range</v>
      </c>
      <c r="K169" cm="1">
        <f t="array" ref="K169">SUMPRODUCT((Final_Merged_Data!$B$2:$B$1000=$A169)*Final_Merged_Data!$K$2:$K$1000*Final_Merged_Data!$F$2:$F$1000)/F169</f>
        <v>101.90869513385242</v>
      </c>
      <c r="L169" cm="1">
        <f t="array" ref="L169">SUMPRODUCT((Final_Merged_Data!$B$2:$B$1000=$A169)*Final_Merged_Data!$L$2:$L$1000*Final_Merged_Data!$F$2:$F$1000)/F169</f>
        <v>15.175373179583827</v>
      </c>
      <c r="M169" t="str">
        <f>IF(COUNTIF(Master_Data!$C:$C,$A169)&gt;0,"Found","Missing")</f>
        <v>Found</v>
      </c>
      <c r="N169" t="str">
        <f>_xlfn.XLOOKUP($A169,Master_Data!$C:$C,Master_Data!$D:$D,"CHECK",0)</f>
        <v>Asadul Habib Dulu</v>
      </c>
      <c r="O169" t="str">
        <f>_xlfn.XLOOKUP($A169,Master_Data!$C:$C,Master_Data!$E:$E,"CHECK",0)</f>
        <v>BNP</v>
      </c>
      <c r="P169">
        <f>_xlfn.XLOOKUP($A169,Master_Data!$C:$C,Master_Data!$F:$F,"CHECK",0)</f>
        <v>1</v>
      </c>
      <c r="Q169">
        <f>_xlfn.XLOOKUP($A169,Master_Data!$C:$C,Master_Data!$G:$G,"CHECK",0)</f>
        <v>139657</v>
      </c>
      <c r="R169">
        <f>IFERROR(_xlfn.XLOOKUP($A169,Master_Data!$C:$C,Master_Data!$H:$H,"CHECK",0),"")</f>
        <v>71.289579940888515</v>
      </c>
      <c r="S169" t="str">
        <f>_xlfn.XLOOKUP($A169,Master_Data!$C:$C,Master_Data!$I:$I,"CHECK",0)</f>
        <v>Md. Abu Taher</v>
      </c>
      <c r="T169">
        <f>_xlfn.XLOOKUP($A169,Master_Data!$C:$C,Master_Data!$K:$K,"CHECK",0)</f>
        <v>56244</v>
      </c>
      <c r="U169">
        <f>IFERROR(_xlfn.XLOOKUP($A169,Master_Data!$C:$C,Master_Data!$L:$L,"CHECK",0),"")</f>
        <v>28.710420059111492</v>
      </c>
      <c r="V169">
        <f>_xlfn.XLOOKUP($A169,Master_Data!$C:$C,Master_Data!$M:$M,"CHECK",0)</f>
        <v>83413</v>
      </c>
      <c r="W169">
        <f>IFERROR(_xlfn.XLOOKUP($A169,Master_Data!$C:$C,Master_Data!$N:$N,"CHECK",0),"")</f>
        <v>42.579159881777016</v>
      </c>
      <c r="X169" t="str">
        <f>IFERROR(_xlfn.XLOOKUP($A169,Master_Data!$C:$C,Master_Data!$O:$O,"CHECK",0),"No Result")</f>
        <v>Safe Seat</v>
      </c>
      <c r="Y169">
        <f>_xlfn.XLOOKUP($A169,Master_Data!$C:$C,Master_Data!$P:$P,"CHECK",0)</f>
        <v>0</v>
      </c>
      <c r="Z169">
        <f t="shared" si="5"/>
        <v>1</v>
      </c>
      <c r="AA169">
        <f>_xlfn.XLOOKUP(B169,Remittance_Data!A:A,Remittance_Data!B:B,"CHECK")</f>
        <v>2418</v>
      </c>
      <c r="AB169">
        <f>_xlfn.XLOOKUP(B169,Remittance_Data!A:A,Remittance_Data!C:C,"CHECK")</f>
        <v>1846</v>
      </c>
      <c r="AC169">
        <f>_xlfn.XLOOKUP(B169,Remittance_Data!A:A,Remittance_Data!D:D,"CHECK")</f>
        <v>572</v>
      </c>
    </row>
    <row r="170" spans="1:29">
      <c r="A170" t="str">
        <v>Madaripur-1</v>
      </c>
      <c r="B170" t="str" cm="1">
        <f t="array" ref="B1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Nawabganj","Chapainawabganj"),Final_Merged_Data!$B$2:$B$1000=$A170)))</f>
        <v>Madaripur</v>
      </c>
      <c r="C170" t="str" cm="1">
        <f t="array" ref="C170">_xlfn.TEXTJOIN(", ",TRUE,_xlfn._xlws.FILTER(Final_Merged_Data!$C$2:$C$1000,Final_Merged_Data!$B$2:$B$1000=$A170))</f>
        <v>Shibchar</v>
      </c>
      <c r="D170" cm="1">
        <f t="array" ref="D170">COUNTA(_xlfn._xlws.FILTER(Final_Merged_Data!$C$2:$C$1000,Final_Merged_Data!$B$2:$B$1000=$A170))</f>
        <v>1</v>
      </c>
      <c r="E170">
        <f>SUMIFS(Final_Merged_Data!$E:$E,Final_Merged_Data!$B:$B,$A170)</f>
        <v>320.24</v>
      </c>
      <c r="F170">
        <f>SUMIFS(Final_Merged_Data!$F:$F,Final_Merged_Data!$B:$B,$A170)</f>
        <v>357416</v>
      </c>
      <c r="G170">
        <f t="shared" si="4"/>
        <v>1116.0879340494628</v>
      </c>
      <c r="H170" cm="1">
        <f t="array" ref="H170">SUMPRODUCT((Final_Merged_Data!$B$2:$B$1000=$A170)*Final_Merged_Data!$H$2:$H$1000*Final_Merged_Data!$F$2:$F$1000)/F170</f>
        <v>4.0199999999999996</v>
      </c>
      <c r="I170" cm="1">
        <f t="array" ref="I170">SUMPRODUCT((Final_Merged_Data!$B$2:$B$1000=$A170)*Final_Merged_Data!$I$2:$I$1000*Final_Merged_Data!$F$2:$F$1000)/F170</f>
        <v>73.31</v>
      </c>
      <c r="J170" t="str" cm="1">
        <f t="array" ref="J170">_xlfn.TEXTJOIN(", ",TRUE,_xlfn.UNIQUE(_xlfn._xlws.FILTER(Final_Merged_Data!$J$2:$J$1000,Final_Merged_Data!$B$2:$B$1000=$A170)))</f>
        <v>Dhaka Range</v>
      </c>
      <c r="K170" cm="1">
        <f t="array" ref="K170">SUMPRODUCT((Final_Merged_Data!$B$2:$B$1000=$A170)*Final_Merged_Data!$K$2:$K$1000*Final_Merged_Data!$F$2:$F$1000)/F170</f>
        <v>87.055167395391194</v>
      </c>
      <c r="L170" cm="1">
        <f t="array" ref="L170">SUMPRODUCT((Final_Merged_Data!$B$2:$B$1000=$A170)*Final_Merged_Data!$L$2:$L$1000*Final_Merged_Data!$F$2:$F$1000)/F170</f>
        <v>14.083489099923572</v>
      </c>
      <c r="M170" t="str">
        <f>IF(COUNTIF(Master_Data!$C:$C,$A170)&gt;0,"Found","Missing")</f>
        <v>Found</v>
      </c>
      <c r="N170" t="str">
        <f>_xlfn.XLOOKUP($A170,Master_Data!$C:$C,Master_Data!$D:$D,"CHECK",0)</f>
        <v>Syed Uddin Ahmad Hanzala</v>
      </c>
      <c r="O170" t="str">
        <f>_xlfn.XLOOKUP($A170,Master_Data!$C:$C,Master_Data!$E:$E,"CHECK",0)</f>
        <v>BKM</v>
      </c>
      <c r="P170">
        <f>_xlfn.XLOOKUP($A170,Master_Data!$C:$C,Master_Data!$F:$F,"CHECK",0)</f>
        <v>0</v>
      </c>
      <c r="Q170">
        <f>_xlfn.XLOOKUP($A170,Master_Data!$C:$C,Master_Data!$G:$G,"CHECK",0)</f>
        <v>64909</v>
      </c>
      <c r="R170">
        <f>IFERROR(_xlfn.XLOOKUP($A170,Master_Data!$C:$C,Master_Data!$H:$H,"CHECK",0),"")</f>
        <v>50.148725595481835</v>
      </c>
      <c r="S170" t="str">
        <f>_xlfn.XLOOKUP($A170,Master_Data!$C:$C,Master_Data!$I:$I,"CHECK",0)</f>
        <v>Nadira Akhter</v>
      </c>
      <c r="T170">
        <f>_xlfn.XLOOKUP($A170,Master_Data!$C:$C,Master_Data!$K:$K,"CHECK",0)</f>
        <v>64524</v>
      </c>
      <c r="U170">
        <f>IFERROR(_xlfn.XLOOKUP($A170,Master_Data!$C:$C,Master_Data!$L:$L,"CHECK",0),"")</f>
        <v>49.851274404518172</v>
      </c>
      <c r="V170">
        <f>_xlfn.XLOOKUP($A170,Master_Data!$C:$C,Master_Data!$M:$M,"CHECK",0)</f>
        <v>385</v>
      </c>
      <c r="W170">
        <f>IFERROR(_xlfn.XLOOKUP($A170,Master_Data!$C:$C,Master_Data!$N:$N,"CHECK",0),"")</f>
        <v>0.29745119096366457</v>
      </c>
      <c r="X170" t="str">
        <f>IFERROR(_xlfn.XLOOKUP($A170,Master_Data!$C:$C,Master_Data!$O:$O,"CHECK",0),"No Result")</f>
        <v>Highly Competitive</v>
      </c>
      <c r="Y170">
        <f>_xlfn.XLOOKUP($A170,Master_Data!$C:$C,Master_Data!$P:$P,"CHECK",0)</f>
        <v>0</v>
      </c>
      <c r="Z170">
        <f t="shared" si="5"/>
        <v>1</v>
      </c>
      <c r="AA170">
        <f>_xlfn.XLOOKUP(B170,Remittance_Data!A:A,Remittance_Data!B:B,"CHECK")</f>
        <v>66343</v>
      </c>
      <c r="AB170">
        <f>_xlfn.XLOOKUP(B170,Remittance_Data!A:A,Remittance_Data!C:C,"CHECK")</f>
        <v>49707</v>
      </c>
      <c r="AC170">
        <f>_xlfn.XLOOKUP(B170,Remittance_Data!A:A,Remittance_Data!D:D,"CHECK")</f>
        <v>16636</v>
      </c>
    </row>
    <row r="171" spans="1:29">
      <c r="A171" t="str">
        <v>Madaripur-2</v>
      </c>
      <c r="B171" t="str" cm="1">
        <f t="array" ref="B1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Nawabganj","Chapainawabganj"),Final_Merged_Data!$B$2:$B$1000=$A171)))</f>
        <v>Madaripur</v>
      </c>
      <c r="C171" t="str" cm="1">
        <f t="array" ref="C171">_xlfn.TEXTJOIN(", ",TRUE,_xlfn._xlws.FILTER(Final_Merged_Data!$C$2:$C$1000,Final_Merged_Data!$B$2:$B$1000=$A171))</f>
        <v>Madaripur Sadar, Rajoir</v>
      </c>
      <c r="D171" cm="1">
        <f t="array" ref="D171">COUNTA(_xlfn._xlws.FILTER(Final_Merged_Data!$C$2:$C$1000,Final_Merged_Data!$B$2:$B$1000=$A171))</f>
        <v>2</v>
      </c>
      <c r="E171">
        <f>SUMIFS(Final_Merged_Data!$E:$E,Final_Merged_Data!$B:$B,$A171)</f>
        <v>475.91999999999996</v>
      </c>
      <c r="F171">
        <f>SUMIFS(Final_Merged_Data!$F:$F,Final_Merged_Data!$B:$B,$A171)</f>
        <v>642050</v>
      </c>
      <c r="G171">
        <f t="shared" si="4"/>
        <v>1349.0712724827704</v>
      </c>
      <c r="H171" cm="1">
        <f t="array" ref="H171">SUMPRODUCT((Final_Merged_Data!$B$2:$B$1000=$A171)*Final_Merged_Data!$H$2:$H$1000*Final_Merged_Data!$F$2:$F$1000)/F171</f>
        <v>4.0858470835604708</v>
      </c>
      <c r="I171" cm="1">
        <f t="array" ref="I171">SUMPRODUCT((Final_Merged_Data!$B$2:$B$1000=$A171)*Final_Merged_Data!$I$2:$I$1000*Final_Merged_Data!$F$2:$F$1000)/F171</f>
        <v>75.764385312670356</v>
      </c>
      <c r="J171" t="str" cm="1">
        <f t="array" ref="J171">_xlfn.TEXTJOIN(", ",TRUE,_xlfn.UNIQUE(_xlfn._xlws.FILTER(Final_Merged_Data!$J$2:$J$1000,Final_Merged_Data!$B$2:$B$1000=$A171)))</f>
        <v>Dhaka Range</v>
      </c>
      <c r="K171" cm="1">
        <f t="array" ref="K171">SUMPRODUCT((Final_Merged_Data!$B$2:$B$1000=$A171)*Final_Merged_Data!$K$2:$K$1000*Final_Merged_Data!$F$2:$F$1000)/F171</f>
        <v>87.055167395391209</v>
      </c>
      <c r="L171" cm="1">
        <f t="array" ref="L171">SUMPRODUCT((Final_Merged_Data!$B$2:$B$1000=$A171)*Final_Merged_Data!$L$2:$L$1000*Final_Merged_Data!$F$2:$F$1000)/F171</f>
        <v>14.08348909992357</v>
      </c>
      <c r="M171" t="str">
        <f>IF(COUNTIF(Master_Data!$C:$C,$A171)&gt;0,"Found","Missing")</f>
        <v>Found</v>
      </c>
      <c r="N171" t="str">
        <f>_xlfn.XLOOKUP($A171,Master_Data!$C:$C,Master_Data!$D:$D,"CHECK",0)</f>
        <v>Md. Jahandar Ali Mia</v>
      </c>
      <c r="O171" t="str">
        <f>_xlfn.XLOOKUP($A171,Master_Data!$C:$C,Master_Data!$E:$E,"CHECK",0)</f>
        <v>BNP</v>
      </c>
      <c r="P171">
        <f>_xlfn.XLOOKUP($A171,Master_Data!$C:$C,Master_Data!$F:$F,"CHECK",0)</f>
        <v>1</v>
      </c>
      <c r="Q171">
        <f>_xlfn.XLOOKUP($A171,Master_Data!$C:$C,Master_Data!$G:$G,"CHECK",0)</f>
        <v>61744</v>
      </c>
      <c r="R171">
        <f>IFERROR(_xlfn.XLOOKUP($A171,Master_Data!$C:$C,Master_Data!$H:$H,"CHECK",0),"")</f>
        <v>57.054148955830719</v>
      </c>
      <c r="S171" t="str">
        <f>_xlfn.XLOOKUP($A171,Master_Data!$C:$C,Master_Data!$I:$I,"CHECK",0)</f>
        <v>Milton Baiddo</v>
      </c>
      <c r="T171">
        <f>_xlfn.XLOOKUP($A171,Master_Data!$C:$C,Master_Data!$K:$K,"CHECK",0)</f>
        <v>46476</v>
      </c>
      <c r="U171">
        <f>IFERROR(_xlfn.XLOOKUP($A171,Master_Data!$C:$C,Master_Data!$L:$L,"CHECK",0),"")</f>
        <v>42.945851044169288</v>
      </c>
      <c r="V171">
        <f>_xlfn.XLOOKUP($A171,Master_Data!$C:$C,Master_Data!$M:$M,"CHECK",0)</f>
        <v>15268</v>
      </c>
      <c r="W171">
        <f>IFERROR(_xlfn.XLOOKUP($A171,Master_Data!$C:$C,Master_Data!$N:$N,"CHECK",0),"")</f>
        <v>14.108297911661429</v>
      </c>
      <c r="X171" t="str">
        <f>IFERROR(_xlfn.XLOOKUP($A171,Master_Data!$C:$C,Master_Data!$O:$O,"CHECK",0),"No Result")</f>
        <v>Safe Seat</v>
      </c>
      <c r="Y171">
        <f>_xlfn.XLOOKUP($A171,Master_Data!$C:$C,Master_Data!$P:$P,"CHECK",0)</f>
        <v>0</v>
      </c>
      <c r="Z171">
        <f t="shared" si="5"/>
        <v>1</v>
      </c>
      <c r="AA171">
        <f>_xlfn.XLOOKUP(B171,Remittance_Data!A:A,Remittance_Data!B:B,"CHECK")</f>
        <v>66343</v>
      </c>
      <c r="AB171">
        <f>_xlfn.XLOOKUP(B171,Remittance_Data!A:A,Remittance_Data!C:C,"CHECK")</f>
        <v>49707</v>
      </c>
      <c r="AC171">
        <f>_xlfn.XLOOKUP(B171,Remittance_Data!A:A,Remittance_Data!D:D,"CHECK")</f>
        <v>16636</v>
      </c>
    </row>
    <row r="172" spans="1:29">
      <c r="A172" t="str">
        <v>Madaripur-3</v>
      </c>
      <c r="B172" t="str" cm="1">
        <f t="array" ref="B1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Nawabganj","Chapainawabganj"),Final_Merged_Data!$B$2:$B$1000=$A172)))</f>
        <v>Madaripur</v>
      </c>
      <c r="C172" t="str" cm="1">
        <f t="array" ref="C172">_xlfn.TEXTJOIN(", ",TRUE,_xlfn._xlws.FILTER(Final_Merged_Data!$C$2:$C$1000,Final_Merged_Data!$B$2:$B$1000=$A172))</f>
        <v>Kalkini, Dasar</v>
      </c>
      <c r="D172" cm="1">
        <f t="array" ref="D172">COUNTA(_xlfn._xlws.FILTER(Final_Merged_Data!$C$2:$C$1000,Final_Merged_Data!$B$2:$B$1000=$A172))</f>
        <v>2</v>
      </c>
      <c r="E172">
        <f>SUMIFS(Final_Merged_Data!$E:$E,Final_Merged_Data!$B:$B,$A172)</f>
        <v>336.43</v>
      </c>
      <c r="F172">
        <f>SUMIFS(Final_Merged_Data!$F:$F,Final_Merged_Data!$B:$B,$A172)</f>
        <v>293497</v>
      </c>
      <c r="G172">
        <f t="shared" si="4"/>
        <v>872.38652914424995</v>
      </c>
      <c r="H172" cm="1">
        <f t="array" ref="H172">SUMPRODUCT((Final_Merged_Data!$B$2:$B$1000=$A172)*Final_Merged_Data!$H$2:$H$1000*Final_Merged_Data!$F$2:$F$1000)/F172</f>
        <v>4.0425612186836668</v>
      </c>
      <c r="I172" cm="1">
        <f t="array" ref="I172">SUMPRODUCT((Final_Merged_Data!$B$2:$B$1000=$A172)*Final_Merged_Data!$I$2:$I$1000*Final_Merged_Data!$F$2:$F$1000)/F172</f>
        <v>75.061171698518223</v>
      </c>
      <c r="J172" t="str" cm="1">
        <f t="array" ref="J172">_xlfn.TEXTJOIN(", ",TRUE,_xlfn.UNIQUE(_xlfn._xlws.FILTER(Final_Merged_Data!$J$2:$J$1000,Final_Merged_Data!$B$2:$B$1000=$A172)))</f>
        <v>Dhaka Range</v>
      </c>
      <c r="K172" cm="1">
        <f t="array" ref="K172">SUMPRODUCT((Final_Merged_Data!$B$2:$B$1000=$A172)*Final_Merged_Data!$K$2:$K$1000*Final_Merged_Data!$F$2:$F$1000)/F172</f>
        <v>87.055167395391194</v>
      </c>
      <c r="L172" cm="1">
        <f t="array" ref="L172">SUMPRODUCT((Final_Merged_Data!$B$2:$B$1000=$A172)*Final_Merged_Data!$L$2:$L$1000*Final_Merged_Data!$F$2:$F$1000)/F172</f>
        <v>14.083489099923574</v>
      </c>
      <c r="M172" t="str">
        <f>IF(COUNTIF(Master_Data!$C:$C,$A172)&gt;0,"Found","Missing")</f>
        <v>Found</v>
      </c>
      <c r="N172" t="str">
        <f>_xlfn.XLOOKUP($A172,Master_Data!$C:$C,Master_Data!$D:$D,"CHECK",0)</f>
        <v>Anishur Rahman</v>
      </c>
      <c r="O172" t="str">
        <f>_xlfn.XLOOKUP($A172,Master_Data!$C:$C,Master_Data!$E:$E,"CHECK",0)</f>
        <v>BNP</v>
      </c>
      <c r="P172">
        <f>_xlfn.XLOOKUP($A172,Master_Data!$C:$C,Master_Data!$F:$F,"CHECK",0)</f>
        <v>1</v>
      </c>
      <c r="Q172">
        <f>_xlfn.XLOOKUP($A172,Master_Data!$C:$C,Master_Data!$G:$G,"CHECK",0)</f>
        <v>96188</v>
      </c>
      <c r="R172">
        <f>IFERROR(_xlfn.XLOOKUP($A172,Master_Data!$C:$C,Master_Data!$H:$H,"CHECK",0),"")</f>
        <v>53.191324640277827</v>
      </c>
      <c r="S172" t="str">
        <f>_xlfn.XLOOKUP($A172,Master_Data!$C:$C,Master_Data!$I:$I,"CHECK",0)</f>
        <v>Md. Rafiqul Islam</v>
      </c>
      <c r="T172">
        <f>_xlfn.XLOOKUP($A172,Master_Data!$C:$C,Master_Data!$K:$K,"CHECK",0)</f>
        <v>84646</v>
      </c>
      <c r="U172">
        <f>IFERROR(_xlfn.XLOOKUP($A172,Master_Data!$C:$C,Master_Data!$L:$L,"CHECK",0),"")</f>
        <v>46.808675359722173</v>
      </c>
      <c r="V172">
        <f>_xlfn.XLOOKUP($A172,Master_Data!$C:$C,Master_Data!$M:$M,"CHECK",0)</f>
        <v>11542</v>
      </c>
      <c r="W172">
        <f>IFERROR(_xlfn.XLOOKUP($A172,Master_Data!$C:$C,Master_Data!$N:$N,"CHECK",0),"")</f>
        <v>6.3826492805556478</v>
      </c>
      <c r="X172" t="str">
        <f>IFERROR(_xlfn.XLOOKUP($A172,Master_Data!$C:$C,Master_Data!$O:$O,"CHECK",0),"No Result")</f>
        <v>Safe Seat</v>
      </c>
      <c r="Y172">
        <f>_xlfn.XLOOKUP($A172,Master_Data!$C:$C,Master_Data!$P:$P,"CHECK",0)</f>
        <v>0</v>
      </c>
      <c r="Z172">
        <f t="shared" si="5"/>
        <v>1</v>
      </c>
      <c r="AA172">
        <f>_xlfn.XLOOKUP(B172,Remittance_Data!A:A,Remittance_Data!B:B,"CHECK")</f>
        <v>66343</v>
      </c>
      <c r="AB172">
        <f>_xlfn.XLOOKUP(B172,Remittance_Data!A:A,Remittance_Data!C:C,"CHECK")</f>
        <v>49707</v>
      </c>
      <c r="AC172">
        <f>_xlfn.XLOOKUP(B172,Remittance_Data!A:A,Remittance_Data!D:D,"CHECK")</f>
        <v>16636</v>
      </c>
    </row>
    <row r="173" spans="1:29">
      <c r="A173" t="str">
        <v>Magura-1</v>
      </c>
      <c r="B173" t="str" cm="1">
        <f t="array" ref="B1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Nawabganj","Chapainawabganj"),Final_Merged_Data!$B$2:$B$1000=$A173)))</f>
        <v>Magura</v>
      </c>
      <c r="C173" t="str" cm="1">
        <f t="array" ref="C173">_xlfn.TEXTJOIN(", ",TRUE,_xlfn._xlws.FILTER(Final_Merged_Data!$C$2:$C$1000,Final_Merged_Data!$B$2:$B$1000=$A173))</f>
        <v>Magura Sadar, Sreepur</v>
      </c>
      <c r="D173" cm="1">
        <f t="array" ref="D173">COUNTA(_xlfn._xlws.FILTER(Final_Merged_Data!$C$2:$C$1000,Final_Merged_Data!$B$2:$B$1000=$A173))</f>
        <v>2</v>
      </c>
      <c r="E173">
        <f>SUMIFS(Final_Merged_Data!$E:$E,Final_Merged_Data!$B:$B,$A173)</f>
        <v>760.04</v>
      </c>
      <c r="F173">
        <f>SUMIFS(Final_Merged_Data!$F:$F,Final_Merged_Data!$B:$B,$A173)</f>
        <v>1281581</v>
      </c>
      <c r="G173">
        <f t="shared" si="4"/>
        <v>1686.2020419977896</v>
      </c>
      <c r="H173" cm="1">
        <f t="array" ref="H173">SUMPRODUCT((Final_Merged_Data!$B$2:$B$1000=$A173)*Final_Merged_Data!$H$2:$H$1000*Final_Merged_Data!$F$2:$F$1000)/F173</f>
        <v>3.5529255037332796</v>
      </c>
      <c r="I173" cm="1">
        <f t="array" ref="I173">SUMPRODUCT((Final_Merged_Data!$B$2:$B$1000=$A173)*Final_Merged_Data!$I$2:$I$1000*Final_Merged_Data!$F$2:$F$1000)/F173</f>
        <v>76.66284843486288</v>
      </c>
      <c r="J173" t="str" cm="1">
        <f t="array" ref="J173">_xlfn.TEXTJOIN(", ",TRUE,_xlfn.UNIQUE(_xlfn._xlws.FILTER(Final_Merged_Data!$J$2:$J$1000,Final_Merged_Data!$B$2:$B$1000=$A173)))</f>
        <v>Khulna Range</v>
      </c>
      <c r="K173" cm="1">
        <f t="array" ref="K173">SUMPRODUCT((Final_Merged_Data!$B$2:$B$1000=$A173)*Final_Merged_Data!$K$2:$K$1000*Final_Merged_Data!$F$2:$F$1000)/F173</f>
        <v>102.32166075410298</v>
      </c>
      <c r="L173" cm="1">
        <f t="array" ref="L173">SUMPRODUCT((Final_Merged_Data!$B$2:$B$1000=$A173)*Final_Merged_Data!$L$2:$L$1000*Final_Merged_Data!$F$2:$F$1000)/F173</f>
        <v>12.212237548443921</v>
      </c>
      <c r="M173" t="str">
        <f>IF(COUNTIF(Master_Data!$C:$C,$A173)&gt;0,"Found","Missing")</f>
        <v>Found</v>
      </c>
      <c r="N173" t="str">
        <f>_xlfn.XLOOKUP($A173,Master_Data!$C:$C,Master_Data!$D:$D,"CHECK",0)</f>
        <v>Md. Monowar Hossain</v>
      </c>
      <c r="O173" t="str">
        <f>_xlfn.XLOOKUP($A173,Master_Data!$C:$C,Master_Data!$E:$E,"CHECK",0)</f>
        <v>BNP</v>
      </c>
      <c r="P173">
        <f>_xlfn.XLOOKUP($A173,Master_Data!$C:$C,Master_Data!$F:$F,"CHECK",0)</f>
        <v>1</v>
      </c>
      <c r="Q173">
        <f>_xlfn.XLOOKUP($A173,Master_Data!$C:$C,Master_Data!$G:$G,"CHECK",0)</f>
        <v>185338</v>
      </c>
      <c r="R173">
        <f>IFERROR(_xlfn.XLOOKUP($A173,Master_Data!$C:$C,Master_Data!$H:$H,"CHECK",0),"")</f>
        <v>67.388529936843028</v>
      </c>
      <c r="S173" t="str">
        <f>_xlfn.XLOOKUP($A173,Master_Data!$C:$C,Master_Data!$I:$I,"CHECK",0)</f>
        <v>Abdul Mateen</v>
      </c>
      <c r="T173">
        <f>_xlfn.XLOOKUP($A173,Master_Data!$C:$C,Master_Data!$K:$K,"CHECK",0)</f>
        <v>89691</v>
      </c>
      <c r="U173">
        <f>IFERROR(_xlfn.XLOOKUP($A173,Master_Data!$C:$C,Master_Data!$L:$L,"CHECK",0),"")</f>
        <v>32.611470063156979</v>
      </c>
      <c r="V173">
        <f>_xlfn.XLOOKUP($A173,Master_Data!$C:$C,Master_Data!$M:$M,"CHECK",0)</f>
        <v>95647</v>
      </c>
      <c r="W173">
        <f>IFERROR(_xlfn.XLOOKUP($A173,Master_Data!$C:$C,Master_Data!$N:$N,"CHECK",0),"")</f>
        <v>34.777059873686049</v>
      </c>
      <c r="X173" t="str">
        <f>IFERROR(_xlfn.XLOOKUP($A173,Master_Data!$C:$C,Master_Data!$O:$O,"CHECK",0),"No Result")</f>
        <v>Safe Seat</v>
      </c>
      <c r="Y173">
        <f>_xlfn.XLOOKUP($A173,Master_Data!$C:$C,Master_Data!$P:$P,"CHECK",0)</f>
        <v>0</v>
      </c>
      <c r="Z173">
        <f t="shared" si="5"/>
        <v>1</v>
      </c>
      <c r="AA173">
        <f>_xlfn.XLOOKUP(B173,Remittance_Data!A:A,Remittance_Data!B:B,"CHECK")</f>
        <v>17913</v>
      </c>
      <c r="AB173">
        <f>_xlfn.XLOOKUP(B173,Remittance_Data!A:A,Remittance_Data!C:C,"CHECK")</f>
        <v>15506</v>
      </c>
      <c r="AC173">
        <f>_xlfn.XLOOKUP(B173,Remittance_Data!A:A,Remittance_Data!D:D,"CHECK")</f>
        <v>2407</v>
      </c>
    </row>
    <row r="174" spans="1:29">
      <c r="A174" t="str">
        <v>Magura-2</v>
      </c>
      <c r="B174" t="str" cm="1">
        <f t="array" ref="B1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Nawabganj","Chapainawabganj"),Final_Merged_Data!$B$2:$B$1000=$A174)))</f>
        <v>Magura</v>
      </c>
      <c r="C174" t="str" cm="1">
        <f t="array" ref="C174">_xlfn.TEXTJOIN(", ",TRUE,_xlfn._xlws.FILTER(Final_Merged_Data!$C$2:$C$1000,Final_Merged_Data!$B$2:$B$1000=$A174))</f>
        <v>Mohammadpur, Shalikha</v>
      </c>
      <c r="D174" cm="1">
        <f t="array" ref="D174">COUNTA(_xlfn._xlws.FILTER(Final_Merged_Data!$C$2:$C$1000,Final_Merged_Data!$B$2:$B$1000=$A174))</f>
        <v>2</v>
      </c>
      <c r="E174">
        <f>SUMIFS(Final_Merged_Data!$E:$E,Final_Merged_Data!$B:$B,$A174)</f>
        <v>414.47</v>
      </c>
      <c r="F174">
        <f>SUMIFS(Final_Merged_Data!$F:$F,Final_Merged_Data!$B:$B,$A174)</f>
        <v>422456</v>
      </c>
      <c r="G174">
        <f t="shared" si="4"/>
        <v>1019.2679807947499</v>
      </c>
      <c r="H174" cm="1">
        <f t="array" ref="H174">SUMPRODUCT((Final_Merged_Data!$B$2:$B$1000=$A174)*Final_Merged_Data!$H$2:$H$1000*Final_Merged_Data!$F$2:$F$1000)/F174</f>
        <v>4.0609269604408507</v>
      </c>
      <c r="I174" cm="1">
        <f t="array" ref="I174">SUMPRODUCT((Final_Merged_Data!$B$2:$B$1000=$A174)*Final_Merged_Data!$I$2:$I$1000*Final_Merged_Data!$F$2:$F$1000)/F174</f>
        <v>72.399073039559141</v>
      </c>
      <c r="J174" t="str" cm="1">
        <f t="array" ref="J174">_xlfn.TEXTJOIN(", ",TRUE,_xlfn.UNIQUE(_xlfn._xlws.FILTER(Final_Merged_Data!$J$2:$J$1000,Final_Merged_Data!$B$2:$B$1000=$A174)))</f>
        <v>Khulna Range</v>
      </c>
      <c r="K174" cm="1">
        <f t="array" ref="K174">SUMPRODUCT((Final_Merged_Data!$B$2:$B$1000=$A174)*Final_Merged_Data!$K$2:$K$1000*Final_Merged_Data!$F$2:$F$1000)/F174</f>
        <v>102.32166075410296</v>
      </c>
      <c r="L174" cm="1">
        <f t="array" ref="L174">SUMPRODUCT((Final_Merged_Data!$B$2:$B$1000=$A174)*Final_Merged_Data!$L$2:$L$1000*Final_Merged_Data!$F$2:$F$1000)/F174</f>
        <v>12.212237548443925</v>
      </c>
      <c r="M174" t="str">
        <f>IF(COUNTIF(Master_Data!$C:$C,$A174)&gt;0,"Found","Missing")</f>
        <v>Found</v>
      </c>
      <c r="N174" t="str">
        <f>_xlfn.XLOOKUP($A174,Master_Data!$C:$C,Master_Data!$D:$D,"CHECK",0)</f>
        <v>Nitai Roy Chowdhury</v>
      </c>
      <c r="O174" t="str">
        <f>_xlfn.XLOOKUP($A174,Master_Data!$C:$C,Master_Data!$E:$E,"CHECK",0)</f>
        <v>BNP</v>
      </c>
      <c r="P174">
        <f>_xlfn.XLOOKUP($A174,Master_Data!$C:$C,Master_Data!$F:$F,"CHECK",0)</f>
        <v>1</v>
      </c>
      <c r="Q174">
        <f>_xlfn.XLOOKUP($A174,Master_Data!$C:$C,Master_Data!$G:$G,"CHECK",0)</f>
        <v>147896</v>
      </c>
      <c r="R174">
        <f>IFERROR(_xlfn.XLOOKUP($A174,Master_Data!$C:$C,Master_Data!$H:$H,"CHECK",0),"")</f>
        <v>55.827929063771641</v>
      </c>
      <c r="S174" t="str">
        <f>_xlfn.XLOOKUP($A174,Master_Data!$C:$C,Master_Data!$I:$I,"CHECK",0)</f>
        <v>Md. Musharhsed Billah</v>
      </c>
      <c r="T174">
        <f>_xlfn.XLOOKUP($A174,Master_Data!$C:$C,Master_Data!$K:$K,"CHECK",0)</f>
        <v>117018</v>
      </c>
      <c r="U174">
        <f>IFERROR(_xlfn.XLOOKUP($A174,Master_Data!$C:$C,Master_Data!$L:$L,"CHECK",0),"")</f>
        <v>44.172070936228366</v>
      </c>
      <c r="V174">
        <f>_xlfn.XLOOKUP($A174,Master_Data!$C:$C,Master_Data!$M:$M,"CHECK",0)</f>
        <v>30878</v>
      </c>
      <c r="W174">
        <f>IFERROR(_xlfn.XLOOKUP($A174,Master_Data!$C:$C,Master_Data!$N:$N,"CHECK",0),"")</f>
        <v>11.655858127543278</v>
      </c>
      <c r="X174" t="str">
        <f>IFERROR(_xlfn.XLOOKUP($A174,Master_Data!$C:$C,Master_Data!$O:$O,"CHECK",0),"No Result")</f>
        <v>Safe Seat</v>
      </c>
      <c r="Y174">
        <f>_xlfn.XLOOKUP($A174,Master_Data!$C:$C,Master_Data!$P:$P,"CHECK",0)</f>
        <v>0</v>
      </c>
      <c r="Z174">
        <f t="shared" si="5"/>
        <v>1</v>
      </c>
      <c r="AA174">
        <f>_xlfn.XLOOKUP(B174,Remittance_Data!A:A,Remittance_Data!B:B,"CHECK")</f>
        <v>17913</v>
      </c>
      <c r="AB174">
        <f>_xlfn.XLOOKUP(B174,Remittance_Data!A:A,Remittance_Data!C:C,"CHECK")</f>
        <v>15506</v>
      </c>
      <c r="AC174">
        <f>_xlfn.XLOOKUP(B174,Remittance_Data!A:A,Remittance_Data!D:D,"CHECK")</f>
        <v>2407</v>
      </c>
    </row>
    <row r="175" spans="1:29">
      <c r="A175" t="str">
        <v>Manikganj-1</v>
      </c>
      <c r="B175" t="str" cm="1">
        <f t="array" ref="B1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Nawabganj","Chapainawabganj"),Final_Merged_Data!$B$2:$B$1000=$A175)))</f>
        <v>Manikganj</v>
      </c>
      <c r="C175" t="str" cm="1">
        <f t="array" ref="C175">_xlfn.TEXTJOIN(", ",TRUE,_xlfn._xlws.FILTER(Final_Merged_Data!$C$2:$C$1000,Final_Merged_Data!$B$2:$B$1000=$A175))</f>
        <v>Ghior, Daulatpur, Shibalay</v>
      </c>
      <c r="D175" cm="1">
        <f t="array" ref="D175">COUNTA(_xlfn._xlws.FILTER(Final_Merged_Data!$C$2:$C$1000,Final_Merged_Data!$B$2:$B$1000=$A175))</f>
        <v>3</v>
      </c>
      <c r="E175">
        <f>SUMIFS(Final_Merged_Data!$E:$E,Final_Merged_Data!$B:$B,$A175)</f>
        <v>504.90999999999997</v>
      </c>
      <c r="F175">
        <f>SUMIFS(Final_Merged_Data!$F:$F,Final_Merged_Data!$B:$B,$A175)</f>
        <v>517345</v>
      </c>
      <c r="G175">
        <f t="shared" si="4"/>
        <v>1024.6281515517617</v>
      </c>
      <c r="H175" cm="1">
        <f t="array" ref="H175">SUMPRODUCT((Final_Merged_Data!$B$2:$B$1000=$A175)*Final_Merged_Data!$H$2:$H$1000*Final_Merged_Data!$F$2:$F$1000)/F175</f>
        <v>3.9815481351902502</v>
      </c>
      <c r="I175" cm="1">
        <f t="array" ref="I175">SUMPRODUCT((Final_Merged_Data!$B$2:$B$1000=$A175)*Final_Merged_Data!$I$2:$I$1000*Final_Merged_Data!$F$2:$F$1000)/F175</f>
        <v>67.921536131594976</v>
      </c>
      <c r="J175" t="str" cm="1">
        <f t="array" ref="J175">_xlfn.TEXTJOIN(", ",TRUE,_xlfn.UNIQUE(_xlfn._xlws.FILTER(Final_Merged_Data!$J$2:$J$1000,Final_Merged_Data!$B$2:$B$1000=$A175)))</f>
        <v>Dhaka Range</v>
      </c>
      <c r="K175" cm="1">
        <f t="array" ref="K175">SUMPRODUCT((Final_Merged_Data!$B$2:$B$1000=$A175)*Final_Merged_Data!$K$2:$K$1000*Final_Merged_Data!$F$2:$F$1000)/F175</f>
        <v>87.055167395391194</v>
      </c>
      <c r="L175" cm="1">
        <f t="array" ref="L175">SUMPRODUCT((Final_Merged_Data!$B$2:$B$1000=$A175)*Final_Merged_Data!$L$2:$L$1000*Final_Merged_Data!$F$2:$F$1000)/F175</f>
        <v>14.083489099923572</v>
      </c>
      <c r="M175" t="str">
        <f>IF(COUNTIF(Master_Data!$C:$C,$A175)&gt;0,"Found","Missing")</f>
        <v>Found</v>
      </c>
      <c r="N175" t="str">
        <f>_xlfn.XLOOKUP($A175,Master_Data!$C:$C,Master_Data!$D:$D,"CHECK",0)</f>
        <v>SA Jinnah Kabir</v>
      </c>
      <c r="O175" t="str">
        <f>_xlfn.XLOOKUP($A175,Master_Data!$C:$C,Master_Data!$E:$E,"CHECK",0)</f>
        <v>BNP</v>
      </c>
      <c r="P175">
        <f>_xlfn.XLOOKUP($A175,Master_Data!$C:$C,Master_Data!$F:$F,"CHECK",0)</f>
        <v>1</v>
      </c>
      <c r="Q175">
        <f>_xlfn.XLOOKUP($A175,Master_Data!$C:$C,Master_Data!$G:$G,"CHECK",0)</f>
        <v>137773</v>
      </c>
      <c r="R175">
        <f>IFERROR(_xlfn.XLOOKUP($A175,Master_Data!$C:$C,Master_Data!$H:$H,"CHECK",0),"")</f>
        <v>63.904801220830187</v>
      </c>
      <c r="S175" t="str">
        <f>_xlfn.XLOOKUP($A175,Master_Data!$C:$C,Master_Data!$I:$I,"CHECK",0)</f>
        <v>Md. Tozammel Haque</v>
      </c>
      <c r="T175">
        <f>_xlfn.XLOOKUP($A175,Master_Data!$C:$C,Master_Data!$K:$K,"CHECK",0)</f>
        <v>77818</v>
      </c>
      <c r="U175">
        <f>IFERROR(_xlfn.XLOOKUP($A175,Master_Data!$C:$C,Master_Data!$L:$L,"CHECK",0),"")</f>
        <v>36.09519877916982</v>
      </c>
      <c r="V175">
        <f>_xlfn.XLOOKUP($A175,Master_Data!$C:$C,Master_Data!$M:$M,"CHECK",0)</f>
        <v>59955</v>
      </c>
      <c r="W175">
        <f>IFERROR(_xlfn.XLOOKUP($A175,Master_Data!$C:$C,Master_Data!$N:$N,"CHECK",0),"")</f>
        <v>27.809602441660363</v>
      </c>
      <c r="X175" t="str">
        <f>IFERROR(_xlfn.XLOOKUP($A175,Master_Data!$C:$C,Master_Data!$O:$O,"CHECK",0),"No Result")</f>
        <v>Safe Seat</v>
      </c>
      <c r="Y175">
        <f>_xlfn.XLOOKUP($A175,Master_Data!$C:$C,Master_Data!$P:$P,"CHECK",0)</f>
        <v>0</v>
      </c>
      <c r="Z175">
        <f t="shared" si="5"/>
        <v>1</v>
      </c>
      <c r="AA175">
        <f>_xlfn.XLOOKUP(B175,Remittance_Data!A:A,Remittance_Data!B:B,"CHECK")</f>
        <v>63218</v>
      </c>
      <c r="AB175">
        <f>_xlfn.XLOOKUP(B175,Remittance_Data!A:A,Remittance_Data!C:C,"CHECK")</f>
        <v>55717</v>
      </c>
      <c r="AC175">
        <f>_xlfn.XLOOKUP(B175,Remittance_Data!A:A,Remittance_Data!D:D,"CHECK")</f>
        <v>7501</v>
      </c>
    </row>
    <row r="176" spans="1:29">
      <c r="A176" t="str">
        <v>Manikganj-2</v>
      </c>
      <c r="B176" t="str" cm="1">
        <f t="array" ref="B1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Nawabganj","Chapainawabganj"),Final_Merged_Data!$B$2:$B$1000=$A176)))</f>
        <v>Manikganj</v>
      </c>
      <c r="C176" t="str" cm="1">
        <f t="array" ref="C176">_xlfn.TEXTJOIN(", ",TRUE,_xlfn._xlws.FILTER(Final_Merged_Data!$C$2:$C$1000,Final_Merged_Data!$B$2:$B$1000=$A176))</f>
        <v>Singair, Harirampur</v>
      </c>
      <c r="D176" cm="1">
        <f t="array" ref="D176">COUNTA(_xlfn._xlws.FILTER(Final_Merged_Data!$C$2:$C$1000,Final_Merged_Data!$B$2:$B$1000=$A176))</f>
        <v>2</v>
      </c>
      <c r="E176">
        <f>SUMIFS(Final_Merged_Data!$E:$E,Final_Merged_Data!$B:$B,$A176)</f>
        <v>592.62</v>
      </c>
      <c r="F176">
        <f>SUMIFS(Final_Merged_Data!$F:$F,Final_Merged_Data!$B:$B,$A176)</f>
        <v>483571</v>
      </c>
      <c r="G176">
        <f t="shared" si="4"/>
        <v>815.98832304005941</v>
      </c>
      <c r="H176" cm="1">
        <f t="array" ref="H176">SUMPRODUCT((Final_Merged_Data!$B$2:$B$1000=$A176)*Final_Merged_Data!$H$2:$H$1000*Final_Merged_Data!$F$2:$F$1000)/F176</f>
        <v>3.8728599109541304</v>
      </c>
      <c r="I176" cm="1">
        <f t="array" ref="I176">SUMPRODUCT((Final_Merged_Data!$B$2:$B$1000=$A176)*Final_Merged_Data!$I$2:$I$1000*Final_Merged_Data!$F$2:$F$1000)/F176</f>
        <v>70.981633410605681</v>
      </c>
      <c r="J176" t="str" cm="1">
        <f t="array" ref="J176">_xlfn.TEXTJOIN(", ",TRUE,_xlfn.UNIQUE(_xlfn._xlws.FILTER(Final_Merged_Data!$J$2:$J$1000,Final_Merged_Data!$B$2:$B$1000=$A176)))</f>
        <v>Dhaka Range</v>
      </c>
      <c r="K176" cm="1">
        <f t="array" ref="K176">SUMPRODUCT((Final_Merged_Data!$B$2:$B$1000=$A176)*Final_Merged_Data!$K$2:$K$1000*Final_Merged_Data!$F$2:$F$1000)/F176</f>
        <v>87.055167395391209</v>
      </c>
      <c r="L176" cm="1">
        <f t="array" ref="L176">SUMPRODUCT((Final_Merged_Data!$B$2:$B$1000=$A176)*Final_Merged_Data!$L$2:$L$1000*Final_Merged_Data!$F$2:$F$1000)/F176</f>
        <v>14.083489099923572</v>
      </c>
      <c r="M176" t="str">
        <f>IF(COUNTIF(Master_Data!$C:$C,$A176)&gt;0,"Found","Missing")</f>
        <v>Found</v>
      </c>
      <c r="N176" t="str">
        <f>_xlfn.XLOOKUP($A176,Master_Data!$C:$C,Master_Data!$D:$D,"CHECK",0)</f>
        <v>Moinul Islam Khan</v>
      </c>
      <c r="O176" t="str">
        <f>_xlfn.XLOOKUP($A176,Master_Data!$C:$C,Master_Data!$E:$E,"CHECK",0)</f>
        <v>BNP</v>
      </c>
      <c r="P176">
        <f>_xlfn.XLOOKUP($A176,Master_Data!$C:$C,Master_Data!$F:$F,"CHECK",0)</f>
        <v>1</v>
      </c>
      <c r="Q176">
        <f>_xlfn.XLOOKUP($A176,Master_Data!$C:$C,Master_Data!$G:$G,"CHECK",0)</f>
        <v>175776</v>
      </c>
      <c r="R176">
        <f>IFERROR(_xlfn.XLOOKUP($A176,Master_Data!$C:$C,Master_Data!$H:$H,"CHECK",0),"")</f>
        <v>68.313726404645038</v>
      </c>
      <c r="S176" t="str">
        <f>_xlfn.XLOOKUP($A176,Master_Data!$C:$C,Master_Data!$I:$I,"CHECK",0)</f>
        <v>Md. Salah Uddin</v>
      </c>
      <c r="T176">
        <f>_xlfn.XLOOKUP($A176,Master_Data!$C:$C,Master_Data!$K:$K,"CHECK",0)</f>
        <v>81531</v>
      </c>
      <c r="U176">
        <f>IFERROR(_xlfn.XLOOKUP($A176,Master_Data!$C:$C,Master_Data!$L:$L,"CHECK",0),"")</f>
        <v>31.686273595354962</v>
      </c>
      <c r="V176">
        <f>_xlfn.XLOOKUP($A176,Master_Data!$C:$C,Master_Data!$M:$M,"CHECK",0)</f>
        <v>94245</v>
      </c>
      <c r="W176">
        <f>IFERROR(_xlfn.XLOOKUP($A176,Master_Data!$C:$C,Master_Data!$N:$N,"CHECK",0),"")</f>
        <v>36.62745280929007</v>
      </c>
      <c r="X176" t="str">
        <f>IFERROR(_xlfn.XLOOKUP($A176,Master_Data!$C:$C,Master_Data!$O:$O,"CHECK",0),"No Result")</f>
        <v>Safe Seat</v>
      </c>
      <c r="Y176">
        <f>_xlfn.XLOOKUP($A176,Master_Data!$C:$C,Master_Data!$P:$P,"CHECK",0)</f>
        <v>0</v>
      </c>
      <c r="Z176">
        <f t="shared" si="5"/>
        <v>1</v>
      </c>
      <c r="AA176">
        <f>_xlfn.XLOOKUP(B176,Remittance_Data!A:A,Remittance_Data!B:B,"CHECK")</f>
        <v>63218</v>
      </c>
      <c r="AB176">
        <f>_xlfn.XLOOKUP(B176,Remittance_Data!A:A,Remittance_Data!C:C,"CHECK")</f>
        <v>55717</v>
      </c>
      <c r="AC176">
        <f>_xlfn.XLOOKUP(B176,Remittance_Data!A:A,Remittance_Data!D:D,"CHECK")</f>
        <v>7501</v>
      </c>
    </row>
    <row r="177" spans="1:29">
      <c r="A177" t="str">
        <v>Manikganj-3</v>
      </c>
      <c r="B177" t="str" cm="1">
        <f t="array" ref="B1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Nawabganj","Chapainawabganj"),Final_Merged_Data!$B$2:$B$1000=$A177)))</f>
        <v>Manikganj</v>
      </c>
      <c r="C177" t="str" cm="1">
        <f t="array" ref="C177">_xlfn.TEXTJOIN(", ",TRUE,_xlfn._xlws.FILTER(Final_Merged_Data!$C$2:$C$1000,Final_Merged_Data!$B$2:$B$1000=$A177))</f>
        <v>Manikganj Sadar, Saturia</v>
      </c>
      <c r="D177" cm="1">
        <f t="array" ref="D177">COUNTA(_xlfn._xlws.FILTER(Final_Merged_Data!$C$2:$C$1000,Final_Merged_Data!$B$2:$B$1000=$A177))</f>
        <v>2</v>
      </c>
      <c r="E177">
        <f>SUMIFS(Final_Merged_Data!$E:$E,Final_Merged_Data!$B:$B,$A177)</f>
        <v>604.26</v>
      </c>
      <c r="F177">
        <f>SUMIFS(Final_Merged_Data!$F:$F,Final_Merged_Data!$B:$B,$A177)</f>
        <v>557011</v>
      </c>
      <c r="G177">
        <f t="shared" si="4"/>
        <v>921.80683811604274</v>
      </c>
      <c r="H177" cm="1">
        <f t="array" ref="H177">SUMPRODUCT((Final_Merged_Data!$B$2:$B$1000=$A177)*Final_Merged_Data!$H$2:$H$1000*Final_Merged_Data!$F$2:$F$1000)/F177</f>
        <v>3.8861255881840751</v>
      </c>
      <c r="I177" cm="1">
        <f t="array" ref="I177">SUMPRODUCT((Final_Merged_Data!$B$2:$B$1000=$A177)*Final_Merged_Data!$I$2:$I$1000*Final_Merged_Data!$F$2:$F$1000)/F177</f>
        <v>74.269214180689431</v>
      </c>
      <c r="J177" t="str" cm="1">
        <f t="array" ref="J177">_xlfn.TEXTJOIN(", ",TRUE,_xlfn.UNIQUE(_xlfn._xlws.FILTER(Final_Merged_Data!$J$2:$J$1000,Final_Merged_Data!$B$2:$B$1000=$A177)))</f>
        <v>Dhaka Range</v>
      </c>
      <c r="K177" cm="1">
        <f t="array" ref="K177">SUMPRODUCT((Final_Merged_Data!$B$2:$B$1000=$A177)*Final_Merged_Data!$K$2:$K$1000*Final_Merged_Data!$F$2:$F$1000)/F177</f>
        <v>87.055167395391194</v>
      </c>
      <c r="L177" cm="1">
        <f t="array" ref="L177">SUMPRODUCT((Final_Merged_Data!$B$2:$B$1000=$A177)*Final_Merged_Data!$L$2:$L$1000*Final_Merged_Data!$F$2:$F$1000)/F177</f>
        <v>14.083489099923572</v>
      </c>
      <c r="M177" t="str">
        <f>IF(COUNTIF(Master_Data!$C:$C,$A177)&gt;0,"Found","Missing")</f>
        <v>Found</v>
      </c>
      <c r="N177" t="str">
        <f>_xlfn.XLOOKUP($A177,Master_Data!$C:$C,Master_Data!$D:$D,"CHECK",0)</f>
        <v>Afroza Khanam Rita</v>
      </c>
      <c r="O177" t="str">
        <f>_xlfn.XLOOKUP($A177,Master_Data!$C:$C,Master_Data!$E:$E,"CHECK",0)</f>
        <v>BNP</v>
      </c>
      <c r="P177">
        <f>_xlfn.XLOOKUP($A177,Master_Data!$C:$C,Master_Data!$F:$F,"CHECK",0)</f>
        <v>1</v>
      </c>
      <c r="Q177">
        <f>_xlfn.XLOOKUP($A177,Master_Data!$C:$C,Master_Data!$G:$G,"CHECK",0)</f>
        <v>167345</v>
      </c>
      <c r="R177">
        <f>IFERROR(_xlfn.XLOOKUP($A177,Master_Data!$C:$C,Master_Data!$H:$H,"CHECK",0),"")</f>
        <v>72.260100955580413</v>
      </c>
      <c r="S177" t="str">
        <f>_xlfn.XLOOKUP($A177,Master_Data!$C:$C,Master_Data!$I:$I,"CHECK",0)</f>
        <v>Muhammad Said Noor</v>
      </c>
      <c r="T177">
        <f>_xlfn.XLOOKUP($A177,Master_Data!$C:$C,Master_Data!$K:$K,"CHECK",0)</f>
        <v>64242</v>
      </c>
      <c r="U177">
        <f>IFERROR(_xlfn.XLOOKUP($A177,Master_Data!$C:$C,Master_Data!$L:$L,"CHECK",0),"")</f>
        <v>27.739899044419591</v>
      </c>
      <c r="V177">
        <f>_xlfn.XLOOKUP($A177,Master_Data!$C:$C,Master_Data!$M:$M,"CHECK",0)</f>
        <v>103103</v>
      </c>
      <c r="W177">
        <f>IFERROR(_xlfn.XLOOKUP($A177,Master_Data!$C:$C,Master_Data!$N:$N,"CHECK",0),"")</f>
        <v>44.520201911160818</v>
      </c>
      <c r="X177" t="str">
        <f>IFERROR(_xlfn.XLOOKUP($A177,Master_Data!$C:$C,Master_Data!$O:$O,"CHECK",0),"No Result")</f>
        <v>Safe Seat</v>
      </c>
      <c r="Y177">
        <f>_xlfn.XLOOKUP($A177,Master_Data!$C:$C,Master_Data!$P:$P,"CHECK",0)</f>
        <v>0</v>
      </c>
      <c r="Z177">
        <f t="shared" si="5"/>
        <v>1</v>
      </c>
      <c r="AA177">
        <f>_xlfn.XLOOKUP(B177,Remittance_Data!A:A,Remittance_Data!B:B,"CHECK")</f>
        <v>63218</v>
      </c>
      <c r="AB177">
        <f>_xlfn.XLOOKUP(B177,Remittance_Data!A:A,Remittance_Data!C:C,"CHECK")</f>
        <v>55717</v>
      </c>
      <c r="AC177">
        <f>_xlfn.XLOOKUP(B177,Remittance_Data!A:A,Remittance_Data!D:D,"CHECK")</f>
        <v>7501</v>
      </c>
    </row>
    <row r="178" spans="1:29">
      <c r="A178" t="str">
        <v>Meherpur-1</v>
      </c>
      <c r="B178" t="str" cm="1">
        <f t="array" ref="B1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Nawabganj","Chapainawabganj"),Final_Merged_Data!$B$2:$B$1000=$A178)))</f>
        <v>Meherpur</v>
      </c>
      <c r="C178" t="str" cm="1">
        <f t="array" ref="C178">_xlfn.TEXTJOIN(", ",TRUE,_xlfn._xlws.FILTER(Final_Merged_Data!$C$2:$C$1000,Final_Merged_Data!$B$2:$B$1000=$A178))</f>
        <v>Meherpur Sadar, Gangni</v>
      </c>
      <c r="D178" cm="1">
        <f t="array" ref="D178">COUNTA(_xlfn._xlws.FILTER(Final_Merged_Data!$C$2:$C$1000,Final_Merged_Data!$B$2:$B$1000=$A178))</f>
        <v>2</v>
      </c>
      <c r="E178">
        <f>SUMIFS(Final_Merged_Data!$E:$E,Final_Merged_Data!$B:$B,$A178)</f>
        <v>498.18999999999994</v>
      </c>
      <c r="F178">
        <f>SUMIFS(Final_Merged_Data!$F:$F,Final_Merged_Data!$B:$B,$A178)</f>
        <v>599584</v>
      </c>
      <c r="G178">
        <f t="shared" si="4"/>
        <v>1203.5247596298602</v>
      </c>
      <c r="H178" cm="1">
        <f t="array" ref="H178">SUMPRODUCT((Final_Merged_Data!$B$2:$B$1000=$A178)*Final_Merged_Data!$H$2:$H$1000*Final_Merged_Data!$F$2:$F$1000)/F178</f>
        <v>3.5615982414474034</v>
      </c>
      <c r="I178" cm="1">
        <f t="array" ref="I178">SUMPRODUCT((Final_Merged_Data!$B$2:$B$1000=$A178)*Final_Merged_Data!$I$2:$I$1000*Final_Merged_Data!$F$2:$F$1000)/F178</f>
        <v>67.847558674013982</v>
      </c>
      <c r="J178" t="str" cm="1">
        <f t="array" ref="J178">_xlfn.TEXTJOIN(", ",TRUE,_xlfn.UNIQUE(_xlfn._xlws.FILTER(Final_Merged_Data!$J$2:$J$1000,Final_Merged_Data!$B$2:$B$1000=$A178)))</f>
        <v>Khulna Range</v>
      </c>
      <c r="K178" cm="1">
        <f t="array" ref="K178">SUMPRODUCT((Final_Merged_Data!$B$2:$B$1000=$A178)*Final_Merged_Data!$K$2:$K$1000*Final_Merged_Data!$F$2:$F$1000)/F178</f>
        <v>102.32166075410298</v>
      </c>
      <c r="L178" cm="1">
        <f t="array" ref="L178">SUMPRODUCT((Final_Merged_Data!$B$2:$B$1000=$A178)*Final_Merged_Data!$L$2:$L$1000*Final_Merged_Data!$F$2:$F$1000)/F178</f>
        <v>12.212237548443921</v>
      </c>
      <c r="M178" t="str">
        <f>IF(COUNTIF(Master_Data!$C:$C,$A178)&gt;0,"Found","Missing")</f>
        <v>Found</v>
      </c>
      <c r="N178" t="str">
        <f>_xlfn.XLOOKUP($A178,Master_Data!$C:$C,Master_Data!$D:$D,"CHECK",0)</f>
        <v>Md. Tajuddin Khan</v>
      </c>
      <c r="O178" t="str">
        <f>_xlfn.XLOOKUP($A178,Master_Data!$C:$C,Master_Data!$E:$E,"CHECK",0)</f>
        <v>Jamaat</v>
      </c>
      <c r="P178">
        <f>_xlfn.XLOOKUP($A178,Master_Data!$C:$C,Master_Data!$F:$F,"CHECK",0)</f>
        <v>2</v>
      </c>
      <c r="Q178">
        <f>_xlfn.XLOOKUP($A178,Master_Data!$C:$C,Master_Data!$G:$G,"CHECK",0)</f>
        <v>123271</v>
      </c>
      <c r="R178">
        <f>IFERROR(_xlfn.XLOOKUP($A178,Master_Data!$C:$C,Master_Data!$H:$H,"CHECK",0),"")</f>
        <v>53.897915282101508</v>
      </c>
      <c r="S178" t="str">
        <f>_xlfn.XLOOKUP($A178,Master_Data!$C:$C,Master_Data!$I:$I,"CHECK",0)</f>
        <v>Masood Arun</v>
      </c>
      <c r="T178">
        <f>_xlfn.XLOOKUP($A178,Master_Data!$C:$C,Master_Data!$K:$K,"CHECK",0)</f>
        <v>105441</v>
      </c>
      <c r="U178">
        <f>IFERROR(_xlfn.XLOOKUP($A178,Master_Data!$C:$C,Master_Data!$L:$L,"CHECK",0),"")</f>
        <v>46.102084717898492</v>
      </c>
      <c r="V178">
        <f>_xlfn.XLOOKUP($A178,Master_Data!$C:$C,Master_Data!$M:$M,"CHECK",0)</f>
        <v>17830</v>
      </c>
      <c r="W178">
        <f>IFERROR(_xlfn.XLOOKUP($A178,Master_Data!$C:$C,Master_Data!$N:$N,"CHECK",0),"")</f>
        <v>7.7958305642030155</v>
      </c>
      <c r="X178" t="str">
        <f>IFERROR(_xlfn.XLOOKUP($A178,Master_Data!$C:$C,Master_Data!$O:$O,"CHECK",0),"No Result")</f>
        <v>Safe Seat</v>
      </c>
      <c r="Y178">
        <f>_xlfn.XLOOKUP($A178,Master_Data!$C:$C,Master_Data!$P:$P,"CHECK",0)</f>
        <v>0</v>
      </c>
      <c r="Z178">
        <f t="shared" si="5"/>
        <v>1</v>
      </c>
      <c r="AA178">
        <f>_xlfn.XLOOKUP(B178,Remittance_Data!A:A,Remittance_Data!B:B,"CHECK")</f>
        <v>25380</v>
      </c>
      <c r="AB178">
        <f>_xlfn.XLOOKUP(B178,Remittance_Data!A:A,Remittance_Data!C:C,"CHECK")</f>
        <v>21008</v>
      </c>
      <c r="AC178">
        <f>_xlfn.XLOOKUP(B178,Remittance_Data!A:A,Remittance_Data!D:D,"CHECK")</f>
        <v>4372</v>
      </c>
    </row>
    <row r="179" spans="1:29">
      <c r="A179" t="str">
        <v>Meherpur-2</v>
      </c>
      <c r="B179" t="str" cm="1">
        <f t="array" ref="B1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Nawabganj","Chapainawabganj"),Final_Merged_Data!$B$2:$B$1000=$A179)))</f>
        <v>Meherpur</v>
      </c>
      <c r="C179" t="str" cm="1">
        <f t="array" ref="C179">_xlfn.TEXTJOIN(", ",TRUE,_xlfn._xlws.FILTER(Final_Merged_Data!$C$2:$C$1000,Final_Merged_Data!$B$2:$B$1000=$A179))</f>
        <v>Mujibnagar</v>
      </c>
      <c r="D179" cm="1">
        <f t="array" ref="D179">COUNTA(_xlfn._xlws.FILTER(Final_Merged_Data!$C$2:$C$1000,Final_Merged_Data!$B$2:$B$1000=$A179))</f>
        <v>1</v>
      </c>
      <c r="E179">
        <f>SUMIFS(Final_Merged_Data!$E:$E,Final_Merged_Data!$B:$B,$A179)</f>
        <v>347.67</v>
      </c>
      <c r="F179">
        <f>SUMIFS(Final_Merged_Data!$F:$F,Final_Merged_Data!$B:$B,$A179)</f>
        <v>105746</v>
      </c>
      <c r="G179">
        <f t="shared" si="4"/>
        <v>304.1562401127506</v>
      </c>
      <c r="H179" cm="1">
        <f t="array" ref="H179">SUMPRODUCT((Final_Merged_Data!$B$2:$B$1000=$A179)*Final_Merged_Data!$H$2:$H$1000*Final_Merged_Data!$F$2:$F$1000)/F179</f>
        <v>3.7800000000000002</v>
      </c>
      <c r="I179" cm="1">
        <f t="array" ref="I179">SUMPRODUCT((Final_Merged_Data!$B$2:$B$1000=$A179)*Final_Merged_Data!$I$2:$I$1000*Final_Merged_Data!$F$2:$F$1000)/F179</f>
        <v>69.75</v>
      </c>
      <c r="J179" t="str" cm="1">
        <f t="array" ref="J179">_xlfn.TEXTJOIN(", ",TRUE,_xlfn.UNIQUE(_xlfn._xlws.FILTER(Final_Merged_Data!$J$2:$J$1000,Final_Merged_Data!$B$2:$B$1000=$A179)))</f>
        <v>Khulna Range</v>
      </c>
      <c r="K179" cm="1">
        <f t="array" ref="K179">SUMPRODUCT((Final_Merged_Data!$B$2:$B$1000=$A179)*Final_Merged_Data!$K$2:$K$1000*Final_Merged_Data!$F$2:$F$1000)/F179</f>
        <v>102.32166075410299</v>
      </c>
      <c r="L179" cm="1">
        <f t="array" ref="L179">SUMPRODUCT((Final_Merged_Data!$B$2:$B$1000=$A179)*Final_Merged_Data!$L$2:$L$1000*Final_Merged_Data!$F$2:$F$1000)/F179</f>
        <v>12.212237548443923</v>
      </c>
      <c r="M179" t="str">
        <f>IF(COUNTIF(Master_Data!$C:$C,$A179)&gt;0,"Found","Missing")</f>
        <v>Found</v>
      </c>
      <c r="N179" t="str">
        <f>_xlfn.XLOOKUP($A179,Master_Data!$C:$C,Master_Data!$D:$D,"CHECK",0)</f>
        <v>Md. Nazmul Huda</v>
      </c>
      <c r="O179" t="str">
        <f>_xlfn.XLOOKUP($A179,Master_Data!$C:$C,Master_Data!$E:$E,"CHECK",0)</f>
        <v>Jamaat</v>
      </c>
      <c r="P179">
        <f>_xlfn.XLOOKUP($A179,Master_Data!$C:$C,Master_Data!$F:$F,"CHECK",0)</f>
        <v>2</v>
      </c>
      <c r="Q179">
        <f>_xlfn.XLOOKUP($A179,Master_Data!$C:$C,Master_Data!$G:$G,"CHECK",0)</f>
        <v>96306</v>
      </c>
      <c r="R179">
        <f>IFERROR(_xlfn.XLOOKUP($A179,Master_Data!$C:$C,Master_Data!$H:$H,"CHECK",0),"")</f>
        <v>52.83004377543967</v>
      </c>
      <c r="S179" t="str">
        <f>_xlfn.XLOOKUP($A179,Master_Data!$C:$C,Master_Data!$I:$I,"CHECK",0)</f>
        <v>Md. Amjad Hossain</v>
      </c>
      <c r="T179">
        <f>_xlfn.XLOOKUP($A179,Master_Data!$C:$C,Master_Data!$K:$K,"CHECK",0)</f>
        <v>85988</v>
      </c>
      <c r="U179">
        <f>IFERROR(_xlfn.XLOOKUP($A179,Master_Data!$C:$C,Master_Data!$L:$L,"CHECK",0),"")</f>
        <v>47.16995622456033</v>
      </c>
      <c r="V179">
        <f>_xlfn.XLOOKUP($A179,Master_Data!$C:$C,Master_Data!$M:$M,"CHECK",0)</f>
        <v>10318</v>
      </c>
      <c r="W179">
        <f>IFERROR(_xlfn.XLOOKUP($A179,Master_Data!$C:$C,Master_Data!$N:$N,"CHECK",0),"")</f>
        <v>5.6600875508793491</v>
      </c>
      <c r="X179" t="str">
        <f>IFERROR(_xlfn.XLOOKUP($A179,Master_Data!$C:$C,Master_Data!$O:$O,"CHECK",0),"No Result")</f>
        <v>Safe Seat</v>
      </c>
      <c r="Y179">
        <f>_xlfn.XLOOKUP($A179,Master_Data!$C:$C,Master_Data!$P:$P,"CHECK",0)</f>
        <v>0</v>
      </c>
      <c r="Z179">
        <f t="shared" si="5"/>
        <v>1</v>
      </c>
      <c r="AA179">
        <f>_xlfn.XLOOKUP(B179,Remittance_Data!A:A,Remittance_Data!B:B,"CHECK")</f>
        <v>25380</v>
      </c>
      <c r="AB179">
        <f>_xlfn.XLOOKUP(B179,Remittance_Data!A:A,Remittance_Data!C:C,"CHECK")</f>
        <v>21008</v>
      </c>
      <c r="AC179">
        <f>_xlfn.XLOOKUP(B179,Remittance_Data!A:A,Remittance_Data!D:D,"CHECK")</f>
        <v>4372</v>
      </c>
    </row>
    <row r="180" spans="1:29">
      <c r="A180" t="str">
        <v>Moulvibazar-1</v>
      </c>
      <c r="B180" t="str" cm="1">
        <f t="array" ref="B1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Nawabganj","Chapainawabganj"),Final_Merged_Data!$B$2:$B$1000=$A180)))</f>
        <v>Moulvibazar</v>
      </c>
      <c r="C180" t="str" cm="1">
        <f t="array" ref="C180">_xlfn.TEXTJOIN(", ",TRUE,_xlfn._xlws.FILTER(Final_Merged_Data!$C$2:$C$1000,Final_Merged_Data!$B$2:$B$1000=$A180))</f>
        <v>Baralekha, Juri</v>
      </c>
      <c r="D180" cm="1">
        <f t="array" ref="D180">COUNTA(_xlfn._xlws.FILTER(Final_Merged_Data!$C$2:$C$1000,Final_Merged_Data!$B$2:$B$1000=$A180))</f>
        <v>2</v>
      </c>
      <c r="E180">
        <f>SUMIFS(Final_Merged_Data!$E:$E,Final_Merged_Data!$B:$B,$A180)</f>
        <v>466.79999999999995</v>
      </c>
      <c r="F180">
        <f>SUMIFS(Final_Merged_Data!$F:$F,Final_Merged_Data!$B:$B,$A180)</f>
        <v>445009</v>
      </c>
      <c r="G180">
        <f t="shared" si="4"/>
        <v>953.31833761782354</v>
      </c>
      <c r="H180" cm="1">
        <f t="array" ref="H180">SUMPRODUCT((Final_Merged_Data!$B$2:$B$1000=$A180)*Final_Merged_Data!$H$2:$H$1000*Final_Merged_Data!$F$2:$F$1000)/F180</f>
        <v>5.0232878436166457</v>
      </c>
      <c r="I180" cm="1">
        <f t="array" ref="I180">SUMPRODUCT((Final_Merged_Data!$B$2:$B$1000=$A180)*Final_Merged_Data!$I$2:$I$1000*Final_Merged_Data!$F$2:$F$1000)/F180</f>
        <v>77.660870297005232</v>
      </c>
      <c r="J180" t="str" cm="1">
        <f t="array" ref="J180">_xlfn.TEXTJOIN(", ",TRUE,_xlfn.UNIQUE(_xlfn._xlws.FILTER(Final_Merged_Data!$J$2:$J$1000,Final_Merged_Data!$B$2:$B$1000=$A180)))</f>
        <v>Sylhet Range</v>
      </c>
      <c r="K180" cm="1">
        <f t="array" ref="K180">SUMPRODUCT((Final_Merged_Data!$B$2:$B$1000=$A180)*Final_Merged_Data!$K$2:$K$1000*Final_Merged_Data!$F$2:$F$1000)/F180</f>
        <v>74.251724391082064</v>
      </c>
      <c r="L180" cm="1">
        <f t="array" ref="L180">SUMPRODUCT((Final_Merged_Data!$B$2:$B$1000=$A180)*Final_Merged_Data!$L$2:$L$1000*Final_Merged_Data!$F$2:$F$1000)/F180</f>
        <v>9.6171122896887518</v>
      </c>
      <c r="M180" t="str">
        <f>IF(COUNTIF(Master_Data!$C:$C,$A180)&gt;0,"Found","Missing")</f>
        <v>Found</v>
      </c>
      <c r="N180" t="str">
        <f>_xlfn.XLOOKUP($A180,Master_Data!$C:$C,Master_Data!$D:$D,"CHECK",0)</f>
        <v>Nasir Uddin Ahmed</v>
      </c>
      <c r="O180" t="str">
        <f>_xlfn.XLOOKUP($A180,Master_Data!$C:$C,Master_Data!$E:$E,"CHECK",0)</f>
        <v>BNP</v>
      </c>
      <c r="P180">
        <f>_xlfn.XLOOKUP($A180,Master_Data!$C:$C,Master_Data!$F:$F,"CHECK",0)</f>
        <v>1</v>
      </c>
      <c r="Q180">
        <f>_xlfn.XLOOKUP($A180,Master_Data!$C:$C,Master_Data!$G:$G,"CHECK",0)</f>
        <v>98282</v>
      </c>
      <c r="R180">
        <f>IFERROR(_xlfn.XLOOKUP($A180,Master_Data!$C:$C,Master_Data!$H:$H,"CHECK",0),"")</f>
        <v>54.211092418434049</v>
      </c>
      <c r="S180" t="str">
        <f>_xlfn.XLOOKUP($A180,Master_Data!$C:$C,Master_Data!$I:$I,"CHECK",0)</f>
        <v>Mohammad Aminul Islam</v>
      </c>
      <c r="T180">
        <f>_xlfn.XLOOKUP($A180,Master_Data!$C:$C,Master_Data!$K:$K,"CHECK",0)</f>
        <v>83013</v>
      </c>
      <c r="U180">
        <f>IFERROR(_xlfn.XLOOKUP($A180,Master_Data!$C:$C,Master_Data!$L:$L,"CHECK",0),"")</f>
        <v>45.788907581565958</v>
      </c>
      <c r="V180">
        <f>_xlfn.XLOOKUP($A180,Master_Data!$C:$C,Master_Data!$M:$M,"CHECK",0)</f>
        <v>15269</v>
      </c>
      <c r="W180">
        <f>IFERROR(_xlfn.XLOOKUP($A180,Master_Data!$C:$C,Master_Data!$N:$N,"CHECK",0),"")</f>
        <v>8.4221848368680874</v>
      </c>
      <c r="X180" t="str">
        <f>IFERROR(_xlfn.XLOOKUP($A180,Master_Data!$C:$C,Master_Data!$O:$O,"CHECK",0),"No Result")</f>
        <v>Safe Seat</v>
      </c>
      <c r="Y180">
        <f>_xlfn.XLOOKUP($A180,Master_Data!$C:$C,Master_Data!$P:$P,"CHECK",0)</f>
        <v>0</v>
      </c>
      <c r="Z180">
        <f t="shared" si="5"/>
        <v>1</v>
      </c>
      <c r="AA180">
        <f>_xlfn.XLOOKUP(B180,Remittance_Data!A:A,Remittance_Data!B:B,"CHECK")</f>
        <v>98592</v>
      </c>
      <c r="AB180">
        <f>_xlfn.XLOOKUP(B180,Remittance_Data!A:A,Remittance_Data!C:C,"CHECK")</f>
        <v>85237</v>
      </c>
      <c r="AC180">
        <f>_xlfn.XLOOKUP(B180,Remittance_Data!A:A,Remittance_Data!D:D,"CHECK")</f>
        <v>13355</v>
      </c>
    </row>
    <row r="181" spans="1:29">
      <c r="A181" t="str">
        <v>Moulvibazar-2</v>
      </c>
      <c r="B181" t="str" cm="1">
        <f t="array" ref="B1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Nawabganj","Chapainawabganj"),Final_Merged_Data!$B$2:$B$1000=$A181)))</f>
        <v>Moulvibazar</v>
      </c>
      <c r="C181" t="str" cm="1">
        <f t="array" ref="C181">_xlfn.TEXTJOIN(", ",TRUE,_xlfn._xlws.FILTER(Final_Merged_Data!$C$2:$C$1000,Final_Merged_Data!$B$2:$B$1000=$A181))</f>
        <v>Kulaura</v>
      </c>
      <c r="D181" cm="1">
        <f t="array" ref="D181">COUNTA(_xlfn._xlws.FILTER(Final_Merged_Data!$C$2:$C$1000,Final_Merged_Data!$B$2:$B$1000=$A181))</f>
        <v>1</v>
      </c>
      <c r="E181">
        <f>SUMIFS(Final_Merged_Data!$E:$E,Final_Merged_Data!$B:$B,$A181)</f>
        <v>679.54</v>
      </c>
      <c r="F181">
        <f>SUMIFS(Final_Merged_Data!$F:$F,Final_Merged_Data!$B:$B,$A181)</f>
        <v>397736</v>
      </c>
      <c r="G181">
        <f t="shared" si="4"/>
        <v>585.30182182064345</v>
      </c>
      <c r="H181" cm="1">
        <f t="array" ref="H181">SUMPRODUCT((Final_Merged_Data!$B$2:$B$1000=$A181)*Final_Merged_Data!$H$2:$H$1000*Final_Merged_Data!$F$2:$F$1000)/F181</f>
        <v>4.7699999999999996</v>
      </c>
      <c r="I181" cm="1">
        <f t="array" ref="I181">SUMPRODUCT((Final_Merged_Data!$B$2:$B$1000=$A181)*Final_Merged_Data!$I$2:$I$1000*Final_Merged_Data!$F$2:$F$1000)/F181</f>
        <v>75.53</v>
      </c>
      <c r="J181" t="str" cm="1">
        <f t="array" ref="J181">_xlfn.TEXTJOIN(", ",TRUE,_xlfn.UNIQUE(_xlfn._xlws.FILTER(Final_Merged_Data!$J$2:$J$1000,Final_Merged_Data!$B$2:$B$1000=$A181)))</f>
        <v>Sylhet Range</v>
      </c>
      <c r="K181" cm="1">
        <f t="array" ref="K181">SUMPRODUCT((Final_Merged_Data!$B$2:$B$1000=$A181)*Final_Merged_Data!$K$2:$K$1000*Final_Merged_Data!$F$2:$F$1000)/F181</f>
        <v>74.251724391082064</v>
      </c>
      <c r="L181" cm="1">
        <f t="array" ref="L181">SUMPRODUCT((Final_Merged_Data!$B$2:$B$1000=$A181)*Final_Merged_Data!$L$2:$L$1000*Final_Merged_Data!$F$2:$F$1000)/F181</f>
        <v>9.6171122896887518</v>
      </c>
      <c r="M181" t="str">
        <f>IF(COUNTIF(Master_Data!$C:$C,$A181)&gt;0,"Found","Missing")</f>
        <v>Found</v>
      </c>
      <c r="N181" t="str">
        <f>_xlfn.XLOOKUP($A181,Master_Data!$C:$C,Master_Data!$D:$D,"CHECK",0)</f>
        <v>Shawkat Hossain Saku</v>
      </c>
      <c r="O181" t="str">
        <f>_xlfn.XLOOKUP($A181,Master_Data!$C:$C,Master_Data!$E:$E,"CHECK",0)</f>
        <v>BNP</v>
      </c>
      <c r="P181">
        <f>_xlfn.XLOOKUP($A181,Master_Data!$C:$C,Master_Data!$F:$F,"CHECK",0)</f>
        <v>1</v>
      </c>
      <c r="Q181">
        <f>_xlfn.XLOOKUP($A181,Master_Data!$C:$C,Master_Data!$G:$G,"CHECK",0)</f>
        <v>88381</v>
      </c>
      <c r="R181">
        <f>IFERROR(_xlfn.XLOOKUP($A181,Master_Data!$C:$C,Master_Data!$H:$H,"CHECK",0),"")</f>
        <v>62.310788993154212</v>
      </c>
      <c r="S181" t="str">
        <f>_xlfn.XLOOKUP($A181,Master_Data!$C:$C,Master_Data!$I:$I,"CHECK",0)</f>
        <v>Md. Syed Ali</v>
      </c>
      <c r="T181">
        <f>_xlfn.XLOOKUP($A181,Master_Data!$C:$C,Master_Data!$K:$K,"CHECK",0)</f>
        <v>53458</v>
      </c>
      <c r="U181">
        <f>IFERROR(_xlfn.XLOOKUP($A181,Master_Data!$C:$C,Master_Data!$L:$L,"CHECK",0),"")</f>
        <v>37.689211006845788</v>
      </c>
      <c r="V181">
        <f>_xlfn.XLOOKUP($A181,Master_Data!$C:$C,Master_Data!$M:$M,"CHECK",0)</f>
        <v>34923</v>
      </c>
      <c r="W181">
        <f>IFERROR(_xlfn.XLOOKUP($A181,Master_Data!$C:$C,Master_Data!$N:$N,"CHECK",0),"")</f>
        <v>24.62157798630842</v>
      </c>
      <c r="X181" t="str">
        <f>IFERROR(_xlfn.XLOOKUP($A181,Master_Data!$C:$C,Master_Data!$O:$O,"CHECK",0),"No Result")</f>
        <v>Safe Seat</v>
      </c>
      <c r="Y181">
        <f>_xlfn.XLOOKUP($A181,Master_Data!$C:$C,Master_Data!$P:$P,"CHECK",0)</f>
        <v>0</v>
      </c>
      <c r="Z181">
        <f t="shared" si="5"/>
        <v>1</v>
      </c>
      <c r="AA181">
        <f>_xlfn.XLOOKUP(B181,Remittance_Data!A:A,Remittance_Data!B:B,"CHECK")</f>
        <v>98592</v>
      </c>
      <c r="AB181">
        <f>_xlfn.XLOOKUP(B181,Remittance_Data!A:A,Remittance_Data!C:C,"CHECK")</f>
        <v>85237</v>
      </c>
      <c r="AC181">
        <f>_xlfn.XLOOKUP(B181,Remittance_Data!A:A,Remittance_Data!D:D,"CHECK")</f>
        <v>13355</v>
      </c>
    </row>
    <row r="182" spans="1:29">
      <c r="A182" t="str">
        <v>Moulvibazar-3</v>
      </c>
      <c r="B182" t="str" cm="1">
        <f t="array" ref="B1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Nawabganj","Chapainawabganj"),Final_Merged_Data!$B$2:$B$1000=$A182)))</f>
        <v>Moulvibazar</v>
      </c>
      <c r="C182" t="str" cm="1">
        <f t="array" ref="C182">_xlfn.TEXTJOIN(", ",TRUE,_xlfn._xlws.FILTER(Final_Merged_Data!$C$2:$C$1000,Final_Merged_Data!$B$2:$B$1000=$A182))</f>
        <v>Moulvibazar Sadar, Rajnagar</v>
      </c>
      <c r="D182" cm="1">
        <f t="array" ref="D182">COUNTA(_xlfn._xlws.FILTER(Final_Merged_Data!$C$2:$C$1000,Final_Merged_Data!$B$2:$B$1000=$A182))</f>
        <v>2</v>
      </c>
      <c r="E182">
        <f>SUMIFS(Final_Merged_Data!$E:$E,Final_Merged_Data!$B:$B,$A182)</f>
        <v>603.72</v>
      </c>
      <c r="F182">
        <f>SUMIFS(Final_Merged_Data!$F:$F,Final_Merged_Data!$B:$B,$A182)</f>
        <v>628727</v>
      </c>
      <c r="G182">
        <f t="shared" si="4"/>
        <v>1041.4215199098919</v>
      </c>
      <c r="H182" cm="1">
        <f t="array" ref="H182">SUMPRODUCT((Final_Merged_Data!$B$2:$B$1000=$A182)*Final_Merged_Data!$H$2:$H$1000*Final_Merged_Data!$F$2:$F$1000)/F182</f>
        <v>4.7800000000000011</v>
      </c>
      <c r="I182" cm="1">
        <f t="array" ref="I182">SUMPRODUCT((Final_Merged_Data!$B$2:$B$1000=$A182)*Final_Merged_Data!$I$2:$I$1000*Final_Merged_Data!$F$2:$F$1000)/F182</f>
        <v>76.646478964638078</v>
      </c>
      <c r="J182" t="str" cm="1">
        <f t="array" ref="J182">_xlfn.TEXTJOIN(", ",TRUE,_xlfn.UNIQUE(_xlfn._xlws.FILTER(Final_Merged_Data!$J$2:$J$1000,Final_Merged_Data!$B$2:$B$1000=$A182)))</f>
        <v>Sylhet Range</v>
      </c>
      <c r="K182" cm="1">
        <f t="array" ref="K182">SUMPRODUCT((Final_Merged_Data!$B$2:$B$1000=$A182)*Final_Merged_Data!$K$2:$K$1000*Final_Merged_Data!$F$2:$F$1000)/F182</f>
        <v>74.251724391082064</v>
      </c>
      <c r="L182" cm="1">
        <f t="array" ref="L182">SUMPRODUCT((Final_Merged_Data!$B$2:$B$1000=$A182)*Final_Merged_Data!$L$2:$L$1000*Final_Merged_Data!$F$2:$F$1000)/F182</f>
        <v>9.6171122896887518</v>
      </c>
      <c r="M182" t="str">
        <f>IF(COUNTIF(Master_Data!$C:$C,$A182)&gt;0,"Found","Missing")</f>
        <v>Found</v>
      </c>
      <c r="N182" t="str">
        <f>_xlfn.XLOOKUP($A182,Master_Data!$C:$C,Master_Data!$D:$D,"CHECK",0)</f>
        <v>Nasser Rahman</v>
      </c>
      <c r="O182" t="str">
        <f>_xlfn.XLOOKUP($A182,Master_Data!$C:$C,Master_Data!$E:$E,"CHECK",0)</f>
        <v>BNP</v>
      </c>
      <c r="P182">
        <f>_xlfn.XLOOKUP($A182,Master_Data!$C:$C,Master_Data!$F:$F,"CHECK",0)</f>
        <v>1</v>
      </c>
      <c r="Q182">
        <f>_xlfn.XLOOKUP($A182,Master_Data!$C:$C,Master_Data!$G:$G,"CHECK",0)</f>
        <v>156757</v>
      </c>
      <c r="R182">
        <f>IFERROR(_xlfn.XLOOKUP($A182,Master_Data!$C:$C,Master_Data!$H:$H,"CHECK",0),"")</f>
        <v>66.87785044775228</v>
      </c>
      <c r="S182" t="str">
        <f>_xlfn.XLOOKUP($A182,Master_Data!$C:$C,Master_Data!$I:$I,"CHECK",0)</f>
        <v>Md. Abdul Mannan</v>
      </c>
      <c r="T182">
        <f>_xlfn.XLOOKUP($A182,Master_Data!$C:$C,Master_Data!$K:$K,"CHECK",0)</f>
        <v>77636</v>
      </c>
      <c r="U182">
        <f>IFERROR(_xlfn.XLOOKUP($A182,Master_Data!$C:$C,Master_Data!$L:$L,"CHECK",0),"")</f>
        <v>33.12214955224772</v>
      </c>
      <c r="V182">
        <f>_xlfn.XLOOKUP($A182,Master_Data!$C:$C,Master_Data!$M:$M,"CHECK",0)</f>
        <v>79121</v>
      </c>
      <c r="W182">
        <f>IFERROR(_xlfn.XLOOKUP($A182,Master_Data!$C:$C,Master_Data!$N:$N,"CHECK",0),"")</f>
        <v>33.75570089550456</v>
      </c>
      <c r="X182" t="str">
        <f>IFERROR(_xlfn.XLOOKUP($A182,Master_Data!$C:$C,Master_Data!$O:$O,"CHECK",0),"No Result")</f>
        <v>Safe Seat</v>
      </c>
      <c r="Y182">
        <f>_xlfn.XLOOKUP($A182,Master_Data!$C:$C,Master_Data!$P:$P,"CHECK",0)</f>
        <v>0</v>
      </c>
      <c r="Z182">
        <f t="shared" si="5"/>
        <v>1</v>
      </c>
      <c r="AA182">
        <f>_xlfn.XLOOKUP(B182,Remittance_Data!A:A,Remittance_Data!B:B,"CHECK")</f>
        <v>98592</v>
      </c>
      <c r="AB182">
        <f>_xlfn.XLOOKUP(B182,Remittance_Data!A:A,Remittance_Data!C:C,"CHECK")</f>
        <v>85237</v>
      </c>
      <c r="AC182">
        <f>_xlfn.XLOOKUP(B182,Remittance_Data!A:A,Remittance_Data!D:D,"CHECK")</f>
        <v>13355</v>
      </c>
    </row>
    <row r="183" spans="1:29">
      <c r="A183" t="str">
        <v>Moulvibazar-4</v>
      </c>
      <c r="B183" t="str" cm="1">
        <f t="array" ref="B1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Nawabganj","Chapainawabganj"),Final_Merged_Data!$B$2:$B$1000=$A183)))</f>
        <v>Moulvibazar</v>
      </c>
      <c r="C183" t="str" cm="1">
        <f t="array" ref="C183">_xlfn.TEXTJOIN(", ",TRUE,_xlfn._xlws.FILTER(Final_Merged_Data!$C$2:$C$1000,Final_Merged_Data!$B$2:$B$1000=$A183))</f>
        <v>Sreemangal, Kamalganj</v>
      </c>
      <c r="D183" cm="1">
        <f t="array" ref="D183">COUNTA(_xlfn._xlws.FILTER(Final_Merged_Data!$C$2:$C$1000,Final_Merged_Data!$B$2:$B$1000=$A183))</f>
        <v>2</v>
      </c>
      <c r="E183">
        <f>SUMIFS(Final_Merged_Data!$E:$E,Final_Merged_Data!$B:$B,$A183)</f>
        <v>910.42</v>
      </c>
      <c r="F183">
        <f>SUMIFS(Final_Merged_Data!$F:$F,Final_Merged_Data!$B:$B,$A183)</f>
        <v>651877</v>
      </c>
      <c r="G183">
        <f t="shared" si="4"/>
        <v>716.01788185672547</v>
      </c>
      <c r="H183" cm="1">
        <f t="array" ref="H183">SUMPRODUCT((Final_Merged_Data!$B$2:$B$1000=$A183)*Final_Merged_Data!$H$2:$H$1000*Final_Merged_Data!$F$2:$F$1000)/F183</f>
        <v>4.4711508306014789</v>
      </c>
      <c r="I183" cm="1">
        <f t="array" ref="I183">SUMPRODUCT((Final_Merged_Data!$B$2:$B$1000=$A183)*Final_Merged_Data!$I$2:$I$1000*Final_Merged_Data!$F$2:$F$1000)/F183</f>
        <v>74.041967917260465</v>
      </c>
      <c r="J183" t="str" cm="1">
        <f t="array" ref="J183">_xlfn.TEXTJOIN(", ",TRUE,_xlfn.UNIQUE(_xlfn._xlws.FILTER(Final_Merged_Data!$J$2:$J$1000,Final_Merged_Data!$B$2:$B$1000=$A183)))</f>
        <v>Sylhet Range</v>
      </c>
      <c r="K183" cm="1">
        <f t="array" ref="K183">SUMPRODUCT((Final_Merged_Data!$B$2:$B$1000=$A183)*Final_Merged_Data!$K$2:$K$1000*Final_Merged_Data!$F$2:$F$1000)/F183</f>
        <v>74.251724391082064</v>
      </c>
      <c r="L183" cm="1">
        <f t="array" ref="L183">SUMPRODUCT((Final_Merged_Data!$B$2:$B$1000=$A183)*Final_Merged_Data!$L$2:$L$1000*Final_Merged_Data!$F$2:$F$1000)/F183</f>
        <v>9.6171122896887518</v>
      </c>
      <c r="M183" t="str">
        <f>IF(COUNTIF(Master_Data!$C:$C,$A183)&gt;0,"Found","Missing")</f>
        <v>Found</v>
      </c>
      <c r="N183" t="str">
        <f>_xlfn.XLOOKUP($A183,Master_Data!$C:$C,Master_Data!$D:$D,"CHECK",0)</f>
        <v>Md. Mujibur Rahman Chowdhury</v>
      </c>
      <c r="O183" t="str">
        <f>_xlfn.XLOOKUP($A183,Master_Data!$C:$C,Master_Data!$E:$E,"CHECK",0)</f>
        <v>BNP</v>
      </c>
      <c r="P183">
        <f>_xlfn.XLOOKUP($A183,Master_Data!$C:$C,Master_Data!$F:$F,"CHECK",0)</f>
        <v>1</v>
      </c>
      <c r="Q183">
        <f>_xlfn.XLOOKUP($A183,Master_Data!$C:$C,Master_Data!$G:$G,"CHECK",0)</f>
        <v>170877</v>
      </c>
      <c r="R183">
        <f>IFERROR(_xlfn.XLOOKUP($A183,Master_Data!$C:$C,Master_Data!$H:$H,"CHECK",0),"")</f>
        <v>77.291580913782738</v>
      </c>
      <c r="S183" t="str">
        <f>_xlfn.XLOOKUP($A183,Master_Data!$C:$C,Master_Data!$I:$I,"CHECK",0)</f>
        <v>Sheikh Noor-e-Alam Hamidi</v>
      </c>
      <c r="T183">
        <f>_xlfn.XLOOKUP($A183,Master_Data!$C:$C,Master_Data!$K:$K,"CHECK",0)</f>
        <v>50204</v>
      </c>
      <c r="U183">
        <f>IFERROR(_xlfn.XLOOKUP($A183,Master_Data!$C:$C,Master_Data!$L:$L,"CHECK",0),"")</f>
        <v>22.708419086217269</v>
      </c>
      <c r="V183">
        <f>_xlfn.XLOOKUP($A183,Master_Data!$C:$C,Master_Data!$M:$M,"CHECK",0)</f>
        <v>120673</v>
      </c>
      <c r="W183">
        <f>IFERROR(_xlfn.XLOOKUP($A183,Master_Data!$C:$C,Master_Data!$N:$N,"CHECK",0),"")</f>
        <v>54.583161827565462</v>
      </c>
      <c r="X183" t="str">
        <f>IFERROR(_xlfn.XLOOKUP($A183,Master_Data!$C:$C,Master_Data!$O:$O,"CHECK",0),"No Result")</f>
        <v>Safe Seat</v>
      </c>
      <c r="Y183">
        <f>_xlfn.XLOOKUP($A183,Master_Data!$C:$C,Master_Data!$P:$P,"CHECK",0)</f>
        <v>0</v>
      </c>
      <c r="Z183">
        <f t="shared" si="5"/>
        <v>1</v>
      </c>
      <c r="AA183">
        <f>_xlfn.XLOOKUP(B183,Remittance_Data!A:A,Remittance_Data!B:B,"CHECK")</f>
        <v>98592</v>
      </c>
      <c r="AB183">
        <f>_xlfn.XLOOKUP(B183,Remittance_Data!A:A,Remittance_Data!C:C,"CHECK")</f>
        <v>85237</v>
      </c>
      <c r="AC183">
        <f>_xlfn.XLOOKUP(B183,Remittance_Data!A:A,Remittance_Data!D:D,"CHECK")</f>
        <v>13355</v>
      </c>
    </row>
    <row r="184" spans="1:29">
      <c r="A184" t="str">
        <v>Munshiganj-1</v>
      </c>
      <c r="B184" t="str" cm="1">
        <f t="array" ref="B1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Nawabganj","Chapainawabganj"),Final_Merged_Data!$B$2:$B$1000=$A184)))</f>
        <v>Munshiganj</v>
      </c>
      <c r="C184" t="str" cm="1">
        <f t="array" ref="C184">_xlfn.TEXTJOIN(", ",TRUE,_xlfn._xlws.FILTER(Final_Merged_Data!$C$2:$C$1000,Final_Merged_Data!$B$2:$B$1000=$A184))</f>
        <v>Sreenagar, Sirajdikhan</v>
      </c>
      <c r="D184" cm="1">
        <f t="array" ref="D184">COUNTA(_xlfn._xlws.FILTER(Final_Merged_Data!$C$2:$C$1000,Final_Merged_Data!$B$2:$B$1000=$A184))</f>
        <v>2</v>
      </c>
      <c r="E184">
        <f>SUMIFS(Final_Merged_Data!$E:$E,Final_Merged_Data!$B:$B,$A184)</f>
        <v>517.69000000000005</v>
      </c>
      <c r="F184">
        <f>SUMIFS(Final_Merged_Data!$F:$F,Final_Merged_Data!$B:$B,$A184)</f>
        <v>610336</v>
      </c>
      <c r="G184">
        <f t="shared" si="4"/>
        <v>1178.9603816956092</v>
      </c>
      <c r="H184" cm="1">
        <f t="array" ref="H184">SUMPRODUCT((Final_Merged_Data!$B$2:$B$1000=$A184)*Final_Merged_Data!$H$2:$H$1000*Final_Merged_Data!$F$2:$F$1000)/F184</f>
        <v>3.9651846032349396</v>
      </c>
      <c r="I184" cm="1">
        <f t="array" ref="I184">SUMPRODUCT((Final_Merged_Data!$B$2:$B$1000=$A184)*Final_Merged_Data!$I$2:$I$1000*Final_Merged_Data!$F$2:$F$1000)/F184</f>
        <v>78.627187762150683</v>
      </c>
      <c r="J184" t="str" cm="1">
        <f t="array" ref="J184">_xlfn.TEXTJOIN(", ",TRUE,_xlfn.UNIQUE(_xlfn._xlws.FILTER(Final_Merged_Data!$J$2:$J$1000,Final_Merged_Data!$B$2:$B$1000=$A184)))</f>
        <v>Dhaka Range</v>
      </c>
      <c r="K184" cm="1">
        <f t="array" ref="K184">SUMPRODUCT((Final_Merged_Data!$B$2:$B$1000=$A184)*Final_Merged_Data!$K$2:$K$1000*Final_Merged_Data!$F$2:$F$1000)/F184</f>
        <v>87.05516739539118</v>
      </c>
      <c r="L184" cm="1">
        <f t="array" ref="L184">SUMPRODUCT((Final_Merged_Data!$B$2:$B$1000=$A184)*Final_Merged_Data!$L$2:$L$1000*Final_Merged_Data!$F$2:$F$1000)/F184</f>
        <v>14.083489099923572</v>
      </c>
      <c r="M184" t="str">
        <f>IF(COUNTIF(Master_Data!$C:$C,$A184)&gt;0,"Found","Missing")</f>
        <v>Found</v>
      </c>
      <c r="N184" t="str">
        <f>_xlfn.XLOOKUP($A184,Master_Data!$C:$C,Master_Data!$D:$D,"CHECK",0)</f>
        <v>Md. Abdullah</v>
      </c>
      <c r="O184" t="str">
        <f>_xlfn.XLOOKUP($A184,Master_Data!$C:$C,Master_Data!$E:$E,"CHECK",0)</f>
        <v>BNP</v>
      </c>
      <c r="P184">
        <f>_xlfn.XLOOKUP($A184,Master_Data!$C:$C,Master_Data!$F:$F,"CHECK",0)</f>
        <v>1</v>
      </c>
      <c r="Q184">
        <f>_xlfn.XLOOKUP($A184,Master_Data!$C:$C,Master_Data!$G:$G,"CHECK",0)</f>
        <v>167562</v>
      </c>
      <c r="R184">
        <f>IFERROR(_xlfn.XLOOKUP($A184,Master_Data!$C:$C,Master_Data!$H:$H,"CHECK",0),"")</f>
        <v>62.260617545424147</v>
      </c>
      <c r="S184" t="str">
        <f>_xlfn.XLOOKUP($A184,Master_Data!$C:$C,Master_Data!$I:$I,"CHECK",0)</f>
        <v>AKM Fakhruddin</v>
      </c>
      <c r="T184">
        <f>_xlfn.XLOOKUP($A184,Master_Data!$C:$C,Master_Data!$K:$K,"CHECK",0)</f>
        <v>101568</v>
      </c>
      <c r="U184">
        <f>IFERROR(_xlfn.XLOOKUP($A184,Master_Data!$C:$C,Master_Data!$L:$L,"CHECK",0),"")</f>
        <v>37.739382454575853</v>
      </c>
      <c r="V184">
        <f>_xlfn.XLOOKUP($A184,Master_Data!$C:$C,Master_Data!$M:$M,"CHECK",0)</f>
        <v>65994</v>
      </c>
      <c r="W184">
        <f>IFERROR(_xlfn.XLOOKUP($A184,Master_Data!$C:$C,Master_Data!$N:$N,"CHECK",0),"")</f>
        <v>24.52123509084829</v>
      </c>
      <c r="X184" t="str">
        <f>IFERROR(_xlfn.XLOOKUP($A184,Master_Data!$C:$C,Master_Data!$O:$O,"CHECK",0),"No Result")</f>
        <v>Safe Seat</v>
      </c>
      <c r="Y184">
        <f>_xlfn.XLOOKUP($A184,Master_Data!$C:$C,Master_Data!$P:$P,"CHECK",0)</f>
        <v>0</v>
      </c>
      <c r="Z184">
        <f t="shared" si="5"/>
        <v>1</v>
      </c>
      <c r="AA184">
        <f>_xlfn.XLOOKUP(B184,Remittance_Data!A:A,Remittance_Data!B:B,"CHECK")</f>
        <v>108962</v>
      </c>
      <c r="AB184">
        <f>_xlfn.XLOOKUP(B184,Remittance_Data!A:A,Remittance_Data!C:C,"CHECK")</f>
        <v>93461</v>
      </c>
      <c r="AC184">
        <f>_xlfn.XLOOKUP(B184,Remittance_Data!A:A,Remittance_Data!D:D,"CHECK")</f>
        <v>15501</v>
      </c>
    </row>
    <row r="185" spans="1:29">
      <c r="A185" t="str">
        <v>Munshiganj-2</v>
      </c>
      <c r="B185" t="str" cm="1">
        <f t="array" ref="B1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Nawabganj","Chapainawabganj"),Final_Merged_Data!$B$2:$B$1000=$A185)))</f>
        <v>Munshiganj</v>
      </c>
      <c r="C185" t="str" cm="1">
        <f t="array" ref="C185">_xlfn.TEXTJOIN(", ",TRUE,_xlfn._xlws.FILTER(Final_Merged_Data!$C$2:$C$1000,Final_Merged_Data!$B$2:$B$1000=$A185))</f>
        <v>Louhajang, Tongibari</v>
      </c>
      <c r="D185" cm="1">
        <f t="array" ref="D185">COUNTA(_xlfn._xlws.FILTER(Final_Merged_Data!$C$2:$C$1000,Final_Merged_Data!$B$2:$B$1000=$A185))</f>
        <v>2</v>
      </c>
      <c r="E185">
        <f>SUMIFS(Final_Merged_Data!$E:$E,Final_Merged_Data!$B:$B,$A185)</f>
        <v>430.56</v>
      </c>
      <c r="F185">
        <f>SUMIFS(Final_Merged_Data!$F:$F,Final_Merged_Data!$B:$B,$A185)</f>
        <v>393754</v>
      </c>
      <c r="G185">
        <f t="shared" si="4"/>
        <v>914.51597918989228</v>
      </c>
      <c r="H185" cm="1">
        <f t="array" ref="H185">SUMPRODUCT((Final_Merged_Data!$B$2:$B$1000=$A185)*Final_Merged_Data!$H$2:$H$1000*Final_Merged_Data!$F$2:$F$1000)/F185</f>
        <v>3.9680620387348449</v>
      </c>
      <c r="I185" cm="1">
        <f t="array" ref="I185">SUMPRODUCT((Final_Merged_Data!$B$2:$B$1000=$A185)*Final_Merged_Data!$I$2:$I$1000*Final_Merged_Data!$F$2:$F$1000)/F185</f>
        <v>78.034844903162892</v>
      </c>
      <c r="J185" t="str" cm="1">
        <f t="array" ref="J185">_xlfn.TEXTJOIN(", ",TRUE,_xlfn.UNIQUE(_xlfn._xlws.FILTER(Final_Merged_Data!$J$2:$J$1000,Final_Merged_Data!$B$2:$B$1000=$A185)))</f>
        <v>Dhaka Range</v>
      </c>
      <c r="K185" cm="1">
        <f t="array" ref="K185">SUMPRODUCT((Final_Merged_Data!$B$2:$B$1000=$A185)*Final_Merged_Data!$K$2:$K$1000*Final_Merged_Data!$F$2:$F$1000)/F185</f>
        <v>87.055167395391209</v>
      </c>
      <c r="L185" cm="1">
        <f t="array" ref="L185">SUMPRODUCT((Final_Merged_Data!$B$2:$B$1000=$A185)*Final_Merged_Data!$L$2:$L$1000*Final_Merged_Data!$F$2:$F$1000)/F185</f>
        <v>14.083489099923572</v>
      </c>
      <c r="M185" t="str">
        <f>IF(COUNTIF(Master_Data!$C:$C,$A185)&gt;0,"Found","Missing")</f>
        <v>Found</v>
      </c>
      <c r="N185" t="str">
        <f>_xlfn.XLOOKUP($A185,Master_Data!$C:$C,Master_Data!$D:$D,"CHECK",0)</f>
        <v>Abdus Salam Azad</v>
      </c>
      <c r="O185" t="str">
        <f>_xlfn.XLOOKUP($A185,Master_Data!$C:$C,Master_Data!$E:$E,"CHECK",0)</f>
        <v>BNP</v>
      </c>
      <c r="P185">
        <f>_xlfn.XLOOKUP($A185,Master_Data!$C:$C,Master_Data!$F:$F,"CHECK",0)</f>
        <v>1</v>
      </c>
      <c r="Q185">
        <f>_xlfn.XLOOKUP($A185,Master_Data!$C:$C,Master_Data!$G:$G,"CHECK",0)</f>
        <v>121154</v>
      </c>
      <c r="R185">
        <f>IFERROR(_xlfn.XLOOKUP($A185,Master_Data!$C:$C,Master_Data!$H:$H,"CHECK",0),"")</f>
        <v>67.410016302503237</v>
      </c>
      <c r="S185" t="str">
        <f>_xlfn.XLOOKUP($A185,Master_Data!$C:$C,Master_Data!$I:$I,"CHECK",0)</f>
        <v>Majedul Islam</v>
      </c>
      <c r="T185">
        <f>_xlfn.XLOOKUP($A185,Master_Data!$C:$C,Master_Data!$K:$K,"CHECK",0)</f>
        <v>58573</v>
      </c>
      <c r="U185">
        <f>IFERROR(_xlfn.XLOOKUP($A185,Master_Data!$C:$C,Master_Data!$L:$L,"CHECK",0),"")</f>
        <v>32.589983697496763</v>
      </c>
      <c r="V185">
        <f>_xlfn.XLOOKUP($A185,Master_Data!$C:$C,Master_Data!$M:$M,"CHECK",0)</f>
        <v>62581</v>
      </c>
      <c r="W185">
        <f>IFERROR(_xlfn.XLOOKUP($A185,Master_Data!$C:$C,Master_Data!$N:$N,"CHECK",0),"")</f>
        <v>34.820032605006482</v>
      </c>
      <c r="X185" t="str">
        <f>IFERROR(_xlfn.XLOOKUP($A185,Master_Data!$C:$C,Master_Data!$O:$O,"CHECK",0),"No Result")</f>
        <v>Safe Seat</v>
      </c>
      <c r="Y185">
        <f>_xlfn.XLOOKUP($A185,Master_Data!$C:$C,Master_Data!$P:$P,"CHECK",0)</f>
        <v>0</v>
      </c>
      <c r="Z185">
        <f t="shared" si="5"/>
        <v>1</v>
      </c>
      <c r="AA185">
        <f>_xlfn.XLOOKUP(B185,Remittance_Data!A:A,Remittance_Data!B:B,"CHECK")</f>
        <v>108962</v>
      </c>
      <c r="AB185">
        <f>_xlfn.XLOOKUP(B185,Remittance_Data!A:A,Remittance_Data!C:C,"CHECK")</f>
        <v>93461</v>
      </c>
      <c r="AC185">
        <f>_xlfn.XLOOKUP(B185,Remittance_Data!A:A,Remittance_Data!D:D,"CHECK")</f>
        <v>15501</v>
      </c>
    </row>
    <row r="186" spans="1:29">
      <c r="A186" t="str">
        <v>Munshiganj-3</v>
      </c>
      <c r="B186" t="str" cm="1">
        <f t="array" ref="B1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Nawabganj","Chapainawabganj"),Final_Merged_Data!$B$2:$B$1000=$A186)))</f>
        <v>Munshiganj</v>
      </c>
      <c r="C186" t="str" cm="1">
        <f t="array" ref="C186">_xlfn.TEXTJOIN(", ",TRUE,_xlfn._xlws.FILTER(Final_Merged_Data!$C$2:$C$1000,Final_Merged_Data!$B$2:$B$1000=$A186))</f>
        <v>Munshiganj Sadar, Gazaria</v>
      </c>
      <c r="D186" cm="1">
        <f t="array" ref="D186">COUNTA(_xlfn._xlws.FILTER(Final_Merged_Data!$C$2:$C$1000,Final_Merged_Data!$B$2:$B$1000=$A186))</f>
        <v>2</v>
      </c>
      <c r="E186">
        <f>SUMIFS(Final_Merged_Data!$E:$E,Final_Merged_Data!$B:$B,$A186)</f>
        <v>420.37</v>
      </c>
      <c r="F186">
        <f>SUMIFS(Final_Merged_Data!$F:$F,Final_Merged_Data!$B:$B,$A186)</f>
        <v>621264</v>
      </c>
      <c r="G186">
        <f t="shared" si="4"/>
        <v>1477.8980422009183</v>
      </c>
      <c r="H186" cm="1">
        <f t="array" ref="H186">SUMPRODUCT((Final_Merged_Data!$B$2:$B$1000=$A186)*Final_Merged_Data!$H$2:$H$1000*Final_Merged_Data!$F$2:$F$1000)/F186</f>
        <v>3.9978916209534114</v>
      </c>
      <c r="I186" cm="1">
        <f t="array" ref="I186">SUMPRODUCT((Final_Merged_Data!$B$2:$B$1000=$A186)*Final_Merged_Data!$I$2:$I$1000*Final_Merged_Data!$F$2:$F$1000)/F186</f>
        <v>77.093885095547137</v>
      </c>
      <c r="J186" t="str" cm="1">
        <f t="array" ref="J186">_xlfn.TEXTJOIN(", ",TRUE,_xlfn.UNIQUE(_xlfn._xlws.FILTER(Final_Merged_Data!$J$2:$J$1000,Final_Merged_Data!$B$2:$B$1000=$A186)))</f>
        <v>Dhaka Range</v>
      </c>
      <c r="K186" cm="1">
        <f t="array" ref="K186">SUMPRODUCT((Final_Merged_Data!$B$2:$B$1000=$A186)*Final_Merged_Data!$K$2:$K$1000*Final_Merged_Data!$F$2:$F$1000)/F186</f>
        <v>87.055167395391194</v>
      </c>
      <c r="L186" cm="1">
        <f t="array" ref="L186">SUMPRODUCT((Final_Merged_Data!$B$2:$B$1000=$A186)*Final_Merged_Data!$L$2:$L$1000*Final_Merged_Data!$F$2:$F$1000)/F186</f>
        <v>14.08348909992357</v>
      </c>
      <c r="M186" t="str">
        <f>IF(COUNTIF(Master_Data!$C:$C,$A186)&gt;0,"Found","Missing")</f>
        <v>Found</v>
      </c>
      <c r="N186" t="str">
        <f>_xlfn.XLOOKUP($A186,Master_Data!$C:$C,Master_Data!$D:$D,"CHECK",0)</f>
        <v>Md. Kamruzzaman</v>
      </c>
      <c r="O186" t="str">
        <f>_xlfn.XLOOKUP($A186,Master_Data!$C:$C,Master_Data!$E:$E,"CHECK",0)</f>
        <v>BNP</v>
      </c>
      <c r="P186">
        <f>_xlfn.XLOOKUP($A186,Master_Data!$C:$C,Master_Data!$F:$F,"CHECK",0)</f>
        <v>1</v>
      </c>
      <c r="Q186">
        <f>_xlfn.XLOOKUP($A186,Master_Data!$C:$C,Master_Data!$G:$G,"CHECK",0)</f>
        <v>124691</v>
      </c>
      <c r="R186">
        <f>IFERROR(_xlfn.XLOOKUP($A186,Master_Data!$C:$C,Master_Data!$H:$H,"CHECK",0),"")</f>
        <v>58.368558281490635</v>
      </c>
      <c r="S186" t="str">
        <f>_xlfn.XLOOKUP($A186,Master_Data!$C:$C,Master_Data!$I:$I,"CHECK",0)</f>
        <v>Mohiuddin</v>
      </c>
      <c r="T186">
        <f>_xlfn.XLOOKUP($A186,Master_Data!$C:$C,Master_Data!$K:$K,"CHECK",0)</f>
        <v>88936</v>
      </c>
      <c r="U186">
        <f>IFERROR(_xlfn.XLOOKUP($A186,Master_Data!$C:$C,Master_Data!$L:$L,"CHECK",0),"")</f>
        <v>41.631441718509365</v>
      </c>
      <c r="V186">
        <f>_xlfn.XLOOKUP($A186,Master_Data!$C:$C,Master_Data!$M:$M,"CHECK",0)</f>
        <v>35755</v>
      </c>
      <c r="W186">
        <f>IFERROR(_xlfn.XLOOKUP($A186,Master_Data!$C:$C,Master_Data!$N:$N,"CHECK",0),"")</f>
        <v>16.737116562981271</v>
      </c>
      <c r="X186" t="str">
        <f>IFERROR(_xlfn.XLOOKUP($A186,Master_Data!$C:$C,Master_Data!$O:$O,"CHECK",0),"No Result")</f>
        <v>Safe Seat</v>
      </c>
      <c r="Y186">
        <f>_xlfn.XLOOKUP($A186,Master_Data!$C:$C,Master_Data!$P:$P,"CHECK",0)</f>
        <v>0</v>
      </c>
      <c r="Z186">
        <f t="shared" si="5"/>
        <v>1</v>
      </c>
      <c r="AA186">
        <f>_xlfn.XLOOKUP(B186,Remittance_Data!A:A,Remittance_Data!B:B,"CHECK")</f>
        <v>108962</v>
      </c>
      <c r="AB186">
        <f>_xlfn.XLOOKUP(B186,Remittance_Data!A:A,Remittance_Data!C:C,"CHECK")</f>
        <v>93461</v>
      </c>
      <c r="AC186">
        <f>_xlfn.XLOOKUP(B186,Remittance_Data!A:A,Remittance_Data!D:D,"CHECK")</f>
        <v>15501</v>
      </c>
    </row>
    <row r="187" spans="1:29">
      <c r="A187" t="str">
        <v>Mymensingh-1</v>
      </c>
      <c r="B187" t="str" cm="1">
        <f t="array" ref="B1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Nawabganj","Chapainawabganj"),Final_Merged_Data!$B$2:$B$1000=$A187)))</f>
        <v>Mymensingh</v>
      </c>
      <c r="C187" t="str" cm="1">
        <f t="array" ref="C187">_xlfn.TEXTJOIN(", ",TRUE,_xlfn._xlws.FILTER(Final_Merged_Data!$C$2:$C$1000,Final_Merged_Data!$B$2:$B$1000=$A187))</f>
        <v>Haluaghat, Dhobaura</v>
      </c>
      <c r="D187" cm="1">
        <f t="array" ref="D187">COUNTA(_xlfn._xlws.FILTER(Final_Merged_Data!$C$2:$C$1000,Final_Merged_Data!$B$2:$B$1000=$A187))</f>
        <v>2</v>
      </c>
      <c r="E187">
        <f>SUMIFS(Final_Merged_Data!$E:$E,Final_Merged_Data!$B:$B,$A187)</f>
        <v>478.61</v>
      </c>
      <c r="F187">
        <f>SUMIFS(Final_Merged_Data!$F:$F,Final_Merged_Data!$B:$B,$A187)</f>
        <v>533994</v>
      </c>
      <c r="G187">
        <f t="shared" si="4"/>
        <v>1115.7184346336264</v>
      </c>
      <c r="H187" cm="1">
        <f t="array" ref="H187">SUMPRODUCT((Final_Merged_Data!$B$2:$B$1000=$A187)*Final_Merged_Data!$H$2:$H$1000*Final_Merged_Data!$F$2:$F$1000)/F187</f>
        <v>3.9655212979921126</v>
      </c>
      <c r="I187" cm="1">
        <f t="array" ref="I187">SUMPRODUCT((Final_Merged_Data!$B$2:$B$1000=$A187)*Final_Merged_Data!$I$2:$I$1000*Final_Merged_Data!$F$2:$F$1000)/F187</f>
        <v>66.971492900669304</v>
      </c>
      <c r="J187" t="str" cm="1">
        <f t="array" ref="J187">_xlfn.TEXTJOIN(", ",TRUE,_xlfn.UNIQUE(_xlfn._xlws.FILTER(Final_Merged_Data!$J$2:$J$1000,Final_Merged_Data!$B$2:$B$1000=$A187)))</f>
        <v>Mymensingh Range</v>
      </c>
      <c r="K187" cm="1">
        <f t="array" ref="K187">SUMPRODUCT((Final_Merged_Data!$B$2:$B$1000=$A187)*Final_Merged_Data!$K$2:$K$1000*Final_Merged_Data!$F$2:$F$1000)/F187</f>
        <v>84.741263899591743</v>
      </c>
      <c r="L187" cm="1">
        <f t="array" ref="L187">SUMPRODUCT((Final_Merged_Data!$B$2:$B$1000=$A187)*Final_Merged_Data!$L$2:$L$1000*Final_Merged_Data!$F$2:$F$1000)/F187</f>
        <v>13.635491015503808</v>
      </c>
      <c r="M187" t="str">
        <f>IF(COUNTIF(Master_Data!$C:$C,$A187)&gt;0,"Found","Missing")</f>
        <v>Found</v>
      </c>
      <c r="N187" t="str">
        <f>_xlfn.XLOOKUP($A187,Master_Data!$C:$C,Master_Data!$D:$D,"CHECK",0)</f>
        <v>Mohammed Salman Omar</v>
      </c>
      <c r="O187" t="str">
        <f>_xlfn.XLOOKUP($A187,Master_Data!$C:$C,Master_Data!$E:$E,"CHECK",0)</f>
        <v>IND</v>
      </c>
      <c r="P187">
        <f>_xlfn.XLOOKUP($A187,Master_Data!$C:$C,Master_Data!$F:$F,"CHECK",0)</f>
        <v>5</v>
      </c>
      <c r="Q187">
        <f>_xlfn.XLOOKUP($A187,Master_Data!$C:$C,Master_Data!$G:$G,"CHECK",0)</f>
        <v>108265</v>
      </c>
      <c r="R187">
        <f>IFERROR(_xlfn.XLOOKUP($A187,Master_Data!$C:$C,Master_Data!$H:$H,"CHECK",0),"")</f>
        <v>51.507914230390448</v>
      </c>
      <c r="S187" t="str">
        <f>_xlfn.XLOOKUP($A187,Master_Data!$C:$C,Master_Data!$I:$I,"CHECK",0)</f>
        <v>Syed Imran Saleh</v>
      </c>
      <c r="T187">
        <f>_xlfn.XLOOKUP($A187,Master_Data!$C:$C,Master_Data!$K:$K,"CHECK",0)</f>
        <v>101926</v>
      </c>
      <c r="U187">
        <f>IFERROR(_xlfn.XLOOKUP($A187,Master_Data!$C:$C,Master_Data!$L:$L,"CHECK",0),"")</f>
        <v>48.492085769609545</v>
      </c>
      <c r="V187">
        <f>_xlfn.XLOOKUP($A187,Master_Data!$C:$C,Master_Data!$M:$M,"CHECK",0)</f>
        <v>6339</v>
      </c>
      <c r="W187">
        <f>IFERROR(_xlfn.XLOOKUP($A187,Master_Data!$C:$C,Master_Data!$N:$N,"CHECK",0),"")</f>
        <v>3.0158284607809089</v>
      </c>
      <c r="X187" t="str">
        <f>IFERROR(_xlfn.XLOOKUP($A187,Master_Data!$C:$C,Master_Data!$O:$O,"CHECK",0),"No Result")</f>
        <v>Highly Competitive</v>
      </c>
      <c r="Y187">
        <f>_xlfn.XLOOKUP($A187,Master_Data!$C:$C,Master_Data!$P:$P,"CHECK",0)</f>
        <v>0</v>
      </c>
      <c r="Z187">
        <f t="shared" si="5"/>
        <v>1</v>
      </c>
      <c r="AA187">
        <f>_xlfn.XLOOKUP(B187,Remittance_Data!A:A,Remittance_Data!B:B,"CHECK")</f>
        <v>59469</v>
      </c>
      <c r="AB187">
        <f>_xlfn.XLOOKUP(B187,Remittance_Data!A:A,Remittance_Data!C:C,"CHECK")</f>
        <v>49659</v>
      </c>
      <c r="AC187">
        <f>_xlfn.XLOOKUP(B187,Remittance_Data!A:A,Remittance_Data!D:D,"CHECK")</f>
        <v>9810</v>
      </c>
    </row>
    <row r="188" spans="1:29">
      <c r="A188" t="str">
        <v>Mymensingh-10</v>
      </c>
      <c r="B188" t="str" cm="1">
        <f t="array" ref="B1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Nawabganj","Chapainawabganj"),Final_Merged_Data!$B$2:$B$1000=$A188)))</f>
        <v>Mymensingh</v>
      </c>
      <c r="C188" t="str" cm="1">
        <f t="array" ref="C188">_xlfn.TEXTJOIN(", ",TRUE,_xlfn._xlws.FILTER(Final_Merged_Data!$C$2:$C$1000,Final_Merged_Data!$B$2:$B$1000=$A188))</f>
        <v>Gafargaon</v>
      </c>
      <c r="D188" cm="1">
        <f t="array" ref="D188">COUNTA(_xlfn._xlws.FILTER(Final_Merged_Data!$C$2:$C$1000,Final_Merged_Data!$B$2:$B$1000=$A188))</f>
        <v>1</v>
      </c>
      <c r="E188">
        <f>SUMIFS(Final_Merged_Data!$E:$E,Final_Merged_Data!$B:$B,$A188)</f>
        <v>374.07</v>
      </c>
      <c r="F188">
        <f>SUMIFS(Final_Merged_Data!$F:$F,Final_Merged_Data!$B:$B,$A188)</f>
        <v>463248</v>
      </c>
      <c r="G188">
        <f t="shared" si="4"/>
        <v>1238.3992300906248</v>
      </c>
      <c r="H188" cm="1">
        <f t="array" ref="H188">SUMPRODUCT((Final_Merged_Data!$B$2:$B$1000=$A188)*Final_Merged_Data!$H$2:$H$1000*Final_Merged_Data!$F$2:$F$1000)/F188</f>
        <v>3.87</v>
      </c>
      <c r="I188" cm="1">
        <f t="array" ref="I188">SUMPRODUCT((Final_Merged_Data!$B$2:$B$1000=$A188)*Final_Merged_Data!$I$2:$I$1000*Final_Merged_Data!$F$2:$F$1000)/F188</f>
        <v>72.98</v>
      </c>
      <c r="J188" t="str" cm="1">
        <f t="array" ref="J188">_xlfn.TEXTJOIN(", ",TRUE,_xlfn.UNIQUE(_xlfn._xlws.FILTER(Final_Merged_Data!$J$2:$J$1000,Final_Merged_Data!$B$2:$B$1000=$A188)))</f>
        <v>Mymensingh Range</v>
      </c>
      <c r="K188" cm="1">
        <f t="array" ref="K188">SUMPRODUCT((Final_Merged_Data!$B$2:$B$1000=$A188)*Final_Merged_Data!$K$2:$K$1000*Final_Merged_Data!$F$2:$F$1000)/F188</f>
        <v>84.741263899591743</v>
      </c>
      <c r="L188" cm="1">
        <f t="array" ref="L188">SUMPRODUCT((Final_Merged_Data!$B$2:$B$1000=$A188)*Final_Merged_Data!$L$2:$L$1000*Final_Merged_Data!$F$2:$F$1000)/F188</f>
        <v>13.635491015503808</v>
      </c>
      <c r="M188" t="str">
        <f>IF(COUNTIF(Master_Data!$C:$C,$A188)&gt;0,"Found","Missing")</f>
        <v>Found</v>
      </c>
      <c r="N188" t="str">
        <f>_xlfn.XLOOKUP($A188,Master_Data!$C:$C,Master_Data!$D:$D,"CHECK",0)</f>
        <v>Mohammad Aktaruzzaman</v>
      </c>
      <c r="O188" t="str">
        <f>_xlfn.XLOOKUP($A188,Master_Data!$C:$C,Master_Data!$E:$E,"CHECK",0)</f>
        <v>BNP</v>
      </c>
      <c r="P188">
        <f>_xlfn.XLOOKUP($A188,Master_Data!$C:$C,Master_Data!$F:$F,"CHECK",0)</f>
        <v>1</v>
      </c>
      <c r="Q188">
        <f>_xlfn.XLOOKUP($A188,Master_Data!$C:$C,Master_Data!$G:$G,"CHECK",0)</f>
        <v>75585</v>
      </c>
      <c r="R188">
        <f>IFERROR(_xlfn.XLOOKUP($A188,Master_Data!$C:$C,Master_Data!$H:$H,"CHECK",0),"")</f>
        <v>53.005652253187286</v>
      </c>
      <c r="S188" t="str">
        <f>_xlfn.XLOOKUP($A188,Master_Data!$C:$C,Master_Data!$I:$I,"CHECK",0)</f>
        <v>Abu Bakr Siddiqur Rahman</v>
      </c>
      <c r="T188">
        <f>_xlfn.XLOOKUP($A188,Master_Data!$C:$C,Master_Data!$K:$K,"CHECK",0)</f>
        <v>67013</v>
      </c>
      <c r="U188">
        <f>IFERROR(_xlfn.XLOOKUP($A188,Master_Data!$C:$C,Master_Data!$L:$L,"CHECK",0),"")</f>
        <v>46.994347746812721</v>
      </c>
      <c r="V188">
        <f>_xlfn.XLOOKUP($A188,Master_Data!$C:$C,Master_Data!$M:$M,"CHECK",0)</f>
        <v>8572</v>
      </c>
      <c r="W188">
        <f>IFERROR(_xlfn.XLOOKUP($A188,Master_Data!$C:$C,Master_Data!$N:$N,"CHECK",0),"")</f>
        <v>6.0113045063745636</v>
      </c>
      <c r="X188" t="str">
        <f>IFERROR(_xlfn.XLOOKUP($A188,Master_Data!$C:$C,Master_Data!$O:$O,"CHECK",0),"No Result")</f>
        <v>Safe Seat</v>
      </c>
      <c r="Y188">
        <f>_xlfn.XLOOKUP($A188,Master_Data!$C:$C,Master_Data!$P:$P,"CHECK",0)</f>
        <v>0</v>
      </c>
      <c r="Z188">
        <f t="shared" si="5"/>
        <v>1</v>
      </c>
      <c r="AA188">
        <f>_xlfn.XLOOKUP(B188,Remittance_Data!A:A,Remittance_Data!B:B,"CHECK")</f>
        <v>59469</v>
      </c>
      <c r="AB188">
        <f>_xlfn.XLOOKUP(B188,Remittance_Data!A:A,Remittance_Data!C:C,"CHECK")</f>
        <v>49659</v>
      </c>
      <c r="AC188">
        <f>_xlfn.XLOOKUP(B188,Remittance_Data!A:A,Remittance_Data!D:D,"CHECK")</f>
        <v>9810</v>
      </c>
    </row>
    <row r="189" spans="1:29">
      <c r="A189" t="str">
        <v>Mymensingh-11</v>
      </c>
      <c r="B189" t="str" cm="1">
        <f t="array" ref="B1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Nawabganj","Chapainawabganj"),Final_Merged_Data!$B$2:$B$1000=$A189)))</f>
        <v>Mymensingh</v>
      </c>
      <c r="C189" t="str" cm="1">
        <f t="array" ref="C189">_xlfn.TEXTJOIN(", ",TRUE,_xlfn._xlws.FILTER(Final_Merged_Data!$C$2:$C$1000,Final_Merged_Data!$B$2:$B$1000=$A189))</f>
        <v>Bhaluka</v>
      </c>
      <c r="D189" cm="1">
        <f t="array" ref="D189">COUNTA(_xlfn._xlws.FILTER(Final_Merged_Data!$C$2:$C$1000,Final_Merged_Data!$B$2:$B$1000=$A189))</f>
        <v>1</v>
      </c>
      <c r="E189">
        <f>SUMIFS(Final_Merged_Data!$E:$E,Final_Merged_Data!$B:$B,$A189)</f>
        <v>444.05</v>
      </c>
      <c r="F189">
        <f>SUMIFS(Final_Merged_Data!$F:$F,Final_Merged_Data!$B:$B,$A189)</f>
        <v>583953</v>
      </c>
      <c r="G189">
        <f t="shared" si="4"/>
        <v>1315.0613669631798</v>
      </c>
      <c r="H189" cm="1">
        <f t="array" ref="H189">SUMPRODUCT((Final_Merged_Data!$B$2:$B$1000=$A189)*Final_Merged_Data!$H$2:$H$1000*Final_Merged_Data!$F$2:$F$1000)/F189</f>
        <v>3.42</v>
      </c>
      <c r="I189" cm="1">
        <f t="array" ref="I189">SUMPRODUCT((Final_Merged_Data!$B$2:$B$1000=$A189)*Final_Merged_Data!$I$2:$I$1000*Final_Merged_Data!$F$2:$F$1000)/F189</f>
        <v>74.98</v>
      </c>
      <c r="J189" t="str" cm="1">
        <f t="array" ref="J189">_xlfn.TEXTJOIN(", ",TRUE,_xlfn.UNIQUE(_xlfn._xlws.FILTER(Final_Merged_Data!$J$2:$J$1000,Final_Merged_Data!$B$2:$B$1000=$A189)))</f>
        <v>Mymensingh Range</v>
      </c>
      <c r="K189" cm="1">
        <f t="array" ref="K189">SUMPRODUCT((Final_Merged_Data!$B$2:$B$1000=$A189)*Final_Merged_Data!$K$2:$K$1000*Final_Merged_Data!$F$2:$F$1000)/F189</f>
        <v>84.741263899591743</v>
      </c>
      <c r="L189" cm="1">
        <f t="array" ref="L189">SUMPRODUCT((Final_Merged_Data!$B$2:$B$1000=$A189)*Final_Merged_Data!$L$2:$L$1000*Final_Merged_Data!$F$2:$F$1000)/F189</f>
        <v>13.635491015503808</v>
      </c>
      <c r="M189" t="str">
        <f>IF(COUNTIF(Master_Data!$C:$C,$A189)&gt;0,"Found","Missing")</f>
        <v>Found</v>
      </c>
      <c r="N189" t="str">
        <f>_xlfn.XLOOKUP($A189,Master_Data!$C:$C,Master_Data!$D:$D,"CHECK",0)</f>
        <v>Fakhruddin Ahmed</v>
      </c>
      <c r="O189" t="str">
        <f>_xlfn.XLOOKUP($A189,Master_Data!$C:$C,Master_Data!$E:$E,"CHECK",0)</f>
        <v>BNP</v>
      </c>
      <c r="P189">
        <f>_xlfn.XLOOKUP($A189,Master_Data!$C:$C,Master_Data!$F:$F,"CHECK",0)</f>
        <v>1</v>
      </c>
      <c r="Q189">
        <f>_xlfn.XLOOKUP($A189,Master_Data!$C:$C,Master_Data!$G:$G,"CHECK",0)</f>
        <v>111230</v>
      </c>
      <c r="R189">
        <f>IFERROR(_xlfn.XLOOKUP($A189,Master_Data!$C:$C,Master_Data!$H:$H,"CHECK",0),"")</f>
        <v>62.754589666339434</v>
      </c>
      <c r="S189" t="str">
        <f>_xlfn.XLOOKUP($A189,Master_Data!$C:$C,Master_Data!$I:$I,"CHECK",0)</f>
        <v>Muhammad Morshed Alam</v>
      </c>
      <c r="T189">
        <f>_xlfn.XLOOKUP($A189,Master_Data!$C:$C,Master_Data!$K:$K,"CHECK",0)</f>
        <v>66016</v>
      </c>
      <c r="U189">
        <f>IFERROR(_xlfn.XLOOKUP($A189,Master_Data!$C:$C,Master_Data!$L:$L,"CHECK",0),"")</f>
        <v>37.245410333660558</v>
      </c>
      <c r="V189">
        <f>_xlfn.XLOOKUP($A189,Master_Data!$C:$C,Master_Data!$M:$M,"CHECK",0)</f>
        <v>45214</v>
      </c>
      <c r="W189">
        <f>IFERROR(_xlfn.XLOOKUP($A189,Master_Data!$C:$C,Master_Data!$N:$N,"CHECK",0),"")</f>
        <v>25.509179332678876</v>
      </c>
      <c r="X189" t="str">
        <f>IFERROR(_xlfn.XLOOKUP($A189,Master_Data!$C:$C,Master_Data!$O:$O,"CHECK",0),"No Result")</f>
        <v>Safe Seat</v>
      </c>
      <c r="Y189">
        <f>_xlfn.XLOOKUP($A189,Master_Data!$C:$C,Master_Data!$P:$P,"CHECK",0)</f>
        <v>0</v>
      </c>
      <c r="Z189">
        <f t="shared" si="5"/>
        <v>1</v>
      </c>
      <c r="AA189">
        <f>_xlfn.XLOOKUP(B189,Remittance_Data!A:A,Remittance_Data!B:B,"CHECK")</f>
        <v>59469</v>
      </c>
      <c r="AB189">
        <f>_xlfn.XLOOKUP(B189,Remittance_Data!A:A,Remittance_Data!C:C,"CHECK")</f>
        <v>49659</v>
      </c>
      <c r="AC189">
        <f>_xlfn.XLOOKUP(B189,Remittance_Data!A:A,Remittance_Data!D:D,"CHECK")</f>
        <v>9810</v>
      </c>
    </row>
    <row r="190" spans="1:29">
      <c r="A190" t="str">
        <v>Mymensingh-2</v>
      </c>
      <c r="B190" t="str" cm="1">
        <f t="array" ref="B1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Nawabganj","Chapainawabganj"),Final_Merged_Data!$B$2:$B$1000=$A190)))</f>
        <v>Mymensingh</v>
      </c>
      <c r="C190" t="str" cm="1">
        <f t="array" ref="C190">_xlfn.TEXTJOIN(", ",TRUE,_xlfn._xlws.FILTER(Final_Merged_Data!$C$2:$C$1000,Final_Merged_Data!$B$2:$B$1000=$A190))</f>
        <v>Fulpur</v>
      </c>
      <c r="D190" cm="1">
        <f t="array" ref="D190">COUNTA(_xlfn._xlws.FILTER(Final_Merged_Data!$C$2:$C$1000,Final_Merged_Data!$B$2:$B$1000=$A190))</f>
        <v>1</v>
      </c>
      <c r="E190">
        <f>SUMIFS(Final_Merged_Data!$E:$E,Final_Merged_Data!$B:$B,$A190)</f>
        <v>277.63</v>
      </c>
      <c r="F190">
        <f>SUMIFS(Final_Merged_Data!$F:$F,Final_Merged_Data!$B:$B,$A190)</f>
        <v>350967</v>
      </c>
      <c r="G190">
        <f t="shared" si="4"/>
        <v>1264.1537297842453</v>
      </c>
      <c r="H190" cm="1">
        <f t="array" ref="H190">SUMPRODUCT((Final_Merged_Data!$B$2:$B$1000=$A190)*Final_Merged_Data!$H$2:$H$1000*Final_Merged_Data!$F$2:$F$1000)/F190</f>
        <v>4</v>
      </c>
      <c r="I190" cm="1">
        <f t="array" ref="I190">SUMPRODUCT((Final_Merged_Data!$B$2:$B$1000=$A190)*Final_Merged_Data!$I$2:$I$1000*Final_Merged_Data!$F$2:$F$1000)/F190</f>
        <v>66.66</v>
      </c>
      <c r="J190" t="str" cm="1">
        <f t="array" ref="J190">_xlfn.TEXTJOIN(", ",TRUE,_xlfn.UNIQUE(_xlfn._xlws.FILTER(Final_Merged_Data!$J$2:$J$1000,Final_Merged_Data!$B$2:$B$1000=$A190)))</f>
        <v>Mymensingh Range</v>
      </c>
      <c r="K190" cm="1">
        <f t="array" ref="K190">SUMPRODUCT((Final_Merged_Data!$B$2:$B$1000=$A190)*Final_Merged_Data!$K$2:$K$1000*Final_Merged_Data!$F$2:$F$1000)/F190</f>
        <v>84.741263899591743</v>
      </c>
      <c r="L190" cm="1">
        <f t="array" ref="L190">SUMPRODUCT((Final_Merged_Data!$B$2:$B$1000=$A190)*Final_Merged_Data!$L$2:$L$1000*Final_Merged_Data!$F$2:$F$1000)/F190</f>
        <v>13.63549101550381</v>
      </c>
      <c r="M190" t="str">
        <f>IF(COUNTIF(Master_Data!$C:$C,$A190)&gt;0,"Found","Missing")</f>
        <v>Found</v>
      </c>
      <c r="N190" t="str">
        <f>_xlfn.XLOOKUP($A190,Master_Data!$C:$C,Master_Data!$D:$D,"CHECK",0)</f>
        <v>Muhammadullah</v>
      </c>
      <c r="O190" t="str">
        <f>_xlfn.XLOOKUP($A190,Master_Data!$C:$C,Master_Data!$E:$E,"CHECK",0)</f>
        <v>BKM</v>
      </c>
      <c r="P190">
        <f>_xlfn.XLOOKUP($A190,Master_Data!$C:$C,Master_Data!$F:$F,"CHECK",0)</f>
        <v>0</v>
      </c>
      <c r="Q190">
        <f>_xlfn.XLOOKUP($A190,Master_Data!$C:$C,Master_Data!$G:$G,"CHECK",0)</f>
        <v>144565</v>
      </c>
      <c r="R190">
        <f>IFERROR(_xlfn.XLOOKUP($A190,Master_Data!$C:$C,Master_Data!$H:$H,"CHECK",0),"")</f>
        <v>55.196652272354143</v>
      </c>
      <c r="S190" t="str">
        <f>_xlfn.XLOOKUP($A190,Master_Data!$C:$C,Master_Data!$I:$I,"CHECK",0)</f>
        <v>Motahar Hossain Talukder</v>
      </c>
      <c r="T190">
        <f>_xlfn.XLOOKUP($A190,Master_Data!$C:$C,Master_Data!$K:$K,"CHECK",0)</f>
        <v>117344</v>
      </c>
      <c r="U190">
        <f>IFERROR(_xlfn.XLOOKUP($A190,Master_Data!$C:$C,Master_Data!$L:$L,"CHECK",0),"")</f>
        <v>44.803347727645857</v>
      </c>
      <c r="V190">
        <f>_xlfn.XLOOKUP($A190,Master_Data!$C:$C,Master_Data!$M:$M,"CHECK",0)</f>
        <v>27221</v>
      </c>
      <c r="W190">
        <f>IFERROR(_xlfn.XLOOKUP($A190,Master_Data!$C:$C,Master_Data!$N:$N,"CHECK",0),"")</f>
        <v>10.393304544708275</v>
      </c>
      <c r="X190" t="str">
        <f>IFERROR(_xlfn.XLOOKUP($A190,Master_Data!$C:$C,Master_Data!$O:$O,"CHECK",0),"No Result")</f>
        <v>Safe Seat</v>
      </c>
      <c r="Y190">
        <f>_xlfn.XLOOKUP($A190,Master_Data!$C:$C,Master_Data!$P:$P,"CHECK",0)</f>
        <v>0</v>
      </c>
      <c r="Z190">
        <f t="shared" si="5"/>
        <v>1</v>
      </c>
      <c r="AA190">
        <f>_xlfn.XLOOKUP(B190,Remittance_Data!A:A,Remittance_Data!B:B,"CHECK")</f>
        <v>59469</v>
      </c>
      <c r="AB190">
        <f>_xlfn.XLOOKUP(B190,Remittance_Data!A:A,Remittance_Data!C:C,"CHECK")</f>
        <v>49659</v>
      </c>
      <c r="AC190">
        <f>_xlfn.XLOOKUP(B190,Remittance_Data!A:A,Remittance_Data!D:D,"CHECK")</f>
        <v>9810</v>
      </c>
    </row>
    <row r="191" spans="1:29">
      <c r="A191" t="str">
        <v>Mymensingh-3</v>
      </c>
      <c r="B191" t="str" cm="1">
        <f t="array" ref="B1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Nawabganj","Chapainawabganj"),Final_Merged_Data!$B$2:$B$1000=$A191)))</f>
        <v>Mymensingh</v>
      </c>
      <c r="C191" t="str" cm="1">
        <f t="array" ref="C191">_xlfn.TEXTJOIN(", ",TRUE,_xlfn._xlws.FILTER(Final_Merged_Data!$C$2:$C$1000,Final_Merged_Data!$B$2:$B$1000=$A191))</f>
        <v>Gouripur</v>
      </c>
      <c r="D191" cm="1">
        <f t="array" ref="D191">COUNTA(_xlfn._xlws.FILTER(Final_Merged_Data!$C$2:$C$1000,Final_Merged_Data!$B$2:$B$1000=$A191))</f>
        <v>1</v>
      </c>
      <c r="E191">
        <f>SUMIFS(Final_Merged_Data!$E:$E,Final_Merged_Data!$B:$B,$A191)</f>
        <v>331.84</v>
      </c>
      <c r="F191">
        <f>SUMIFS(Final_Merged_Data!$F:$F,Final_Merged_Data!$B:$B,$A191)</f>
        <v>357331</v>
      </c>
      <c r="G191">
        <f t="shared" si="4"/>
        <v>1076.8171407907425</v>
      </c>
      <c r="H191" cm="1">
        <f t="array" ref="H191">SUMPRODUCT((Final_Merged_Data!$B$2:$B$1000=$A191)*Final_Merged_Data!$H$2:$H$1000*Final_Merged_Data!$F$2:$F$1000)/F191</f>
        <v>4.1399999999999997</v>
      </c>
      <c r="I191" cm="1">
        <f t="array" ref="I191">SUMPRODUCT((Final_Merged_Data!$B$2:$B$1000=$A191)*Final_Merged_Data!$I$2:$I$1000*Final_Merged_Data!$F$2:$F$1000)/F191</f>
        <v>68.209999999999994</v>
      </c>
      <c r="J191" t="str" cm="1">
        <f t="array" ref="J191">_xlfn.TEXTJOIN(", ",TRUE,_xlfn.UNIQUE(_xlfn._xlws.FILTER(Final_Merged_Data!$J$2:$J$1000,Final_Merged_Data!$B$2:$B$1000=$A191)))</f>
        <v>Mymensingh Range</v>
      </c>
      <c r="K191" cm="1">
        <f t="array" ref="K191">SUMPRODUCT((Final_Merged_Data!$B$2:$B$1000=$A191)*Final_Merged_Data!$K$2:$K$1000*Final_Merged_Data!$F$2:$F$1000)/F191</f>
        <v>84.741263899591743</v>
      </c>
      <c r="L191" cm="1">
        <f t="array" ref="L191">SUMPRODUCT((Final_Merged_Data!$B$2:$B$1000=$A191)*Final_Merged_Data!$L$2:$L$1000*Final_Merged_Data!$F$2:$F$1000)/F191</f>
        <v>13.635491015503808</v>
      </c>
      <c r="M191" t="str">
        <f>IF(COUNTIF(Master_Data!$C:$C,$A191)&gt;0,"Found","Missing")</f>
        <v>Found</v>
      </c>
      <c r="N191" t="str">
        <f>_xlfn.XLOOKUP($A191,Master_Data!$C:$C,Master_Data!$D:$D,"CHECK",0)</f>
        <v>M Iqbal Hossain</v>
      </c>
      <c r="O191" t="str">
        <f>_xlfn.XLOOKUP($A191,Master_Data!$C:$C,Master_Data!$E:$E,"CHECK",0)</f>
        <v>BNP</v>
      </c>
      <c r="P191">
        <f>_xlfn.XLOOKUP($A191,Master_Data!$C:$C,Master_Data!$F:$F,"CHECK",0)</f>
        <v>1</v>
      </c>
      <c r="Q191">
        <f>_xlfn.XLOOKUP($A191,Master_Data!$C:$C,Master_Data!$G:$G,"CHECK",0)</f>
        <v>75320</v>
      </c>
      <c r="R191">
        <f>IFERROR(_xlfn.XLOOKUP($A191,Master_Data!$C:$C,Master_Data!$H:$H,"CHECK",0),"")</f>
        <v>53.299366663128467</v>
      </c>
      <c r="S191" t="str">
        <f>_xlfn.XLOOKUP($A191,Master_Data!$C:$C,Master_Data!$I:$I,"CHECK",0)</f>
        <v>Ahmad Taibur Rahman</v>
      </c>
      <c r="T191">
        <f>_xlfn.XLOOKUP($A191,Master_Data!$C:$C,Master_Data!$K:$K,"CHECK",0)</f>
        <v>65995</v>
      </c>
      <c r="U191">
        <f>IFERROR(_xlfn.XLOOKUP($A191,Master_Data!$C:$C,Master_Data!$L:$L,"CHECK",0),"")</f>
        <v>46.700633336871526</v>
      </c>
      <c r="V191">
        <f>_xlfn.XLOOKUP($A191,Master_Data!$C:$C,Master_Data!$M:$M,"CHECK",0)</f>
        <v>9325</v>
      </c>
      <c r="W191">
        <f>IFERROR(_xlfn.XLOOKUP($A191,Master_Data!$C:$C,Master_Data!$N:$N,"CHECK",0),"")</f>
        <v>6.5987333262569434</v>
      </c>
      <c r="X191" t="str">
        <f>IFERROR(_xlfn.XLOOKUP($A191,Master_Data!$C:$C,Master_Data!$O:$O,"CHECK",0),"No Result")</f>
        <v>Safe Seat</v>
      </c>
      <c r="Y191">
        <f>_xlfn.XLOOKUP($A191,Master_Data!$C:$C,Master_Data!$P:$P,"CHECK",0)</f>
        <v>0</v>
      </c>
      <c r="Z191">
        <f t="shared" si="5"/>
        <v>1</v>
      </c>
      <c r="AA191">
        <f>_xlfn.XLOOKUP(B191,Remittance_Data!A:A,Remittance_Data!B:B,"CHECK")</f>
        <v>59469</v>
      </c>
      <c r="AB191">
        <f>_xlfn.XLOOKUP(B191,Remittance_Data!A:A,Remittance_Data!C:C,"CHECK")</f>
        <v>49659</v>
      </c>
      <c r="AC191">
        <f>_xlfn.XLOOKUP(B191,Remittance_Data!A:A,Remittance_Data!D:D,"CHECK")</f>
        <v>9810</v>
      </c>
    </row>
    <row r="192" spans="1:29">
      <c r="A192" t="str">
        <v>Mymensingh-4</v>
      </c>
      <c r="B192" t="str" cm="1">
        <f t="array" ref="B1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Nawabganj","Chapainawabganj"),Final_Merged_Data!$B$2:$B$1000=$A192)))</f>
        <v>Mymensingh</v>
      </c>
      <c r="C192" t="str" cm="1">
        <f t="array" ref="C192">_xlfn.TEXTJOIN(", ",TRUE,_xlfn._xlws.FILTER(Final_Merged_Data!$C$2:$C$1000,Final_Merged_Data!$B$2:$B$1000=$A192))</f>
        <v>Mymensingh Sadar</v>
      </c>
      <c r="D192" cm="1">
        <f t="array" ref="D192">COUNTA(_xlfn._xlws.FILTER(Final_Merged_Data!$C$2:$C$1000,Final_Merged_Data!$B$2:$B$1000=$A192))</f>
        <v>1</v>
      </c>
      <c r="E192">
        <f>SUMIFS(Final_Merged_Data!$E:$E,Final_Merged_Data!$B:$B,$A192)</f>
        <v>388.45</v>
      </c>
      <c r="F192">
        <f>SUMIFS(Final_Merged_Data!$F:$F,Final_Merged_Data!$B:$B,$A192)</f>
        <v>421413</v>
      </c>
      <c r="G192">
        <f t="shared" si="4"/>
        <v>1084.8577680525163</v>
      </c>
      <c r="H192" cm="1">
        <f t="array" ref="H192">SUMPRODUCT((Final_Merged_Data!$B$2:$B$1000=$A192)*Final_Merged_Data!$H$2:$H$1000*Final_Merged_Data!$F$2:$F$1000)/F192</f>
        <v>4.1900000000000004</v>
      </c>
      <c r="I192" cm="1">
        <f t="array" ref="I192">SUMPRODUCT((Final_Merged_Data!$B$2:$B$1000=$A192)*Final_Merged_Data!$I$2:$I$1000*Final_Merged_Data!$F$2:$F$1000)/F192</f>
        <v>67.540000000000006</v>
      </c>
      <c r="J192" t="str" cm="1">
        <f t="array" ref="J192">_xlfn.TEXTJOIN(", ",TRUE,_xlfn.UNIQUE(_xlfn._xlws.FILTER(Final_Merged_Data!$J$2:$J$1000,Final_Merged_Data!$B$2:$B$1000=$A192)))</f>
        <v>Mymensingh Range</v>
      </c>
      <c r="K192" cm="1">
        <f t="array" ref="K192">SUMPRODUCT((Final_Merged_Data!$B$2:$B$1000=$A192)*Final_Merged_Data!$K$2:$K$1000*Final_Merged_Data!$F$2:$F$1000)/F192</f>
        <v>84.741263899591743</v>
      </c>
      <c r="L192" cm="1">
        <f t="array" ref="L192">SUMPRODUCT((Final_Merged_Data!$B$2:$B$1000=$A192)*Final_Merged_Data!$L$2:$L$1000*Final_Merged_Data!$F$2:$F$1000)/F192</f>
        <v>13.635491015503808</v>
      </c>
      <c r="M192" t="str">
        <f>IF(COUNTIF(Master_Data!$C:$C,$A192)&gt;0,"Found","Missing")</f>
        <v>Found</v>
      </c>
      <c r="N192" t="str">
        <f>_xlfn.XLOOKUP($A192,Master_Data!$C:$C,Master_Data!$D:$D,"CHECK",0)</f>
        <v>Md. Abu Wahab Akand Wahid</v>
      </c>
      <c r="O192" t="str">
        <f>_xlfn.XLOOKUP($A192,Master_Data!$C:$C,Master_Data!$E:$E,"CHECK",0)</f>
        <v>BNP</v>
      </c>
      <c r="P192">
        <f>_xlfn.XLOOKUP($A192,Master_Data!$C:$C,Master_Data!$F:$F,"CHECK",0)</f>
        <v>1</v>
      </c>
      <c r="Q192">
        <f>_xlfn.XLOOKUP($A192,Master_Data!$C:$C,Master_Data!$G:$G,"CHECK",0)</f>
        <v>177891</v>
      </c>
      <c r="R192">
        <f>IFERROR(_xlfn.XLOOKUP($A192,Master_Data!$C:$C,Master_Data!$H:$H,"CHECK",0),"")</f>
        <v>51.195927142121214</v>
      </c>
      <c r="S192" t="str">
        <f>_xlfn.XLOOKUP($A192,Master_Data!$C:$C,Master_Data!$I:$I,"CHECK",0)</f>
        <v>Mohammad Kamrul Ahsan</v>
      </c>
      <c r="T192">
        <f>_xlfn.XLOOKUP($A192,Master_Data!$C:$C,Master_Data!$K:$K,"CHECK",0)</f>
        <v>169580</v>
      </c>
      <c r="U192">
        <f>IFERROR(_xlfn.XLOOKUP($A192,Master_Data!$C:$C,Master_Data!$L:$L,"CHECK",0),"")</f>
        <v>48.804072857878786</v>
      </c>
      <c r="V192">
        <f>_xlfn.XLOOKUP($A192,Master_Data!$C:$C,Master_Data!$M:$M,"CHECK",0)</f>
        <v>8311</v>
      </c>
      <c r="W192">
        <f>IFERROR(_xlfn.XLOOKUP($A192,Master_Data!$C:$C,Master_Data!$N:$N,"CHECK",0),"")</f>
        <v>2.391854284242426</v>
      </c>
      <c r="X192" t="str">
        <f>IFERROR(_xlfn.XLOOKUP($A192,Master_Data!$C:$C,Master_Data!$O:$O,"CHECK",0),"No Result")</f>
        <v>Highly Competitive</v>
      </c>
      <c r="Y192">
        <f>_xlfn.XLOOKUP($A192,Master_Data!$C:$C,Master_Data!$P:$P,"CHECK",0)</f>
        <v>1</v>
      </c>
      <c r="Z192">
        <f t="shared" si="5"/>
        <v>1</v>
      </c>
      <c r="AA192">
        <f>_xlfn.XLOOKUP(B192,Remittance_Data!A:A,Remittance_Data!B:B,"CHECK")</f>
        <v>59469</v>
      </c>
      <c r="AB192">
        <f>_xlfn.XLOOKUP(B192,Remittance_Data!A:A,Remittance_Data!C:C,"CHECK")</f>
        <v>49659</v>
      </c>
      <c r="AC192">
        <f>_xlfn.XLOOKUP(B192,Remittance_Data!A:A,Remittance_Data!D:D,"CHECK")</f>
        <v>9810</v>
      </c>
    </row>
    <row r="193" spans="1:29">
      <c r="A193" t="str">
        <v>Mymensingh-5</v>
      </c>
      <c r="B193" t="str" cm="1">
        <f t="array" ref="B1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Nawabganj","Chapainawabganj"),Final_Merged_Data!$B$2:$B$1000=$A193)))</f>
        <v>Mymensingh</v>
      </c>
      <c r="C193" t="str" cm="1">
        <f t="array" ref="C193">_xlfn.TEXTJOIN(", ",TRUE,_xlfn._xlws.FILTER(Final_Merged_Data!$C$2:$C$1000,Final_Merged_Data!$B$2:$B$1000=$A193))</f>
        <v>Muktagachha</v>
      </c>
      <c r="D193" cm="1">
        <f t="array" ref="D193">COUNTA(_xlfn._xlws.FILTER(Final_Merged_Data!$C$2:$C$1000,Final_Merged_Data!$B$2:$B$1000=$A193))</f>
        <v>1</v>
      </c>
      <c r="E193">
        <f>SUMIFS(Final_Merged_Data!$E:$E,Final_Merged_Data!$B:$B,$A193)</f>
        <v>229.55</v>
      </c>
      <c r="F193">
        <f>SUMIFS(Final_Merged_Data!$F:$F,Final_Merged_Data!$B:$B,$A193)</f>
        <v>460381</v>
      </c>
      <c r="G193">
        <f t="shared" si="4"/>
        <v>2005.580483554781</v>
      </c>
      <c r="H193" cm="1">
        <f t="array" ref="H193">SUMPRODUCT((Final_Merged_Data!$B$2:$B$1000=$A193)*Final_Merged_Data!$H$2:$H$1000*Final_Merged_Data!$F$2:$F$1000)/F193</f>
        <v>3.93</v>
      </c>
      <c r="I193" cm="1">
        <f t="array" ref="I193">SUMPRODUCT((Final_Merged_Data!$B$2:$B$1000=$A193)*Final_Merged_Data!$I$2:$I$1000*Final_Merged_Data!$F$2:$F$1000)/F193</f>
        <v>71.91</v>
      </c>
      <c r="J193" t="str" cm="1">
        <f t="array" ref="J193">_xlfn.TEXTJOIN(", ",TRUE,_xlfn.UNIQUE(_xlfn._xlws.FILTER(Final_Merged_Data!$J$2:$J$1000,Final_Merged_Data!$B$2:$B$1000=$A193)))</f>
        <v>Mymensingh Range</v>
      </c>
      <c r="K193" cm="1">
        <f t="array" ref="K193">SUMPRODUCT((Final_Merged_Data!$B$2:$B$1000=$A193)*Final_Merged_Data!$K$2:$K$1000*Final_Merged_Data!$F$2:$F$1000)/F193</f>
        <v>84.741263899591743</v>
      </c>
      <c r="L193" cm="1">
        <f t="array" ref="L193">SUMPRODUCT((Final_Merged_Data!$B$2:$B$1000=$A193)*Final_Merged_Data!$L$2:$L$1000*Final_Merged_Data!$F$2:$F$1000)/F193</f>
        <v>13.635491015503806</v>
      </c>
      <c r="M193" t="str">
        <f>IF(COUNTIF(Master_Data!$C:$C,$A193)&gt;0,"Found","Missing")</f>
        <v>Found</v>
      </c>
      <c r="N193" t="str">
        <f>_xlfn.XLOOKUP($A193,Master_Data!$C:$C,Master_Data!$D:$D,"CHECK",0)</f>
        <v>Mohammad Zakir Hossain</v>
      </c>
      <c r="O193" t="str">
        <f>_xlfn.XLOOKUP($A193,Master_Data!$C:$C,Master_Data!$E:$E,"CHECK",0)</f>
        <v>BNP</v>
      </c>
      <c r="P193">
        <f>_xlfn.XLOOKUP($A193,Master_Data!$C:$C,Master_Data!$F:$F,"CHECK",0)</f>
        <v>1</v>
      </c>
      <c r="Q193">
        <f>_xlfn.XLOOKUP($A193,Master_Data!$C:$C,Master_Data!$G:$G,"CHECK",0)</f>
        <v>128896</v>
      </c>
      <c r="R193">
        <f>IFERROR(_xlfn.XLOOKUP($A193,Master_Data!$C:$C,Master_Data!$H:$H,"CHECK",0),"")</f>
        <v>55.769197487063224</v>
      </c>
      <c r="S193" t="str">
        <f>_xlfn.XLOOKUP($A193,Master_Data!$C:$C,Master_Data!$I:$I,"CHECK",0)</f>
        <v>Md. Matiur Rahman Akand</v>
      </c>
      <c r="T193">
        <f>_xlfn.XLOOKUP($A193,Master_Data!$C:$C,Master_Data!$K:$K,"CHECK",0)</f>
        <v>102228</v>
      </c>
      <c r="U193">
        <f>IFERROR(_xlfn.XLOOKUP($A193,Master_Data!$C:$C,Master_Data!$L:$L,"CHECK",0),"")</f>
        <v>44.230802512936776</v>
      </c>
      <c r="V193">
        <f>_xlfn.XLOOKUP($A193,Master_Data!$C:$C,Master_Data!$M:$M,"CHECK",0)</f>
        <v>26668</v>
      </c>
      <c r="W193">
        <f>IFERROR(_xlfn.XLOOKUP($A193,Master_Data!$C:$C,Master_Data!$N:$N,"CHECK",0),"")</f>
        <v>11.538394974126442</v>
      </c>
      <c r="X193" t="str">
        <f>IFERROR(_xlfn.XLOOKUP($A193,Master_Data!$C:$C,Master_Data!$O:$O,"CHECK",0),"No Result")</f>
        <v>Safe Seat</v>
      </c>
      <c r="Y193">
        <f>_xlfn.XLOOKUP($A193,Master_Data!$C:$C,Master_Data!$P:$P,"CHECK",0)</f>
        <v>0</v>
      </c>
      <c r="Z193">
        <f t="shared" si="5"/>
        <v>1</v>
      </c>
      <c r="AA193">
        <f>_xlfn.XLOOKUP(B193,Remittance_Data!A:A,Remittance_Data!B:B,"CHECK")</f>
        <v>59469</v>
      </c>
      <c r="AB193">
        <f>_xlfn.XLOOKUP(B193,Remittance_Data!A:A,Remittance_Data!C:C,"CHECK")</f>
        <v>49659</v>
      </c>
      <c r="AC193">
        <f>_xlfn.XLOOKUP(B193,Remittance_Data!A:A,Remittance_Data!D:D,"CHECK")</f>
        <v>9810</v>
      </c>
    </row>
    <row r="194" spans="1:29">
      <c r="A194" t="str">
        <v>Mymensingh-6</v>
      </c>
      <c r="B194" t="str" cm="1">
        <f t="array" ref="B1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Nawabganj","Chapainawabganj"),Final_Merged_Data!$B$2:$B$1000=$A194)))</f>
        <v>Mymensingh</v>
      </c>
      <c r="C194" t="str" cm="1">
        <f t="array" ref="C194">_xlfn.TEXTJOIN(", ",TRUE,_xlfn._xlws.FILTER(Final_Merged_Data!$C$2:$C$1000,Final_Merged_Data!$B$2:$B$1000=$A194))</f>
        <v>Fulbaria</v>
      </c>
      <c r="D194" cm="1">
        <f t="array" ref="D194">COUNTA(_xlfn._xlws.FILTER(Final_Merged_Data!$C$2:$C$1000,Final_Merged_Data!$B$2:$B$1000=$A194))</f>
        <v>1</v>
      </c>
      <c r="E194">
        <f>SUMIFS(Final_Merged_Data!$E:$E,Final_Merged_Data!$B:$B,$A194)</f>
        <v>402.41</v>
      </c>
      <c r="F194">
        <f>SUMIFS(Final_Merged_Data!$F:$F,Final_Merged_Data!$B:$B,$A194)</f>
        <v>495894</v>
      </c>
      <c r="G194">
        <f t="shared" si="4"/>
        <v>1232.3103302601824</v>
      </c>
      <c r="H194" cm="1">
        <f t="array" ref="H194">SUMPRODUCT((Final_Merged_Data!$B$2:$B$1000=$A194)*Final_Merged_Data!$H$2:$H$1000*Final_Merged_Data!$F$2:$F$1000)/F194</f>
        <v>4.01</v>
      </c>
      <c r="I194" cm="1">
        <f t="array" ref="I194">SUMPRODUCT((Final_Merged_Data!$B$2:$B$1000=$A194)*Final_Merged_Data!$I$2:$I$1000*Final_Merged_Data!$F$2:$F$1000)/F194</f>
        <v>68.05</v>
      </c>
      <c r="J194" t="str" cm="1">
        <f t="array" ref="J194">_xlfn.TEXTJOIN(", ",TRUE,_xlfn.UNIQUE(_xlfn._xlws.FILTER(Final_Merged_Data!$J$2:$J$1000,Final_Merged_Data!$B$2:$B$1000=$A194)))</f>
        <v>Mymensingh Range</v>
      </c>
      <c r="K194" cm="1">
        <f t="array" ref="K194">SUMPRODUCT((Final_Merged_Data!$B$2:$B$1000=$A194)*Final_Merged_Data!$K$2:$K$1000*Final_Merged_Data!$F$2:$F$1000)/F194</f>
        <v>84.741263899591743</v>
      </c>
      <c r="L194" cm="1">
        <f t="array" ref="L194">SUMPRODUCT((Final_Merged_Data!$B$2:$B$1000=$A194)*Final_Merged_Data!$L$2:$L$1000*Final_Merged_Data!$F$2:$F$1000)/F194</f>
        <v>13.635491015503808</v>
      </c>
      <c r="M194" t="str">
        <f>IF(COUNTIF(Master_Data!$C:$C,$A194)&gt;0,"Found","Missing")</f>
        <v>Found</v>
      </c>
      <c r="N194" t="str">
        <f>_xlfn.XLOOKUP($A194,Master_Data!$C:$C,Master_Data!$D:$D,"CHECK",0)</f>
        <v>Md. Kamrul Hasan</v>
      </c>
      <c r="O194" t="str">
        <f>_xlfn.XLOOKUP($A194,Master_Data!$C:$C,Master_Data!$E:$E,"CHECK",0)</f>
        <v>Jamaat</v>
      </c>
      <c r="P194">
        <f>_xlfn.XLOOKUP($A194,Master_Data!$C:$C,Master_Data!$F:$F,"CHECK",0)</f>
        <v>2</v>
      </c>
      <c r="Q194">
        <f>_xlfn.XLOOKUP($A194,Master_Data!$C:$C,Master_Data!$G:$G,"CHECK",0)</f>
        <v>75946</v>
      </c>
      <c r="R194">
        <f>IFERROR(_xlfn.XLOOKUP($A194,Master_Data!$C:$C,Master_Data!$H:$H,"CHECK",0),"")</f>
        <v>59.049100027213001</v>
      </c>
      <c r="S194" t="str">
        <f>_xlfn.XLOOKUP($A194,Master_Data!$C:$C,Master_Data!$I:$I,"CHECK",0)</f>
        <v>Akhtar Sultana</v>
      </c>
      <c r="T194">
        <f>_xlfn.XLOOKUP($A194,Master_Data!$C:$C,Master_Data!$K:$K,"CHECK",0)</f>
        <v>52669</v>
      </c>
      <c r="U194">
        <f>IFERROR(_xlfn.XLOOKUP($A194,Master_Data!$C:$C,Master_Data!$L:$L,"CHECK",0),"")</f>
        <v>40.950899972786999</v>
      </c>
      <c r="V194">
        <f>_xlfn.XLOOKUP($A194,Master_Data!$C:$C,Master_Data!$M:$M,"CHECK",0)</f>
        <v>23277</v>
      </c>
      <c r="W194">
        <f>IFERROR(_xlfn.XLOOKUP($A194,Master_Data!$C:$C,Master_Data!$N:$N,"CHECK",0),"")</f>
        <v>18.098200054426002</v>
      </c>
      <c r="X194" t="str">
        <f>IFERROR(_xlfn.XLOOKUP($A194,Master_Data!$C:$C,Master_Data!$O:$O,"CHECK",0),"No Result")</f>
        <v>Safe Seat</v>
      </c>
      <c r="Y194">
        <f>_xlfn.XLOOKUP($A194,Master_Data!$C:$C,Master_Data!$P:$P,"CHECK",0)</f>
        <v>0</v>
      </c>
      <c r="Z194">
        <f t="shared" si="5"/>
        <v>1</v>
      </c>
      <c r="AA194">
        <f>_xlfn.XLOOKUP(B194,Remittance_Data!A:A,Remittance_Data!B:B,"CHECK")</f>
        <v>59469</v>
      </c>
      <c r="AB194">
        <f>_xlfn.XLOOKUP(B194,Remittance_Data!A:A,Remittance_Data!C:C,"CHECK")</f>
        <v>49659</v>
      </c>
      <c r="AC194">
        <f>_xlfn.XLOOKUP(B194,Remittance_Data!A:A,Remittance_Data!D:D,"CHECK")</f>
        <v>9810</v>
      </c>
    </row>
    <row r="195" spans="1:29">
      <c r="A195" t="str">
        <v>Mymensingh-7</v>
      </c>
      <c r="B195" t="str" cm="1">
        <f t="array" ref="B1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Nawabganj","Chapainawabganj"),Final_Merged_Data!$B$2:$B$1000=$A195)))</f>
        <v>Mymensingh</v>
      </c>
      <c r="C195" t="str" cm="1">
        <f t="array" ref="C195">_xlfn.TEXTJOIN(", ",TRUE,_xlfn._xlws.FILTER(Final_Merged_Data!$C$2:$C$1000,Final_Merged_Data!$B$2:$B$1000=$A195))</f>
        <v>Trishal</v>
      </c>
      <c r="D195" cm="1">
        <f t="array" ref="D195">COUNTA(_xlfn._xlws.FILTER(Final_Merged_Data!$C$2:$C$1000,Final_Merged_Data!$B$2:$B$1000=$A195))</f>
        <v>1</v>
      </c>
      <c r="E195">
        <f>SUMIFS(Final_Merged_Data!$E:$E,Final_Merged_Data!$B:$B,$A195)</f>
        <v>338.98</v>
      </c>
      <c r="F195">
        <f>SUMIFS(Final_Merged_Data!$F:$F,Final_Merged_Data!$B:$B,$A195)</f>
        <v>491467</v>
      </c>
      <c r="G195">
        <f t="shared" ref="G195:G258" si="6">IF(E195=0,"",F195/E195)</f>
        <v>1449.8406985662871</v>
      </c>
      <c r="H195" cm="1">
        <f t="array" ref="H195">SUMPRODUCT((Final_Merged_Data!$B$2:$B$1000=$A195)*Final_Merged_Data!$H$2:$H$1000*Final_Merged_Data!$F$2:$F$1000)/F195</f>
        <v>4.07</v>
      </c>
      <c r="I195" cm="1">
        <f t="array" ref="I195">SUMPRODUCT((Final_Merged_Data!$B$2:$B$1000=$A195)*Final_Merged_Data!$I$2:$I$1000*Final_Merged_Data!$F$2:$F$1000)/F195</f>
        <v>71.44</v>
      </c>
      <c r="J195" t="str" cm="1">
        <f t="array" ref="J195">_xlfn.TEXTJOIN(", ",TRUE,_xlfn.UNIQUE(_xlfn._xlws.FILTER(Final_Merged_Data!$J$2:$J$1000,Final_Merged_Data!$B$2:$B$1000=$A195)))</f>
        <v>Mymensingh Range</v>
      </c>
      <c r="K195" cm="1">
        <f t="array" ref="K195">SUMPRODUCT((Final_Merged_Data!$B$2:$B$1000=$A195)*Final_Merged_Data!$K$2:$K$1000*Final_Merged_Data!$F$2:$F$1000)/F195</f>
        <v>84.741263899591743</v>
      </c>
      <c r="L195" cm="1">
        <f t="array" ref="L195">SUMPRODUCT((Final_Merged_Data!$B$2:$B$1000=$A195)*Final_Merged_Data!$L$2:$L$1000*Final_Merged_Data!$F$2:$F$1000)/F195</f>
        <v>13.635491015503808</v>
      </c>
      <c r="M195" t="str">
        <f>IF(COUNTIF(Master_Data!$C:$C,$A195)&gt;0,"Found","Missing")</f>
        <v>Found</v>
      </c>
      <c r="N195" t="str">
        <f>_xlfn.XLOOKUP($A195,Master_Data!$C:$C,Master_Data!$D:$D,"CHECK",0)</f>
        <v>Md. Mahabubur Rahman</v>
      </c>
      <c r="O195" t="str">
        <f>_xlfn.XLOOKUP($A195,Master_Data!$C:$C,Master_Data!$E:$E,"CHECK",0)</f>
        <v>BNP</v>
      </c>
      <c r="P195">
        <f>_xlfn.XLOOKUP($A195,Master_Data!$C:$C,Master_Data!$F:$F,"CHECK",0)</f>
        <v>1</v>
      </c>
      <c r="Q195">
        <f>_xlfn.XLOOKUP($A195,Master_Data!$C:$C,Master_Data!$G:$G,"CHECK",0)</f>
        <v>99049</v>
      </c>
      <c r="R195">
        <f>IFERROR(_xlfn.XLOOKUP($A195,Master_Data!$C:$C,Master_Data!$H:$H,"CHECK",0),"")</f>
        <v>53.860250135943446</v>
      </c>
      <c r="S195" t="str">
        <f>_xlfn.XLOOKUP($A195,Master_Data!$C:$C,Master_Data!$I:$I,"CHECK",0)</f>
        <v>Md. Achaduzzaman</v>
      </c>
      <c r="T195">
        <f>_xlfn.XLOOKUP($A195,Master_Data!$C:$C,Master_Data!$K:$K,"CHECK",0)</f>
        <v>84851</v>
      </c>
      <c r="U195">
        <f>IFERROR(_xlfn.XLOOKUP($A195,Master_Data!$C:$C,Master_Data!$L:$L,"CHECK",0),"")</f>
        <v>46.139749864056547</v>
      </c>
      <c r="V195">
        <f>_xlfn.XLOOKUP($A195,Master_Data!$C:$C,Master_Data!$M:$M,"CHECK",0)</f>
        <v>14198</v>
      </c>
      <c r="W195">
        <f>IFERROR(_xlfn.XLOOKUP($A195,Master_Data!$C:$C,Master_Data!$N:$N,"CHECK",0),"")</f>
        <v>7.7205002718868947</v>
      </c>
      <c r="X195" t="str">
        <f>IFERROR(_xlfn.XLOOKUP($A195,Master_Data!$C:$C,Master_Data!$O:$O,"CHECK",0),"No Result")</f>
        <v>Safe Seat</v>
      </c>
      <c r="Y195">
        <f>_xlfn.XLOOKUP($A195,Master_Data!$C:$C,Master_Data!$P:$P,"CHECK",0)</f>
        <v>0</v>
      </c>
      <c r="Z195">
        <f t="shared" ref="Z195:Z258" si="7">IF(OR(R195="",Y195="No Result",N195="Election postponed",N195="Result withheld"),0,1)</f>
        <v>1</v>
      </c>
      <c r="AA195">
        <f>_xlfn.XLOOKUP(B195,Remittance_Data!A:A,Remittance_Data!B:B,"CHECK")</f>
        <v>59469</v>
      </c>
      <c r="AB195">
        <f>_xlfn.XLOOKUP(B195,Remittance_Data!A:A,Remittance_Data!C:C,"CHECK")</f>
        <v>49659</v>
      </c>
      <c r="AC195">
        <f>_xlfn.XLOOKUP(B195,Remittance_Data!A:A,Remittance_Data!D:D,"CHECK")</f>
        <v>9810</v>
      </c>
    </row>
    <row r="196" spans="1:29">
      <c r="A196" t="str">
        <v>Mymensingh-8</v>
      </c>
      <c r="B196" t="str" cm="1">
        <f t="array" ref="B1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Nawabganj","Chapainawabganj"),Final_Merged_Data!$B$2:$B$1000=$A196)))</f>
        <v>Mymensingh</v>
      </c>
      <c r="C196" t="str" cm="1">
        <f t="array" ref="C196">_xlfn.TEXTJOIN(", ",TRUE,_xlfn._xlws.FILTER(Final_Merged_Data!$C$2:$C$1000,Final_Merged_Data!$B$2:$B$1000=$A196))</f>
        <v>Ishwarganj</v>
      </c>
      <c r="D196" cm="1">
        <f t="array" ref="D196">COUNTA(_xlfn._xlws.FILTER(Final_Merged_Data!$C$2:$C$1000,Final_Merged_Data!$B$2:$B$1000=$A196))</f>
        <v>1</v>
      </c>
      <c r="E196">
        <f>SUMIFS(Final_Merged_Data!$E:$E,Final_Merged_Data!$B:$B,$A196)</f>
        <v>286.19</v>
      </c>
      <c r="F196">
        <f>SUMIFS(Final_Merged_Data!$F:$F,Final_Merged_Data!$B:$B,$A196)</f>
        <v>404598</v>
      </c>
      <c r="G196">
        <f t="shared" si="6"/>
        <v>1413.7391243579441</v>
      </c>
      <c r="H196" cm="1">
        <f t="array" ref="H196">SUMPRODUCT((Final_Merged_Data!$B$2:$B$1000=$A196)*Final_Merged_Data!$H$2:$H$1000*Final_Merged_Data!$F$2:$F$1000)/F196</f>
        <v>4.1100000000000003</v>
      </c>
      <c r="I196" cm="1">
        <f t="array" ref="I196">SUMPRODUCT((Final_Merged_Data!$B$2:$B$1000=$A196)*Final_Merged_Data!$I$2:$I$1000*Final_Merged_Data!$F$2:$F$1000)/F196</f>
        <v>66.819999999999993</v>
      </c>
      <c r="J196" t="str" cm="1">
        <f t="array" ref="J196">_xlfn.TEXTJOIN(", ",TRUE,_xlfn.UNIQUE(_xlfn._xlws.FILTER(Final_Merged_Data!$J$2:$J$1000,Final_Merged_Data!$B$2:$B$1000=$A196)))</f>
        <v>Mymensingh Range</v>
      </c>
      <c r="K196" cm="1">
        <f t="array" ref="K196">SUMPRODUCT((Final_Merged_Data!$B$2:$B$1000=$A196)*Final_Merged_Data!$K$2:$K$1000*Final_Merged_Data!$F$2:$F$1000)/F196</f>
        <v>84.741263899591743</v>
      </c>
      <c r="L196" cm="1">
        <f t="array" ref="L196">SUMPRODUCT((Final_Merged_Data!$B$2:$B$1000=$A196)*Final_Merged_Data!$L$2:$L$1000*Final_Merged_Data!$F$2:$F$1000)/F196</f>
        <v>13.635491015503806</v>
      </c>
      <c r="M196" t="str">
        <f>IF(COUNTIF(Master_Data!$C:$C,$A196)&gt;0,"Found","Missing")</f>
        <v>Found</v>
      </c>
      <c r="N196" t="str">
        <f>_xlfn.XLOOKUP($A196,Master_Data!$C:$C,Master_Data!$D:$D,"CHECK",0)</f>
        <v>Lutfulahel Majed</v>
      </c>
      <c r="O196" t="str">
        <f>_xlfn.XLOOKUP($A196,Master_Data!$C:$C,Master_Data!$E:$E,"CHECK",0)</f>
        <v>BNP</v>
      </c>
      <c r="P196">
        <f>_xlfn.XLOOKUP($A196,Master_Data!$C:$C,Master_Data!$F:$F,"CHECK",0)</f>
        <v>1</v>
      </c>
      <c r="Q196">
        <f>_xlfn.XLOOKUP($A196,Master_Data!$C:$C,Master_Data!$G:$G,"CHECK",0)</f>
        <v>107577</v>
      </c>
      <c r="R196">
        <f>IFERROR(_xlfn.XLOOKUP($A196,Master_Data!$C:$C,Master_Data!$H:$H,"CHECK",0),"")</f>
        <v>70.143054613739494</v>
      </c>
      <c r="S196" t="str">
        <f>_xlfn.XLOOKUP($A196,Master_Data!$C:$C,Master_Data!$I:$I,"CHECK",0)</f>
        <v>Md. Aurangzeb Belal</v>
      </c>
      <c r="T196">
        <f>_xlfn.XLOOKUP($A196,Master_Data!$C:$C,Master_Data!$K:$K,"CHECK",0)</f>
        <v>45791</v>
      </c>
      <c r="U196">
        <f>IFERROR(_xlfn.XLOOKUP($A196,Master_Data!$C:$C,Master_Data!$L:$L,"CHECK",0),"")</f>
        <v>29.856945386260499</v>
      </c>
      <c r="V196">
        <f>_xlfn.XLOOKUP($A196,Master_Data!$C:$C,Master_Data!$M:$M,"CHECK",0)</f>
        <v>61786</v>
      </c>
      <c r="W196">
        <f>IFERROR(_xlfn.XLOOKUP($A196,Master_Data!$C:$C,Master_Data!$N:$N,"CHECK",0),"")</f>
        <v>40.286109227479002</v>
      </c>
      <c r="X196" t="str">
        <f>IFERROR(_xlfn.XLOOKUP($A196,Master_Data!$C:$C,Master_Data!$O:$O,"CHECK",0),"No Result")</f>
        <v>Safe Seat</v>
      </c>
      <c r="Y196">
        <f>_xlfn.XLOOKUP($A196,Master_Data!$C:$C,Master_Data!$P:$P,"CHECK",0)</f>
        <v>0</v>
      </c>
      <c r="Z196">
        <f t="shared" si="7"/>
        <v>1</v>
      </c>
      <c r="AA196">
        <f>_xlfn.XLOOKUP(B196,Remittance_Data!A:A,Remittance_Data!B:B,"CHECK")</f>
        <v>59469</v>
      </c>
      <c r="AB196">
        <f>_xlfn.XLOOKUP(B196,Remittance_Data!A:A,Remittance_Data!C:C,"CHECK")</f>
        <v>49659</v>
      </c>
      <c r="AC196">
        <f>_xlfn.XLOOKUP(B196,Remittance_Data!A:A,Remittance_Data!D:D,"CHECK")</f>
        <v>9810</v>
      </c>
    </row>
    <row r="197" spans="1:29">
      <c r="A197" t="str">
        <v>Mymensingh-9</v>
      </c>
      <c r="B197" t="str" cm="1">
        <f t="array" ref="B1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Nawabganj","Chapainawabganj"),Final_Merged_Data!$B$2:$B$1000=$A197)))</f>
        <v>Mymensingh</v>
      </c>
      <c r="C197" t="str" cm="1">
        <f t="array" ref="C197">_xlfn.TEXTJOIN(", ",TRUE,_xlfn._xlws.FILTER(Final_Merged_Data!$C$2:$C$1000,Final_Merged_Data!$B$2:$B$1000=$A197))</f>
        <v>Nandail</v>
      </c>
      <c r="D197" cm="1">
        <f t="array" ref="D197">COUNTA(_xlfn._xlws.FILTER(Final_Merged_Data!$C$2:$C$1000,Final_Merged_Data!$B$2:$B$1000=$A197))</f>
        <v>1</v>
      </c>
      <c r="E197">
        <f>SUMIFS(Final_Merged_Data!$E:$E,Final_Merged_Data!$B:$B,$A197)</f>
        <v>347.31</v>
      </c>
      <c r="F197">
        <f>SUMIFS(Final_Merged_Data!$F:$F,Final_Merged_Data!$B:$B,$A197)</f>
        <v>421277</v>
      </c>
      <c r="G197">
        <f t="shared" si="6"/>
        <v>1212.9711209006364</v>
      </c>
      <c r="H197" cm="1">
        <f t="array" ref="H197">SUMPRODUCT((Final_Merged_Data!$B$2:$B$1000=$A197)*Final_Merged_Data!$H$2:$H$1000*Final_Merged_Data!$F$2:$F$1000)/F197</f>
        <v>4.1100000000000003</v>
      </c>
      <c r="I197" cm="1">
        <f t="array" ref="I197">SUMPRODUCT((Final_Merged_Data!$B$2:$B$1000=$A197)*Final_Merged_Data!$I$2:$I$1000*Final_Merged_Data!$F$2:$F$1000)/F197</f>
        <v>66.03</v>
      </c>
      <c r="J197" t="str" cm="1">
        <f t="array" ref="J197">_xlfn.TEXTJOIN(", ",TRUE,_xlfn.UNIQUE(_xlfn._xlws.FILTER(Final_Merged_Data!$J$2:$J$1000,Final_Merged_Data!$B$2:$B$1000=$A197)))</f>
        <v>Mymensingh Range</v>
      </c>
      <c r="K197" cm="1">
        <f t="array" ref="K197">SUMPRODUCT((Final_Merged_Data!$B$2:$B$1000=$A197)*Final_Merged_Data!$K$2:$K$1000*Final_Merged_Data!$F$2:$F$1000)/F197</f>
        <v>84.741263899591743</v>
      </c>
      <c r="L197" cm="1">
        <f t="array" ref="L197">SUMPRODUCT((Final_Merged_Data!$B$2:$B$1000=$A197)*Final_Merged_Data!$L$2:$L$1000*Final_Merged_Data!$F$2:$F$1000)/F197</f>
        <v>13.63549101550381</v>
      </c>
      <c r="M197" t="str">
        <f>IF(COUNTIF(Master_Data!$C:$C,$A197)&gt;0,"Found","Missing")</f>
        <v>Found</v>
      </c>
      <c r="N197" t="str">
        <f>_xlfn.XLOOKUP($A197,Master_Data!$C:$C,Master_Data!$D:$D,"CHECK",0)</f>
        <v>Yasser Khan Chowdhury</v>
      </c>
      <c r="O197" t="str">
        <f>_xlfn.XLOOKUP($A197,Master_Data!$C:$C,Master_Data!$E:$E,"CHECK",0)</f>
        <v>BNP</v>
      </c>
      <c r="P197">
        <f>_xlfn.XLOOKUP($A197,Master_Data!$C:$C,Master_Data!$F:$F,"CHECK",0)</f>
        <v>1</v>
      </c>
      <c r="Q197">
        <f>_xlfn.XLOOKUP($A197,Master_Data!$C:$C,Master_Data!$G:$G,"CHECK",0)</f>
        <v>85761</v>
      </c>
      <c r="R197">
        <f>IFERROR(_xlfn.XLOOKUP($A197,Master_Data!$C:$C,Master_Data!$H:$H,"CHECK",0),"")</f>
        <v>54.649554894251537</v>
      </c>
      <c r="S197" t="str">
        <f>_xlfn.XLOOKUP($A197,Master_Data!$C:$C,Master_Data!$I:$I,"CHECK",0)</f>
        <v>AKM Anwarul Islam</v>
      </c>
      <c r="T197">
        <f>_xlfn.XLOOKUP($A197,Master_Data!$C:$C,Master_Data!$K:$K,"CHECK",0)</f>
        <v>71168</v>
      </c>
      <c r="U197">
        <f>IFERROR(_xlfn.XLOOKUP($A197,Master_Data!$C:$C,Master_Data!$L:$L,"CHECK",0),"")</f>
        <v>45.350445105748463</v>
      </c>
      <c r="V197">
        <f>_xlfn.XLOOKUP($A197,Master_Data!$C:$C,Master_Data!$M:$M,"CHECK",0)</f>
        <v>14593</v>
      </c>
      <c r="W197">
        <f>IFERROR(_xlfn.XLOOKUP($A197,Master_Data!$C:$C,Master_Data!$N:$N,"CHECK",0),"")</f>
        <v>9.2991097885030811</v>
      </c>
      <c r="X197" t="str">
        <f>IFERROR(_xlfn.XLOOKUP($A197,Master_Data!$C:$C,Master_Data!$O:$O,"CHECK",0),"No Result")</f>
        <v>Safe Seat</v>
      </c>
      <c r="Y197">
        <f>_xlfn.XLOOKUP($A197,Master_Data!$C:$C,Master_Data!$P:$P,"CHECK",0)</f>
        <v>0</v>
      </c>
      <c r="Z197">
        <f t="shared" si="7"/>
        <v>1</v>
      </c>
      <c r="AA197">
        <f>_xlfn.XLOOKUP(B197,Remittance_Data!A:A,Remittance_Data!B:B,"CHECK")</f>
        <v>59469</v>
      </c>
      <c r="AB197">
        <f>_xlfn.XLOOKUP(B197,Remittance_Data!A:A,Remittance_Data!C:C,"CHECK")</f>
        <v>49659</v>
      </c>
      <c r="AC197">
        <f>_xlfn.XLOOKUP(B197,Remittance_Data!A:A,Remittance_Data!D:D,"CHECK")</f>
        <v>9810</v>
      </c>
    </row>
    <row r="198" spans="1:29">
      <c r="A198" t="str">
        <v>Naogaon-1</v>
      </c>
      <c r="B198" t="str" cm="1">
        <f t="array" ref="B1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Nawabganj","Chapainawabganj"),Final_Merged_Data!$B$2:$B$1000=$A198)))</f>
        <v>Naogaon</v>
      </c>
      <c r="C198" t="str" cm="1">
        <f t="array" ref="C198">_xlfn.TEXTJOIN(", ",TRUE,_xlfn._xlws.FILTER(Final_Merged_Data!$C$2:$C$1000,Final_Merged_Data!$B$2:$B$1000=$A198))</f>
        <v>Sapahar, Porsha, Niamatpur</v>
      </c>
      <c r="D198" cm="1">
        <f t="array" ref="D198">COUNTA(_xlfn._xlws.FILTER(Final_Merged_Data!$C$2:$C$1000,Final_Merged_Data!$B$2:$B$1000=$A198))</f>
        <v>3</v>
      </c>
      <c r="E198">
        <f>SUMIFS(Final_Merged_Data!$E:$E,Final_Merged_Data!$B:$B,$A198)</f>
        <v>990.5</v>
      </c>
      <c r="F198">
        <f>SUMIFS(Final_Merged_Data!$F:$F,Final_Merged_Data!$B:$B,$A198)</f>
        <v>602253</v>
      </c>
      <c r="G198">
        <f t="shared" si="6"/>
        <v>608.02927814235238</v>
      </c>
      <c r="H198" cm="1">
        <f t="array" ref="H198">SUMPRODUCT((Final_Merged_Data!$B$2:$B$1000=$A198)*Final_Merged_Data!$H$2:$H$1000*Final_Merged_Data!$F$2:$F$1000)/F198</f>
        <v>3.7338310975619882</v>
      </c>
      <c r="I198" cm="1">
        <f t="array" ref="I198">SUMPRODUCT((Final_Merged_Data!$B$2:$B$1000=$A198)*Final_Merged_Data!$I$2:$I$1000*Final_Merged_Data!$F$2:$F$1000)/F198</f>
        <v>73.111721668468235</v>
      </c>
      <c r="J198" t="str" cm="1">
        <f t="array" ref="J198">_xlfn.TEXTJOIN(", ",TRUE,_xlfn.UNIQUE(_xlfn._xlws.FILTER(Final_Merged_Data!$J$2:$J$1000,Final_Merged_Data!$B$2:$B$1000=$A198)))</f>
        <v>Rajshahi Range</v>
      </c>
      <c r="K198" cm="1">
        <f t="array" ref="K198">SUMPRODUCT((Final_Merged_Data!$B$2:$B$1000=$A198)*Final_Merged_Data!$K$2:$K$1000*Final_Merged_Data!$F$2:$F$1000)/F198</f>
        <v>112.81411131450233</v>
      </c>
      <c r="L198" cm="1">
        <f t="array" ref="L198">SUMPRODUCT((Final_Merged_Data!$B$2:$B$1000=$A198)*Final_Merged_Data!$L$2:$L$1000*Final_Merged_Data!$F$2:$F$1000)/F198</f>
        <v>14.272851259111951</v>
      </c>
      <c r="M198" t="str">
        <f>IF(COUNTIF(Master_Data!$C:$C,$A198)&gt;0,"Found","Missing")</f>
        <v>Found</v>
      </c>
      <c r="N198" t="str">
        <f>_xlfn.XLOOKUP($A198,Master_Data!$C:$C,Master_Data!$D:$D,"CHECK",0)</f>
        <v>Md. Mostafizur Rahman</v>
      </c>
      <c r="O198" t="str">
        <f>_xlfn.XLOOKUP($A198,Master_Data!$C:$C,Master_Data!$E:$E,"CHECK",0)</f>
        <v>BNP</v>
      </c>
      <c r="P198">
        <f>_xlfn.XLOOKUP($A198,Master_Data!$C:$C,Master_Data!$F:$F,"CHECK",0)</f>
        <v>1</v>
      </c>
      <c r="Q198">
        <f>_xlfn.XLOOKUP($A198,Master_Data!$C:$C,Master_Data!$G:$G,"CHECK",0)</f>
        <v>173864</v>
      </c>
      <c r="R198">
        <f>IFERROR(_xlfn.XLOOKUP($A198,Master_Data!$C:$C,Master_Data!$H:$H,"CHECK",0),"")</f>
        <v>53.059082031250007</v>
      </c>
      <c r="S198" t="str">
        <f>_xlfn.XLOOKUP($A198,Master_Data!$C:$C,Master_Data!$I:$I,"CHECK",0)</f>
        <v>Md. Mahbubul Alam</v>
      </c>
      <c r="T198">
        <f>_xlfn.XLOOKUP($A198,Master_Data!$C:$C,Master_Data!$K:$K,"CHECK",0)</f>
        <v>153816</v>
      </c>
      <c r="U198">
        <f>IFERROR(_xlfn.XLOOKUP($A198,Master_Data!$C:$C,Master_Data!$L:$L,"CHECK",0),"")</f>
        <v>46.94091796875</v>
      </c>
      <c r="V198">
        <f>_xlfn.XLOOKUP($A198,Master_Data!$C:$C,Master_Data!$M:$M,"CHECK",0)</f>
        <v>20048</v>
      </c>
      <c r="W198">
        <f>IFERROR(_xlfn.XLOOKUP($A198,Master_Data!$C:$C,Master_Data!$N:$N,"CHECK",0),"")</f>
        <v>6.1181640625</v>
      </c>
      <c r="X198" t="str">
        <f>IFERROR(_xlfn.XLOOKUP($A198,Master_Data!$C:$C,Master_Data!$O:$O,"CHECK",0),"No Result")</f>
        <v>Safe Seat</v>
      </c>
      <c r="Y198">
        <f>_xlfn.XLOOKUP($A198,Master_Data!$C:$C,Master_Data!$P:$P,"CHECK",0)</f>
        <v>0</v>
      </c>
      <c r="Z198">
        <f t="shared" si="7"/>
        <v>1</v>
      </c>
      <c r="AA198">
        <f>_xlfn.XLOOKUP(B198,Remittance_Data!A:A,Remittance_Data!B:B,"CHECK")</f>
        <v>28428</v>
      </c>
      <c r="AB198">
        <f>_xlfn.XLOOKUP(B198,Remittance_Data!A:A,Remittance_Data!C:C,"CHECK")</f>
        <v>24822</v>
      </c>
      <c r="AC198">
        <f>_xlfn.XLOOKUP(B198,Remittance_Data!A:A,Remittance_Data!D:D,"CHECK")</f>
        <v>3606</v>
      </c>
    </row>
    <row r="199" spans="1:29">
      <c r="A199" t="str">
        <v>Naogaon-2</v>
      </c>
      <c r="B199" t="str" cm="1">
        <f t="array" ref="B1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Nawabganj","Chapainawabganj"),Final_Merged_Data!$B$2:$B$1000=$A199)))</f>
        <v>Naogaon</v>
      </c>
      <c r="C199" t="str" cm="1">
        <f t="array" ref="C199">_xlfn.TEXTJOIN(", ",TRUE,_xlfn._xlws.FILTER(Final_Merged_Data!$C$2:$C$1000,Final_Merged_Data!$B$2:$B$1000=$A199))</f>
        <v>Patnitala, Dhamoirhat</v>
      </c>
      <c r="D199" cm="1">
        <f t="array" ref="D199">COUNTA(_xlfn._xlws.FILTER(Final_Merged_Data!$C$2:$C$1000,Final_Merged_Data!$B$2:$B$1000=$A199))</f>
        <v>2</v>
      </c>
      <c r="E199">
        <f>SUMIFS(Final_Merged_Data!$E:$E,Final_Merged_Data!$B:$B,$A199)</f>
        <v>681.78</v>
      </c>
      <c r="F199">
        <f>SUMIFS(Final_Merged_Data!$F:$F,Final_Merged_Data!$B:$B,$A199)</f>
        <v>444892</v>
      </c>
      <c r="G199">
        <f t="shared" si="6"/>
        <v>652.5448091759805</v>
      </c>
      <c r="H199" cm="1">
        <f t="array" ref="H199">SUMPRODUCT((Final_Merged_Data!$B$2:$B$1000=$A199)*Final_Merged_Data!$H$2:$H$1000*Final_Merged_Data!$F$2:$F$1000)/F199</f>
        <v>3.5538127455652155</v>
      </c>
      <c r="I199" cm="1">
        <f t="array" ref="I199">SUMPRODUCT((Final_Merged_Data!$B$2:$B$1000=$A199)*Final_Merged_Data!$I$2:$I$1000*Final_Merged_Data!$F$2:$F$1000)/F199</f>
        <v>74.770252802927459</v>
      </c>
      <c r="J199" t="str" cm="1">
        <f t="array" ref="J199">_xlfn.TEXTJOIN(", ",TRUE,_xlfn.UNIQUE(_xlfn._xlws.FILTER(Final_Merged_Data!$J$2:$J$1000,Final_Merged_Data!$B$2:$B$1000=$A199)))</f>
        <v>Rajshahi Range</v>
      </c>
      <c r="K199" cm="1">
        <f t="array" ref="K199">SUMPRODUCT((Final_Merged_Data!$B$2:$B$1000=$A199)*Final_Merged_Data!$K$2:$K$1000*Final_Merged_Data!$F$2:$F$1000)/F199</f>
        <v>112.81411131450233</v>
      </c>
      <c r="L199" cm="1">
        <f t="array" ref="L199">SUMPRODUCT((Final_Merged_Data!$B$2:$B$1000=$A199)*Final_Merged_Data!$L$2:$L$1000*Final_Merged_Data!$F$2:$F$1000)/F199</f>
        <v>14.272851259111947</v>
      </c>
      <c r="M199" t="str">
        <f>IF(COUNTIF(Master_Data!$C:$C,$A199)&gt;0,"Found","Missing")</f>
        <v>Found</v>
      </c>
      <c r="N199" t="str">
        <f>_xlfn.XLOOKUP($A199,Master_Data!$C:$C,Master_Data!$D:$D,"CHECK",0)</f>
        <v>Md. Enamul Haque</v>
      </c>
      <c r="O199" t="str">
        <f>_xlfn.XLOOKUP($A199,Master_Data!$C:$C,Master_Data!$E:$E,"CHECK",0)</f>
        <v>Jamaat</v>
      </c>
      <c r="P199">
        <f>_xlfn.XLOOKUP($A199,Master_Data!$C:$C,Master_Data!$F:$F,"CHECK",0)</f>
        <v>2</v>
      </c>
      <c r="Q199">
        <f>_xlfn.XLOOKUP($A199,Master_Data!$C:$C,Master_Data!$G:$G,"CHECK",0)</f>
        <v>141526</v>
      </c>
      <c r="R199">
        <f>IFERROR(_xlfn.XLOOKUP($A199,Master_Data!$C:$C,Master_Data!$H:$H,"CHECK",0),"")</f>
        <v>51.26657707229252</v>
      </c>
      <c r="S199" t="str">
        <f>_xlfn.XLOOKUP($A199,Master_Data!$C:$C,Master_Data!$I:$I,"CHECK",0)</f>
        <v>Md. Samsujjoha Khan</v>
      </c>
      <c r="T199">
        <f>_xlfn.XLOOKUP($A199,Master_Data!$C:$C,Master_Data!$K:$K,"CHECK",0)</f>
        <v>134533</v>
      </c>
      <c r="U199">
        <f>IFERROR(_xlfn.XLOOKUP($A199,Master_Data!$C:$C,Master_Data!$L:$L,"CHECK",0),"")</f>
        <v>48.73342292770748</v>
      </c>
      <c r="V199">
        <f>_xlfn.XLOOKUP($A199,Master_Data!$C:$C,Master_Data!$M:$M,"CHECK",0)</f>
        <v>6993</v>
      </c>
      <c r="W199">
        <f>IFERROR(_xlfn.XLOOKUP($A199,Master_Data!$C:$C,Master_Data!$N:$N,"CHECK",0),"")</f>
        <v>2.5331541445850347</v>
      </c>
      <c r="X199" t="str">
        <f>IFERROR(_xlfn.XLOOKUP($A199,Master_Data!$C:$C,Master_Data!$O:$O,"CHECK",0),"No Result")</f>
        <v>Highly Competitive</v>
      </c>
      <c r="Y199">
        <f>_xlfn.XLOOKUP($A199,Master_Data!$C:$C,Master_Data!$P:$P,"CHECK",0)</f>
        <v>0</v>
      </c>
      <c r="Z199">
        <f t="shared" si="7"/>
        <v>1</v>
      </c>
      <c r="AA199">
        <f>_xlfn.XLOOKUP(B199,Remittance_Data!A:A,Remittance_Data!B:B,"CHECK")</f>
        <v>28428</v>
      </c>
      <c r="AB199">
        <f>_xlfn.XLOOKUP(B199,Remittance_Data!A:A,Remittance_Data!C:C,"CHECK")</f>
        <v>24822</v>
      </c>
      <c r="AC199">
        <f>_xlfn.XLOOKUP(B199,Remittance_Data!A:A,Remittance_Data!D:D,"CHECK")</f>
        <v>3606</v>
      </c>
    </row>
    <row r="200" spans="1:29">
      <c r="A200" t="str">
        <v>Naogaon-3</v>
      </c>
      <c r="B200" t="str" cm="1">
        <f t="array" ref="B2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Nawabganj","Chapainawabganj"),Final_Merged_Data!$B$2:$B$1000=$A200)))</f>
        <v>Naogaon</v>
      </c>
      <c r="C200" t="str" cm="1">
        <f t="array" ref="C200">_xlfn.TEXTJOIN(", ",TRUE,_xlfn._xlws.FILTER(Final_Merged_Data!$C$2:$C$1000,Final_Merged_Data!$B$2:$B$1000=$A200))</f>
        <v>Mahadebpur, Badalgachhi</v>
      </c>
      <c r="D200" cm="1">
        <f t="array" ref="D200">COUNTA(_xlfn._xlws.FILTER(Final_Merged_Data!$C$2:$C$1000,Final_Merged_Data!$B$2:$B$1000=$A200))</f>
        <v>2</v>
      </c>
      <c r="E200">
        <f>SUMIFS(Final_Merged_Data!$E:$E,Final_Merged_Data!$B:$B,$A200)</f>
        <v>693.65000000000009</v>
      </c>
      <c r="F200">
        <f>SUMIFS(Final_Merged_Data!$F:$F,Final_Merged_Data!$B:$B,$A200)</f>
        <v>515202</v>
      </c>
      <c r="G200">
        <f t="shared" si="6"/>
        <v>742.74057521804934</v>
      </c>
      <c r="H200" cm="1">
        <f t="array" ref="H200">SUMPRODUCT((Final_Merged_Data!$B$2:$B$1000=$A200)*Final_Merged_Data!$H$2:$H$1000*Final_Merged_Data!$F$2:$F$1000)/F200</f>
        <v>3.4999547556104211</v>
      </c>
      <c r="I200" cm="1">
        <f t="array" ref="I200">SUMPRODUCT((Final_Merged_Data!$B$2:$B$1000=$A200)*Final_Merged_Data!$I$2:$I$1000*Final_Merged_Data!$F$2:$F$1000)/F200</f>
        <v>71.79701387028777</v>
      </c>
      <c r="J200" t="str" cm="1">
        <f t="array" ref="J200">_xlfn.TEXTJOIN(", ",TRUE,_xlfn.UNIQUE(_xlfn._xlws.FILTER(Final_Merged_Data!$J$2:$J$1000,Final_Merged_Data!$B$2:$B$1000=$A200)))</f>
        <v>Rajshahi Range</v>
      </c>
      <c r="K200" cm="1">
        <f t="array" ref="K200">SUMPRODUCT((Final_Merged_Data!$B$2:$B$1000=$A200)*Final_Merged_Data!$K$2:$K$1000*Final_Merged_Data!$F$2:$F$1000)/F200</f>
        <v>112.81411131450233</v>
      </c>
      <c r="L200" cm="1">
        <f t="array" ref="L200">SUMPRODUCT((Final_Merged_Data!$B$2:$B$1000=$A200)*Final_Merged_Data!$L$2:$L$1000*Final_Merged_Data!$F$2:$F$1000)/F200</f>
        <v>14.272851259111951</v>
      </c>
      <c r="M200" t="str">
        <f>IF(COUNTIF(Master_Data!$C:$C,$A200)&gt;0,"Found","Missing")</f>
        <v>Found</v>
      </c>
      <c r="N200" t="str">
        <f>_xlfn.XLOOKUP($A200,Master_Data!$C:$C,Master_Data!$D:$D,"CHECK",0)</f>
        <v>Md. Fazle Huda</v>
      </c>
      <c r="O200" t="str">
        <f>_xlfn.XLOOKUP($A200,Master_Data!$C:$C,Master_Data!$E:$E,"CHECK",0)</f>
        <v>BNP</v>
      </c>
      <c r="P200">
        <f>_xlfn.XLOOKUP($A200,Master_Data!$C:$C,Master_Data!$F:$F,"CHECK",0)</f>
        <v>1</v>
      </c>
      <c r="Q200">
        <f>_xlfn.XLOOKUP($A200,Master_Data!$C:$C,Master_Data!$G:$G,"CHECK",0)</f>
        <v>166889</v>
      </c>
      <c r="R200">
        <f>IFERROR(_xlfn.XLOOKUP($A200,Master_Data!$C:$C,Master_Data!$H:$H,"CHECK",0),"")</f>
        <v>58.289616150326573</v>
      </c>
      <c r="S200" t="str">
        <f>_xlfn.XLOOKUP($A200,Master_Data!$C:$C,Master_Data!$I:$I,"CHECK",0)</f>
        <v>Md. Mahfuzur Rahman</v>
      </c>
      <c r="T200">
        <f>_xlfn.XLOOKUP($A200,Master_Data!$C:$C,Master_Data!$K:$K,"CHECK",0)</f>
        <v>119421</v>
      </c>
      <c r="U200">
        <f>IFERROR(_xlfn.XLOOKUP($A200,Master_Data!$C:$C,Master_Data!$L:$L,"CHECK",0),"")</f>
        <v>41.710383849673434</v>
      </c>
      <c r="V200">
        <f>_xlfn.XLOOKUP($A200,Master_Data!$C:$C,Master_Data!$M:$M,"CHECK",0)</f>
        <v>47468</v>
      </c>
      <c r="W200">
        <f>IFERROR(_xlfn.XLOOKUP($A200,Master_Data!$C:$C,Master_Data!$N:$N,"CHECK",0),"")</f>
        <v>16.579232300653139</v>
      </c>
      <c r="X200" t="str">
        <f>IFERROR(_xlfn.XLOOKUP($A200,Master_Data!$C:$C,Master_Data!$O:$O,"CHECK",0),"No Result")</f>
        <v>Safe Seat</v>
      </c>
      <c r="Y200">
        <f>_xlfn.XLOOKUP($A200,Master_Data!$C:$C,Master_Data!$P:$P,"CHECK",0)</f>
        <v>0</v>
      </c>
      <c r="Z200">
        <f t="shared" si="7"/>
        <v>1</v>
      </c>
      <c r="AA200">
        <f>_xlfn.XLOOKUP(B200,Remittance_Data!A:A,Remittance_Data!B:B,"CHECK")</f>
        <v>28428</v>
      </c>
      <c r="AB200">
        <f>_xlfn.XLOOKUP(B200,Remittance_Data!A:A,Remittance_Data!C:C,"CHECK")</f>
        <v>24822</v>
      </c>
      <c r="AC200">
        <f>_xlfn.XLOOKUP(B200,Remittance_Data!A:A,Remittance_Data!D:D,"CHECK")</f>
        <v>3606</v>
      </c>
    </row>
    <row r="201" spans="1:29">
      <c r="A201" t="str">
        <v>Naogaon-4</v>
      </c>
      <c r="B201" t="str" cm="1">
        <f t="array" ref="B2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Nawabganj","Chapainawabganj"),Final_Merged_Data!$B$2:$B$1000=$A201)))</f>
        <v>Naogaon</v>
      </c>
      <c r="C201" t="str" cm="1">
        <f t="array" ref="C201">_xlfn.TEXTJOIN(", ",TRUE,_xlfn._xlws.FILTER(Final_Merged_Data!$C$2:$C$1000,Final_Merged_Data!$B$2:$B$1000=$A201))</f>
        <v>Manda</v>
      </c>
      <c r="D201" cm="1">
        <f t="array" ref="D201">COUNTA(_xlfn._xlws.FILTER(Final_Merged_Data!$C$2:$C$1000,Final_Merged_Data!$B$2:$B$1000=$A201))</f>
        <v>1</v>
      </c>
      <c r="E201">
        <f>SUMIFS(Final_Merged_Data!$E:$E,Final_Merged_Data!$B:$B,$A201)</f>
        <v>483.29</v>
      </c>
      <c r="F201">
        <f>SUMIFS(Final_Merged_Data!$F:$F,Final_Merged_Data!$B:$B,$A201)</f>
        <v>380571</v>
      </c>
      <c r="G201">
        <f t="shared" si="6"/>
        <v>787.45887562333166</v>
      </c>
      <c r="H201" cm="1">
        <f t="array" ref="H201">SUMPRODUCT((Final_Merged_Data!$B$2:$B$1000=$A201)*Final_Merged_Data!$H$2:$H$1000*Final_Merged_Data!$F$2:$F$1000)/F201</f>
        <v>3.44</v>
      </c>
      <c r="I201" cm="1">
        <f t="array" ref="I201">SUMPRODUCT((Final_Merged_Data!$B$2:$B$1000=$A201)*Final_Merged_Data!$I$2:$I$1000*Final_Merged_Data!$F$2:$F$1000)/F201</f>
        <v>68.3</v>
      </c>
      <c r="J201" t="str" cm="1">
        <f t="array" ref="J201">_xlfn.TEXTJOIN(", ",TRUE,_xlfn.UNIQUE(_xlfn._xlws.FILTER(Final_Merged_Data!$J$2:$J$1000,Final_Merged_Data!$B$2:$B$1000=$A201)))</f>
        <v>Rajshahi Range</v>
      </c>
      <c r="K201" cm="1">
        <f t="array" ref="K201">SUMPRODUCT((Final_Merged_Data!$B$2:$B$1000=$A201)*Final_Merged_Data!$K$2:$K$1000*Final_Merged_Data!$F$2:$F$1000)/F201</f>
        <v>112.81411131450233</v>
      </c>
      <c r="L201" cm="1">
        <f t="array" ref="L201">SUMPRODUCT((Final_Merged_Data!$B$2:$B$1000=$A201)*Final_Merged_Data!$L$2:$L$1000*Final_Merged_Data!$F$2:$F$1000)/F201</f>
        <v>14.272851259111949</v>
      </c>
      <c r="M201" t="str">
        <f>IF(COUNTIF(Master_Data!$C:$C,$A201)&gt;0,"Found","Missing")</f>
        <v>Found</v>
      </c>
      <c r="N201" t="str">
        <f>_xlfn.XLOOKUP($A201,Master_Data!$C:$C,Master_Data!$D:$D,"CHECK",0)</f>
        <v>Ekramul Bari Tipu</v>
      </c>
      <c r="O201" t="str">
        <f>_xlfn.XLOOKUP($A201,Master_Data!$C:$C,Master_Data!$E:$E,"CHECK",0)</f>
        <v>BNP</v>
      </c>
      <c r="P201">
        <f>_xlfn.XLOOKUP($A201,Master_Data!$C:$C,Master_Data!$F:$F,"CHECK",0)</f>
        <v>1</v>
      </c>
      <c r="Q201">
        <f>_xlfn.XLOOKUP($A201,Master_Data!$C:$C,Master_Data!$G:$G,"CHECK",0)</f>
        <v>133924</v>
      </c>
      <c r="R201">
        <f>IFERROR(_xlfn.XLOOKUP($A201,Master_Data!$C:$C,Master_Data!$H:$H,"CHECK",0),"")</f>
        <v>57.848290995166494</v>
      </c>
      <c r="S201" t="str">
        <f>_xlfn.XLOOKUP($A201,Master_Data!$C:$C,Master_Data!$I:$I,"CHECK",0)</f>
        <v>Md. Abdur Rakib</v>
      </c>
      <c r="T201">
        <f>_xlfn.XLOOKUP($A201,Master_Data!$C:$C,Master_Data!$K:$K,"CHECK",0)</f>
        <v>97585</v>
      </c>
      <c r="U201">
        <f>IFERROR(_xlfn.XLOOKUP($A201,Master_Data!$C:$C,Master_Data!$L:$L,"CHECK",0),"")</f>
        <v>42.151709004833506</v>
      </c>
      <c r="V201">
        <f>_xlfn.XLOOKUP($A201,Master_Data!$C:$C,Master_Data!$M:$M,"CHECK",0)</f>
        <v>36339</v>
      </c>
      <c r="W201">
        <f>IFERROR(_xlfn.XLOOKUP($A201,Master_Data!$C:$C,Master_Data!$N:$N,"CHECK",0),"")</f>
        <v>15.696581990332989</v>
      </c>
      <c r="X201" t="str">
        <f>IFERROR(_xlfn.XLOOKUP($A201,Master_Data!$C:$C,Master_Data!$O:$O,"CHECK",0),"No Result")</f>
        <v>Safe Seat</v>
      </c>
      <c r="Y201">
        <f>_xlfn.XLOOKUP($A201,Master_Data!$C:$C,Master_Data!$P:$P,"CHECK",0)</f>
        <v>0</v>
      </c>
      <c r="Z201">
        <f t="shared" si="7"/>
        <v>1</v>
      </c>
      <c r="AA201">
        <f>_xlfn.XLOOKUP(B201,Remittance_Data!A:A,Remittance_Data!B:B,"CHECK")</f>
        <v>28428</v>
      </c>
      <c r="AB201">
        <f>_xlfn.XLOOKUP(B201,Remittance_Data!A:A,Remittance_Data!C:C,"CHECK")</f>
        <v>24822</v>
      </c>
      <c r="AC201">
        <f>_xlfn.XLOOKUP(B201,Remittance_Data!A:A,Remittance_Data!D:D,"CHECK")</f>
        <v>3606</v>
      </c>
    </row>
    <row r="202" spans="1:29">
      <c r="A202" t="str">
        <v>Naogaon-5</v>
      </c>
      <c r="B202" t="str" cm="1">
        <f t="array" ref="B20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Nawabganj","Chapainawabganj"),Final_Merged_Data!$B$2:$B$1000=$A202)))</f>
        <v>Naogaon</v>
      </c>
      <c r="C202" t="str" cm="1">
        <f t="array" ref="C202">_xlfn.TEXTJOIN(", ",TRUE,_xlfn._xlws.FILTER(Final_Merged_Data!$C$2:$C$1000,Final_Merged_Data!$B$2:$B$1000=$A202))</f>
        <v>Naogaon Sadar</v>
      </c>
      <c r="D202" cm="1">
        <f t="array" ref="D202">COUNTA(_xlfn._xlws.FILTER(Final_Merged_Data!$C$2:$C$1000,Final_Merged_Data!$B$2:$B$1000=$A202))</f>
        <v>1</v>
      </c>
      <c r="E202">
        <f>SUMIFS(Final_Merged_Data!$E:$E,Final_Merged_Data!$B:$B,$A202)</f>
        <v>275.73</v>
      </c>
      <c r="F202">
        <f>SUMIFS(Final_Merged_Data!$F:$F,Final_Merged_Data!$B:$B,$A202)</f>
        <v>447877</v>
      </c>
      <c r="G202">
        <f t="shared" si="6"/>
        <v>1624.3317738367243</v>
      </c>
      <c r="H202" cm="1">
        <f t="array" ref="H202">SUMPRODUCT((Final_Merged_Data!$B$2:$B$1000=$A202)*Final_Merged_Data!$H$2:$H$1000*Final_Merged_Data!$F$2:$F$1000)/F202</f>
        <v>3.6700000000000004</v>
      </c>
      <c r="I202" cm="1">
        <f t="array" ref="I202">SUMPRODUCT((Final_Merged_Data!$B$2:$B$1000=$A202)*Final_Merged_Data!$I$2:$I$1000*Final_Merged_Data!$F$2:$F$1000)/F202</f>
        <v>75.36</v>
      </c>
      <c r="J202" t="str" cm="1">
        <f t="array" ref="J202">_xlfn.TEXTJOIN(", ",TRUE,_xlfn.UNIQUE(_xlfn._xlws.FILTER(Final_Merged_Data!$J$2:$J$1000,Final_Merged_Data!$B$2:$B$1000=$A202)))</f>
        <v>Rajshahi Range</v>
      </c>
      <c r="K202" cm="1">
        <f t="array" ref="K202">SUMPRODUCT((Final_Merged_Data!$B$2:$B$1000=$A202)*Final_Merged_Data!$K$2:$K$1000*Final_Merged_Data!$F$2:$F$1000)/F202</f>
        <v>112.81411131450233</v>
      </c>
      <c r="L202" cm="1">
        <f t="array" ref="L202">SUMPRODUCT((Final_Merged_Data!$B$2:$B$1000=$A202)*Final_Merged_Data!$L$2:$L$1000*Final_Merged_Data!$F$2:$F$1000)/F202</f>
        <v>14.272851259111951</v>
      </c>
      <c r="M202" t="str">
        <f>IF(COUNTIF(Master_Data!$C:$C,$A202)&gt;0,"Found","Missing")</f>
        <v>Found</v>
      </c>
      <c r="N202" t="str">
        <f>_xlfn.XLOOKUP($A202,Master_Data!$C:$C,Master_Data!$D:$D,"CHECK",0)</f>
        <v>Md. Zahidul Islam Dulu</v>
      </c>
      <c r="O202" t="str">
        <f>_xlfn.XLOOKUP($A202,Master_Data!$C:$C,Master_Data!$E:$E,"CHECK",0)</f>
        <v>BNP</v>
      </c>
      <c r="P202">
        <f>_xlfn.XLOOKUP($A202,Master_Data!$C:$C,Master_Data!$F:$F,"CHECK",0)</f>
        <v>1</v>
      </c>
      <c r="Q202">
        <f>_xlfn.XLOOKUP($A202,Master_Data!$C:$C,Master_Data!$G:$G,"CHECK",0)</f>
        <v>129385</v>
      </c>
      <c r="R202">
        <f>IFERROR(_xlfn.XLOOKUP($A202,Master_Data!$C:$C,Master_Data!$H:$H,"CHECK",0),"")</f>
        <v>55.261561853996888</v>
      </c>
      <c r="S202" t="str">
        <f>_xlfn.XLOOKUP($A202,Master_Data!$C:$C,Master_Data!$I:$I,"CHECK",0)</f>
        <v>Abu Sadat Md. Sayem</v>
      </c>
      <c r="T202">
        <f>_xlfn.XLOOKUP($A202,Master_Data!$C:$C,Master_Data!$K:$K,"CHECK",0)</f>
        <v>104747</v>
      </c>
      <c r="U202">
        <f>IFERROR(_xlfn.XLOOKUP($A202,Master_Data!$C:$C,Master_Data!$L:$L,"CHECK",0),"")</f>
        <v>44.738438146003105</v>
      </c>
      <c r="V202">
        <f>_xlfn.XLOOKUP($A202,Master_Data!$C:$C,Master_Data!$M:$M,"CHECK",0)</f>
        <v>24638</v>
      </c>
      <c r="W202">
        <f>IFERROR(_xlfn.XLOOKUP($A202,Master_Data!$C:$C,Master_Data!$N:$N,"CHECK",0),"")</f>
        <v>10.523123707993781</v>
      </c>
      <c r="X202" t="str">
        <f>IFERROR(_xlfn.XLOOKUP($A202,Master_Data!$C:$C,Master_Data!$O:$O,"CHECK",0),"No Result")</f>
        <v>Safe Seat</v>
      </c>
      <c r="Y202">
        <f>_xlfn.XLOOKUP($A202,Master_Data!$C:$C,Master_Data!$P:$P,"CHECK",0)</f>
        <v>0</v>
      </c>
      <c r="Z202">
        <f t="shared" si="7"/>
        <v>1</v>
      </c>
      <c r="AA202">
        <f>_xlfn.XLOOKUP(B202,Remittance_Data!A:A,Remittance_Data!B:B,"CHECK")</f>
        <v>28428</v>
      </c>
      <c r="AB202">
        <f>_xlfn.XLOOKUP(B202,Remittance_Data!A:A,Remittance_Data!C:C,"CHECK")</f>
        <v>24822</v>
      </c>
      <c r="AC202">
        <f>_xlfn.XLOOKUP(B202,Remittance_Data!A:A,Remittance_Data!D:D,"CHECK")</f>
        <v>3606</v>
      </c>
    </row>
    <row r="203" spans="1:29">
      <c r="A203" t="str">
        <v>Naogaon-6</v>
      </c>
      <c r="B203" t="str" cm="1">
        <f t="array" ref="B20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Nawabganj","Chapainawabganj"),Final_Merged_Data!$B$2:$B$1000=$A203)))</f>
        <v>Naogaon</v>
      </c>
      <c r="C203" t="str" cm="1">
        <f t="array" ref="C203">_xlfn.TEXTJOIN(", ",TRUE,_xlfn._xlws.FILTER(Final_Merged_Data!$C$2:$C$1000,Final_Merged_Data!$B$2:$B$1000=$A203))</f>
        <v>Raninagar, Atrai</v>
      </c>
      <c r="D203" cm="1">
        <f t="array" ref="D203">COUNTA(_xlfn._xlws.FILTER(Final_Merged_Data!$C$2:$C$1000,Final_Merged_Data!$B$2:$B$1000=$A203))</f>
        <v>2</v>
      </c>
      <c r="E203">
        <f>SUMIFS(Final_Merged_Data!$E:$E,Final_Merged_Data!$B:$B,$A203)</f>
        <v>542.95000000000005</v>
      </c>
      <c r="F203">
        <f>SUMIFS(Final_Merged_Data!$F:$F,Final_Merged_Data!$B:$B,$A203)</f>
        <v>393666</v>
      </c>
      <c r="G203">
        <f t="shared" si="6"/>
        <v>725.05018878349745</v>
      </c>
      <c r="H203" cm="1">
        <f t="array" ref="H203">SUMPRODUCT((Final_Merged_Data!$B$2:$B$1000=$A203)*Final_Merged_Data!$H$2:$H$1000*Final_Merged_Data!$F$2:$F$1000)/F203</f>
        <v>3.599296002194754</v>
      </c>
      <c r="I203" cm="1">
        <f t="array" ref="I203">SUMPRODUCT((Final_Merged_Data!$B$2:$B$1000=$A203)*Final_Merged_Data!$I$2:$I$1000*Final_Merged_Data!$F$2:$F$1000)/F203</f>
        <v>68.920152108640323</v>
      </c>
      <c r="J203" t="str" cm="1">
        <f t="array" ref="J203">_xlfn.TEXTJOIN(", ",TRUE,_xlfn.UNIQUE(_xlfn._xlws.FILTER(Final_Merged_Data!$J$2:$J$1000,Final_Merged_Data!$B$2:$B$1000=$A203)))</f>
        <v>Rajshahi Range</v>
      </c>
      <c r="K203" cm="1">
        <f t="array" ref="K203">SUMPRODUCT((Final_Merged_Data!$B$2:$B$1000=$A203)*Final_Merged_Data!$K$2:$K$1000*Final_Merged_Data!$F$2:$F$1000)/F203</f>
        <v>112.81411131450233</v>
      </c>
      <c r="L203" cm="1">
        <f t="array" ref="L203">SUMPRODUCT((Final_Merged_Data!$B$2:$B$1000=$A203)*Final_Merged_Data!$L$2:$L$1000*Final_Merged_Data!$F$2:$F$1000)/F203</f>
        <v>14.272851259111951</v>
      </c>
      <c r="M203" t="str">
        <f>IF(COUNTIF(Master_Data!$C:$C,$A203)&gt;0,"Found","Missing")</f>
        <v>Found</v>
      </c>
      <c r="N203" t="str">
        <f>_xlfn.XLOOKUP($A203,Master_Data!$C:$C,Master_Data!$D:$D,"CHECK",0)</f>
        <v>Sheikh Md. Rezaul Islam</v>
      </c>
      <c r="O203" t="str">
        <f>_xlfn.XLOOKUP($A203,Master_Data!$C:$C,Master_Data!$E:$E,"CHECK",0)</f>
        <v>BNP</v>
      </c>
      <c r="P203">
        <f>_xlfn.XLOOKUP($A203,Master_Data!$C:$C,Master_Data!$F:$F,"CHECK",0)</f>
        <v>1</v>
      </c>
      <c r="Q203">
        <f>_xlfn.XLOOKUP($A203,Master_Data!$C:$C,Master_Data!$G:$G,"CHECK",0)</f>
        <v>108866</v>
      </c>
      <c r="R203">
        <f>IFERROR(_xlfn.XLOOKUP($A203,Master_Data!$C:$C,Master_Data!$H:$H,"CHECK",0),"")</f>
        <v>52.720889125644689</v>
      </c>
      <c r="S203" t="str">
        <f>_xlfn.XLOOKUP($A203,Master_Data!$C:$C,Master_Data!$I:$I,"CHECK",0)</f>
        <v>Md. Khabirul Islam</v>
      </c>
      <c r="T203">
        <f>_xlfn.XLOOKUP($A203,Master_Data!$C:$C,Master_Data!$K:$K,"CHECK",0)</f>
        <v>97629</v>
      </c>
      <c r="U203">
        <f>IFERROR(_xlfn.XLOOKUP($A203,Master_Data!$C:$C,Master_Data!$L:$L,"CHECK",0),"")</f>
        <v>47.279110874355311</v>
      </c>
      <c r="V203">
        <f>_xlfn.XLOOKUP($A203,Master_Data!$C:$C,Master_Data!$M:$M,"CHECK",0)</f>
        <v>11237</v>
      </c>
      <c r="W203">
        <f>IFERROR(_xlfn.XLOOKUP($A203,Master_Data!$C:$C,Master_Data!$N:$N,"CHECK",0),"")</f>
        <v>5.4417782512893771</v>
      </c>
      <c r="X203" t="str">
        <f>IFERROR(_xlfn.XLOOKUP($A203,Master_Data!$C:$C,Master_Data!$O:$O,"CHECK",0),"No Result")</f>
        <v>Safe Seat</v>
      </c>
      <c r="Y203">
        <f>_xlfn.XLOOKUP($A203,Master_Data!$C:$C,Master_Data!$P:$P,"CHECK",0)</f>
        <v>0</v>
      </c>
      <c r="Z203">
        <f t="shared" si="7"/>
        <v>1</v>
      </c>
      <c r="AA203">
        <f>_xlfn.XLOOKUP(B203,Remittance_Data!A:A,Remittance_Data!B:B,"CHECK")</f>
        <v>28428</v>
      </c>
      <c r="AB203">
        <f>_xlfn.XLOOKUP(B203,Remittance_Data!A:A,Remittance_Data!C:C,"CHECK")</f>
        <v>24822</v>
      </c>
      <c r="AC203">
        <f>_xlfn.XLOOKUP(B203,Remittance_Data!A:A,Remittance_Data!D:D,"CHECK")</f>
        <v>3606</v>
      </c>
    </row>
    <row r="204" spans="1:29">
      <c r="A204" t="str">
        <v>Narail-1</v>
      </c>
      <c r="B204" t="str" cm="1">
        <f t="array" ref="B20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Nawabganj","Chapainawabganj"),Final_Merged_Data!$B$2:$B$1000=$A204)))</f>
        <v>Narail</v>
      </c>
      <c r="C204" t="str" cm="1">
        <f t="array" ref="C204">_xlfn.TEXTJOIN(", ",TRUE,_xlfn._xlws.FILTER(Final_Merged_Data!$C$2:$C$1000,Final_Merged_Data!$B$2:$B$1000=$A204))</f>
        <v>Narail Sadar, Kalia</v>
      </c>
      <c r="D204" cm="1">
        <f t="array" ref="D204">COUNTA(_xlfn._xlws.FILTER(Final_Merged_Data!$C$2:$C$1000,Final_Merged_Data!$B$2:$B$1000=$A204))</f>
        <v>2</v>
      </c>
      <c r="E204">
        <f>SUMIFS(Final_Merged_Data!$E:$E,Final_Merged_Data!$B:$B,$A204)</f>
        <v>497.86</v>
      </c>
      <c r="F204">
        <f>SUMIFS(Final_Merged_Data!$F:$F,Final_Merged_Data!$B:$B,$A204)</f>
        <v>540214</v>
      </c>
      <c r="G204">
        <f t="shared" si="6"/>
        <v>1085.0721086249146</v>
      </c>
      <c r="H204" cm="1">
        <f t="array" ref="H204">SUMPRODUCT((Final_Merged_Data!$B$2:$B$1000=$A204)*Final_Merged_Data!$H$2:$H$1000*Final_Merged_Data!$F$2:$F$1000)/F204</f>
        <v>3.9840121507402624</v>
      </c>
      <c r="I204" cm="1">
        <f t="array" ref="I204">SUMPRODUCT((Final_Merged_Data!$B$2:$B$1000=$A204)*Final_Merged_Data!$I$2:$I$1000*Final_Merged_Data!$F$2:$F$1000)/F204</f>
        <v>74.6987185078506</v>
      </c>
      <c r="J204" t="str" cm="1">
        <f t="array" ref="J204">_xlfn.TEXTJOIN(", ",TRUE,_xlfn.UNIQUE(_xlfn._xlws.FILTER(Final_Merged_Data!$J$2:$J$1000,Final_Merged_Data!$B$2:$B$1000=$A204)))</f>
        <v>Khulna Range</v>
      </c>
      <c r="K204" cm="1">
        <f t="array" ref="K204">SUMPRODUCT((Final_Merged_Data!$B$2:$B$1000=$A204)*Final_Merged_Data!$K$2:$K$1000*Final_Merged_Data!$F$2:$F$1000)/F204</f>
        <v>102.32166075410298</v>
      </c>
      <c r="L204" cm="1">
        <f t="array" ref="L204">SUMPRODUCT((Final_Merged_Data!$B$2:$B$1000=$A204)*Final_Merged_Data!$L$2:$L$1000*Final_Merged_Data!$F$2:$F$1000)/F204</f>
        <v>12.212237548443923</v>
      </c>
      <c r="M204" t="str">
        <f>IF(COUNTIF(Master_Data!$C:$C,$A204)&gt;0,"Found","Missing")</f>
        <v>Found</v>
      </c>
      <c r="N204" t="str">
        <f>_xlfn.XLOOKUP($A204,Master_Data!$C:$C,Master_Data!$D:$D,"CHECK",0)</f>
        <v>Biswas Jahangir Alam</v>
      </c>
      <c r="O204" t="str">
        <f>_xlfn.XLOOKUP($A204,Master_Data!$C:$C,Master_Data!$E:$E,"CHECK",0)</f>
        <v>BNP</v>
      </c>
      <c r="P204">
        <f>_xlfn.XLOOKUP($A204,Master_Data!$C:$C,Master_Data!$F:$F,"CHECK",0)</f>
        <v>1</v>
      </c>
      <c r="Q204">
        <f>_xlfn.XLOOKUP($A204,Master_Data!$C:$C,Master_Data!$G:$G,"CHECK",0)</f>
        <v>99975</v>
      </c>
      <c r="R204">
        <f>IFERROR(_xlfn.XLOOKUP($A204,Master_Data!$C:$C,Master_Data!$H:$H,"CHECK",0),"")</f>
        <v>57.063356164383563</v>
      </c>
      <c r="S204" t="str">
        <f>_xlfn.XLOOKUP($A204,Master_Data!$C:$C,Master_Data!$I:$I,"CHECK",0)</f>
        <v>Md. Obaidullah</v>
      </c>
      <c r="T204">
        <f>_xlfn.XLOOKUP($A204,Master_Data!$C:$C,Master_Data!$K:$K,"CHECK",0)</f>
        <v>75225</v>
      </c>
      <c r="U204">
        <f>IFERROR(_xlfn.XLOOKUP($A204,Master_Data!$C:$C,Master_Data!$L:$L,"CHECK",0),"")</f>
        <v>42.936643835616437</v>
      </c>
      <c r="V204">
        <f>_xlfn.XLOOKUP($A204,Master_Data!$C:$C,Master_Data!$M:$M,"CHECK",0)</f>
        <v>24750</v>
      </c>
      <c r="W204">
        <f>IFERROR(_xlfn.XLOOKUP($A204,Master_Data!$C:$C,Master_Data!$N:$N,"CHECK",0),"")</f>
        <v>14.126712328767125</v>
      </c>
      <c r="X204" t="str">
        <f>IFERROR(_xlfn.XLOOKUP($A204,Master_Data!$C:$C,Master_Data!$O:$O,"CHECK",0),"No Result")</f>
        <v>Safe Seat</v>
      </c>
      <c r="Y204">
        <f>_xlfn.XLOOKUP($A204,Master_Data!$C:$C,Master_Data!$P:$P,"CHECK",0)</f>
        <v>0</v>
      </c>
      <c r="Z204">
        <f t="shared" si="7"/>
        <v>1</v>
      </c>
      <c r="AA204">
        <f>_xlfn.XLOOKUP(B204,Remittance_Data!A:A,Remittance_Data!B:B,"CHECK")</f>
        <v>14435</v>
      </c>
      <c r="AB204">
        <f>_xlfn.XLOOKUP(B204,Remittance_Data!A:A,Remittance_Data!C:C,"CHECK")</f>
        <v>11105</v>
      </c>
      <c r="AC204">
        <f>_xlfn.XLOOKUP(B204,Remittance_Data!A:A,Remittance_Data!D:D,"CHECK")</f>
        <v>3330</v>
      </c>
    </row>
    <row r="205" spans="1:29">
      <c r="A205" t="str">
        <v>Narail-2</v>
      </c>
      <c r="B205" t="str" cm="1">
        <f t="array" ref="B20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Nawabganj","Chapainawabganj"),Final_Merged_Data!$B$2:$B$1000=$A205)))</f>
        <v>Narail</v>
      </c>
      <c r="C205" t="str" cm="1">
        <f t="array" ref="C205">_xlfn.TEXTJOIN(", ",TRUE,_xlfn._xlws.FILTER(Final_Merged_Data!$C$2:$C$1000,Final_Merged_Data!$B$2:$B$1000=$A205))</f>
        <v>Lohagara</v>
      </c>
      <c r="D205" cm="1">
        <f t="array" ref="D205">COUNTA(_xlfn._xlws.FILTER(Final_Merged_Data!$C$2:$C$1000,Final_Merged_Data!$B$2:$B$1000=$A205))</f>
        <v>1</v>
      </c>
      <c r="E205">
        <f>SUMIFS(Final_Merged_Data!$E:$E,Final_Merged_Data!$B:$B,$A205)</f>
        <v>258.87</v>
      </c>
      <c r="F205">
        <f>SUMIFS(Final_Merged_Data!$F:$F,Final_Merged_Data!$B:$B,$A205)</f>
        <v>328206</v>
      </c>
      <c r="G205">
        <f t="shared" si="6"/>
        <v>1267.8410012747711</v>
      </c>
      <c r="H205" cm="1">
        <f t="array" ref="H205">SUMPRODUCT((Final_Merged_Data!$B$2:$B$1000=$A205)*Final_Merged_Data!$H$2:$H$1000*Final_Merged_Data!$F$2:$F$1000)/F205</f>
        <v>4.5</v>
      </c>
      <c r="I205" cm="1">
        <f t="array" ref="I205">SUMPRODUCT((Final_Merged_Data!$B$2:$B$1000=$A205)*Final_Merged_Data!$I$2:$I$1000*Final_Merged_Data!$F$2:$F$1000)/F205</f>
        <v>82.41</v>
      </c>
      <c r="J205" t="str" cm="1">
        <f t="array" ref="J205">_xlfn.TEXTJOIN(", ",TRUE,_xlfn.UNIQUE(_xlfn._xlws.FILTER(Final_Merged_Data!$J$2:$J$1000,Final_Merged_Data!$B$2:$B$1000=$A205)))</f>
        <v>Khulna Range</v>
      </c>
      <c r="K205" cm="1">
        <f t="array" ref="K205">SUMPRODUCT((Final_Merged_Data!$B$2:$B$1000=$A205)*Final_Merged_Data!$K$2:$K$1000*Final_Merged_Data!$F$2:$F$1000)/F205</f>
        <v>102.32166075410298</v>
      </c>
      <c r="L205" cm="1">
        <f t="array" ref="L205">SUMPRODUCT((Final_Merged_Data!$B$2:$B$1000=$A205)*Final_Merged_Data!$L$2:$L$1000*Final_Merged_Data!$F$2:$F$1000)/F205</f>
        <v>12.212237548443923</v>
      </c>
      <c r="M205" t="str">
        <f>IF(COUNTIF(Master_Data!$C:$C,$A205)&gt;0,"Found","Missing")</f>
        <v>Found</v>
      </c>
      <c r="N205" t="str">
        <f>_xlfn.XLOOKUP($A205,Master_Data!$C:$C,Master_Data!$D:$D,"CHECK",0)</f>
        <v>Md. Ataur Rahman</v>
      </c>
      <c r="O205" t="str">
        <f>_xlfn.XLOOKUP($A205,Master_Data!$C:$C,Master_Data!$E:$E,"CHECK",0)</f>
        <v>Jamaat</v>
      </c>
      <c r="P205">
        <f>_xlfn.XLOOKUP($A205,Master_Data!$C:$C,Master_Data!$F:$F,"CHECK",0)</f>
        <v>2</v>
      </c>
      <c r="Q205">
        <f>_xlfn.XLOOKUP($A205,Master_Data!$C:$C,Master_Data!$G:$G,"CHECK",0)</f>
        <v>118142</v>
      </c>
      <c r="R205">
        <f>IFERROR(_xlfn.XLOOKUP($A205,Master_Data!$C:$C,Master_Data!$H:$H,"CHECK",0),"")</f>
        <v>60.092879414442599</v>
      </c>
      <c r="S205" t="str">
        <f>_xlfn.XLOOKUP($A205,Master_Data!$C:$C,Master_Data!$I:$I,"CHECK",0)</f>
        <v>Md. Monirul Islam</v>
      </c>
      <c r="T205">
        <f>_xlfn.XLOOKUP($A205,Master_Data!$C:$C,Master_Data!$K:$K,"CHECK",0)</f>
        <v>78457</v>
      </c>
      <c r="U205">
        <f>IFERROR(_xlfn.XLOOKUP($A205,Master_Data!$C:$C,Master_Data!$L:$L,"CHECK",0),"")</f>
        <v>39.907120585557401</v>
      </c>
      <c r="V205">
        <f>_xlfn.XLOOKUP($A205,Master_Data!$C:$C,Master_Data!$M:$M,"CHECK",0)</f>
        <v>39685</v>
      </c>
      <c r="W205">
        <f>IFERROR(_xlfn.XLOOKUP($A205,Master_Data!$C:$C,Master_Data!$N:$N,"CHECK",0),"")</f>
        <v>20.185758828885191</v>
      </c>
      <c r="X205" t="str">
        <f>IFERROR(_xlfn.XLOOKUP($A205,Master_Data!$C:$C,Master_Data!$O:$O,"CHECK",0),"No Result")</f>
        <v>Safe Seat</v>
      </c>
      <c r="Y205">
        <f>_xlfn.XLOOKUP($A205,Master_Data!$C:$C,Master_Data!$P:$P,"CHECK",0)</f>
        <v>0</v>
      </c>
      <c r="Z205">
        <f t="shared" si="7"/>
        <v>1</v>
      </c>
      <c r="AA205">
        <f>_xlfn.XLOOKUP(B205,Remittance_Data!A:A,Remittance_Data!B:B,"CHECK")</f>
        <v>14435</v>
      </c>
      <c r="AB205">
        <f>_xlfn.XLOOKUP(B205,Remittance_Data!A:A,Remittance_Data!C:C,"CHECK")</f>
        <v>11105</v>
      </c>
      <c r="AC205">
        <f>_xlfn.XLOOKUP(B205,Remittance_Data!A:A,Remittance_Data!D:D,"CHECK")</f>
        <v>3330</v>
      </c>
    </row>
    <row r="206" spans="1:29">
      <c r="A206" t="str">
        <v>Narayanganj-1</v>
      </c>
      <c r="B206" t="str" cm="1">
        <f t="array" ref="B20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Nawabganj","Chapainawabganj"),Final_Merged_Data!$B$2:$B$1000=$A206)))</f>
        <v>Narayanganj</v>
      </c>
      <c r="C206" t="str" cm="1">
        <f t="array" ref="C206">_xlfn.TEXTJOIN(", ",TRUE,_xlfn._xlws.FILTER(Final_Merged_Data!$C$2:$C$1000,Final_Merged_Data!$B$2:$B$1000=$A206))</f>
        <v>Rupganj</v>
      </c>
      <c r="D206" cm="1">
        <f t="array" ref="D206">COUNTA(_xlfn._xlws.FILTER(Final_Merged_Data!$C$2:$C$1000,Final_Merged_Data!$B$2:$B$1000=$A206))</f>
        <v>1</v>
      </c>
      <c r="E206">
        <f>SUMIFS(Final_Merged_Data!$E:$E,Final_Merged_Data!$B:$B,$A206)</f>
        <v>247.37</v>
      </c>
      <c r="F206">
        <f>SUMIFS(Final_Merged_Data!$F:$F,Final_Merged_Data!$B:$B,$A206)</f>
        <v>704828</v>
      </c>
      <c r="G206">
        <f t="shared" si="6"/>
        <v>2849.2864939159963</v>
      </c>
      <c r="H206" cm="1">
        <f t="array" ref="H206">SUMPRODUCT((Final_Merged_Data!$B$2:$B$1000=$A206)*Final_Merged_Data!$H$2:$H$1000*Final_Merged_Data!$F$2:$F$1000)/F206</f>
        <v>3.71</v>
      </c>
      <c r="I206" cm="1">
        <f t="array" ref="I206">SUMPRODUCT((Final_Merged_Data!$B$2:$B$1000=$A206)*Final_Merged_Data!$I$2:$I$1000*Final_Merged_Data!$F$2:$F$1000)/F206</f>
        <v>78.7</v>
      </c>
      <c r="J206" t="str" cm="1">
        <f t="array" ref="J206">_xlfn.TEXTJOIN(", ",TRUE,_xlfn.UNIQUE(_xlfn._xlws.FILTER(Final_Merged_Data!$J$2:$J$1000,Final_Merged_Data!$B$2:$B$1000=$A206)))</f>
        <v>Dhaka Range</v>
      </c>
      <c r="K206" cm="1">
        <f t="array" ref="K206">SUMPRODUCT((Final_Merged_Data!$B$2:$B$1000=$A206)*Final_Merged_Data!$K$2:$K$1000*Final_Merged_Data!$F$2:$F$1000)/F206</f>
        <v>87.055167395391194</v>
      </c>
      <c r="L206" cm="1">
        <f t="array" ref="L206">SUMPRODUCT((Final_Merged_Data!$B$2:$B$1000=$A206)*Final_Merged_Data!$L$2:$L$1000*Final_Merged_Data!$F$2:$F$1000)/F206</f>
        <v>14.083489099923574</v>
      </c>
      <c r="M206" t="str">
        <f>IF(COUNTIF(Master_Data!$C:$C,$A206)&gt;0,"Found","Missing")</f>
        <v>Found</v>
      </c>
      <c r="N206" t="str">
        <f>_xlfn.XLOOKUP($A206,Master_Data!$C:$C,Master_Data!$D:$D,"CHECK",0)</f>
        <v>Mustafizur Rahman Bhuiyan</v>
      </c>
      <c r="O206" t="str">
        <f>_xlfn.XLOOKUP($A206,Master_Data!$C:$C,Master_Data!$E:$E,"CHECK",0)</f>
        <v>BNP</v>
      </c>
      <c r="P206">
        <f>_xlfn.XLOOKUP($A206,Master_Data!$C:$C,Master_Data!$F:$F,"CHECK",0)</f>
        <v>1</v>
      </c>
      <c r="Q206">
        <f>_xlfn.XLOOKUP($A206,Master_Data!$C:$C,Master_Data!$G:$G,"CHECK",0)</f>
        <v>158358</v>
      </c>
      <c r="R206">
        <f>IFERROR(_xlfn.XLOOKUP($A206,Master_Data!$C:$C,Master_Data!$H:$H,"CHECK",0),"")</f>
        <v>63.331040440235476</v>
      </c>
      <c r="S206" t="str">
        <f>_xlfn.XLOOKUP($A206,Master_Data!$C:$C,Master_Data!$I:$I,"CHECK",0)</f>
        <v>Md. Anwar Hossain Molla</v>
      </c>
      <c r="T206">
        <f>_xlfn.XLOOKUP($A206,Master_Data!$C:$C,Master_Data!$K:$K,"CHECK",0)</f>
        <v>91690</v>
      </c>
      <c r="U206">
        <f>IFERROR(_xlfn.XLOOKUP($A206,Master_Data!$C:$C,Master_Data!$L:$L,"CHECK",0),"")</f>
        <v>36.668959559764524</v>
      </c>
      <c r="V206">
        <f>_xlfn.XLOOKUP($A206,Master_Data!$C:$C,Master_Data!$M:$M,"CHECK",0)</f>
        <v>66668</v>
      </c>
      <c r="W206">
        <f>IFERROR(_xlfn.XLOOKUP($A206,Master_Data!$C:$C,Master_Data!$N:$N,"CHECK",0),"")</f>
        <v>26.662080880470953</v>
      </c>
      <c r="X206" t="str">
        <f>IFERROR(_xlfn.XLOOKUP($A206,Master_Data!$C:$C,Master_Data!$O:$O,"CHECK",0),"No Result")</f>
        <v>Safe Seat</v>
      </c>
      <c r="Y206">
        <f>_xlfn.XLOOKUP($A206,Master_Data!$C:$C,Master_Data!$P:$P,"CHECK",0)</f>
        <v>0</v>
      </c>
      <c r="Z206">
        <f t="shared" si="7"/>
        <v>1</v>
      </c>
      <c r="AA206">
        <f>_xlfn.XLOOKUP(B206,Remittance_Data!A:A,Remittance_Data!B:B,"CHECK")</f>
        <v>72484</v>
      </c>
      <c r="AB206">
        <f>_xlfn.XLOOKUP(B206,Remittance_Data!A:A,Remittance_Data!C:C,"CHECK")</f>
        <v>48581</v>
      </c>
      <c r="AC206">
        <f>_xlfn.XLOOKUP(B206,Remittance_Data!A:A,Remittance_Data!D:D,"CHECK")</f>
        <v>23903</v>
      </c>
    </row>
    <row r="207" spans="1:29">
      <c r="A207" t="str">
        <v>Narayanganj-2</v>
      </c>
      <c r="B207" t="str" cm="1">
        <f t="array" ref="B20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Nawabganj","Chapainawabganj"),Final_Merged_Data!$B$2:$B$1000=$A207)))</f>
        <v>Narayanganj</v>
      </c>
      <c r="C207" t="str" cm="1">
        <f t="array" ref="C207">_xlfn.TEXTJOIN(", ",TRUE,_xlfn._xlws.FILTER(Final_Merged_Data!$C$2:$C$1000,Final_Merged_Data!$B$2:$B$1000=$A207))</f>
        <v>Araihazar</v>
      </c>
      <c r="D207" cm="1">
        <f t="array" ref="D207">COUNTA(_xlfn._xlws.FILTER(Final_Merged_Data!$C$2:$C$1000,Final_Merged_Data!$B$2:$B$1000=$A207))</f>
        <v>1</v>
      </c>
      <c r="E207">
        <f>SUMIFS(Final_Merged_Data!$E:$E,Final_Merged_Data!$B:$B,$A207)</f>
        <v>183.14</v>
      </c>
      <c r="F207">
        <f>SUMIFS(Final_Merged_Data!$F:$F,Final_Merged_Data!$B:$B,$A207)</f>
        <v>467514</v>
      </c>
      <c r="G207">
        <f t="shared" si="6"/>
        <v>2552.7683739215904</v>
      </c>
      <c r="H207" cm="1">
        <f t="array" ref="H207">SUMPRODUCT((Final_Merged_Data!$B$2:$B$1000=$A207)*Final_Merged_Data!$H$2:$H$1000*Final_Merged_Data!$F$2:$F$1000)/F207</f>
        <v>4.1500000000000004</v>
      </c>
      <c r="I207" cm="1">
        <f t="array" ref="I207">SUMPRODUCT((Final_Merged_Data!$B$2:$B$1000=$A207)*Final_Merged_Data!$I$2:$I$1000*Final_Merged_Data!$F$2:$F$1000)/F207</f>
        <v>69.34</v>
      </c>
      <c r="J207" t="str" cm="1">
        <f t="array" ref="J207">_xlfn.TEXTJOIN(", ",TRUE,_xlfn.UNIQUE(_xlfn._xlws.FILTER(Final_Merged_Data!$J$2:$J$1000,Final_Merged_Data!$B$2:$B$1000=$A207)))</f>
        <v>Dhaka Range</v>
      </c>
      <c r="K207" cm="1">
        <f t="array" ref="K207">SUMPRODUCT((Final_Merged_Data!$B$2:$B$1000=$A207)*Final_Merged_Data!$K$2:$K$1000*Final_Merged_Data!$F$2:$F$1000)/F207</f>
        <v>87.055167395391194</v>
      </c>
      <c r="L207" cm="1">
        <f t="array" ref="L207">SUMPRODUCT((Final_Merged_Data!$B$2:$B$1000=$A207)*Final_Merged_Data!$L$2:$L$1000*Final_Merged_Data!$F$2:$F$1000)/F207</f>
        <v>14.08348909992357</v>
      </c>
      <c r="M207" t="str">
        <f>IF(COUNTIF(Master_Data!$C:$C,$A207)&gt;0,"Found","Missing")</f>
        <v>Found</v>
      </c>
      <c r="N207" t="str">
        <f>_xlfn.XLOOKUP($A207,Master_Data!$C:$C,Master_Data!$D:$D,"CHECK",0)</f>
        <v>Md. Nazrul Islam Azad</v>
      </c>
      <c r="O207" t="str">
        <f>_xlfn.XLOOKUP($A207,Master_Data!$C:$C,Master_Data!$E:$E,"CHECK",0)</f>
        <v>BNP</v>
      </c>
      <c r="P207">
        <f>_xlfn.XLOOKUP($A207,Master_Data!$C:$C,Master_Data!$F:$F,"CHECK",0)</f>
        <v>1</v>
      </c>
      <c r="Q207">
        <f>_xlfn.XLOOKUP($A207,Master_Data!$C:$C,Master_Data!$G:$G,"CHECK",0)</f>
        <v>124291</v>
      </c>
      <c r="R207">
        <f>IFERROR(_xlfn.XLOOKUP($A207,Master_Data!$C:$C,Master_Data!$H:$H,"CHECK",0),"")</f>
        <v>60.527892084053668</v>
      </c>
      <c r="S207" t="str">
        <f>_xlfn.XLOOKUP($A207,Master_Data!$C:$C,Master_Data!$I:$I,"CHECK",0)</f>
        <v>Md Ilyach Molla</v>
      </c>
      <c r="T207">
        <f>_xlfn.XLOOKUP($A207,Master_Data!$C:$C,Master_Data!$K:$K,"CHECK",0)</f>
        <v>81054</v>
      </c>
      <c r="U207">
        <f>IFERROR(_xlfn.XLOOKUP($A207,Master_Data!$C:$C,Master_Data!$L:$L,"CHECK",0),"")</f>
        <v>39.472107915946339</v>
      </c>
      <c r="V207">
        <f>_xlfn.XLOOKUP($A207,Master_Data!$C:$C,Master_Data!$M:$M,"CHECK",0)</f>
        <v>43237</v>
      </c>
      <c r="W207">
        <f>IFERROR(_xlfn.XLOOKUP($A207,Master_Data!$C:$C,Master_Data!$N:$N,"CHECK",0),"")</f>
        <v>21.05578416810733</v>
      </c>
      <c r="X207" t="str">
        <f>IFERROR(_xlfn.XLOOKUP($A207,Master_Data!$C:$C,Master_Data!$O:$O,"CHECK",0),"No Result")</f>
        <v>Safe Seat</v>
      </c>
      <c r="Y207">
        <f>_xlfn.XLOOKUP($A207,Master_Data!$C:$C,Master_Data!$P:$P,"CHECK",0)</f>
        <v>0</v>
      </c>
      <c r="Z207">
        <f t="shared" si="7"/>
        <v>1</v>
      </c>
      <c r="AA207">
        <f>_xlfn.XLOOKUP(B207,Remittance_Data!A:A,Remittance_Data!B:B,"CHECK")</f>
        <v>72484</v>
      </c>
      <c r="AB207">
        <f>_xlfn.XLOOKUP(B207,Remittance_Data!A:A,Remittance_Data!C:C,"CHECK")</f>
        <v>48581</v>
      </c>
      <c r="AC207">
        <f>_xlfn.XLOOKUP(B207,Remittance_Data!A:A,Remittance_Data!D:D,"CHECK")</f>
        <v>23903</v>
      </c>
    </row>
    <row r="208" spans="1:29">
      <c r="A208" t="str">
        <v>Narayanganj-3</v>
      </c>
      <c r="B208" t="str" cm="1">
        <f t="array" ref="B20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Nawabganj","Chapainawabganj"),Final_Merged_Data!$B$2:$B$1000=$A208)))</f>
        <v>Narayanganj</v>
      </c>
      <c r="C208" t="str" cm="1">
        <f t="array" ref="C208">_xlfn.TEXTJOIN(", ",TRUE,_xlfn._xlws.FILTER(Final_Merged_Data!$C$2:$C$1000,Final_Merged_Data!$B$2:$B$1000=$A208))</f>
        <v>Sonargaon</v>
      </c>
      <c r="D208" cm="1">
        <f t="array" ref="D208">COUNTA(_xlfn._xlws.FILTER(Final_Merged_Data!$C$2:$C$1000,Final_Merged_Data!$B$2:$B$1000=$A208))</f>
        <v>1</v>
      </c>
      <c r="E208">
        <f>SUMIFS(Final_Merged_Data!$E:$E,Final_Merged_Data!$B:$B,$A208)</f>
        <v>171.66</v>
      </c>
      <c r="F208">
        <f>SUMIFS(Final_Merged_Data!$F:$F,Final_Merged_Data!$B:$B,$A208)</f>
        <v>551821</v>
      </c>
      <c r="G208">
        <f t="shared" si="6"/>
        <v>3214.6161015961784</v>
      </c>
      <c r="H208" cm="1">
        <f t="array" ref="H208">SUMPRODUCT((Final_Merged_Data!$B$2:$B$1000=$A208)*Final_Merged_Data!$H$2:$H$1000*Final_Merged_Data!$F$2:$F$1000)/F208</f>
        <v>3.8199999999999994</v>
      </c>
      <c r="I208" cm="1">
        <f t="array" ref="I208">SUMPRODUCT((Final_Merged_Data!$B$2:$B$1000=$A208)*Final_Merged_Data!$I$2:$I$1000*Final_Merged_Data!$F$2:$F$1000)/F208</f>
        <v>78.040000000000006</v>
      </c>
      <c r="J208" t="str" cm="1">
        <f t="array" ref="J208">_xlfn.TEXTJOIN(", ",TRUE,_xlfn.UNIQUE(_xlfn._xlws.FILTER(Final_Merged_Data!$J$2:$J$1000,Final_Merged_Data!$B$2:$B$1000=$A208)))</f>
        <v>Dhaka Range</v>
      </c>
      <c r="K208" cm="1">
        <f t="array" ref="K208">SUMPRODUCT((Final_Merged_Data!$B$2:$B$1000=$A208)*Final_Merged_Data!$K$2:$K$1000*Final_Merged_Data!$F$2:$F$1000)/F208</f>
        <v>87.055167395391194</v>
      </c>
      <c r="L208" cm="1">
        <f t="array" ref="L208">SUMPRODUCT((Final_Merged_Data!$B$2:$B$1000=$A208)*Final_Merged_Data!$L$2:$L$1000*Final_Merged_Data!$F$2:$F$1000)/F208</f>
        <v>14.083489099923572</v>
      </c>
      <c r="M208" t="str">
        <f>IF(COUNTIF(Master_Data!$C:$C,$A208)&gt;0,"Found","Missing")</f>
        <v>Found</v>
      </c>
      <c r="N208" t="str">
        <f>_xlfn.XLOOKUP($A208,Master_Data!$C:$C,Master_Data!$D:$D,"CHECK",0)</f>
        <v>Azharul Islam Mannan</v>
      </c>
      <c r="O208" t="str">
        <f>_xlfn.XLOOKUP($A208,Master_Data!$C:$C,Master_Data!$E:$E,"CHECK",0)</f>
        <v>BNP</v>
      </c>
      <c r="P208">
        <f>_xlfn.XLOOKUP($A208,Master_Data!$C:$C,Master_Data!$F:$F,"CHECK",0)</f>
        <v>1</v>
      </c>
      <c r="Q208">
        <f>_xlfn.XLOOKUP($A208,Master_Data!$C:$C,Master_Data!$G:$G,"CHECK",0)</f>
        <v>155400</v>
      </c>
      <c r="R208">
        <f>IFERROR(_xlfn.XLOOKUP($A208,Master_Data!$C:$C,Master_Data!$H:$H,"CHECK",0),"")</f>
        <v>53.52751121184356</v>
      </c>
      <c r="S208" t="str">
        <f>_xlfn.XLOOKUP($A208,Master_Data!$C:$C,Master_Data!$I:$I,"CHECK",0)</f>
        <v>Md. Iqbal Hossain Bhuiyan</v>
      </c>
      <c r="T208">
        <f>_xlfn.XLOOKUP($A208,Master_Data!$C:$C,Master_Data!$K:$K,"CHECK",0)</f>
        <v>134918</v>
      </c>
      <c r="U208">
        <f>IFERROR(_xlfn.XLOOKUP($A208,Master_Data!$C:$C,Master_Data!$L:$L,"CHECK",0),"")</f>
        <v>46.472488788156433</v>
      </c>
      <c r="V208">
        <f>_xlfn.XLOOKUP($A208,Master_Data!$C:$C,Master_Data!$M:$M,"CHECK",0)</f>
        <v>20482</v>
      </c>
      <c r="W208">
        <f>IFERROR(_xlfn.XLOOKUP($A208,Master_Data!$C:$C,Master_Data!$N:$N,"CHECK",0),"")</f>
        <v>7.0550224236871291</v>
      </c>
      <c r="X208" t="str">
        <f>IFERROR(_xlfn.XLOOKUP($A208,Master_Data!$C:$C,Master_Data!$O:$O,"CHECK",0),"No Result")</f>
        <v>Safe Seat</v>
      </c>
      <c r="Y208">
        <f>_xlfn.XLOOKUP($A208,Master_Data!$C:$C,Master_Data!$P:$P,"CHECK",0)</f>
        <v>0</v>
      </c>
      <c r="Z208">
        <f t="shared" si="7"/>
        <v>1</v>
      </c>
      <c r="AA208">
        <f>_xlfn.XLOOKUP(B208,Remittance_Data!A:A,Remittance_Data!B:B,"CHECK")</f>
        <v>72484</v>
      </c>
      <c r="AB208">
        <f>_xlfn.XLOOKUP(B208,Remittance_Data!A:A,Remittance_Data!C:C,"CHECK")</f>
        <v>48581</v>
      </c>
      <c r="AC208">
        <f>_xlfn.XLOOKUP(B208,Remittance_Data!A:A,Remittance_Data!D:D,"CHECK")</f>
        <v>23903</v>
      </c>
    </row>
    <row r="209" spans="1:29">
      <c r="A209" t="str">
        <v>Narayanganj-4</v>
      </c>
      <c r="B209" t="str" cm="1">
        <f t="array" ref="B20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Nawabganj","Chapainawabganj"),Final_Merged_Data!$B$2:$B$1000=$A209)))</f>
        <v>Narayanganj</v>
      </c>
      <c r="C209" t="str" cm="1">
        <f t="array" ref="C209">_xlfn.TEXTJOIN(", ",TRUE,_xlfn._xlws.FILTER(Final_Merged_Data!$C$2:$C$1000,Final_Merged_Data!$B$2:$B$1000=$A209))</f>
        <v>Narayanganj Sadar</v>
      </c>
      <c r="D209" cm="1">
        <f t="array" ref="D209">COUNTA(_xlfn._xlws.FILTER(Final_Merged_Data!$C$2:$C$1000,Final_Merged_Data!$B$2:$B$1000=$A209))</f>
        <v>1</v>
      </c>
      <c r="E209">
        <f>SUMIFS(Final_Merged_Data!$E:$E,Final_Merged_Data!$B:$B,$A209)</f>
        <v>259.57</v>
      </c>
      <c r="F209">
        <f>SUMIFS(Final_Merged_Data!$F:$F,Final_Merged_Data!$B:$B,$A209)</f>
        <v>1012080</v>
      </c>
      <c r="G209">
        <f t="shared" si="6"/>
        <v>3899.0638363447242</v>
      </c>
      <c r="H209" cm="1">
        <f t="array" ref="H209">SUMPRODUCT((Final_Merged_Data!$B$2:$B$1000=$A209)*Final_Merged_Data!$H$2:$H$1000*Final_Merged_Data!$F$2:$F$1000)/F209</f>
        <v>3.65</v>
      </c>
      <c r="I209" cm="1">
        <f t="array" ref="I209">SUMPRODUCT((Final_Merged_Data!$B$2:$B$1000=$A209)*Final_Merged_Data!$I$2:$I$1000*Final_Merged_Data!$F$2:$F$1000)/F209</f>
        <v>80.59</v>
      </c>
      <c r="J209" t="str" cm="1">
        <f t="array" ref="J209">_xlfn.TEXTJOIN(", ",TRUE,_xlfn.UNIQUE(_xlfn._xlws.FILTER(Final_Merged_Data!$J$2:$J$1000,Final_Merged_Data!$B$2:$B$1000=$A209)))</f>
        <v>Dhaka Range</v>
      </c>
      <c r="K209" cm="1">
        <f t="array" ref="K209">SUMPRODUCT((Final_Merged_Data!$B$2:$B$1000=$A209)*Final_Merged_Data!$K$2:$K$1000*Final_Merged_Data!$F$2:$F$1000)/F209</f>
        <v>87.055167395391194</v>
      </c>
      <c r="L209" cm="1">
        <f t="array" ref="L209">SUMPRODUCT((Final_Merged_Data!$B$2:$B$1000=$A209)*Final_Merged_Data!$L$2:$L$1000*Final_Merged_Data!$F$2:$F$1000)/F209</f>
        <v>14.083489099923572</v>
      </c>
      <c r="M209" t="str">
        <f>IF(COUNTIF(Master_Data!$C:$C,$A209)&gt;0,"Found","Missing")</f>
        <v>Found</v>
      </c>
      <c r="N209" t="str">
        <f>_xlfn.XLOOKUP($A209,Master_Data!$C:$C,Master_Data!$D:$D,"CHECK",0)</f>
        <v>Abdullah Al Amin</v>
      </c>
      <c r="O209" t="str">
        <f>_xlfn.XLOOKUP($A209,Master_Data!$C:$C,Master_Data!$E:$E,"CHECK",0)</f>
        <v>NCP</v>
      </c>
      <c r="P209">
        <f>_xlfn.XLOOKUP($A209,Master_Data!$C:$C,Master_Data!$F:$F,"CHECK",0)</f>
        <v>0</v>
      </c>
      <c r="Q209">
        <f>_xlfn.XLOOKUP($A209,Master_Data!$C:$C,Master_Data!$G:$G,"CHECK",0)</f>
        <v>106171</v>
      </c>
      <c r="R209">
        <f>IFERROR(_xlfn.XLOOKUP($A209,Master_Data!$C:$C,Master_Data!$H:$H,"CHECK",0),"")</f>
        <v>56.839766582793516</v>
      </c>
      <c r="S209" t="str">
        <f>_xlfn.XLOOKUP($A209,Master_Data!$C:$C,Master_Data!$I:$I,"CHECK",0)</f>
        <v>Monir Hossain</v>
      </c>
      <c r="T209">
        <f>_xlfn.XLOOKUP($A209,Master_Data!$C:$C,Master_Data!$K:$K,"CHECK",0)</f>
        <v>80619</v>
      </c>
      <c r="U209">
        <f>IFERROR(_xlfn.XLOOKUP($A209,Master_Data!$C:$C,Master_Data!$L:$L,"CHECK",0),"")</f>
        <v>43.160233417206491</v>
      </c>
      <c r="V209">
        <f>_xlfn.XLOOKUP($A209,Master_Data!$C:$C,Master_Data!$M:$M,"CHECK",0)</f>
        <v>25552</v>
      </c>
      <c r="W209">
        <f>IFERROR(_xlfn.XLOOKUP($A209,Master_Data!$C:$C,Master_Data!$N:$N,"CHECK",0),"")</f>
        <v>13.679533165587024</v>
      </c>
      <c r="X209" t="str">
        <f>IFERROR(_xlfn.XLOOKUP($A209,Master_Data!$C:$C,Master_Data!$O:$O,"CHECK",0),"No Result")</f>
        <v>Safe Seat</v>
      </c>
      <c r="Y209">
        <f>_xlfn.XLOOKUP($A209,Master_Data!$C:$C,Master_Data!$P:$P,"CHECK",0)</f>
        <v>1</v>
      </c>
      <c r="Z209">
        <f t="shared" si="7"/>
        <v>1</v>
      </c>
      <c r="AA209">
        <f>_xlfn.XLOOKUP(B209,Remittance_Data!A:A,Remittance_Data!B:B,"CHECK")</f>
        <v>72484</v>
      </c>
      <c r="AB209">
        <f>_xlfn.XLOOKUP(B209,Remittance_Data!A:A,Remittance_Data!C:C,"CHECK")</f>
        <v>48581</v>
      </c>
      <c r="AC209">
        <f>_xlfn.XLOOKUP(B209,Remittance_Data!A:A,Remittance_Data!D:D,"CHECK")</f>
        <v>23903</v>
      </c>
    </row>
    <row r="210" spans="1:29">
      <c r="A210" t="str">
        <v>Narayanganj-5</v>
      </c>
      <c r="B210" t="str" cm="1">
        <f t="array" ref="B21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Nawabganj","Chapainawabganj"),Final_Merged_Data!$B$2:$B$1000=$A210)))</f>
        <v>Narayanganj</v>
      </c>
      <c r="C210" t="str" cm="1">
        <f t="array" ref="C210">_xlfn.TEXTJOIN(", ",TRUE,_xlfn._xlws.FILTER(Final_Merged_Data!$C$2:$C$1000,Final_Merged_Data!$B$2:$B$1000=$A210))</f>
        <v>Narayanganj Sadar</v>
      </c>
      <c r="D210" cm="1">
        <f t="array" ref="D210">COUNTA(_xlfn._xlws.FILTER(Final_Merged_Data!$C$2:$C$1000,Final_Merged_Data!$B$2:$B$1000=$A210))</f>
        <v>1</v>
      </c>
      <c r="E210">
        <f>SUMIFS(Final_Merged_Data!$E:$E,Final_Merged_Data!$B:$B,$A210)</f>
        <v>259.57</v>
      </c>
      <c r="F210">
        <f>SUMIFS(Final_Merged_Data!$F:$F,Final_Merged_Data!$B:$B,$A210)</f>
        <v>1012080</v>
      </c>
      <c r="G210">
        <f t="shared" si="6"/>
        <v>3899.0638363447242</v>
      </c>
      <c r="H210" cm="1">
        <f t="array" ref="H210">SUMPRODUCT((Final_Merged_Data!$B$2:$B$1000=$A210)*Final_Merged_Data!$H$2:$H$1000*Final_Merged_Data!$F$2:$F$1000)/F210</f>
        <v>3.65</v>
      </c>
      <c r="I210" cm="1">
        <f t="array" ref="I210">SUMPRODUCT((Final_Merged_Data!$B$2:$B$1000=$A210)*Final_Merged_Data!$I$2:$I$1000*Final_Merged_Data!$F$2:$F$1000)/F210</f>
        <v>80.59</v>
      </c>
      <c r="J210" t="str" cm="1">
        <f t="array" ref="J210">_xlfn.TEXTJOIN(", ",TRUE,_xlfn.UNIQUE(_xlfn._xlws.FILTER(Final_Merged_Data!$J$2:$J$1000,Final_Merged_Data!$B$2:$B$1000=$A210)))</f>
        <v>Dhaka Range</v>
      </c>
      <c r="K210" cm="1">
        <f t="array" ref="K210">SUMPRODUCT((Final_Merged_Data!$B$2:$B$1000=$A210)*Final_Merged_Data!$K$2:$K$1000*Final_Merged_Data!$F$2:$F$1000)/F210</f>
        <v>87.055167395391194</v>
      </c>
      <c r="L210" cm="1">
        <f t="array" ref="L210">SUMPRODUCT((Final_Merged_Data!$B$2:$B$1000=$A210)*Final_Merged_Data!$L$2:$L$1000*Final_Merged_Data!$F$2:$F$1000)/F210</f>
        <v>14.083489099923572</v>
      </c>
      <c r="M210" t="str">
        <f>IF(COUNTIF(Master_Data!$C:$C,$A210)&gt;0,"Found","Missing")</f>
        <v>Found</v>
      </c>
      <c r="N210" t="str">
        <f>_xlfn.XLOOKUP($A210,Master_Data!$C:$C,Master_Data!$D:$D,"CHECK",0)</f>
        <v>Abul Kalam</v>
      </c>
      <c r="O210" t="str">
        <f>_xlfn.XLOOKUP($A210,Master_Data!$C:$C,Master_Data!$E:$E,"CHECK",0)</f>
        <v>BNP</v>
      </c>
      <c r="P210">
        <f>_xlfn.XLOOKUP($A210,Master_Data!$C:$C,Master_Data!$F:$F,"CHECK",0)</f>
        <v>1</v>
      </c>
      <c r="Q210">
        <f>_xlfn.XLOOKUP($A210,Master_Data!$C:$C,Master_Data!$G:$G,"CHECK",0)</f>
        <v>114799</v>
      </c>
      <c r="R210">
        <f>IFERROR(_xlfn.XLOOKUP($A210,Master_Data!$C:$C,Master_Data!$H:$H,"CHECK",0),"")</f>
        <v>53.148915484154728</v>
      </c>
      <c r="S210" t="str">
        <f>_xlfn.XLOOKUP($A210,Master_Data!$C:$C,Master_Data!$I:$I,"CHECK",0)</f>
        <v>ABM Sirajul Mamun</v>
      </c>
      <c r="T210">
        <f>_xlfn.XLOOKUP($A210,Master_Data!$C:$C,Master_Data!$K:$K,"CHECK",0)</f>
        <v>101196</v>
      </c>
      <c r="U210">
        <f>IFERROR(_xlfn.XLOOKUP($A210,Master_Data!$C:$C,Master_Data!$L:$L,"CHECK",0),"")</f>
        <v>46.851084515845272</v>
      </c>
      <c r="V210">
        <f>_xlfn.XLOOKUP($A210,Master_Data!$C:$C,Master_Data!$M:$M,"CHECK",0)</f>
        <v>13603</v>
      </c>
      <c r="W210">
        <f>IFERROR(_xlfn.XLOOKUP($A210,Master_Data!$C:$C,Master_Data!$N:$N,"CHECK",0),"")</f>
        <v>6.2978309683094524</v>
      </c>
      <c r="X210" t="str">
        <f>IFERROR(_xlfn.XLOOKUP($A210,Master_Data!$C:$C,Master_Data!$O:$O,"CHECK",0),"No Result")</f>
        <v>Safe Seat</v>
      </c>
      <c r="Y210">
        <f>_xlfn.XLOOKUP($A210,Master_Data!$C:$C,Master_Data!$P:$P,"CHECK",0)</f>
        <v>1</v>
      </c>
      <c r="Z210">
        <f t="shared" si="7"/>
        <v>1</v>
      </c>
      <c r="AA210">
        <f>_xlfn.XLOOKUP(B210,Remittance_Data!A:A,Remittance_Data!B:B,"CHECK")</f>
        <v>72484</v>
      </c>
      <c r="AB210">
        <f>_xlfn.XLOOKUP(B210,Remittance_Data!A:A,Remittance_Data!C:C,"CHECK")</f>
        <v>48581</v>
      </c>
      <c r="AC210">
        <f>_xlfn.XLOOKUP(B210,Remittance_Data!A:A,Remittance_Data!D:D,"CHECK")</f>
        <v>23903</v>
      </c>
    </row>
    <row r="211" spans="1:29">
      <c r="A211" t="str">
        <v>Narsingdi-1</v>
      </c>
      <c r="B211" t="str" cm="1">
        <f t="array" ref="B21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Nawabganj","Chapainawabganj"),Final_Merged_Data!$B$2:$B$1000=$A211)))</f>
        <v>Narsingdi</v>
      </c>
      <c r="C211" t="str" cm="1">
        <f t="array" ref="C211">_xlfn.TEXTJOIN(", ",TRUE,_xlfn._xlws.FILTER(Final_Merged_Data!$C$2:$C$1000,Final_Merged_Data!$B$2:$B$1000=$A211))</f>
        <v>Narsingdi Sadar</v>
      </c>
      <c r="D211" cm="1">
        <f t="array" ref="D211">COUNTA(_xlfn._xlws.FILTER(Final_Merged_Data!$C$2:$C$1000,Final_Merged_Data!$B$2:$B$1000=$A211))</f>
        <v>1</v>
      </c>
      <c r="E211">
        <f>SUMIFS(Final_Merged_Data!$E:$E,Final_Merged_Data!$B:$B,$A211)</f>
        <v>213.78</v>
      </c>
      <c r="F211">
        <f>SUMIFS(Final_Merged_Data!$F:$F,Final_Merged_Data!$B:$B,$A211)</f>
        <v>852310</v>
      </c>
      <c r="G211">
        <f t="shared" si="6"/>
        <v>3986.8556459912061</v>
      </c>
      <c r="H211" cm="1">
        <f t="array" ref="H211">SUMPRODUCT((Final_Merged_Data!$B$2:$B$1000=$A211)*Final_Merged_Data!$H$2:$H$1000*Final_Merged_Data!$F$2:$F$1000)/F211</f>
        <v>4.04</v>
      </c>
      <c r="I211" cm="1">
        <f t="array" ref="I211">SUMPRODUCT((Final_Merged_Data!$B$2:$B$1000=$A211)*Final_Merged_Data!$I$2:$I$1000*Final_Merged_Data!$F$2:$F$1000)/F211</f>
        <v>75.61</v>
      </c>
      <c r="J211" t="str" cm="1">
        <f t="array" ref="J211">_xlfn.TEXTJOIN(", ",TRUE,_xlfn.UNIQUE(_xlfn._xlws.FILTER(Final_Merged_Data!$J$2:$J$1000,Final_Merged_Data!$B$2:$B$1000=$A211)))</f>
        <v>Dhaka Range</v>
      </c>
      <c r="K211" cm="1">
        <f t="array" ref="K211">SUMPRODUCT((Final_Merged_Data!$B$2:$B$1000=$A211)*Final_Merged_Data!$K$2:$K$1000*Final_Merged_Data!$F$2:$F$1000)/F211</f>
        <v>87.055167395391194</v>
      </c>
      <c r="L211" cm="1">
        <f t="array" ref="L211">SUMPRODUCT((Final_Merged_Data!$B$2:$B$1000=$A211)*Final_Merged_Data!$L$2:$L$1000*Final_Merged_Data!$F$2:$F$1000)/F211</f>
        <v>14.083489099923572</v>
      </c>
      <c r="M211" t="str">
        <f>IF(COUNTIF(Master_Data!$C:$C,$A211)&gt;0,"Found","Missing")</f>
        <v>Found</v>
      </c>
      <c r="N211" t="str">
        <f>_xlfn.XLOOKUP($A211,Master_Data!$C:$C,Master_Data!$D:$D,"CHECK",0)</f>
        <v>Khairul Kabir Khokon</v>
      </c>
      <c r="O211" t="str">
        <f>_xlfn.XLOOKUP($A211,Master_Data!$C:$C,Master_Data!$E:$E,"CHECK",0)</f>
        <v>BNP</v>
      </c>
      <c r="P211">
        <f>_xlfn.XLOOKUP($A211,Master_Data!$C:$C,Master_Data!$F:$F,"CHECK",0)</f>
        <v>1</v>
      </c>
      <c r="Q211">
        <f>_xlfn.XLOOKUP($A211,Master_Data!$C:$C,Master_Data!$G:$G,"CHECK",0)</f>
        <v>161405</v>
      </c>
      <c r="R211">
        <f>IFERROR(_xlfn.XLOOKUP($A211,Master_Data!$C:$C,Master_Data!$H:$H,"CHECK",0),"")</f>
        <v>62.863674957352181</v>
      </c>
      <c r="S211" t="str">
        <f>_xlfn.XLOOKUP($A211,Master_Data!$C:$C,Master_Data!$I:$I,"CHECK",0)</f>
        <v>Md. Ibrahim Bhuiyan</v>
      </c>
      <c r="T211">
        <f>_xlfn.XLOOKUP($A211,Master_Data!$C:$C,Master_Data!$K:$K,"CHECK",0)</f>
        <v>95349</v>
      </c>
      <c r="U211">
        <f>IFERROR(_xlfn.XLOOKUP($A211,Master_Data!$C:$C,Master_Data!$L:$L,"CHECK",0),"")</f>
        <v>37.136325042647826</v>
      </c>
      <c r="V211">
        <f>_xlfn.XLOOKUP($A211,Master_Data!$C:$C,Master_Data!$M:$M,"CHECK",0)</f>
        <v>66056</v>
      </c>
      <c r="W211">
        <f>IFERROR(_xlfn.XLOOKUP($A211,Master_Data!$C:$C,Master_Data!$N:$N,"CHECK",0),"")</f>
        <v>25.727349914704345</v>
      </c>
      <c r="X211" t="str">
        <f>IFERROR(_xlfn.XLOOKUP($A211,Master_Data!$C:$C,Master_Data!$O:$O,"CHECK",0),"No Result")</f>
        <v>Safe Seat</v>
      </c>
      <c r="Y211">
        <f>_xlfn.XLOOKUP($A211,Master_Data!$C:$C,Master_Data!$P:$P,"CHECK",0)</f>
        <v>0</v>
      </c>
      <c r="Z211">
        <f t="shared" si="7"/>
        <v>1</v>
      </c>
      <c r="AA211">
        <f>_xlfn.XLOOKUP(B211,Remittance_Data!A:A,Remittance_Data!B:B,"CHECK")</f>
        <v>117936</v>
      </c>
      <c r="AB211">
        <f>_xlfn.XLOOKUP(B211,Remittance_Data!A:A,Remittance_Data!C:C,"CHECK")</f>
        <v>94403</v>
      </c>
      <c r="AC211">
        <f>_xlfn.XLOOKUP(B211,Remittance_Data!A:A,Remittance_Data!D:D,"CHECK")</f>
        <v>23533</v>
      </c>
    </row>
    <row r="212" spans="1:29">
      <c r="A212" t="str">
        <v>Narsingdi-2</v>
      </c>
      <c r="B212" t="str" cm="1">
        <f t="array" ref="B21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Nawabganj","Chapainawabganj"),Final_Merged_Data!$B$2:$B$1000=$A212)))</f>
        <v>Narsingdi</v>
      </c>
      <c r="C212" t="str" cm="1">
        <f t="array" ref="C212">_xlfn.TEXTJOIN(", ",TRUE,_xlfn._xlws.FILTER(Final_Merged_Data!$C$2:$C$1000,Final_Merged_Data!$B$2:$B$1000=$A212))</f>
        <v>Palash</v>
      </c>
      <c r="D212" cm="1">
        <f t="array" ref="D212">COUNTA(_xlfn._xlws.FILTER(Final_Merged_Data!$C$2:$C$1000,Final_Merged_Data!$B$2:$B$1000=$A212))</f>
        <v>1</v>
      </c>
      <c r="E212">
        <f>SUMIFS(Final_Merged_Data!$E:$E,Final_Merged_Data!$B:$B,$A212)</f>
        <v>123.38</v>
      </c>
      <c r="F212">
        <f>SUMIFS(Final_Merged_Data!$F:$F,Final_Merged_Data!$B:$B,$A212)</f>
        <v>249151</v>
      </c>
      <c r="G212">
        <f t="shared" si="6"/>
        <v>2019.3791538336845</v>
      </c>
      <c r="H212" cm="1">
        <f t="array" ref="H212">SUMPRODUCT((Final_Merged_Data!$B$2:$B$1000=$A212)*Final_Merged_Data!$H$2:$H$1000*Final_Merged_Data!$F$2:$F$1000)/F212</f>
        <v>3.96</v>
      </c>
      <c r="I212" cm="1">
        <f t="array" ref="I212">SUMPRODUCT((Final_Merged_Data!$B$2:$B$1000=$A212)*Final_Merged_Data!$I$2:$I$1000*Final_Merged_Data!$F$2:$F$1000)/F212</f>
        <v>79.349999999999994</v>
      </c>
      <c r="J212" t="str" cm="1">
        <f t="array" ref="J212">_xlfn.TEXTJOIN(", ",TRUE,_xlfn.UNIQUE(_xlfn._xlws.FILTER(Final_Merged_Data!$J$2:$J$1000,Final_Merged_Data!$B$2:$B$1000=$A212)))</f>
        <v>Dhaka Range</v>
      </c>
      <c r="K212" cm="1">
        <f t="array" ref="K212">SUMPRODUCT((Final_Merged_Data!$B$2:$B$1000=$A212)*Final_Merged_Data!$K$2:$K$1000*Final_Merged_Data!$F$2:$F$1000)/F212</f>
        <v>87.055167395391194</v>
      </c>
      <c r="L212" cm="1">
        <f t="array" ref="L212">SUMPRODUCT((Final_Merged_Data!$B$2:$B$1000=$A212)*Final_Merged_Data!$L$2:$L$1000*Final_Merged_Data!$F$2:$F$1000)/F212</f>
        <v>14.083489099923572</v>
      </c>
      <c r="M212" t="str">
        <f>IF(COUNTIF(Master_Data!$C:$C,$A212)&gt;0,"Found","Missing")</f>
        <v>Found</v>
      </c>
      <c r="N212" t="str">
        <f>_xlfn.XLOOKUP($A212,Master_Data!$C:$C,Master_Data!$D:$D,"CHECK",0)</f>
        <v>Abdul Moyeen Khan</v>
      </c>
      <c r="O212" t="str">
        <f>_xlfn.XLOOKUP($A212,Master_Data!$C:$C,Master_Data!$E:$E,"CHECK",0)</f>
        <v>BNP</v>
      </c>
      <c r="P212">
        <f>_xlfn.XLOOKUP($A212,Master_Data!$C:$C,Master_Data!$F:$F,"CHECK",0)</f>
        <v>1</v>
      </c>
      <c r="Q212">
        <f>_xlfn.XLOOKUP($A212,Master_Data!$C:$C,Master_Data!$G:$G,"CHECK",0)</f>
        <v>92739</v>
      </c>
      <c r="R212">
        <f>IFERROR(_xlfn.XLOOKUP($A212,Master_Data!$C:$C,Master_Data!$H:$H,"CHECK",0),"")</f>
        <v>62.383710370714184</v>
      </c>
      <c r="S212" t="str">
        <f>_xlfn.XLOOKUP($A212,Master_Data!$C:$C,Master_Data!$I:$I,"CHECK",0)</f>
        <v>Md. Amjad Hossain</v>
      </c>
      <c r="T212">
        <f>_xlfn.XLOOKUP($A212,Master_Data!$C:$C,Master_Data!$K:$K,"CHECK",0)</f>
        <v>55920</v>
      </c>
      <c r="U212">
        <f>IFERROR(_xlfn.XLOOKUP($A212,Master_Data!$C:$C,Master_Data!$L:$L,"CHECK",0),"")</f>
        <v>37.616289629285816</v>
      </c>
      <c r="V212">
        <f>_xlfn.XLOOKUP($A212,Master_Data!$C:$C,Master_Data!$M:$M,"CHECK",0)</f>
        <v>36819</v>
      </c>
      <c r="W212">
        <f>IFERROR(_xlfn.XLOOKUP($A212,Master_Data!$C:$C,Master_Data!$N:$N,"CHECK",0),"")</f>
        <v>24.767420741428371</v>
      </c>
      <c r="X212" t="str">
        <f>IFERROR(_xlfn.XLOOKUP($A212,Master_Data!$C:$C,Master_Data!$O:$O,"CHECK",0),"No Result")</f>
        <v>Safe Seat</v>
      </c>
      <c r="Y212">
        <f>_xlfn.XLOOKUP($A212,Master_Data!$C:$C,Master_Data!$P:$P,"CHECK",0)</f>
        <v>0</v>
      </c>
      <c r="Z212">
        <f t="shared" si="7"/>
        <v>1</v>
      </c>
      <c r="AA212">
        <f>_xlfn.XLOOKUP(B212,Remittance_Data!A:A,Remittance_Data!B:B,"CHECK")</f>
        <v>117936</v>
      </c>
      <c r="AB212">
        <f>_xlfn.XLOOKUP(B212,Remittance_Data!A:A,Remittance_Data!C:C,"CHECK")</f>
        <v>94403</v>
      </c>
      <c r="AC212">
        <f>_xlfn.XLOOKUP(B212,Remittance_Data!A:A,Remittance_Data!D:D,"CHECK")</f>
        <v>23533</v>
      </c>
    </row>
    <row r="213" spans="1:29">
      <c r="A213" t="str">
        <v>Narsingdi-3</v>
      </c>
      <c r="B213" t="str" cm="1">
        <f t="array" ref="B21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Nawabganj","Chapainawabganj"),Final_Merged_Data!$B$2:$B$1000=$A213)))</f>
        <v>Narsingdi</v>
      </c>
      <c r="C213" t="str" cm="1">
        <f t="array" ref="C213">_xlfn.TEXTJOIN(", ",TRUE,_xlfn._xlws.FILTER(Final_Merged_Data!$C$2:$C$1000,Final_Merged_Data!$B$2:$B$1000=$A213))</f>
        <v>Shibpur</v>
      </c>
      <c r="D213" cm="1">
        <f t="array" ref="D213">COUNTA(_xlfn._xlws.FILTER(Final_Merged_Data!$C$2:$C$1000,Final_Merged_Data!$B$2:$B$1000=$A213))</f>
        <v>1</v>
      </c>
      <c r="E213">
        <f>SUMIFS(Final_Merged_Data!$E:$E,Final_Merged_Data!$B:$B,$A213)</f>
        <v>247.26</v>
      </c>
      <c r="F213">
        <f>SUMIFS(Final_Merged_Data!$F:$F,Final_Merged_Data!$B:$B,$A213)</f>
        <v>360123</v>
      </c>
      <c r="G213">
        <f t="shared" si="6"/>
        <v>1456.4547439941762</v>
      </c>
      <c r="H213" cm="1">
        <f t="array" ref="H213">SUMPRODUCT((Final_Merged_Data!$B$2:$B$1000=$A213)*Final_Merged_Data!$H$2:$H$1000*Final_Merged_Data!$F$2:$F$1000)/F213</f>
        <v>4.05</v>
      </c>
      <c r="I213" cm="1">
        <f t="array" ref="I213">SUMPRODUCT((Final_Merged_Data!$B$2:$B$1000=$A213)*Final_Merged_Data!$I$2:$I$1000*Final_Merged_Data!$F$2:$F$1000)/F213</f>
        <v>76.959999999999994</v>
      </c>
      <c r="J213" t="str" cm="1">
        <f t="array" ref="J213">_xlfn.TEXTJOIN(", ",TRUE,_xlfn.UNIQUE(_xlfn._xlws.FILTER(Final_Merged_Data!$J$2:$J$1000,Final_Merged_Data!$B$2:$B$1000=$A213)))</f>
        <v>Dhaka Range</v>
      </c>
      <c r="K213" cm="1">
        <f t="array" ref="K213">SUMPRODUCT((Final_Merged_Data!$B$2:$B$1000=$A213)*Final_Merged_Data!$K$2:$K$1000*Final_Merged_Data!$F$2:$F$1000)/F213</f>
        <v>87.055167395391194</v>
      </c>
      <c r="L213" cm="1">
        <f t="array" ref="L213">SUMPRODUCT((Final_Merged_Data!$B$2:$B$1000=$A213)*Final_Merged_Data!$L$2:$L$1000*Final_Merged_Data!$F$2:$F$1000)/F213</f>
        <v>14.083489099923572</v>
      </c>
      <c r="M213" t="str">
        <f>IF(COUNTIF(Master_Data!$C:$C,$A213)&gt;0,"Found","Missing")</f>
        <v>Found</v>
      </c>
      <c r="N213" t="str">
        <f>_xlfn.XLOOKUP($A213,Master_Data!$C:$C,Master_Data!$D:$D,"CHECK",0)</f>
        <v>Manzoor Elahi</v>
      </c>
      <c r="O213" t="str">
        <f>_xlfn.XLOOKUP($A213,Master_Data!$C:$C,Master_Data!$E:$E,"CHECK",0)</f>
        <v>BNP</v>
      </c>
      <c r="P213">
        <f>_xlfn.XLOOKUP($A213,Master_Data!$C:$C,Master_Data!$F:$F,"CHECK",0)</f>
        <v>1</v>
      </c>
      <c r="Q213">
        <f>_xlfn.XLOOKUP($A213,Master_Data!$C:$C,Master_Data!$G:$G,"CHECK",0)</f>
        <v>82061</v>
      </c>
      <c r="R213">
        <f>IFERROR(_xlfn.XLOOKUP($A213,Master_Data!$C:$C,Master_Data!$H:$H,"CHECK",0),"")</f>
        <v>64.239136391035117</v>
      </c>
      <c r="S213" t="str">
        <f>_xlfn.XLOOKUP($A213,Master_Data!$C:$C,Master_Data!$I:$I,"CHECK",0)</f>
        <v>Md. Ariful Islam Mridha</v>
      </c>
      <c r="T213">
        <f>_xlfn.XLOOKUP($A213,Master_Data!$C:$C,Master_Data!$K:$K,"CHECK",0)</f>
        <v>45682</v>
      </c>
      <c r="U213">
        <f>IFERROR(_xlfn.XLOOKUP($A213,Master_Data!$C:$C,Master_Data!$L:$L,"CHECK",0),"")</f>
        <v>35.760863608964875</v>
      </c>
      <c r="V213">
        <f>_xlfn.XLOOKUP($A213,Master_Data!$C:$C,Master_Data!$M:$M,"CHECK",0)</f>
        <v>36379</v>
      </c>
      <c r="W213">
        <f>IFERROR(_xlfn.XLOOKUP($A213,Master_Data!$C:$C,Master_Data!$N:$N,"CHECK",0),"")</f>
        <v>28.478272782070253</v>
      </c>
      <c r="X213" t="str">
        <f>IFERROR(_xlfn.XLOOKUP($A213,Master_Data!$C:$C,Master_Data!$O:$O,"CHECK",0),"No Result")</f>
        <v>Safe Seat</v>
      </c>
      <c r="Y213">
        <f>_xlfn.XLOOKUP($A213,Master_Data!$C:$C,Master_Data!$P:$P,"CHECK",0)</f>
        <v>0</v>
      </c>
      <c r="Z213">
        <f t="shared" si="7"/>
        <v>1</v>
      </c>
      <c r="AA213">
        <f>_xlfn.XLOOKUP(B213,Remittance_Data!A:A,Remittance_Data!B:B,"CHECK")</f>
        <v>117936</v>
      </c>
      <c r="AB213">
        <f>_xlfn.XLOOKUP(B213,Remittance_Data!A:A,Remittance_Data!C:C,"CHECK")</f>
        <v>94403</v>
      </c>
      <c r="AC213">
        <f>_xlfn.XLOOKUP(B213,Remittance_Data!A:A,Remittance_Data!D:D,"CHECK")</f>
        <v>23533</v>
      </c>
    </row>
    <row r="214" spans="1:29">
      <c r="A214" t="str">
        <v>Narsingdi-4</v>
      </c>
      <c r="B214" t="str" cm="1">
        <f t="array" ref="B21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Nawabganj","Chapainawabganj"),Final_Merged_Data!$B$2:$B$1000=$A214)))</f>
        <v>Narsingdi</v>
      </c>
      <c r="C214" t="str" cm="1">
        <f t="array" ref="C214">_xlfn.TEXTJOIN(", ",TRUE,_xlfn._xlws.FILTER(Final_Merged_Data!$C$2:$C$1000,Final_Merged_Data!$B$2:$B$1000=$A214))</f>
        <v>Belabo, Monohardi</v>
      </c>
      <c r="D214" cm="1">
        <f t="array" ref="D214">COUNTA(_xlfn._xlws.FILTER(Final_Merged_Data!$C$2:$C$1000,Final_Merged_Data!$B$2:$B$1000=$A214))</f>
        <v>2</v>
      </c>
      <c r="E214">
        <f>SUMIFS(Final_Merged_Data!$E:$E,Final_Merged_Data!$B:$B,$A214)</f>
        <v>284.13</v>
      </c>
      <c r="F214">
        <f>SUMIFS(Final_Merged_Data!$F:$F,Final_Merged_Data!$B:$B,$A214)</f>
        <v>512190</v>
      </c>
      <c r="G214">
        <f t="shared" si="6"/>
        <v>1802.6607538802662</v>
      </c>
      <c r="H214" cm="1">
        <f t="array" ref="H214">SUMPRODUCT((Final_Merged_Data!$B$2:$B$1000=$A214)*Final_Merged_Data!$H$2:$H$1000*Final_Merged_Data!$F$2:$F$1000)/F214</f>
        <v>3.980081766531951</v>
      </c>
      <c r="I214" cm="1">
        <f t="array" ref="I214">SUMPRODUCT((Final_Merged_Data!$B$2:$B$1000=$A214)*Final_Merged_Data!$I$2:$I$1000*Final_Merged_Data!$F$2:$F$1000)/F214</f>
        <v>74.54938675101036</v>
      </c>
      <c r="J214" t="str" cm="1">
        <f t="array" ref="J214">_xlfn.TEXTJOIN(", ",TRUE,_xlfn.UNIQUE(_xlfn._xlws.FILTER(Final_Merged_Data!$J$2:$J$1000,Final_Merged_Data!$B$2:$B$1000=$A214)))</f>
        <v>Dhaka Range</v>
      </c>
      <c r="K214" cm="1">
        <f t="array" ref="K214">SUMPRODUCT((Final_Merged_Data!$B$2:$B$1000=$A214)*Final_Merged_Data!$K$2:$K$1000*Final_Merged_Data!$F$2:$F$1000)/F214</f>
        <v>87.055167395391194</v>
      </c>
      <c r="L214" cm="1">
        <f t="array" ref="L214">SUMPRODUCT((Final_Merged_Data!$B$2:$B$1000=$A214)*Final_Merged_Data!$L$2:$L$1000*Final_Merged_Data!$F$2:$F$1000)/F214</f>
        <v>14.08348909992357</v>
      </c>
      <c r="M214" t="str">
        <f>IF(COUNTIF(Master_Data!$C:$C,$A214)&gt;0,"Found","Missing")</f>
        <v>Found</v>
      </c>
      <c r="N214" t="str">
        <f>_xlfn.XLOOKUP($A214,Master_Data!$C:$C,Master_Data!$D:$D,"CHECK",0)</f>
        <v>Sardar Shakhawat Hossain Bokul</v>
      </c>
      <c r="O214" t="str">
        <f>_xlfn.XLOOKUP($A214,Master_Data!$C:$C,Master_Data!$E:$E,"CHECK",0)</f>
        <v>BNP</v>
      </c>
      <c r="P214">
        <f>_xlfn.XLOOKUP($A214,Master_Data!$C:$C,Master_Data!$F:$F,"CHECK",0)</f>
        <v>1</v>
      </c>
      <c r="Q214">
        <f>_xlfn.XLOOKUP($A214,Master_Data!$C:$C,Master_Data!$G:$G,"CHECK",0)</f>
        <v>163392</v>
      </c>
      <c r="R214">
        <f>IFERROR(_xlfn.XLOOKUP($A214,Master_Data!$C:$C,Master_Data!$H:$H,"CHECK",0),"")</f>
        <v>67.479433045891568</v>
      </c>
      <c r="S214" t="str">
        <f>_xlfn.XLOOKUP($A214,Master_Data!$C:$C,Master_Data!$I:$I,"CHECK",0)</f>
        <v>Md. Jahangir Alam</v>
      </c>
      <c r="T214">
        <f>_xlfn.XLOOKUP($A214,Master_Data!$C:$C,Master_Data!$K:$K,"CHECK",0)</f>
        <v>78744</v>
      </c>
      <c r="U214">
        <f>IFERROR(_xlfn.XLOOKUP($A214,Master_Data!$C:$C,Master_Data!$L:$L,"CHECK",0),"")</f>
        <v>32.520566954108439</v>
      </c>
      <c r="V214">
        <f>_xlfn.XLOOKUP($A214,Master_Data!$C:$C,Master_Data!$M:$M,"CHECK",0)</f>
        <v>84648</v>
      </c>
      <c r="W214">
        <f>IFERROR(_xlfn.XLOOKUP($A214,Master_Data!$C:$C,Master_Data!$N:$N,"CHECK",0),"")</f>
        <v>34.958866091783129</v>
      </c>
      <c r="X214" t="str">
        <f>IFERROR(_xlfn.XLOOKUP($A214,Master_Data!$C:$C,Master_Data!$O:$O,"CHECK",0),"No Result")</f>
        <v>Safe Seat</v>
      </c>
      <c r="Y214">
        <f>_xlfn.XLOOKUP($A214,Master_Data!$C:$C,Master_Data!$P:$P,"CHECK",0)</f>
        <v>0</v>
      </c>
      <c r="Z214">
        <f t="shared" si="7"/>
        <v>1</v>
      </c>
      <c r="AA214">
        <f>_xlfn.XLOOKUP(B214,Remittance_Data!A:A,Remittance_Data!B:B,"CHECK")</f>
        <v>117936</v>
      </c>
      <c r="AB214">
        <f>_xlfn.XLOOKUP(B214,Remittance_Data!A:A,Remittance_Data!C:C,"CHECK")</f>
        <v>94403</v>
      </c>
      <c r="AC214">
        <f>_xlfn.XLOOKUP(B214,Remittance_Data!A:A,Remittance_Data!D:D,"CHECK")</f>
        <v>23533</v>
      </c>
    </row>
    <row r="215" spans="1:29">
      <c r="A215" t="str">
        <v>Narsingdi-5</v>
      </c>
      <c r="B215" t="str" cm="1">
        <f t="array" ref="B21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Nawabganj","Chapainawabganj"),Final_Merged_Data!$B$2:$B$1000=$A215)))</f>
        <v>Narsingdi</v>
      </c>
      <c r="C215" t="str" cm="1">
        <f t="array" ref="C215">_xlfn.TEXTJOIN(", ",TRUE,_xlfn._xlws.FILTER(Final_Merged_Data!$C$2:$C$1000,Final_Merged_Data!$B$2:$B$1000=$A215))</f>
        <v>Raipura</v>
      </c>
      <c r="D215" cm="1">
        <f t="array" ref="D215">COUNTA(_xlfn._xlws.FILTER(Final_Merged_Data!$C$2:$C$1000,Final_Merged_Data!$B$2:$B$1000=$A215))</f>
        <v>1</v>
      </c>
      <c r="E215">
        <f>SUMIFS(Final_Merged_Data!$E:$E,Final_Merged_Data!$B:$B,$A215)</f>
        <v>312.77</v>
      </c>
      <c r="F215">
        <f>SUMIFS(Final_Merged_Data!$F:$F,Final_Merged_Data!$B:$B,$A215)</f>
        <v>610561</v>
      </c>
      <c r="G215">
        <f t="shared" si="6"/>
        <v>1952.1085781884453</v>
      </c>
      <c r="H215" cm="1">
        <f t="array" ref="H215">SUMPRODUCT((Final_Merged_Data!$B$2:$B$1000=$A215)*Final_Merged_Data!$H$2:$H$1000*Final_Merged_Data!$F$2:$F$1000)/F215</f>
        <v>4.33</v>
      </c>
      <c r="I215" cm="1">
        <f t="array" ref="I215">SUMPRODUCT((Final_Merged_Data!$B$2:$B$1000=$A215)*Final_Merged_Data!$I$2:$I$1000*Final_Merged_Data!$F$2:$F$1000)/F215</f>
        <v>70.67</v>
      </c>
      <c r="J215" t="str" cm="1">
        <f t="array" ref="J215">_xlfn.TEXTJOIN(", ",TRUE,_xlfn.UNIQUE(_xlfn._xlws.FILTER(Final_Merged_Data!$J$2:$J$1000,Final_Merged_Data!$B$2:$B$1000=$A215)))</f>
        <v>Dhaka Range</v>
      </c>
      <c r="K215" cm="1">
        <f t="array" ref="K215">SUMPRODUCT((Final_Merged_Data!$B$2:$B$1000=$A215)*Final_Merged_Data!$K$2:$K$1000*Final_Merged_Data!$F$2:$F$1000)/F215</f>
        <v>87.055167395391194</v>
      </c>
      <c r="L215" cm="1">
        <f t="array" ref="L215">SUMPRODUCT((Final_Merged_Data!$B$2:$B$1000=$A215)*Final_Merged_Data!$L$2:$L$1000*Final_Merged_Data!$F$2:$F$1000)/F215</f>
        <v>14.083489099923572</v>
      </c>
      <c r="M215" t="str">
        <f>IF(COUNTIF(Master_Data!$C:$C,$A215)&gt;0,"Found","Missing")</f>
        <v>Found</v>
      </c>
      <c r="N215" t="str">
        <f>_xlfn.XLOOKUP($A215,Master_Data!$C:$C,Master_Data!$D:$D,"CHECK",0)</f>
        <v>Md. Ashraf Uddin</v>
      </c>
      <c r="O215" t="str">
        <f>_xlfn.XLOOKUP($A215,Master_Data!$C:$C,Master_Data!$E:$E,"CHECK",0)</f>
        <v>BNP</v>
      </c>
      <c r="P215">
        <f>_xlfn.XLOOKUP($A215,Master_Data!$C:$C,Master_Data!$F:$F,"CHECK",0)</f>
        <v>1</v>
      </c>
      <c r="Q215">
        <f>_xlfn.XLOOKUP($A215,Master_Data!$C:$C,Master_Data!$G:$G,"CHECK",0)</f>
        <v>137690</v>
      </c>
      <c r="R215">
        <f>IFERROR(_xlfn.XLOOKUP($A215,Master_Data!$C:$C,Master_Data!$H:$H,"CHECK",0),"")</f>
        <v>75.375949110696283</v>
      </c>
      <c r="S215" t="str">
        <f>_xlfn.XLOOKUP($A215,Master_Data!$C:$C,Master_Data!$I:$I,"CHECK",0)</f>
        <v>Tajul Islam</v>
      </c>
      <c r="T215">
        <f>_xlfn.XLOOKUP($A215,Master_Data!$C:$C,Master_Data!$K:$K,"CHECK",0)</f>
        <v>44981</v>
      </c>
      <c r="U215">
        <f>IFERROR(_xlfn.XLOOKUP($A215,Master_Data!$C:$C,Master_Data!$L:$L,"CHECK",0),"")</f>
        <v>24.624050889303721</v>
      </c>
      <c r="V215">
        <f>_xlfn.XLOOKUP($A215,Master_Data!$C:$C,Master_Data!$M:$M,"CHECK",0)</f>
        <v>92709</v>
      </c>
      <c r="W215">
        <f>IFERROR(_xlfn.XLOOKUP($A215,Master_Data!$C:$C,Master_Data!$N:$N,"CHECK",0),"")</f>
        <v>50.751898221392558</v>
      </c>
      <c r="X215" t="str">
        <f>IFERROR(_xlfn.XLOOKUP($A215,Master_Data!$C:$C,Master_Data!$O:$O,"CHECK",0),"No Result")</f>
        <v>Safe Seat</v>
      </c>
      <c r="Y215">
        <f>_xlfn.XLOOKUP($A215,Master_Data!$C:$C,Master_Data!$P:$P,"CHECK",0)</f>
        <v>0</v>
      </c>
      <c r="Z215">
        <f t="shared" si="7"/>
        <v>1</v>
      </c>
      <c r="AA215">
        <f>_xlfn.XLOOKUP(B215,Remittance_Data!A:A,Remittance_Data!B:B,"CHECK")</f>
        <v>117936</v>
      </c>
      <c r="AB215">
        <f>_xlfn.XLOOKUP(B215,Remittance_Data!A:A,Remittance_Data!C:C,"CHECK")</f>
        <v>94403</v>
      </c>
      <c r="AC215">
        <f>_xlfn.XLOOKUP(B215,Remittance_Data!A:A,Remittance_Data!D:D,"CHECK")</f>
        <v>23533</v>
      </c>
    </row>
    <row r="216" spans="1:29">
      <c r="A216" t="str">
        <v>Natore-1</v>
      </c>
      <c r="B216" t="str" cm="1">
        <f t="array" ref="B21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Nawabganj","Chapainawabganj"),Final_Merged_Data!$B$2:$B$1000=$A216)))</f>
        <v>Natore</v>
      </c>
      <c r="C216" t="str" cm="1">
        <f t="array" ref="C216">_xlfn.TEXTJOIN(", ",TRUE,_xlfn._xlws.FILTER(Final_Merged_Data!$C$2:$C$1000,Final_Merged_Data!$B$2:$B$1000=$A216))</f>
        <v>Lalpur, Bagatipara</v>
      </c>
      <c r="D216" cm="1">
        <f t="array" ref="D216">COUNTA(_xlfn._xlws.FILTER(Final_Merged_Data!$C$2:$C$1000,Final_Merged_Data!$B$2:$B$1000=$A216))</f>
        <v>2</v>
      </c>
      <c r="E216">
        <f>SUMIFS(Final_Merged_Data!$E:$E,Final_Merged_Data!$B:$B,$A216)</f>
        <v>674.08999999999992</v>
      </c>
      <c r="F216">
        <f>SUMIFS(Final_Merged_Data!$F:$F,Final_Merged_Data!$B:$B,$A216)</f>
        <v>447024</v>
      </c>
      <c r="G216">
        <f t="shared" si="6"/>
        <v>663.15180465516482</v>
      </c>
      <c r="H216" cm="1">
        <f t="array" ref="H216">SUMPRODUCT((Final_Merged_Data!$B$2:$B$1000=$A216)*Final_Merged_Data!$H$2:$H$1000*Final_Merged_Data!$F$2:$F$1000)/F216</f>
        <v>3.6690853511220873</v>
      </c>
      <c r="I216" cm="1">
        <f t="array" ref="I216">SUMPRODUCT((Final_Merged_Data!$B$2:$B$1000=$A216)*Final_Merged_Data!$I$2:$I$1000*Final_Merged_Data!$F$2:$F$1000)/F216</f>
        <v>73.434029380972831</v>
      </c>
      <c r="J216" t="str" cm="1">
        <f t="array" ref="J216">_xlfn.TEXTJOIN(", ",TRUE,_xlfn.UNIQUE(_xlfn._xlws.FILTER(Final_Merged_Data!$J$2:$J$1000,Final_Merged_Data!$B$2:$B$1000=$A216)))</f>
        <v>Rajshahi Range</v>
      </c>
      <c r="K216" cm="1">
        <f t="array" ref="K216">SUMPRODUCT((Final_Merged_Data!$B$2:$B$1000=$A216)*Final_Merged_Data!$K$2:$K$1000*Final_Merged_Data!$F$2:$F$1000)/F216</f>
        <v>112.81411131450233</v>
      </c>
      <c r="L216" cm="1">
        <f t="array" ref="L216">SUMPRODUCT((Final_Merged_Data!$B$2:$B$1000=$A216)*Final_Merged_Data!$L$2:$L$1000*Final_Merged_Data!$F$2:$F$1000)/F216</f>
        <v>14.272851259111951</v>
      </c>
      <c r="M216" t="str">
        <f>IF(COUNTIF(Master_Data!$C:$C,$A216)&gt;0,"Found","Missing")</f>
        <v>Found</v>
      </c>
      <c r="N216" t="str">
        <f>_xlfn.XLOOKUP($A216,Master_Data!$C:$C,Master_Data!$D:$D,"CHECK",0)</f>
        <v>Farzana Sharmin</v>
      </c>
      <c r="O216" t="str">
        <f>_xlfn.XLOOKUP($A216,Master_Data!$C:$C,Master_Data!$E:$E,"CHECK",0)</f>
        <v>BNP</v>
      </c>
      <c r="P216">
        <f>_xlfn.XLOOKUP($A216,Master_Data!$C:$C,Master_Data!$F:$F,"CHECK",0)</f>
        <v>1</v>
      </c>
      <c r="Q216">
        <f>_xlfn.XLOOKUP($A216,Master_Data!$C:$C,Master_Data!$G:$G,"CHECK",0)</f>
        <v>102726</v>
      </c>
      <c r="R216">
        <f>IFERROR(_xlfn.XLOOKUP($A216,Master_Data!$C:$C,Master_Data!$H:$H,"CHECK",0),"")</f>
        <v>53.144950179519277</v>
      </c>
      <c r="S216" t="str">
        <f>_xlfn.XLOOKUP($A216,Master_Data!$C:$C,Master_Data!$I:$I,"CHECK",0)</f>
        <v>Md. Abul Kalam Azad</v>
      </c>
      <c r="T216">
        <f>_xlfn.XLOOKUP($A216,Master_Data!$C:$C,Master_Data!$K:$K,"CHECK",0)</f>
        <v>90568</v>
      </c>
      <c r="U216">
        <f>IFERROR(_xlfn.XLOOKUP($A216,Master_Data!$C:$C,Master_Data!$L:$L,"CHECK",0),"")</f>
        <v>46.855049820480723</v>
      </c>
      <c r="V216">
        <f>_xlfn.XLOOKUP($A216,Master_Data!$C:$C,Master_Data!$M:$M,"CHECK",0)</f>
        <v>12158</v>
      </c>
      <c r="W216">
        <f>IFERROR(_xlfn.XLOOKUP($A216,Master_Data!$C:$C,Master_Data!$N:$N,"CHECK",0),"")</f>
        <v>6.2899003590385627</v>
      </c>
      <c r="X216" t="str">
        <f>IFERROR(_xlfn.XLOOKUP($A216,Master_Data!$C:$C,Master_Data!$O:$O,"CHECK",0),"No Result")</f>
        <v>Safe Seat</v>
      </c>
      <c r="Y216">
        <f>_xlfn.XLOOKUP($A216,Master_Data!$C:$C,Master_Data!$P:$P,"CHECK",0)</f>
        <v>0</v>
      </c>
      <c r="Z216">
        <f t="shared" si="7"/>
        <v>1</v>
      </c>
      <c r="AA216">
        <f>_xlfn.XLOOKUP(B216,Remittance_Data!A:A,Remittance_Data!B:B,"CHECK")</f>
        <v>15186</v>
      </c>
      <c r="AB216">
        <f>_xlfn.XLOOKUP(B216,Remittance_Data!A:A,Remittance_Data!C:C,"CHECK")</f>
        <v>12576</v>
      </c>
      <c r="AC216">
        <f>_xlfn.XLOOKUP(B216,Remittance_Data!A:A,Remittance_Data!D:D,"CHECK")</f>
        <v>2610</v>
      </c>
    </row>
    <row r="217" spans="1:29">
      <c r="A217" t="str">
        <v>Natore-2</v>
      </c>
      <c r="B217" t="str" cm="1">
        <f t="array" ref="B21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Nawabganj","Chapainawabganj"),Final_Merged_Data!$B$2:$B$1000=$A217)))</f>
        <v>Natore</v>
      </c>
      <c r="C217" t="str" cm="1">
        <f t="array" ref="C217">_xlfn.TEXTJOIN(", ",TRUE,_xlfn._xlws.FILTER(Final_Merged_Data!$C$2:$C$1000,Final_Merged_Data!$B$2:$B$1000=$A217))</f>
        <v>Natore Sadar</v>
      </c>
      <c r="D217" cm="1">
        <f t="array" ref="D217">COUNTA(_xlfn._xlws.FILTER(Final_Merged_Data!$C$2:$C$1000,Final_Merged_Data!$B$2:$B$1000=$A217))</f>
        <v>1</v>
      </c>
      <c r="E217">
        <f>SUMIFS(Final_Merged_Data!$E:$E,Final_Merged_Data!$B:$B,$A217)</f>
        <v>278.33</v>
      </c>
      <c r="F217">
        <f>SUMIFS(Final_Merged_Data!$F:$F,Final_Merged_Data!$B:$B,$A217)</f>
        <v>352967</v>
      </c>
      <c r="G217">
        <f t="shared" si="6"/>
        <v>1268.1600977257212</v>
      </c>
      <c r="H217" cm="1">
        <f t="array" ref="H217">SUMPRODUCT((Final_Merged_Data!$B$2:$B$1000=$A217)*Final_Merged_Data!$H$2:$H$1000*Final_Merged_Data!$F$2:$F$1000)/F217</f>
        <v>3.67</v>
      </c>
      <c r="I217" cm="1">
        <f t="array" ref="I217">SUMPRODUCT((Final_Merged_Data!$B$2:$B$1000=$A217)*Final_Merged_Data!$I$2:$I$1000*Final_Merged_Data!$F$2:$F$1000)/F217</f>
        <v>75.2</v>
      </c>
      <c r="J217" t="str" cm="1">
        <f t="array" ref="J217">_xlfn.TEXTJOIN(", ",TRUE,_xlfn.UNIQUE(_xlfn._xlws.FILTER(Final_Merged_Data!$J$2:$J$1000,Final_Merged_Data!$B$2:$B$1000=$A217)))</f>
        <v>Rajshahi Range</v>
      </c>
      <c r="K217" cm="1">
        <f t="array" ref="K217">SUMPRODUCT((Final_Merged_Data!$B$2:$B$1000=$A217)*Final_Merged_Data!$K$2:$K$1000*Final_Merged_Data!$F$2:$F$1000)/F217</f>
        <v>112.81411131450233</v>
      </c>
      <c r="L217" cm="1">
        <f t="array" ref="L217">SUMPRODUCT((Final_Merged_Data!$B$2:$B$1000=$A217)*Final_Merged_Data!$L$2:$L$1000*Final_Merged_Data!$F$2:$F$1000)/F217</f>
        <v>14.272851259111949</v>
      </c>
      <c r="M217" t="str">
        <f>IF(COUNTIF(Master_Data!$C:$C,$A217)&gt;0,"Found","Missing")</f>
        <v>Found</v>
      </c>
      <c r="N217" t="str">
        <f>_xlfn.XLOOKUP($A217,Master_Data!$C:$C,Master_Data!$D:$D,"CHECK",0)</f>
        <v>Ruhul Quddus Talukdar Dulu</v>
      </c>
      <c r="O217" t="str">
        <f>_xlfn.XLOOKUP($A217,Master_Data!$C:$C,Master_Data!$E:$E,"CHECK",0)</f>
        <v>BNP</v>
      </c>
      <c r="P217">
        <f>_xlfn.XLOOKUP($A217,Master_Data!$C:$C,Master_Data!$F:$F,"CHECK",0)</f>
        <v>1</v>
      </c>
      <c r="Q217">
        <f>_xlfn.XLOOKUP($A217,Master_Data!$C:$C,Master_Data!$G:$G,"CHECK",0)</f>
        <v>162841</v>
      </c>
      <c r="R217">
        <f>IFERROR(_xlfn.XLOOKUP($A217,Master_Data!$C:$C,Master_Data!$H:$H,"CHECK",0),"")</f>
        <v>55.594779230267633</v>
      </c>
      <c r="S217" t="str">
        <f>_xlfn.XLOOKUP($A217,Master_Data!$C:$C,Master_Data!$I:$I,"CHECK",0)</f>
        <v>Md. Yunus Ali</v>
      </c>
      <c r="T217">
        <f>_xlfn.XLOOKUP($A217,Master_Data!$C:$C,Master_Data!$K:$K,"CHECK",0)</f>
        <v>130066</v>
      </c>
      <c r="U217">
        <f>IFERROR(_xlfn.XLOOKUP($A217,Master_Data!$C:$C,Master_Data!$L:$L,"CHECK",0),"")</f>
        <v>44.405220769732374</v>
      </c>
      <c r="V217">
        <f>_xlfn.XLOOKUP($A217,Master_Data!$C:$C,Master_Data!$M:$M,"CHECK",0)</f>
        <v>32775</v>
      </c>
      <c r="W217">
        <f>IFERROR(_xlfn.XLOOKUP($A217,Master_Data!$C:$C,Master_Data!$N:$N,"CHECK",0),"")</f>
        <v>11.189558460535256</v>
      </c>
      <c r="X217" t="str">
        <f>IFERROR(_xlfn.XLOOKUP($A217,Master_Data!$C:$C,Master_Data!$O:$O,"CHECK",0),"No Result")</f>
        <v>Safe Seat</v>
      </c>
      <c r="Y217">
        <f>_xlfn.XLOOKUP($A217,Master_Data!$C:$C,Master_Data!$P:$P,"CHECK",0)</f>
        <v>0</v>
      </c>
      <c r="Z217">
        <f t="shared" si="7"/>
        <v>1</v>
      </c>
      <c r="AA217">
        <f>_xlfn.XLOOKUP(B217,Remittance_Data!A:A,Remittance_Data!B:B,"CHECK")</f>
        <v>15186</v>
      </c>
      <c r="AB217">
        <f>_xlfn.XLOOKUP(B217,Remittance_Data!A:A,Remittance_Data!C:C,"CHECK")</f>
        <v>12576</v>
      </c>
      <c r="AC217">
        <f>_xlfn.XLOOKUP(B217,Remittance_Data!A:A,Remittance_Data!D:D,"CHECK")</f>
        <v>2610</v>
      </c>
    </row>
    <row r="218" spans="1:29">
      <c r="A218" t="str">
        <v>Natore-3</v>
      </c>
      <c r="B218" t="str" cm="1">
        <f t="array" ref="B21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Nawabganj","Chapainawabganj"),Final_Merged_Data!$B$2:$B$1000=$A218)))</f>
        <v>Natore</v>
      </c>
      <c r="C218" t="str" cm="1">
        <f t="array" ref="C218">_xlfn.TEXTJOIN(", ",TRUE,_xlfn._xlws.FILTER(Final_Merged_Data!$C$2:$C$1000,Final_Merged_Data!$B$2:$B$1000=$A218))</f>
        <v>Singra, Gurudaspur</v>
      </c>
      <c r="D218" cm="1">
        <f t="array" ref="D218">COUNTA(_xlfn._xlws.FILTER(Final_Merged_Data!$C$2:$C$1000,Final_Merged_Data!$B$2:$B$1000=$A218))</f>
        <v>2</v>
      </c>
      <c r="E218">
        <f>SUMIFS(Final_Merged_Data!$E:$E,Final_Merged_Data!$B:$B,$A218)</f>
        <v>607.05999999999995</v>
      </c>
      <c r="F218">
        <f>SUMIFS(Final_Merged_Data!$F:$F,Final_Merged_Data!$B:$B,$A218)</f>
        <v>615629</v>
      </c>
      <c r="G218">
        <f t="shared" si="6"/>
        <v>1014.1155734194315</v>
      </c>
      <c r="H218" cm="1">
        <f t="array" ref="H218">SUMPRODUCT((Final_Merged_Data!$B$2:$B$1000=$A218)*Final_Merged_Data!$H$2:$H$1000*Final_Merged_Data!$F$2:$F$1000)/F218</f>
        <v>3.6743241790104104</v>
      </c>
      <c r="I218" cm="1">
        <f t="array" ref="I218">SUMPRODUCT((Final_Merged_Data!$B$2:$B$1000=$A218)*Final_Merged_Data!$I$2:$I$1000*Final_Merged_Data!$F$2:$F$1000)/F218</f>
        <v>67.718876319991423</v>
      </c>
      <c r="J218" t="str" cm="1">
        <f t="array" ref="J218">_xlfn.TEXTJOIN(", ",TRUE,_xlfn.UNIQUE(_xlfn._xlws.FILTER(Final_Merged_Data!$J$2:$J$1000,Final_Merged_Data!$B$2:$B$1000=$A218)))</f>
        <v>Rajshahi Range</v>
      </c>
      <c r="K218" cm="1">
        <f t="array" ref="K218">SUMPRODUCT((Final_Merged_Data!$B$2:$B$1000=$A218)*Final_Merged_Data!$K$2:$K$1000*Final_Merged_Data!$F$2:$F$1000)/F218</f>
        <v>112.81411131450233</v>
      </c>
      <c r="L218" cm="1">
        <f t="array" ref="L218">SUMPRODUCT((Final_Merged_Data!$B$2:$B$1000=$A218)*Final_Merged_Data!$L$2:$L$1000*Final_Merged_Data!$F$2:$F$1000)/F218</f>
        <v>14.272851259111949</v>
      </c>
      <c r="M218" t="str">
        <f>IF(COUNTIF(Master_Data!$C:$C,$A218)&gt;0,"Found","Missing")</f>
        <v>Found</v>
      </c>
      <c r="N218" t="str">
        <f>_xlfn.XLOOKUP($A218,Master_Data!$C:$C,Master_Data!$D:$D,"CHECK",0)</f>
        <v>Md. Anwarul Islam</v>
      </c>
      <c r="O218" t="str">
        <f>_xlfn.XLOOKUP($A218,Master_Data!$C:$C,Master_Data!$E:$E,"CHECK",0)</f>
        <v>BNP</v>
      </c>
      <c r="P218">
        <f>_xlfn.XLOOKUP($A218,Master_Data!$C:$C,Master_Data!$F:$F,"CHECK",0)</f>
        <v>1</v>
      </c>
      <c r="Q218">
        <f>_xlfn.XLOOKUP($A218,Master_Data!$C:$C,Master_Data!$G:$G,"CHECK",0)</f>
        <v>119768</v>
      </c>
      <c r="R218">
        <f>IFERROR(_xlfn.XLOOKUP($A218,Master_Data!$C:$C,Master_Data!$H:$H,"CHECK",0),"")</f>
        <v>64.301514012670452</v>
      </c>
      <c r="S218" t="str">
        <f>_xlfn.XLOOKUP($A218,Master_Data!$C:$C,Master_Data!$I:$I,"CHECK",0)</f>
        <v>Md. Daudar Mahmud</v>
      </c>
      <c r="T218">
        <f>_xlfn.XLOOKUP($A218,Master_Data!$C:$C,Master_Data!$K:$K,"CHECK",0)</f>
        <v>66492</v>
      </c>
      <c r="U218">
        <f>IFERROR(_xlfn.XLOOKUP($A218,Master_Data!$C:$C,Master_Data!$L:$L,"CHECK",0),"")</f>
        <v>35.698485987329533</v>
      </c>
      <c r="V218">
        <f>_xlfn.XLOOKUP($A218,Master_Data!$C:$C,Master_Data!$M:$M,"CHECK",0)</f>
        <v>53276</v>
      </c>
      <c r="W218">
        <f>IFERROR(_xlfn.XLOOKUP($A218,Master_Data!$C:$C,Master_Data!$N:$N,"CHECK",0),"")</f>
        <v>28.603028025340922</v>
      </c>
      <c r="X218" t="str">
        <f>IFERROR(_xlfn.XLOOKUP($A218,Master_Data!$C:$C,Master_Data!$O:$O,"CHECK",0),"No Result")</f>
        <v>Safe Seat</v>
      </c>
      <c r="Y218">
        <f>_xlfn.XLOOKUP($A218,Master_Data!$C:$C,Master_Data!$P:$P,"CHECK",0)</f>
        <v>0</v>
      </c>
      <c r="Z218">
        <f t="shared" si="7"/>
        <v>1</v>
      </c>
      <c r="AA218">
        <f>_xlfn.XLOOKUP(B218,Remittance_Data!A:A,Remittance_Data!B:B,"CHECK")</f>
        <v>15186</v>
      </c>
      <c r="AB218">
        <f>_xlfn.XLOOKUP(B218,Remittance_Data!A:A,Remittance_Data!C:C,"CHECK")</f>
        <v>12576</v>
      </c>
      <c r="AC218">
        <f>_xlfn.XLOOKUP(B218,Remittance_Data!A:A,Remittance_Data!D:D,"CHECK")</f>
        <v>2610</v>
      </c>
    </row>
    <row r="219" spans="1:29">
      <c r="A219" t="str">
        <v>Natore-4</v>
      </c>
      <c r="B219" t="str" cm="1">
        <f t="array" ref="B21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Nawabganj","Chapainawabganj"),Final_Merged_Data!$B$2:$B$1000=$A219)))</f>
        <v>Natore</v>
      </c>
      <c r="C219" t="str" cm="1">
        <f t="array" ref="C219">_xlfn.TEXTJOIN(", ",TRUE,_xlfn._xlws.FILTER(Final_Merged_Data!$C$2:$C$1000,Final_Merged_Data!$B$2:$B$1000=$A219))</f>
        <v>Baraigram</v>
      </c>
      <c r="D219" cm="1">
        <f t="array" ref="D219">COUNTA(_xlfn._xlws.FILTER(Final_Merged_Data!$C$2:$C$1000,Final_Merged_Data!$B$2:$B$1000=$A219))</f>
        <v>1</v>
      </c>
      <c r="E219">
        <f>SUMIFS(Final_Merged_Data!$E:$E,Final_Merged_Data!$B:$B,$A219)</f>
        <v>299.63</v>
      </c>
      <c r="F219">
        <f>SUMIFS(Final_Merged_Data!$F:$F,Final_Merged_Data!$B:$B,$A219)</f>
        <v>308917</v>
      </c>
      <c r="G219">
        <f t="shared" si="6"/>
        <v>1030.9948937022327</v>
      </c>
      <c r="H219" cm="1">
        <f t="array" ref="H219">SUMPRODUCT((Final_Merged_Data!$B$2:$B$1000=$A219)*Final_Merged_Data!$H$2:$H$1000*Final_Merged_Data!$F$2:$F$1000)/F219</f>
        <v>3.6400000000000006</v>
      </c>
      <c r="I219" cm="1">
        <f t="array" ref="I219">SUMPRODUCT((Final_Merged_Data!$B$2:$B$1000=$A219)*Final_Merged_Data!$I$2:$I$1000*Final_Merged_Data!$F$2:$F$1000)/F219</f>
        <v>72.38</v>
      </c>
      <c r="J219" t="str" cm="1">
        <f t="array" ref="J219">_xlfn.TEXTJOIN(", ",TRUE,_xlfn.UNIQUE(_xlfn._xlws.FILTER(Final_Merged_Data!$J$2:$J$1000,Final_Merged_Data!$B$2:$B$1000=$A219)))</f>
        <v>Rajshahi Range</v>
      </c>
      <c r="K219" cm="1">
        <f t="array" ref="K219">SUMPRODUCT((Final_Merged_Data!$B$2:$B$1000=$A219)*Final_Merged_Data!$K$2:$K$1000*Final_Merged_Data!$F$2:$F$1000)/F219</f>
        <v>112.81411131450231</v>
      </c>
      <c r="L219" cm="1">
        <f t="array" ref="L219">SUMPRODUCT((Final_Merged_Data!$B$2:$B$1000=$A219)*Final_Merged_Data!$L$2:$L$1000*Final_Merged_Data!$F$2:$F$1000)/F219</f>
        <v>14.272851259111949</v>
      </c>
      <c r="M219" t="str">
        <f>IF(COUNTIF(Master_Data!$C:$C,$A219)&gt;0,"Found","Missing")</f>
        <v>Found</v>
      </c>
      <c r="N219" t="str">
        <f>_xlfn.XLOOKUP($A219,Master_Data!$C:$C,Master_Data!$D:$D,"CHECK",0)</f>
        <v>Md. Abdul Aziz</v>
      </c>
      <c r="O219" t="str">
        <f>_xlfn.XLOOKUP($A219,Master_Data!$C:$C,Master_Data!$E:$E,"CHECK",0)</f>
        <v>BNP</v>
      </c>
      <c r="P219">
        <f>_xlfn.XLOOKUP($A219,Master_Data!$C:$C,Master_Data!$F:$F,"CHECK",0)</f>
        <v>1</v>
      </c>
      <c r="Q219">
        <f>_xlfn.XLOOKUP($A219,Master_Data!$C:$C,Master_Data!$G:$G,"CHECK",0)</f>
        <v>170551</v>
      </c>
      <c r="R219">
        <f>IFERROR(_xlfn.XLOOKUP($A219,Master_Data!$C:$C,Master_Data!$H:$H,"CHECK",0),"")</f>
        <v>55.747098258791837</v>
      </c>
      <c r="S219" t="str">
        <f>_xlfn.XLOOKUP($A219,Master_Data!$C:$C,Master_Data!$I:$I,"CHECK",0)</f>
        <v>Md. Abdul Hakim</v>
      </c>
      <c r="T219">
        <f>_xlfn.XLOOKUP($A219,Master_Data!$C:$C,Master_Data!$K:$K,"CHECK",0)</f>
        <v>135386</v>
      </c>
      <c r="U219">
        <f>IFERROR(_xlfn.XLOOKUP($A219,Master_Data!$C:$C,Master_Data!$L:$L,"CHECK",0),"")</f>
        <v>44.252901741208156</v>
      </c>
      <c r="V219">
        <f>_xlfn.XLOOKUP($A219,Master_Data!$C:$C,Master_Data!$M:$M,"CHECK",0)</f>
        <v>35165</v>
      </c>
      <c r="W219">
        <f>IFERROR(_xlfn.XLOOKUP($A219,Master_Data!$C:$C,Master_Data!$N:$N,"CHECK",0),"")</f>
        <v>11.494196517583685</v>
      </c>
      <c r="X219" t="str">
        <f>IFERROR(_xlfn.XLOOKUP($A219,Master_Data!$C:$C,Master_Data!$O:$O,"CHECK",0),"No Result")</f>
        <v>Safe Seat</v>
      </c>
      <c r="Y219">
        <f>_xlfn.XLOOKUP($A219,Master_Data!$C:$C,Master_Data!$P:$P,"CHECK",0)</f>
        <v>0</v>
      </c>
      <c r="Z219">
        <f t="shared" si="7"/>
        <v>1</v>
      </c>
      <c r="AA219">
        <f>_xlfn.XLOOKUP(B219,Remittance_Data!A:A,Remittance_Data!B:B,"CHECK")</f>
        <v>15186</v>
      </c>
      <c r="AB219">
        <f>_xlfn.XLOOKUP(B219,Remittance_Data!A:A,Remittance_Data!C:C,"CHECK")</f>
        <v>12576</v>
      </c>
      <c r="AC219">
        <f>_xlfn.XLOOKUP(B219,Remittance_Data!A:A,Remittance_Data!D:D,"CHECK")</f>
        <v>2610</v>
      </c>
    </row>
    <row r="220" spans="1:29">
      <c r="A220" t="str">
        <v>Netrokona-1</v>
      </c>
      <c r="B220" t="str" cm="1">
        <f t="array" ref="B22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Nawabganj","Chapainawabganj"),Final_Merged_Data!$B$2:$B$1000=$A220)))</f>
        <v>Netrokona</v>
      </c>
      <c r="C220" t="str" cm="1">
        <f t="array" ref="C220">_xlfn.TEXTJOIN(", ",TRUE,_xlfn._xlws.FILTER(Final_Merged_Data!$C$2:$C$1000,Final_Merged_Data!$B$2:$B$1000=$A220))</f>
        <v>Durgapur, Khaliajuri</v>
      </c>
      <c r="D220" cm="1">
        <f t="array" ref="D220">COUNTA(_xlfn._xlws.FILTER(Final_Merged_Data!$C$2:$C$1000,Final_Merged_Data!$B$2:$B$1000=$A220))</f>
        <v>2</v>
      </c>
      <c r="E220">
        <f>SUMIFS(Final_Merged_Data!$E:$E,Final_Merged_Data!$B:$B,$A220)</f>
        <v>633.09999999999991</v>
      </c>
      <c r="F220">
        <f>SUMIFS(Final_Merged_Data!$F:$F,Final_Merged_Data!$B:$B,$A220)</f>
        <v>338784</v>
      </c>
      <c r="G220">
        <f t="shared" si="6"/>
        <v>535.11925446217037</v>
      </c>
      <c r="H220" cm="1">
        <f t="array" ref="H220">SUMPRODUCT((Final_Merged_Data!$B$2:$B$1000=$A220)*Final_Merged_Data!$H$2:$H$1000*Final_Merged_Data!$F$2:$F$1000)/F220</f>
        <v>4.1795284606120706</v>
      </c>
      <c r="I220" cm="1">
        <f t="array" ref="I220">SUMPRODUCT((Final_Merged_Data!$B$2:$B$1000=$A220)*Final_Merged_Data!$I$2:$I$1000*Final_Merged_Data!$F$2:$F$1000)/F220</f>
        <v>64.644309294417681</v>
      </c>
      <c r="J220" t="str" cm="1">
        <f t="array" ref="J220">_xlfn.TEXTJOIN(", ",TRUE,_xlfn.UNIQUE(_xlfn._xlws.FILTER(Final_Merged_Data!$J$2:$J$1000,Final_Merged_Data!$B$2:$B$1000=$A220)))</f>
        <v>Mymensingh Range</v>
      </c>
      <c r="K220" cm="1">
        <f t="array" ref="K220">SUMPRODUCT((Final_Merged_Data!$B$2:$B$1000=$A220)*Final_Merged_Data!$K$2:$K$1000*Final_Merged_Data!$F$2:$F$1000)/F220</f>
        <v>84.741263899591743</v>
      </c>
      <c r="L220" cm="1">
        <f t="array" ref="L220">SUMPRODUCT((Final_Merged_Data!$B$2:$B$1000=$A220)*Final_Merged_Data!$L$2:$L$1000*Final_Merged_Data!$F$2:$F$1000)/F220</f>
        <v>13.635491015503808</v>
      </c>
      <c r="M220" t="str">
        <f>IF(COUNTIF(Master_Data!$C:$C,$A220)&gt;0,"Found","Missing")</f>
        <v>Found</v>
      </c>
      <c r="N220" t="str">
        <f>_xlfn.XLOOKUP($A220,Master_Data!$C:$C,Master_Data!$D:$D,"CHECK",0)</f>
        <v>Kaiser Kamal</v>
      </c>
      <c r="O220" t="str">
        <f>_xlfn.XLOOKUP($A220,Master_Data!$C:$C,Master_Data!$E:$E,"CHECK",0)</f>
        <v>BNP</v>
      </c>
      <c r="P220">
        <f>_xlfn.XLOOKUP($A220,Master_Data!$C:$C,Master_Data!$F:$F,"CHECK",0)</f>
        <v>1</v>
      </c>
      <c r="Q220">
        <f>_xlfn.XLOOKUP($A220,Master_Data!$C:$C,Master_Data!$G:$G,"CHECK",0)</f>
        <v>158343</v>
      </c>
      <c r="R220">
        <f>IFERROR(_xlfn.XLOOKUP($A220,Master_Data!$C:$C,Master_Data!$H:$H,"CHECK",0),"")</f>
        <v>64.411323226118753</v>
      </c>
      <c r="S220" t="str">
        <f>_xlfn.XLOOKUP($A220,Master_Data!$C:$C,Master_Data!$I:$I,"CHECK",0)</f>
        <v>Golam Rabbani</v>
      </c>
      <c r="T220">
        <f>_xlfn.XLOOKUP($A220,Master_Data!$C:$C,Master_Data!$K:$K,"CHECK",0)</f>
        <v>87488</v>
      </c>
      <c r="U220">
        <f>IFERROR(_xlfn.XLOOKUP($A220,Master_Data!$C:$C,Master_Data!$L:$L,"CHECK",0),"")</f>
        <v>35.588676773881247</v>
      </c>
      <c r="V220">
        <f>_xlfn.XLOOKUP($A220,Master_Data!$C:$C,Master_Data!$M:$M,"CHECK",0)</f>
        <v>70855</v>
      </c>
      <c r="W220">
        <f>IFERROR(_xlfn.XLOOKUP($A220,Master_Data!$C:$C,Master_Data!$N:$N,"CHECK",0),"")</f>
        <v>28.82264645223751</v>
      </c>
      <c r="X220" t="str">
        <f>IFERROR(_xlfn.XLOOKUP($A220,Master_Data!$C:$C,Master_Data!$O:$O,"CHECK",0),"No Result")</f>
        <v>Safe Seat</v>
      </c>
      <c r="Y220">
        <f>_xlfn.XLOOKUP($A220,Master_Data!$C:$C,Master_Data!$P:$P,"CHECK",0)</f>
        <v>0</v>
      </c>
      <c r="Z220">
        <f t="shared" si="7"/>
        <v>1</v>
      </c>
      <c r="AA220">
        <f>_xlfn.XLOOKUP(B220,Remittance_Data!A:A,Remittance_Data!B:B,"CHECK")</f>
        <v>12694</v>
      </c>
      <c r="AB220">
        <f>_xlfn.XLOOKUP(B220,Remittance_Data!A:A,Remittance_Data!C:C,"CHECK")</f>
        <v>10854</v>
      </c>
      <c r="AC220">
        <f>_xlfn.XLOOKUP(B220,Remittance_Data!A:A,Remittance_Data!D:D,"CHECK")</f>
        <v>1840</v>
      </c>
    </row>
    <row r="221" spans="1:29">
      <c r="A221" t="str">
        <v>Netrokona-2</v>
      </c>
      <c r="B221" t="str" cm="1">
        <f t="array" ref="B22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Nawabganj","Chapainawabganj"),Final_Merged_Data!$B$2:$B$1000=$A221)))</f>
        <v>Netrokona</v>
      </c>
      <c r="C221" t="str" cm="1">
        <f t="array" ref="C221">_xlfn.TEXTJOIN(", ",TRUE,_xlfn._xlws.FILTER(Final_Merged_Data!$C$2:$C$1000,Final_Merged_Data!$B$2:$B$1000=$A221))</f>
        <v>Barhatta, Netrokona Sadar</v>
      </c>
      <c r="D221" cm="1">
        <f t="array" ref="D221">COUNTA(_xlfn._xlws.FILTER(Final_Merged_Data!$C$2:$C$1000,Final_Merged_Data!$B$2:$B$1000=$A221))</f>
        <v>2</v>
      </c>
      <c r="E221">
        <f>SUMIFS(Final_Merged_Data!$E:$E,Final_Merged_Data!$B:$B,$A221)</f>
        <v>780.44</v>
      </c>
      <c r="F221">
        <f>SUMIFS(Final_Merged_Data!$F:$F,Final_Merged_Data!$B:$B,$A221)</f>
        <v>604123</v>
      </c>
      <c r="G221">
        <f t="shared" si="6"/>
        <v>774.08000615037668</v>
      </c>
      <c r="H221" cm="1">
        <f t="array" ref="H221">SUMPRODUCT((Final_Merged_Data!$B$2:$B$1000=$A221)*Final_Merged_Data!$H$2:$H$1000*Final_Merged_Data!$F$2:$F$1000)/F221</f>
        <v>4.2152366488281361</v>
      </c>
      <c r="I221" cm="1">
        <f t="array" ref="I221">SUMPRODUCT((Final_Merged_Data!$B$2:$B$1000=$A221)*Final_Merged_Data!$I$2:$I$1000*Final_Merged_Data!$F$2:$F$1000)/F221</f>
        <v>68.987682111093264</v>
      </c>
      <c r="J221" t="str" cm="1">
        <f t="array" ref="J221">_xlfn.TEXTJOIN(", ",TRUE,_xlfn.UNIQUE(_xlfn._xlws.FILTER(Final_Merged_Data!$J$2:$J$1000,Final_Merged_Data!$B$2:$B$1000=$A221)))</f>
        <v>Mymensingh Range</v>
      </c>
      <c r="K221" cm="1">
        <f t="array" ref="K221">SUMPRODUCT((Final_Merged_Data!$B$2:$B$1000=$A221)*Final_Merged_Data!$K$2:$K$1000*Final_Merged_Data!$F$2:$F$1000)/F221</f>
        <v>84.741263899591743</v>
      </c>
      <c r="L221" cm="1">
        <f t="array" ref="L221">SUMPRODUCT((Final_Merged_Data!$B$2:$B$1000=$A221)*Final_Merged_Data!$L$2:$L$1000*Final_Merged_Data!$F$2:$F$1000)/F221</f>
        <v>13.635491015503808</v>
      </c>
      <c r="M221" t="str">
        <f>IF(COUNTIF(Master_Data!$C:$C,$A221)&gt;0,"Found","Missing")</f>
        <v>Found</v>
      </c>
      <c r="N221" t="str">
        <f>_xlfn.XLOOKUP($A221,Master_Data!$C:$C,Master_Data!$D:$D,"CHECK",0)</f>
        <v>Md. Anwarul Haque</v>
      </c>
      <c r="O221" t="str">
        <f>_xlfn.XLOOKUP($A221,Master_Data!$C:$C,Master_Data!$E:$E,"CHECK",0)</f>
        <v>BNP</v>
      </c>
      <c r="P221">
        <f>_xlfn.XLOOKUP($A221,Master_Data!$C:$C,Master_Data!$F:$F,"CHECK",0)</f>
        <v>1</v>
      </c>
      <c r="Q221">
        <f>_xlfn.XLOOKUP($A221,Master_Data!$C:$C,Master_Data!$G:$G,"CHECK",0)</f>
        <v>171399</v>
      </c>
      <c r="R221">
        <f>IFERROR(_xlfn.XLOOKUP($A221,Master_Data!$C:$C,Master_Data!$H:$H,"CHECK",0),"")</f>
        <v>71.7853463223407</v>
      </c>
      <c r="S221" t="str">
        <f>_xlfn.XLOOKUP($A221,Master_Data!$C:$C,Master_Data!$I:$I,"CHECK",0)</f>
        <v>Md. Fahim Rahman Khan Pathan</v>
      </c>
      <c r="T221">
        <f>_xlfn.XLOOKUP($A221,Master_Data!$C:$C,Master_Data!$K:$K,"CHECK",0)</f>
        <v>67367</v>
      </c>
      <c r="U221">
        <f>IFERROR(_xlfn.XLOOKUP($A221,Master_Data!$C:$C,Master_Data!$L:$L,"CHECK",0),"")</f>
        <v>28.214653677659296</v>
      </c>
      <c r="V221">
        <f>_xlfn.XLOOKUP($A221,Master_Data!$C:$C,Master_Data!$M:$M,"CHECK",0)</f>
        <v>104032</v>
      </c>
      <c r="W221">
        <f>IFERROR(_xlfn.XLOOKUP($A221,Master_Data!$C:$C,Master_Data!$N:$N,"CHECK",0),"")</f>
        <v>43.570692644681401</v>
      </c>
      <c r="X221" t="str">
        <f>IFERROR(_xlfn.XLOOKUP($A221,Master_Data!$C:$C,Master_Data!$O:$O,"CHECK",0),"No Result")</f>
        <v>Safe Seat</v>
      </c>
      <c r="Y221">
        <f>_xlfn.XLOOKUP($A221,Master_Data!$C:$C,Master_Data!$P:$P,"CHECK",0)</f>
        <v>0</v>
      </c>
      <c r="Z221">
        <f t="shared" si="7"/>
        <v>1</v>
      </c>
      <c r="AA221">
        <f>_xlfn.XLOOKUP(B221,Remittance_Data!A:A,Remittance_Data!B:B,"CHECK")</f>
        <v>12694</v>
      </c>
      <c r="AB221">
        <f>_xlfn.XLOOKUP(B221,Remittance_Data!A:A,Remittance_Data!C:C,"CHECK")</f>
        <v>10854</v>
      </c>
      <c r="AC221">
        <f>_xlfn.XLOOKUP(B221,Remittance_Data!A:A,Remittance_Data!D:D,"CHECK")</f>
        <v>1840</v>
      </c>
    </row>
    <row r="222" spans="1:29">
      <c r="A222" t="str">
        <v>Netrokona-3</v>
      </c>
      <c r="B222" t="str" cm="1">
        <f t="array" ref="B22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Nawabganj","Chapainawabganj"),Final_Merged_Data!$B$2:$B$1000=$A222)))</f>
        <v>Netrokona</v>
      </c>
      <c r="C222" t="str" cm="1">
        <f t="array" ref="C222">_xlfn.TEXTJOIN(", ",TRUE,_xlfn._xlws.FILTER(Final_Merged_Data!$C$2:$C$1000,Final_Merged_Data!$B$2:$B$1000=$A222))</f>
        <v>Atpara, Kendua</v>
      </c>
      <c r="D222" cm="1">
        <f t="array" ref="D222">COUNTA(_xlfn._xlws.FILTER(Final_Merged_Data!$C$2:$C$1000,Final_Merged_Data!$B$2:$B$1000=$A222))</f>
        <v>2</v>
      </c>
      <c r="E222">
        <f>SUMIFS(Final_Merged_Data!$E:$E,Final_Merged_Data!$B:$B,$A222)</f>
        <v>815.11</v>
      </c>
      <c r="F222">
        <f>SUMIFS(Final_Merged_Data!$F:$F,Final_Merged_Data!$B:$B,$A222)</f>
        <v>461769</v>
      </c>
      <c r="G222">
        <f t="shared" si="6"/>
        <v>566.51126841775954</v>
      </c>
      <c r="H222" cm="1">
        <f t="array" ref="H222">SUMPRODUCT((Final_Merged_Data!$B$2:$B$1000=$A222)*Final_Merged_Data!$H$2:$H$1000*Final_Merged_Data!$F$2:$F$1000)/F222</f>
        <v>4.1519550684433124</v>
      </c>
      <c r="I222" cm="1">
        <f t="array" ref="I222">SUMPRODUCT((Final_Merged_Data!$B$2:$B$1000=$A222)*Final_Merged_Data!$I$2:$I$1000*Final_Merged_Data!$F$2:$F$1000)/F222</f>
        <v>64.890590684952869</v>
      </c>
      <c r="J222" t="str" cm="1">
        <f t="array" ref="J222">_xlfn.TEXTJOIN(", ",TRUE,_xlfn.UNIQUE(_xlfn._xlws.FILTER(Final_Merged_Data!$J$2:$J$1000,Final_Merged_Data!$B$2:$B$1000=$A222)))</f>
        <v>Mymensingh Range</v>
      </c>
      <c r="K222" cm="1">
        <f t="array" ref="K222">SUMPRODUCT((Final_Merged_Data!$B$2:$B$1000=$A222)*Final_Merged_Data!$K$2:$K$1000*Final_Merged_Data!$F$2:$F$1000)/F222</f>
        <v>84.741263899591743</v>
      </c>
      <c r="L222" cm="1">
        <f t="array" ref="L222">SUMPRODUCT((Final_Merged_Data!$B$2:$B$1000=$A222)*Final_Merged_Data!$L$2:$L$1000*Final_Merged_Data!$F$2:$F$1000)/F222</f>
        <v>13.635491015503808</v>
      </c>
      <c r="M222" t="str">
        <f>IF(COUNTIF(Master_Data!$C:$C,$A222)&gt;0,"Found","Missing")</f>
        <v>Found</v>
      </c>
      <c r="N222" t="str">
        <f>_xlfn.XLOOKUP($A222,Master_Data!$C:$C,Master_Data!$D:$D,"CHECK",0)</f>
        <v>Rafiqul Islam Hilali</v>
      </c>
      <c r="O222" t="str">
        <f>_xlfn.XLOOKUP($A222,Master_Data!$C:$C,Master_Data!$E:$E,"CHECK",0)</f>
        <v>BNP</v>
      </c>
      <c r="P222">
        <f>_xlfn.XLOOKUP($A222,Master_Data!$C:$C,Master_Data!$F:$F,"CHECK",0)</f>
        <v>1</v>
      </c>
      <c r="Q222">
        <f>_xlfn.XLOOKUP($A222,Master_Data!$C:$C,Master_Data!$G:$G,"CHECK",0)</f>
        <v>118469</v>
      </c>
      <c r="R222">
        <f>IFERROR(_xlfn.XLOOKUP($A222,Master_Data!$C:$C,Master_Data!$H:$H,"CHECK",0),"")</f>
        <v>63.207063970549001</v>
      </c>
      <c r="S222" t="str">
        <f>_xlfn.XLOOKUP($A222,Master_Data!$C:$C,Master_Data!$I:$I,"CHECK",0)</f>
        <v>Md Delwar Hossain Bhuiyan</v>
      </c>
      <c r="T222">
        <f>_xlfn.XLOOKUP($A222,Master_Data!$C:$C,Master_Data!$K:$K,"CHECK",0)</f>
        <v>68961</v>
      </c>
      <c r="U222">
        <f>IFERROR(_xlfn.XLOOKUP($A222,Master_Data!$C:$C,Master_Data!$L:$L,"CHECK",0),"")</f>
        <v>36.792936029450999</v>
      </c>
      <c r="V222">
        <f>_xlfn.XLOOKUP($A222,Master_Data!$C:$C,Master_Data!$M:$M,"CHECK",0)</f>
        <v>49508</v>
      </c>
      <c r="W222">
        <f>IFERROR(_xlfn.XLOOKUP($A222,Master_Data!$C:$C,Master_Data!$N:$N,"CHECK",0),"")</f>
        <v>26.414127941098009</v>
      </c>
      <c r="X222" t="str">
        <f>IFERROR(_xlfn.XLOOKUP($A222,Master_Data!$C:$C,Master_Data!$O:$O,"CHECK",0),"No Result")</f>
        <v>Safe Seat</v>
      </c>
      <c r="Y222">
        <f>_xlfn.XLOOKUP($A222,Master_Data!$C:$C,Master_Data!$P:$P,"CHECK",0)</f>
        <v>0</v>
      </c>
      <c r="Z222">
        <f t="shared" si="7"/>
        <v>1</v>
      </c>
      <c r="AA222">
        <f>_xlfn.XLOOKUP(B222,Remittance_Data!A:A,Remittance_Data!B:B,"CHECK")</f>
        <v>12694</v>
      </c>
      <c r="AB222">
        <f>_xlfn.XLOOKUP(B222,Remittance_Data!A:A,Remittance_Data!C:C,"CHECK")</f>
        <v>10854</v>
      </c>
      <c r="AC222">
        <f>_xlfn.XLOOKUP(B222,Remittance_Data!A:A,Remittance_Data!D:D,"CHECK")</f>
        <v>1840</v>
      </c>
    </row>
    <row r="223" spans="1:29">
      <c r="A223" t="str">
        <v>Netrokona-4</v>
      </c>
      <c r="B223" t="str" cm="1">
        <f t="array" ref="B22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Nawabganj","Chapainawabganj"),Final_Merged_Data!$B$2:$B$1000=$A223)))</f>
        <v>Netrokona</v>
      </c>
      <c r="C223" t="str" cm="1">
        <f t="array" ref="C223">_xlfn.TEXTJOIN(", ",TRUE,_xlfn._xlws.FILTER(Final_Merged_Data!$C$2:$C$1000,Final_Merged_Data!$B$2:$B$1000=$A223))</f>
        <v>Madan, Mohanganj, Khaliajuri</v>
      </c>
      <c r="D223" cm="1">
        <f t="array" ref="D223">COUNTA(_xlfn._xlws.FILTER(Final_Merged_Data!$C$2:$C$1000,Final_Merged_Data!$B$2:$B$1000=$A223))</f>
        <v>3</v>
      </c>
      <c r="E223">
        <f>SUMIFS(Final_Merged_Data!$E:$E,Final_Merged_Data!$B:$B,$A223)</f>
        <v>930.68</v>
      </c>
      <c r="F223">
        <f>SUMIFS(Final_Merged_Data!$F:$F,Final_Merged_Data!$B:$B,$A223)</f>
        <v>412612</v>
      </c>
      <c r="G223">
        <f t="shared" si="6"/>
        <v>443.34465122276185</v>
      </c>
      <c r="H223" cm="1">
        <f t="array" ref="H223">SUMPRODUCT((Final_Merged_Data!$B$2:$B$1000=$A223)*Final_Merged_Data!$H$2:$H$1000*Final_Merged_Data!$F$2:$F$1000)/F223</f>
        <v>4.2916261524143753</v>
      </c>
      <c r="I223" cm="1">
        <f t="array" ref="I223">SUMPRODUCT((Final_Merged_Data!$B$2:$B$1000=$A223)*Final_Merged_Data!$I$2:$I$1000*Final_Merged_Data!$F$2:$F$1000)/F223</f>
        <v>62.241647649607863</v>
      </c>
      <c r="J223" t="str" cm="1">
        <f t="array" ref="J223">_xlfn.TEXTJOIN(", ",TRUE,_xlfn.UNIQUE(_xlfn._xlws.FILTER(Final_Merged_Data!$J$2:$J$1000,Final_Merged_Data!$B$2:$B$1000=$A223)))</f>
        <v>Mymensingh Range</v>
      </c>
      <c r="K223" cm="1">
        <f t="array" ref="K223">SUMPRODUCT((Final_Merged_Data!$B$2:$B$1000=$A223)*Final_Merged_Data!$K$2:$K$1000*Final_Merged_Data!$F$2:$F$1000)/F223</f>
        <v>84.741263899591758</v>
      </c>
      <c r="L223" cm="1">
        <f t="array" ref="L223">SUMPRODUCT((Final_Merged_Data!$B$2:$B$1000=$A223)*Final_Merged_Data!$L$2:$L$1000*Final_Merged_Data!$F$2:$F$1000)/F223</f>
        <v>13.63549101550381</v>
      </c>
      <c r="M223" t="str">
        <f>IF(COUNTIF(Master_Data!$C:$C,$A223)&gt;0,"Found","Missing")</f>
        <v>Found</v>
      </c>
      <c r="N223" t="str">
        <f>_xlfn.XLOOKUP($A223,Master_Data!$C:$C,Master_Data!$D:$D,"CHECK",0)</f>
        <v>Lutfozzaman Babar</v>
      </c>
      <c r="O223" t="str">
        <f>_xlfn.XLOOKUP($A223,Master_Data!$C:$C,Master_Data!$E:$E,"CHECK",0)</f>
        <v>BNP</v>
      </c>
      <c r="P223">
        <f>_xlfn.XLOOKUP($A223,Master_Data!$C:$C,Master_Data!$F:$F,"CHECK",0)</f>
        <v>1</v>
      </c>
      <c r="Q223">
        <f>_xlfn.XLOOKUP($A223,Master_Data!$C:$C,Master_Data!$G:$G,"CHECK",0)</f>
        <v>160801</v>
      </c>
      <c r="R223">
        <f>IFERROR(_xlfn.XLOOKUP($A223,Master_Data!$C:$C,Master_Data!$H:$H,"CHECK",0),"")</f>
        <v>80.143639634969915</v>
      </c>
      <c r="S223" t="str">
        <f>_xlfn.XLOOKUP($A223,Master_Data!$C:$C,Master_Data!$I:$I,"CHECK",0)</f>
        <v>Md. Al Helal</v>
      </c>
      <c r="T223">
        <f>_xlfn.XLOOKUP($A223,Master_Data!$C:$C,Master_Data!$K:$K,"CHECK",0)</f>
        <v>39840</v>
      </c>
      <c r="U223">
        <f>IFERROR(_xlfn.XLOOKUP($A223,Master_Data!$C:$C,Master_Data!$L:$L,"CHECK",0),"")</f>
        <v>19.856360365030078</v>
      </c>
      <c r="V223">
        <f>_xlfn.XLOOKUP($A223,Master_Data!$C:$C,Master_Data!$M:$M,"CHECK",0)</f>
        <v>120961</v>
      </c>
      <c r="W223">
        <f>IFERROR(_xlfn.XLOOKUP($A223,Master_Data!$C:$C,Master_Data!$N:$N,"CHECK",0),"")</f>
        <v>60.287279269939845</v>
      </c>
      <c r="X223" t="str">
        <f>IFERROR(_xlfn.XLOOKUP($A223,Master_Data!$C:$C,Master_Data!$O:$O,"CHECK",0),"No Result")</f>
        <v>Safe Seat</v>
      </c>
      <c r="Y223">
        <f>_xlfn.XLOOKUP($A223,Master_Data!$C:$C,Master_Data!$P:$P,"CHECK",0)</f>
        <v>0</v>
      </c>
      <c r="Z223">
        <f t="shared" si="7"/>
        <v>1</v>
      </c>
      <c r="AA223">
        <f>_xlfn.XLOOKUP(B223,Remittance_Data!A:A,Remittance_Data!B:B,"CHECK")</f>
        <v>12694</v>
      </c>
      <c r="AB223">
        <f>_xlfn.XLOOKUP(B223,Remittance_Data!A:A,Remittance_Data!C:C,"CHECK")</f>
        <v>10854</v>
      </c>
      <c r="AC223">
        <f>_xlfn.XLOOKUP(B223,Remittance_Data!A:A,Remittance_Data!D:D,"CHECK")</f>
        <v>1840</v>
      </c>
    </row>
    <row r="224" spans="1:29">
      <c r="A224" t="str">
        <v>Netrokona-5</v>
      </c>
      <c r="B224" t="str" cm="1">
        <f t="array" ref="B22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Nawabganj","Chapainawabganj"),Final_Merged_Data!$B$2:$B$1000=$A224)))</f>
        <v>Netrokona</v>
      </c>
      <c r="C224" t="str" cm="1">
        <f t="array" ref="C224">_xlfn.TEXTJOIN(", ",TRUE,_xlfn._xlws.FILTER(Final_Merged_Data!$C$2:$C$1000,Final_Merged_Data!$B$2:$B$1000=$A224))</f>
        <v>Purbadhala</v>
      </c>
      <c r="D224" cm="1">
        <f t="array" ref="D224">COUNTA(_xlfn._xlws.FILTER(Final_Merged_Data!$C$2:$C$1000,Final_Merged_Data!$B$2:$B$1000=$A224))</f>
        <v>1</v>
      </c>
      <c r="E224">
        <f>SUMIFS(Final_Merged_Data!$E:$E,Final_Merged_Data!$B:$B,$A224)</f>
        <v>308.12</v>
      </c>
      <c r="F224">
        <f>SUMIFS(Final_Merged_Data!$F:$F,Final_Merged_Data!$B:$B,$A224)</f>
        <v>332388</v>
      </c>
      <c r="G224">
        <f t="shared" si="6"/>
        <v>1078.7615214851357</v>
      </c>
      <c r="H224" cm="1">
        <f t="array" ref="H224">SUMPRODUCT((Final_Merged_Data!$B$2:$B$1000=$A224)*Final_Merged_Data!$H$2:$H$1000*Final_Merged_Data!$F$2:$F$1000)/F224</f>
        <v>4.0999999999999996</v>
      </c>
      <c r="I224" cm="1">
        <f t="array" ref="I224">SUMPRODUCT((Final_Merged_Data!$B$2:$B$1000=$A224)*Final_Merged_Data!$I$2:$I$1000*Final_Merged_Data!$F$2:$F$1000)/F224</f>
        <v>69.64</v>
      </c>
      <c r="J224" t="str" cm="1">
        <f t="array" ref="J224">_xlfn.TEXTJOIN(", ",TRUE,_xlfn.UNIQUE(_xlfn._xlws.FILTER(Final_Merged_Data!$J$2:$J$1000,Final_Merged_Data!$B$2:$B$1000=$A224)))</f>
        <v>Mymensingh Range</v>
      </c>
      <c r="K224" cm="1">
        <f t="array" ref="K224">SUMPRODUCT((Final_Merged_Data!$B$2:$B$1000=$A224)*Final_Merged_Data!$K$2:$K$1000*Final_Merged_Data!$F$2:$F$1000)/F224</f>
        <v>84.741263899591743</v>
      </c>
      <c r="L224" cm="1">
        <f t="array" ref="L224">SUMPRODUCT((Final_Merged_Data!$B$2:$B$1000=$A224)*Final_Merged_Data!$L$2:$L$1000*Final_Merged_Data!$F$2:$F$1000)/F224</f>
        <v>13.635491015503806</v>
      </c>
      <c r="M224" t="str">
        <f>IF(COUNTIF(Master_Data!$C:$C,$A224)&gt;0,"Found","Missing")</f>
        <v>Found</v>
      </c>
      <c r="N224" t="str">
        <f>_xlfn.XLOOKUP($A224,Master_Data!$C:$C,Master_Data!$D:$D,"CHECK",0)</f>
        <v>Machum Mustafa</v>
      </c>
      <c r="O224" t="str">
        <f>_xlfn.XLOOKUP($A224,Master_Data!$C:$C,Master_Data!$E:$E,"CHECK",0)</f>
        <v>Jamaat</v>
      </c>
      <c r="P224">
        <f>_xlfn.XLOOKUP($A224,Master_Data!$C:$C,Master_Data!$F:$F,"CHECK",0)</f>
        <v>2</v>
      </c>
      <c r="Q224">
        <f>_xlfn.XLOOKUP($A224,Master_Data!$C:$C,Master_Data!$G:$G,"CHECK",0)</f>
        <v>82177</v>
      </c>
      <c r="R224">
        <f>IFERROR(_xlfn.XLOOKUP($A224,Master_Data!$C:$C,Master_Data!$H:$H,"CHECK",0),"")</f>
        <v>50.855565663504322</v>
      </c>
      <c r="S224" t="str">
        <f>_xlfn.XLOOKUP($A224,Master_Data!$C:$C,Master_Data!$I:$I,"CHECK",0)</f>
        <v>Md. Abu Taher Talukdar</v>
      </c>
      <c r="T224">
        <f>_xlfn.XLOOKUP($A224,Master_Data!$C:$C,Master_Data!$K:$K,"CHECK",0)</f>
        <v>79412</v>
      </c>
      <c r="U224">
        <f>IFERROR(_xlfn.XLOOKUP($A224,Master_Data!$C:$C,Master_Data!$L:$L,"CHECK",0),"")</f>
        <v>49.144434336495678</v>
      </c>
      <c r="V224">
        <f>_xlfn.XLOOKUP($A224,Master_Data!$C:$C,Master_Data!$M:$M,"CHECK",0)</f>
        <v>2765</v>
      </c>
      <c r="W224">
        <f>IFERROR(_xlfn.XLOOKUP($A224,Master_Data!$C:$C,Master_Data!$N:$N,"CHECK",0),"")</f>
        <v>1.7111313270086452</v>
      </c>
      <c r="X224" t="str">
        <f>IFERROR(_xlfn.XLOOKUP($A224,Master_Data!$C:$C,Master_Data!$O:$O,"CHECK",0),"No Result")</f>
        <v>Highly Competitive</v>
      </c>
      <c r="Y224">
        <f>_xlfn.XLOOKUP($A224,Master_Data!$C:$C,Master_Data!$P:$P,"CHECK",0)</f>
        <v>0</v>
      </c>
      <c r="Z224">
        <f t="shared" si="7"/>
        <v>1</v>
      </c>
      <c r="AA224">
        <f>_xlfn.XLOOKUP(B224,Remittance_Data!A:A,Remittance_Data!B:B,"CHECK")</f>
        <v>12694</v>
      </c>
      <c r="AB224">
        <f>_xlfn.XLOOKUP(B224,Remittance_Data!A:A,Remittance_Data!C:C,"CHECK")</f>
        <v>10854</v>
      </c>
      <c r="AC224">
        <f>_xlfn.XLOOKUP(B224,Remittance_Data!A:A,Remittance_Data!D:D,"CHECK")</f>
        <v>1840</v>
      </c>
    </row>
    <row r="225" spans="1:29">
      <c r="A225" t="str">
        <v>Nilphamari-1</v>
      </c>
      <c r="B225" t="str" cm="1">
        <f t="array" ref="B22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Nawabganj","Chapainawabganj"),Final_Merged_Data!$B$2:$B$1000=$A225)))</f>
        <v>Nilphamari</v>
      </c>
      <c r="C225" t="str" cm="1">
        <f t="array" ref="C225">_xlfn.TEXTJOIN(", ",TRUE,_xlfn._xlws.FILTER(Final_Merged_Data!$C$2:$C$1000,Final_Merged_Data!$B$2:$B$1000=$A225))</f>
        <v>Dimla, Jaldhaka</v>
      </c>
      <c r="D225" cm="1">
        <f t="array" ref="D225">COUNTA(_xlfn._xlws.FILTER(Final_Merged_Data!$C$2:$C$1000,Final_Merged_Data!$B$2:$B$1000=$A225))</f>
        <v>2</v>
      </c>
      <c r="E225">
        <f>SUMIFS(Final_Merged_Data!$E:$E,Final_Merged_Data!$B:$B,$A225)</f>
        <v>522.51</v>
      </c>
      <c r="F225">
        <f>SUMIFS(Final_Merged_Data!$F:$F,Final_Merged_Data!$B:$B,$A225)</f>
        <v>703628</v>
      </c>
      <c r="G225">
        <f t="shared" si="6"/>
        <v>1346.6306864940384</v>
      </c>
      <c r="H225" cm="1">
        <f t="array" ref="H225">SUMPRODUCT((Final_Merged_Data!$B$2:$B$1000=$A225)*Final_Merged_Data!$H$2:$H$1000*Final_Merged_Data!$F$2:$F$1000)/F225</f>
        <v>4.1180116766245796</v>
      </c>
      <c r="I225" cm="1">
        <f t="array" ref="I225">SUMPRODUCT((Final_Merged_Data!$B$2:$B$1000=$A225)*Final_Merged_Data!$I$2:$I$1000*Final_Merged_Data!$F$2:$F$1000)/F225</f>
        <v>66.996841541268978</v>
      </c>
      <c r="J225" t="str" cm="1">
        <f t="array" ref="J225">_xlfn.TEXTJOIN(", ",TRUE,_xlfn.UNIQUE(_xlfn._xlws.FILTER(Final_Merged_Data!$J$2:$J$1000,Final_Merged_Data!$B$2:$B$1000=$A225)))</f>
        <v>Rangpur Range</v>
      </c>
      <c r="K225" cm="1">
        <f t="array" ref="K225">SUMPRODUCT((Final_Merged_Data!$B$2:$B$1000=$A225)*Final_Merged_Data!$K$2:$K$1000*Final_Merged_Data!$F$2:$F$1000)/F225</f>
        <v>101.90869513385243</v>
      </c>
      <c r="L225" cm="1">
        <f t="array" ref="L225">SUMPRODUCT((Final_Merged_Data!$B$2:$B$1000=$A225)*Final_Merged_Data!$L$2:$L$1000*Final_Merged_Data!$F$2:$F$1000)/F225</f>
        <v>15.175373179583827</v>
      </c>
      <c r="M225" t="str">
        <f>IF(COUNTIF(Master_Data!$C:$C,$A225)&gt;0,"Found","Missing")</f>
        <v>Found</v>
      </c>
      <c r="N225" t="str">
        <f>_xlfn.XLOOKUP($A225,Master_Data!$C:$C,Master_Data!$D:$D,"CHECK",0)</f>
        <v>Md. Abdus Sattar</v>
      </c>
      <c r="O225" t="str">
        <f>_xlfn.XLOOKUP($A225,Master_Data!$C:$C,Master_Data!$E:$E,"CHECK",0)</f>
        <v>Jamaat</v>
      </c>
      <c r="P225">
        <f>_xlfn.XLOOKUP($A225,Master_Data!$C:$C,Master_Data!$F:$F,"CHECK",0)</f>
        <v>2</v>
      </c>
      <c r="Q225">
        <f>_xlfn.XLOOKUP($A225,Master_Data!$C:$C,Master_Data!$G:$G,"CHECK",0)</f>
        <v>149224</v>
      </c>
      <c r="R225">
        <f>IFERROR(_xlfn.XLOOKUP($A225,Master_Data!$C:$C,Master_Data!$H:$H,"CHECK",0),"")</f>
        <v>55.808874128594077</v>
      </c>
      <c r="S225" t="str">
        <f>_xlfn.XLOOKUP($A225,Master_Data!$C:$C,Master_Data!$I:$I,"CHECK",0)</f>
        <v>Md. Manjurul Islam</v>
      </c>
      <c r="T225">
        <f>_xlfn.XLOOKUP($A225,Master_Data!$C:$C,Master_Data!$K:$K,"CHECK",0)</f>
        <v>118160</v>
      </c>
      <c r="U225">
        <f>IFERROR(_xlfn.XLOOKUP($A225,Master_Data!$C:$C,Master_Data!$L:$L,"CHECK",0),"")</f>
        <v>44.191125871405916</v>
      </c>
      <c r="V225">
        <f>_xlfn.XLOOKUP($A225,Master_Data!$C:$C,Master_Data!$M:$M,"CHECK",0)</f>
        <v>31064</v>
      </c>
      <c r="W225">
        <f>IFERROR(_xlfn.XLOOKUP($A225,Master_Data!$C:$C,Master_Data!$N:$N,"CHECK",0),"")</f>
        <v>11.617748257188163</v>
      </c>
      <c r="X225" t="str">
        <f>IFERROR(_xlfn.XLOOKUP($A225,Master_Data!$C:$C,Master_Data!$O:$O,"CHECK",0),"No Result")</f>
        <v>Safe Seat</v>
      </c>
      <c r="Y225">
        <f>_xlfn.XLOOKUP($A225,Master_Data!$C:$C,Master_Data!$P:$P,"CHECK",0)</f>
        <v>0</v>
      </c>
      <c r="Z225">
        <f t="shared" si="7"/>
        <v>1</v>
      </c>
      <c r="AA225">
        <f>_xlfn.XLOOKUP(B225,Remittance_Data!A:A,Remittance_Data!B:B,"CHECK")</f>
        <v>4885</v>
      </c>
      <c r="AB225">
        <f>_xlfn.XLOOKUP(B225,Remittance_Data!A:A,Remittance_Data!C:C,"CHECK")</f>
        <v>3352</v>
      </c>
      <c r="AC225">
        <f>_xlfn.XLOOKUP(B225,Remittance_Data!A:A,Remittance_Data!D:D,"CHECK")</f>
        <v>1533</v>
      </c>
    </row>
    <row r="226" spans="1:29">
      <c r="A226" t="str">
        <v>Nilphamari-2</v>
      </c>
      <c r="B226" t="str" cm="1">
        <f t="array" ref="B22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Nawabganj","Chapainawabganj"),Final_Merged_Data!$B$2:$B$1000=$A226)))</f>
        <v>Nilphamari</v>
      </c>
      <c r="C226" t="str" cm="1">
        <f t="array" ref="C226">_xlfn.TEXTJOIN(", ",TRUE,_xlfn._xlws.FILTER(Final_Merged_Data!$C$2:$C$1000,Final_Merged_Data!$B$2:$B$1000=$A226))</f>
        <v>Nilphamari Sadar</v>
      </c>
      <c r="D226" cm="1">
        <f t="array" ref="D226">COUNTA(_xlfn._xlws.FILTER(Final_Merged_Data!$C$2:$C$1000,Final_Merged_Data!$B$2:$B$1000=$A226))</f>
        <v>1</v>
      </c>
      <c r="E226">
        <f>SUMIFS(Final_Merged_Data!$E:$E,Final_Merged_Data!$B:$B,$A226)</f>
        <v>314.52999999999997</v>
      </c>
      <c r="F226">
        <f>SUMIFS(Final_Merged_Data!$F:$F,Final_Merged_Data!$B:$B,$A226)</f>
        <v>523950</v>
      </c>
      <c r="G226">
        <f t="shared" si="6"/>
        <v>1665.8188408100978</v>
      </c>
      <c r="H226" cm="1">
        <f t="array" ref="H226">SUMPRODUCT((Final_Merged_Data!$B$2:$B$1000=$A226)*Final_Merged_Data!$H$2:$H$1000*Final_Merged_Data!$F$2:$F$1000)/F226</f>
        <v>4.17</v>
      </c>
      <c r="I226" cm="1">
        <f t="array" ref="I226">SUMPRODUCT((Final_Merged_Data!$B$2:$B$1000=$A226)*Final_Merged_Data!$I$2:$I$1000*Final_Merged_Data!$F$2:$F$1000)/F226</f>
        <v>69.790000000000006</v>
      </c>
      <c r="J226" t="str" cm="1">
        <f t="array" ref="J226">_xlfn.TEXTJOIN(", ",TRUE,_xlfn.UNIQUE(_xlfn._xlws.FILTER(Final_Merged_Data!$J$2:$J$1000,Final_Merged_Data!$B$2:$B$1000=$A226)))</f>
        <v>Rangpur Range</v>
      </c>
      <c r="K226" cm="1">
        <f t="array" ref="K226">SUMPRODUCT((Final_Merged_Data!$B$2:$B$1000=$A226)*Final_Merged_Data!$K$2:$K$1000*Final_Merged_Data!$F$2:$F$1000)/F226</f>
        <v>101.90869513385242</v>
      </c>
      <c r="L226" cm="1">
        <f t="array" ref="L226">SUMPRODUCT((Final_Merged_Data!$B$2:$B$1000=$A226)*Final_Merged_Data!$L$2:$L$1000*Final_Merged_Data!$F$2:$F$1000)/F226</f>
        <v>15.175373179583827</v>
      </c>
      <c r="M226" t="str">
        <f>IF(COUNTIF(Master_Data!$C:$C,$A226)&gt;0,"Found","Missing")</f>
        <v>Found</v>
      </c>
      <c r="N226" t="str">
        <f>_xlfn.XLOOKUP($A226,Master_Data!$C:$C,Master_Data!$D:$D,"CHECK",0)</f>
        <v>Alfaruk Abdul Latif</v>
      </c>
      <c r="O226" t="str">
        <f>_xlfn.XLOOKUP($A226,Master_Data!$C:$C,Master_Data!$E:$E,"CHECK",0)</f>
        <v>Jamaat</v>
      </c>
      <c r="P226">
        <f>_xlfn.XLOOKUP($A226,Master_Data!$C:$C,Master_Data!$F:$F,"CHECK",0)</f>
        <v>2</v>
      </c>
      <c r="Q226">
        <f>_xlfn.XLOOKUP($A226,Master_Data!$C:$C,Master_Data!$G:$G,"CHECK",0)</f>
        <v>145202</v>
      </c>
      <c r="R226">
        <f>IFERROR(_xlfn.XLOOKUP($A226,Master_Data!$C:$C,Master_Data!$H:$H,"CHECK",0),"")</f>
        <v>51.898449144152039</v>
      </c>
      <c r="S226" t="str">
        <f>_xlfn.XLOOKUP($A226,Master_Data!$C:$C,Master_Data!$I:$I,"CHECK",0)</f>
        <v>Shahrin Islam Tuhin</v>
      </c>
      <c r="T226">
        <f>_xlfn.XLOOKUP($A226,Master_Data!$C:$C,Master_Data!$K:$K,"CHECK",0)</f>
        <v>134579</v>
      </c>
      <c r="U226">
        <f>IFERROR(_xlfn.XLOOKUP($A226,Master_Data!$C:$C,Master_Data!$L:$L,"CHECK",0),"")</f>
        <v>48.101550855847968</v>
      </c>
      <c r="V226">
        <f>_xlfn.XLOOKUP($A226,Master_Data!$C:$C,Master_Data!$M:$M,"CHECK",0)</f>
        <v>10623</v>
      </c>
      <c r="W226">
        <f>IFERROR(_xlfn.XLOOKUP($A226,Master_Data!$C:$C,Master_Data!$N:$N,"CHECK",0),"")</f>
        <v>3.7968982883040665</v>
      </c>
      <c r="X226" t="str">
        <f>IFERROR(_xlfn.XLOOKUP($A226,Master_Data!$C:$C,Master_Data!$O:$O,"CHECK",0),"No Result")</f>
        <v>Highly Competitive</v>
      </c>
      <c r="Y226">
        <f>_xlfn.XLOOKUP($A226,Master_Data!$C:$C,Master_Data!$P:$P,"CHECK",0)</f>
        <v>0</v>
      </c>
      <c r="Z226">
        <f t="shared" si="7"/>
        <v>1</v>
      </c>
      <c r="AA226">
        <f>_xlfn.XLOOKUP(B226,Remittance_Data!A:A,Remittance_Data!B:B,"CHECK")</f>
        <v>4885</v>
      </c>
      <c r="AB226">
        <f>_xlfn.XLOOKUP(B226,Remittance_Data!A:A,Remittance_Data!C:C,"CHECK")</f>
        <v>3352</v>
      </c>
      <c r="AC226">
        <f>_xlfn.XLOOKUP(B226,Remittance_Data!A:A,Remittance_Data!D:D,"CHECK")</f>
        <v>1533</v>
      </c>
    </row>
    <row r="227" spans="1:29">
      <c r="A227" t="str">
        <v>Nilphamari-3</v>
      </c>
      <c r="B227" t="str" cm="1">
        <f t="array" ref="B22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Nawabganj","Chapainawabganj"),Final_Merged_Data!$B$2:$B$1000=$A227)))</f>
        <v>Nilphamari</v>
      </c>
      <c r="C227" t="str" cm="1">
        <f t="array" ref="C227">_xlfn.TEXTJOIN(", ",TRUE,_xlfn._xlws.FILTER(Final_Merged_Data!$C$2:$C$1000,Final_Merged_Data!$B$2:$B$1000=$A227))</f>
        <v>Kishoreganj, Syedpur</v>
      </c>
      <c r="D227" cm="1">
        <f t="array" ref="D227">COUNTA(_xlfn._xlws.FILTER(Final_Merged_Data!$C$2:$C$1000,Final_Merged_Data!$B$2:$B$1000=$A227))</f>
        <v>2</v>
      </c>
      <c r="E227">
        <f>SUMIFS(Final_Merged_Data!$E:$E,Final_Merged_Data!$B:$B,$A227)</f>
        <v>517.31999999999994</v>
      </c>
      <c r="F227">
        <f>SUMIFS(Final_Merged_Data!$F:$F,Final_Merged_Data!$B:$B,$A227)</f>
        <v>582310</v>
      </c>
      <c r="G227">
        <f t="shared" si="6"/>
        <v>1125.6282378411815</v>
      </c>
      <c r="H227" cm="1">
        <f t="array" ref="H227">SUMPRODUCT((Final_Merged_Data!$B$2:$B$1000=$A227)*Final_Merged_Data!$H$2:$H$1000*Final_Merged_Data!$F$2:$F$1000)/F227</f>
        <v>4.0512481324380492</v>
      </c>
      <c r="I227" cm="1">
        <f t="array" ref="I227">SUMPRODUCT((Final_Merged_Data!$B$2:$B$1000=$A227)*Final_Merged_Data!$I$2:$I$1000*Final_Merged_Data!$F$2:$F$1000)/F227</f>
        <v>69.329311191633309</v>
      </c>
      <c r="J227" t="str" cm="1">
        <f t="array" ref="J227">_xlfn.TEXTJOIN(", ",TRUE,_xlfn.UNIQUE(_xlfn._xlws.FILTER(Final_Merged_Data!$J$2:$J$1000,Final_Merged_Data!$B$2:$B$1000=$A227)))</f>
        <v>Rangpur Range</v>
      </c>
      <c r="K227" cm="1">
        <f t="array" ref="K227">SUMPRODUCT((Final_Merged_Data!$B$2:$B$1000=$A227)*Final_Merged_Data!$K$2:$K$1000*Final_Merged_Data!$F$2:$F$1000)/F227</f>
        <v>101.90869513385242</v>
      </c>
      <c r="L227" cm="1">
        <f t="array" ref="L227">SUMPRODUCT((Final_Merged_Data!$B$2:$B$1000=$A227)*Final_Merged_Data!$L$2:$L$1000*Final_Merged_Data!$F$2:$F$1000)/F227</f>
        <v>15.175373179583827</v>
      </c>
      <c r="M227" t="str">
        <f>IF(COUNTIF(Master_Data!$C:$C,$A227)&gt;0,"Found","Missing")</f>
        <v>Found</v>
      </c>
      <c r="N227" t="str">
        <f>_xlfn.XLOOKUP($A227,Master_Data!$C:$C,Master_Data!$D:$D,"CHECK",0)</f>
        <v>Obaidullah Salafi</v>
      </c>
      <c r="O227" t="str">
        <f>_xlfn.XLOOKUP($A227,Master_Data!$C:$C,Master_Data!$E:$E,"CHECK",0)</f>
        <v>Jamaat</v>
      </c>
      <c r="P227">
        <f>_xlfn.XLOOKUP($A227,Master_Data!$C:$C,Master_Data!$F:$F,"CHECK",0)</f>
        <v>2</v>
      </c>
      <c r="Q227">
        <f>_xlfn.XLOOKUP($A227,Master_Data!$C:$C,Master_Data!$G:$G,"CHECK",0)</f>
        <v>108560</v>
      </c>
      <c r="R227">
        <f>IFERROR(_xlfn.XLOOKUP($A227,Master_Data!$C:$C,Master_Data!$H:$H,"CHECK",0),"")</f>
        <v>54.922038631603442</v>
      </c>
      <c r="S227" t="str">
        <f>_xlfn.XLOOKUP($A227,Master_Data!$C:$C,Master_Data!$I:$I,"CHECK",0)</f>
        <v>Syed Ali</v>
      </c>
      <c r="T227">
        <f>_xlfn.XLOOKUP($A227,Master_Data!$C:$C,Master_Data!$K:$K,"CHECK",0)</f>
        <v>89102</v>
      </c>
      <c r="U227">
        <f>IFERROR(_xlfn.XLOOKUP($A227,Master_Data!$C:$C,Master_Data!$L:$L,"CHECK",0),"")</f>
        <v>45.077961368396558</v>
      </c>
      <c r="V227">
        <f>_xlfn.XLOOKUP($A227,Master_Data!$C:$C,Master_Data!$M:$M,"CHECK",0)</f>
        <v>19458</v>
      </c>
      <c r="W227">
        <f>IFERROR(_xlfn.XLOOKUP($A227,Master_Data!$C:$C,Master_Data!$N:$N,"CHECK",0),"")</f>
        <v>9.8440772632068878</v>
      </c>
      <c r="X227" t="str">
        <f>IFERROR(_xlfn.XLOOKUP($A227,Master_Data!$C:$C,Master_Data!$O:$O,"CHECK",0),"No Result")</f>
        <v>Safe Seat</v>
      </c>
      <c r="Y227">
        <f>_xlfn.XLOOKUP($A227,Master_Data!$C:$C,Master_Data!$P:$P,"CHECK",0)</f>
        <v>0</v>
      </c>
      <c r="Z227">
        <f t="shared" si="7"/>
        <v>1</v>
      </c>
      <c r="AA227">
        <f>_xlfn.XLOOKUP(B227,Remittance_Data!A:A,Remittance_Data!B:B,"CHECK")</f>
        <v>4885</v>
      </c>
      <c r="AB227">
        <f>_xlfn.XLOOKUP(B227,Remittance_Data!A:A,Remittance_Data!C:C,"CHECK")</f>
        <v>3352</v>
      </c>
      <c r="AC227">
        <f>_xlfn.XLOOKUP(B227,Remittance_Data!A:A,Remittance_Data!D:D,"CHECK")</f>
        <v>1533</v>
      </c>
    </row>
    <row r="228" spans="1:29">
      <c r="A228" t="str">
        <v>Nilphamari-4</v>
      </c>
      <c r="B228" t="str" cm="1">
        <f t="array" ref="B22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Nawabganj","Chapainawabganj"),Final_Merged_Data!$B$2:$B$1000=$A228)))</f>
        <v>Nilphamari</v>
      </c>
      <c r="C228" t="str" cm="1">
        <f t="array" ref="C228">_xlfn.TEXTJOIN(", ",TRUE,_xlfn._xlws.FILTER(Final_Merged_Data!$C$2:$C$1000,Final_Merged_Data!$B$2:$B$1000=$A228))</f>
        <v>Syedpur</v>
      </c>
      <c r="D228" cm="1">
        <f t="array" ref="D228">COUNTA(_xlfn._xlws.FILTER(Final_Merged_Data!$C$2:$C$1000,Final_Merged_Data!$B$2:$B$1000=$A228))</f>
        <v>1</v>
      </c>
      <c r="E228">
        <f>SUMIFS(Final_Merged_Data!$E:$E,Final_Merged_Data!$B:$B,$A228)</f>
        <v>209.61</v>
      </c>
      <c r="F228">
        <f>SUMIFS(Final_Merged_Data!$F:$F,Final_Merged_Data!$B:$B,$A228)</f>
        <v>312988</v>
      </c>
      <c r="G228">
        <f t="shared" si="6"/>
        <v>1493.1921186966269</v>
      </c>
      <c r="H228" cm="1">
        <f t="array" ref="H228">SUMPRODUCT((Final_Merged_Data!$B$2:$B$1000=$A228)*Final_Merged_Data!$H$2:$H$1000*Final_Merged_Data!$F$2:$F$1000)/F228</f>
        <v>4.1900000000000004</v>
      </c>
      <c r="I228" cm="1">
        <f t="array" ref="I228">SUMPRODUCT((Final_Merged_Data!$B$2:$B$1000=$A228)*Final_Merged_Data!$I$2:$I$1000*Final_Merged_Data!$F$2:$F$1000)/F228</f>
        <v>74.069999999999993</v>
      </c>
      <c r="J228" t="str" cm="1">
        <f t="array" ref="J228">_xlfn.TEXTJOIN(", ",TRUE,_xlfn.UNIQUE(_xlfn._xlws.FILTER(Final_Merged_Data!$J$2:$J$1000,Final_Merged_Data!$B$2:$B$1000=$A228)))</f>
        <v>Rangpur Range</v>
      </c>
      <c r="K228" cm="1">
        <f t="array" ref="K228">SUMPRODUCT((Final_Merged_Data!$B$2:$B$1000=$A228)*Final_Merged_Data!$K$2:$K$1000*Final_Merged_Data!$F$2:$F$1000)/F228</f>
        <v>101.90869513385242</v>
      </c>
      <c r="L228" cm="1">
        <f t="array" ref="L228">SUMPRODUCT((Final_Merged_Data!$B$2:$B$1000=$A228)*Final_Merged_Data!$L$2:$L$1000*Final_Merged_Data!$F$2:$F$1000)/F228</f>
        <v>15.175373179583827</v>
      </c>
      <c r="M228" t="str">
        <f>IF(COUNTIF(Master_Data!$C:$C,$A228)&gt;0,"Found","Missing")</f>
        <v>Found</v>
      </c>
      <c r="N228" t="str">
        <f>_xlfn.XLOOKUP($A228,Master_Data!$C:$C,Master_Data!$D:$D,"CHECK",0)</f>
        <v>Abdul Montakim</v>
      </c>
      <c r="O228" t="str">
        <f>_xlfn.XLOOKUP($A228,Master_Data!$C:$C,Master_Data!$E:$E,"CHECK",0)</f>
        <v>Jamaat</v>
      </c>
      <c r="P228">
        <f>_xlfn.XLOOKUP($A228,Master_Data!$C:$C,Master_Data!$F:$F,"CHECK",0)</f>
        <v>2</v>
      </c>
      <c r="Q228">
        <f>_xlfn.XLOOKUP($A228,Master_Data!$C:$C,Master_Data!$G:$G,"CHECK",0)</f>
        <v>124865</v>
      </c>
      <c r="R228">
        <f>IFERROR(_xlfn.XLOOKUP($A228,Master_Data!$C:$C,Master_Data!$H:$H,"CHECK",0),"")</f>
        <v>60.499246575674327</v>
      </c>
      <c r="S228" t="str">
        <f>_xlfn.XLOOKUP($A228,Master_Data!$C:$C,Master_Data!$I:$I,"CHECK",0)</f>
        <v>Md. Abdul Gafur Sarkar</v>
      </c>
      <c r="T228">
        <f>_xlfn.XLOOKUP($A228,Master_Data!$C:$C,Master_Data!$K:$K,"CHECK",0)</f>
        <v>81526</v>
      </c>
      <c r="U228">
        <f>IFERROR(_xlfn.XLOOKUP($A228,Master_Data!$C:$C,Master_Data!$L:$L,"CHECK",0),"")</f>
        <v>39.500753424325673</v>
      </c>
      <c r="V228">
        <f>_xlfn.XLOOKUP($A228,Master_Data!$C:$C,Master_Data!$M:$M,"CHECK",0)</f>
        <v>43339</v>
      </c>
      <c r="W228">
        <f>IFERROR(_xlfn.XLOOKUP($A228,Master_Data!$C:$C,Master_Data!$N:$N,"CHECK",0),"")</f>
        <v>20.998493151348654</v>
      </c>
      <c r="X228" t="str">
        <f>IFERROR(_xlfn.XLOOKUP($A228,Master_Data!$C:$C,Master_Data!$O:$O,"CHECK",0),"No Result")</f>
        <v>Safe Seat</v>
      </c>
      <c r="Y228">
        <f>_xlfn.XLOOKUP($A228,Master_Data!$C:$C,Master_Data!$P:$P,"CHECK",0)</f>
        <v>0</v>
      </c>
      <c r="Z228">
        <f t="shared" si="7"/>
        <v>1</v>
      </c>
      <c r="AA228">
        <f>_xlfn.XLOOKUP(B228,Remittance_Data!A:A,Remittance_Data!B:B,"CHECK")</f>
        <v>4885</v>
      </c>
      <c r="AB228">
        <f>_xlfn.XLOOKUP(B228,Remittance_Data!A:A,Remittance_Data!C:C,"CHECK")</f>
        <v>3352</v>
      </c>
      <c r="AC228">
        <f>_xlfn.XLOOKUP(B228,Remittance_Data!A:A,Remittance_Data!D:D,"CHECK")</f>
        <v>1533</v>
      </c>
    </row>
    <row r="229" spans="1:29">
      <c r="A229" t="str">
        <v>Noakhali-1</v>
      </c>
      <c r="B229" t="str" cm="1">
        <f t="array" ref="B22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Nawabganj","Chapainawabganj"),Final_Merged_Data!$B$2:$B$1000=$A229)))</f>
        <v>Noakhali</v>
      </c>
      <c r="C229" t="str" cm="1">
        <f t="array" ref="C229">_xlfn.TEXTJOIN(", ",TRUE,_xlfn._xlws.FILTER(Final_Merged_Data!$C$2:$C$1000,Final_Merged_Data!$B$2:$B$1000=$A229))</f>
        <v>Chatkhil, Companiganj</v>
      </c>
      <c r="D229" cm="1">
        <f t="array" ref="D229">COUNTA(_xlfn._xlws.FILTER(Final_Merged_Data!$C$2:$C$1000,Final_Merged_Data!$B$2:$B$1000=$A229))</f>
        <v>2</v>
      </c>
      <c r="E229">
        <f>SUMIFS(Final_Merged_Data!$E:$E,Final_Merged_Data!$B:$B,$A229)</f>
        <v>1816.58</v>
      </c>
      <c r="F229">
        <f>SUMIFS(Final_Merged_Data!$F:$F,Final_Merged_Data!$B:$B,$A229)</f>
        <v>560081</v>
      </c>
      <c r="G229">
        <f t="shared" si="6"/>
        <v>308.3161765515419</v>
      </c>
      <c r="H229" cm="1">
        <f t="array" ref="H229">SUMPRODUCT((Final_Merged_Data!$B$2:$B$1000=$A229)*Final_Merged_Data!$H$2:$H$1000*Final_Merged_Data!$F$2:$F$1000)/F229</f>
        <v>4.4598667335617526</v>
      </c>
      <c r="I229" cm="1">
        <f t="array" ref="I229">SUMPRODUCT((Final_Merged_Data!$B$2:$B$1000=$A229)*Final_Merged_Data!$I$2:$I$1000*Final_Merged_Data!$F$2:$F$1000)/F229</f>
        <v>80.062653919700892</v>
      </c>
      <c r="J229" t="str" cm="1">
        <f t="array" ref="J229">_xlfn.TEXTJOIN(", ",TRUE,_xlfn.UNIQUE(_xlfn._xlws.FILTER(Final_Merged_Data!$J$2:$J$1000,Final_Merged_Data!$B$2:$B$1000=$A229)))</f>
        <v>Chittagong Range</v>
      </c>
      <c r="K229" cm="1">
        <f t="array" ref="K229">SUMPRODUCT((Final_Merged_Data!$B$2:$B$1000=$A229)*Final_Merged_Data!$K$2:$K$1000*Final_Merged_Data!$F$2:$F$1000)/F229</f>
        <v>84.879645400600893</v>
      </c>
      <c r="L229" cm="1">
        <f t="array" ref="L229">SUMPRODUCT((Final_Merged_Data!$B$2:$B$1000=$A229)*Final_Merged_Data!$L$2:$L$1000*Final_Merged_Data!$F$2:$F$1000)/F229</f>
        <v>10.309673910686193</v>
      </c>
      <c r="M229" t="str">
        <f>IF(COUNTIF(Master_Data!$C:$C,$A229)&gt;0,"Found","Missing")</f>
        <v>Found</v>
      </c>
      <c r="N229" t="str">
        <f>_xlfn.XLOOKUP($A229,Master_Data!$C:$C,Master_Data!$D:$D,"CHECK",0)</f>
        <v>Mahbub Uddin Khokon</v>
      </c>
      <c r="O229" t="str">
        <f>_xlfn.XLOOKUP($A229,Master_Data!$C:$C,Master_Data!$E:$E,"CHECK",0)</f>
        <v>BNP</v>
      </c>
      <c r="P229">
        <f>_xlfn.XLOOKUP($A229,Master_Data!$C:$C,Master_Data!$F:$F,"CHECK",0)</f>
        <v>1</v>
      </c>
      <c r="Q229">
        <f>_xlfn.XLOOKUP($A229,Master_Data!$C:$C,Master_Data!$G:$G,"CHECK",0)</f>
        <v>126833</v>
      </c>
      <c r="R229">
        <f>IFERROR(_xlfn.XLOOKUP($A229,Master_Data!$C:$C,Master_Data!$H:$H,"CHECK",0),"")</f>
        <v>56.403061337934531</v>
      </c>
      <c r="S229" t="str">
        <f>_xlfn.XLOOKUP($A229,Master_Data!$C:$C,Master_Data!$I:$I,"CHECK",0)</f>
        <v>Md. Saif Ullah</v>
      </c>
      <c r="T229">
        <f>_xlfn.XLOOKUP($A229,Master_Data!$C:$C,Master_Data!$K:$K,"CHECK",0)</f>
        <v>98036</v>
      </c>
      <c r="U229">
        <f>IFERROR(_xlfn.XLOOKUP($A229,Master_Data!$C:$C,Master_Data!$L:$L,"CHECK",0),"")</f>
        <v>43.596938662065469</v>
      </c>
      <c r="V229">
        <f>_xlfn.XLOOKUP($A229,Master_Data!$C:$C,Master_Data!$M:$M,"CHECK",0)</f>
        <v>28797</v>
      </c>
      <c r="W229">
        <f>IFERROR(_xlfn.XLOOKUP($A229,Master_Data!$C:$C,Master_Data!$N:$N,"CHECK",0),"")</f>
        <v>12.806122675869061</v>
      </c>
      <c r="X229" t="str">
        <f>IFERROR(_xlfn.XLOOKUP($A229,Master_Data!$C:$C,Master_Data!$O:$O,"CHECK",0),"No Result")</f>
        <v>Safe Seat</v>
      </c>
      <c r="Y229">
        <f>_xlfn.XLOOKUP($A229,Master_Data!$C:$C,Master_Data!$P:$P,"CHECK",0)</f>
        <v>0</v>
      </c>
      <c r="Z229">
        <f t="shared" si="7"/>
        <v>1</v>
      </c>
      <c r="AA229">
        <f>_xlfn.XLOOKUP(B229,Remittance_Data!A:A,Remittance_Data!B:B,"CHECK")</f>
        <v>179444</v>
      </c>
      <c r="AB229">
        <f>_xlfn.XLOOKUP(B229,Remittance_Data!A:A,Remittance_Data!C:C,"CHECK")</f>
        <v>150175</v>
      </c>
      <c r="AC229">
        <f>_xlfn.XLOOKUP(B229,Remittance_Data!A:A,Remittance_Data!D:D,"CHECK")</f>
        <v>29269</v>
      </c>
    </row>
    <row r="230" spans="1:29">
      <c r="A230" t="str">
        <v>Noakhali-2</v>
      </c>
      <c r="B230" t="str" cm="1">
        <f t="array" ref="B23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Nawabganj","Chapainawabganj"),Final_Merged_Data!$B$2:$B$1000=$A230)))</f>
        <v>Noakhali</v>
      </c>
      <c r="C230" t="str" cm="1">
        <f t="array" ref="C230">_xlfn.TEXTJOIN(", ",TRUE,_xlfn._xlws.FILTER(Final_Merged_Data!$C$2:$C$1000,Final_Merged_Data!$B$2:$B$1000=$A230))</f>
        <v>Senbag, Sonaimuri</v>
      </c>
      <c r="D230" cm="1">
        <f t="array" ref="D230">COUNTA(_xlfn._xlws.FILTER(Final_Merged_Data!$C$2:$C$1000,Final_Merged_Data!$B$2:$B$1000=$A230))</f>
        <v>2</v>
      </c>
      <c r="E230">
        <f>SUMIFS(Final_Merged_Data!$E:$E,Final_Merged_Data!$B:$B,$A230)</f>
        <v>564.82000000000005</v>
      </c>
      <c r="F230">
        <f>SUMIFS(Final_Merged_Data!$F:$F,Final_Merged_Data!$B:$B,$A230)</f>
        <v>679699</v>
      </c>
      <c r="G230">
        <f t="shared" si="6"/>
        <v>1203.390460677738</v>
      </c>
      <c r="H230" cm="1">
        <f t="array" ref="H230">SUMPRODUCT((Final_Merged_Data!$B$2:$B$1000=$A230)*Final_Merged_Data!$H$2:$H$1000*Final_Merged_Data!$F$2:$F$1000)/F230</f>
        <v>4.5608526862625958</v>
      </c>
      <c r="I230" cm="1">
        <f t="array" ref="I230">SUMPRODUCT((Final_Merged_Data!$B$2:$B$1000=$A230)*Final_Merged_Data!$I$2:$I$1000*Final_Merged_Data!$F$2:$F$1000)/F230</f>
        <v>81.106509528482462</v>
      </c>
      <c r="J230" t="str" cm="1">
        <f t="array" ref="J230">_xlfn.TEXTJOIN(", ",TRUE,_xlfn.UNIQUE(_xlfn._xlws.FILTER(Final_Merged_Data!$J$2:$J$1000,Final_Merged_Data!$B$2:$B$1000=$A230)))</f>
        <v>Chittagong Range</v>
      </c>
      <c r="K230" cm="1">
        <f t="array" ref="K230">SUMPRODUCT((Final_Merged_Data!$B$2:$B$1000=$A230)*Final_Merged_Data!$K$2:$K$1000*Final_Merged_Data!$F$2:$F$1000)/F230</f>
        <v>84.879645400600893</v>
      </c>
      <c r="L230" cm="1">
        <f t="array" ref="L230">SUMPRODUCT((Final_Merged_Data!$B$2:$B$1000=$A230)*Final_Merged_Data!$L$2:$L$1000*Final_Merged_Data!$F$2:$F$1000)/F230</f>
        <v>10.309673910686193</v>
      </c>
      <c r="M230" t="str">
        <f>IF(COUNTIF(Master_Data!$C:$C,$A230)&gt;0,"Found","Missing")</f>
        <v>Found</v>
      </c>
      <c r="N230" t="str">
        <f>_xlfn.XLOOKUP($A230,Master_Data!$C:$C,Master_Data!$D:$D,"CHECK",0)</f>
        <v>Zainul Abdin Farroque</v>
      </c>
      <c r="O230" t="str">
        <f>_xlfn.XLOOKUP($A230,Master_Data!$C:$C,Master_Data!$E:$E,"CHECK",0)</f>
        <v>BNP</v>
      </c>
      <c r="P230">
        <f>_xlfn.XLOOKUP($A230,Master_Data!$C:$C,Master_Data!$F:$F,"CHECK",0)</f>
        <v>1</v>
      </c>
      <c r="Q230">
        <f>_xlfn.XLOOKUP($A230,Master_Data!$C:$C,Master_Data!$G:$G,"CHECK",0)</f>
        <v>83982</v>
      </c>
      <c r="R230">
        <f>IFERROR(_xlfn.XLOOKUP($A230,Master_Data!$C:$C,Master_Data!$H:$H,"CHECK",0),"")</f>
        <v>55.60396196933182</v>
      </c>
      <c r="S230" t="str">
        <f>_xlfn.XLOOKUP($A230,Master_Data!$C:$C,Master_Data!$I:$I,"CHECK",0)</f>
        <v>Sultan Muhammad Zakaria Majumdar</v>
      </c>
      <c r="T230">
        <f>_xlfn.XLOOKUP($A230,Master_Data!$C:$C,Master_Data!$K:$K,"CHECK",0)</f>
        <v>67054</v>
      </c>
      <c r="U230">
        <f>IFERROR(_xlfn.XLOOKUP($A230,Master_Data!$C:$C,Master_Data!$L:$L,"CHECK",0),"")</f>
        <v>44.39603803066818</v>
      </c>
      <c r="V230">
        <f>_xlfn.XLOOKUP($A230,Master_Data!$C:$C,Master_Data!$M:$M,"CHECK",0)</f>
        <v>16928</v>
      </c>
      <c r="W230">
        <f>IFERROR(_xlfn.XLOOKUP($A230,Master_Data!$C:$C,Master_Data!$N:$N,"CHECK",0),"")</f>
        <v>11.20792393866363</v>
      </c>
      <c r="X230" t="str">
        <f>IFERROR(_xlfn.XLOOKUP($A230,Master_Data!$C:$C,Master_Data!$O:$O,"CHECK",0),"No Result")</f>
        <v>Safe Seat</v>
      </c>
      <c r="Y230">
        <f>_xlfn.XLOOKUP($A230,Master_Data!$C:$C,Master_Data!$P:$P,"CHECK",0)</f>
        <v>0</v>
      </c>
      <c r="Z230">
        <f t="shared" si="7"/>
        <v>1</v>
      </c>
      <c r="AA230">
        <f>_xlfn.XLOOKUP(B230,Remittance_Data!A:A,Remittance_Data!B:B,"CHECK")</f>
        <v>179444</v>
      </c>
      <c r="AB230">
        <f>_xlfn.XLOOKUP(B230,Remittance_Data!A:A,Remittance_Data!C:C,"CHECK")</f>
        <v>150175</v>
      </c>
      <c r="AC230">
        <f>_xlfn.XLOOKUP(B230,Remittance_Data!A:A,Remittance_Data!D:D,"CHECK")</f>
        <v>29269</v>
      </c>
    </row>
    <row r="231" spans="1:29">
      <c r="A231" t="str">
        <v>Noakhali-3</v>
      </c>
      <c r="B231" t="str" cm="1">
        <f t="array" ref="B23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Nawabganj","Chapainawabganj"),Final_Merged_Data!$B$2:$B$1000=$A231)))</f>
        <v>Noakhali</v>
      </c>
      <c r="C231" t="str" cm="1">
        <f t="array" ref="C231">_xlfn.TEXTJOIN(", ",TRUE,_xlfn._xlws.FILTER(Final_Merged_Data!$C$2:$C$1000,Final_Merged_Data!$B$2:$B$1000=$A231))</f>
        <v>Noakhali Sadar</v>
      </c>
      <c r="D231" cm="1">
        <f t="array" ref="D231">COUNTA(_xlfn._xlws.FILTER(Final_Merged_Data!$C$2:$C$1000,Final_Merged_Data!$B$2:$B$1000=$A231))</f>
        <v>1</v>
      </c>
      <c r="E231">
        <f>SUMIFS(Final_Merged_Data!$E:$E,Final_Merged_Data!$B:$B,$A231)</f>
        <v>1072.8499999999999</v>
      </c>
      <c r="F231">
        <f>SUMIFS(Final_Merged_Data!$F:$F,Final_Merged_Data!$B:$B,$A231)</f>
        <v>642471</v>
      </c>
      <c r="G231">
        <f t="shared" si="6"/>
        <v>598.84513212471461</v>
      </c>
      <c r="H231" cm="1">
        <f t="array" ref="H231">SUMPRODUCT((Final_Merged_Data!$B$2:$B$1000=$A231)*Final_Merged_Data!$H$2:$H$1000*Final_Merged_Data!$F$2:$F$1000)/F231</f>
        <v>4.57</v>
      </c>
      <c r="I231" cm="1">
        <f t="array" ref="I231">SUMPRODUCT((Final_Merged_Data!$B$2:$B$1000=$A231)*Final_Merged_Data!$I$2:$I$1000*Final_Merged_Data!$F$2:$F$1000)/F231</f>
        <v>75.099999999999994</v>
      </c>
      <c r="J231" t="str" cm="1">
        <f t="array" ref="J231">_xlfn.TEXTJOIN(", ",TRUE,_xlfn.UNIQUE(_xlfn._xlws.FILTER(Final_Merged_Data!$J$2:$J$1000,Final_Merged_Data!$B$2:$B$1000=$A231)))</f>
        <v>Chittagong Range</v>
      </c>
      <c r="K231" cm="1">
        <f t="array" ref="K231">SUMPRODUCT((Final_Merged_Data!$B$2:$B$1000=$A231)*Final_Merged_Data!$K$2:$K$1000*Final_Merged_Data!$F$2:$F$1000)/F231</f>
        <v>84.879645400600893</v>
      </c>
      <c r="L231" cm="1">
        <f t="array" ref="L231">SUMPRODUCT((Final_Merged_Data!$B$2:$B$1000=$A231)*Final_Merged_Data!$L$2:$L$1000*Final_Merged_Data!$F$2:$F$1000)/F231</f>
        <v>10.309673910686193</v>
      </c>
      <c r="M231" t="str">
        <f>IF(COUNTIF(Master_Data!$C:$C,$A231)&gt;0,"Found","Missing")</f>
        <v>Found</v>
      </c>
      <c r="N231" t="str">
        <f>_xlfn.XLOOKUP($A231,Master_Data!$C:$C,Master_Data!$D:$D,"CHECK",0)</f>
        <v>Barkat Ullah Bulu</v>
      </c>
      <c r="O231" t="str">
        <f>_xlfn.XLOOKUP($A231,Master_Data!$C:$C,Master_Data!$E:$E,"CHECK",0)</f>
        <v>BNP</v>
      </c>
      <c r="P231">
        <f>_xlfn.XLOOKUP($A231,Master_Data!$C:$C,Master_Data!$F:$F,"CHECK",0)</f>
        <v>1</v>
      </c>
      <c r="Q231">
        <f>_xlfn.XLOOKUP($A231,Master_Data!$C:$C,Master_Data!$G:$G,"CHECK",0)</f>
        <v>141031</v>
      </c>
      <c r="R231">
        <f>IFERROR(_xlfn.XLOOKUP($A231,Master_Data!$C:$C,Master_Data!$H:$H,"CHECK",0),"")</f>
        <v>53.224869042766784</v>
      </c>
      <c r="S231" t="str">
        <f>_xlfn.XLOOKUP($A231,Master_Data!$C:$C,Master_Data!$I:$I,"CHECK",0)</f>
        <v>Md. Borhan Uddin</v>
      </c>
      <c r="T231">
        <f>_xlfn.XLOOKUP($A231,Master_Data!$C:$C,Master_Data!$K:$K,"CHECK",0)</f>
        <v>123941</v>
      </c>
      <c r="U231">
        <f>IFERROR(_xlfn.XLOOKUP($A231,Master_Data!$C:$C,Master_Data!$L:$L,"CHECK",0),"")</f>
        <v>46.775130957233216</v>
      </c>
      <c r="V231">
        <f>_xlfn.XLOOKUP($A231,Master_Data!$C:$C,Master_Data!$M:$M,"CHECK",0)</f>
        <v>17090</v>
      </c>
      <c r="W231">
        <f>IFERROR(_xlfn.XLOOKUP($A231,Master_Data!$C:$C,Master_Data!$N:$N,"CHECK",0),"")</f>
        <v>6.449738085533566</v>
      </c>
      <c r="X231" t="str">
        <f>IFERROR(_xlfn.XLOOKUP($A231,Master_Data!$C:$C,Master_Data!$O:$O,"CHECK",0),"No Result")</f>
        <v>Safe Seat</v>
      </c>
      <c r="Y231">
        <f>_xlfn.XLOOKUP($A231,Master_Data!$C:$C,Master_Data!$P:$P,"CHECK",0)</f>
        <v>0</v>
      </c>
      <c r="Z231">
        <f t="shared" si="7"/>
        <v>1</v>
      </c>
      <c r="AA231">
        <f>_xlfn.XLOOKUP(B231,Remittance_Data!A:A,Remittance_Data!B:B,"CHECK")</f>
        <v>179444</v>
      </c>
      <c r="AB231">
        <f>_xlfn.XLOOKUP(B231,Remittance_Data!A:A,Remittance_Data!C:C,"CHECK")</f>
        <v>150175</v>
      </c>
      <c r="AC231">
        <f>_xlfn.XLOOKUP(B231,Remittance_Data!A:A,Remittance_Data!D:D,"CHECK")</f>
        <v>29269</v>
      </c>
    </row>
    <row r="232" spans="1:29">
      <c r="A232" t="str">
        <v>Noakhali-4</v>
      </c>
      <c r="B232" t="str" cm="1">
        <f t="array" ref="B23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Nawabganj","Chapainawabganj"),Final_Merged_Data!$B$2:$B$1000=$A232)))</f>
        <v>Noakhali</v>
      </c>
      <c r="C232" t="str" cm="1">
        <f t="array" ref="C232">_xlfn.TEXTJOIN(", ",TRUE,_xlfn._xlws.FILTER(Final_Merged_Data!$C$2:$C$1000,Final_Merged_Data!$B$2:$B$1000=$A232))</f>
        <v>Subarnachar</v>
      </c>
      <c r="D232" cm="1">
        <f t="array" ref="D232">COUNTA(_xlfn._xlws.FILTER(Final_Merged_Data!$C$2:$C$1000,Final_Merged_Data!$B$2:$B$1000=$A232))</f>
        <v>1</v>
      </c>
      <c r="E232">
        <f>SUMIFS(Final_Merged_Data!$E:$E,Final_Merged_Data!$B:$B,$A232)</f>
        <v>576.14</v>
      </c>
      <c r="F232">
        <f>SUMIFS(Final_Merged_Data!$F:$F,Final_Merged_Data!$B:$B,$A232)</f>
        <v>355902</v>
      </c>
      <c r="G232">
        <f t="shared" si="6"/>
        <v>617.73527267677991</v>
      </c>
      <c r="H232" cm="1">
        <f t="array" ref="H232">SUMPRODUCT((Final_Merged_Data!$B$2:$B$1000=$A232)*Final_Merged_Data!$H$2:$H$1000*Final_Merged_Data!$F$2:$F$1000)/F232</f>
        <v>4.82</v>
      </c>
      <c r="I232" cm="1">
        <f t="array" ref="I232">SUMPRODUCT((Final_Merged_Data!$B$2:$B$1000=$A232)*Final_Merged_Data!$I$2:$I$1000*Final_Merged_Data!$F$2:$F$1000)/F232</f>
        <v>63.63</v>
      </c>
      <c r="J232" t="str" cm="1">
        <f t="array" ref="J232">_xlfn.TEXTJOIN(", ",TRUE,_xlfn.UNIQUE(_xlfn._xlws.FILTER(Final_Merged_Data!$J$2:$J$1000,Final_Merged_Data!$B$2:$B$1000=$A232)))</f>
        <v>Chittagong Range</v>
      </c>
      <c r="K232" cm="1">
        <f t="array" ref="K232">SUMPRODUCT((Final_Merged_Data!$B$2:$B$1000=$A232)*Final_Merged_Data!$K$2:$K$1000*Final_Merged_Data!$F$2:$F$1000)/F232</f>
        <v>84.879645400600893</v>
      </c>
      <c r="L232" cm="1">
        <f t="array" ref="L232">SUMPRODUCT((Final_Merged_Data!$B$2:$B$1000=$A232)*Final_Merged_Data!$L$2:$L$1000*Final_Merged_Data!$F$2:$F$1000)/F232</f>
        <v>10.309673910686193</v>
      </c>
      <c r="M232" t="str">
        <f>IF(COUNTIF(Master_Data!$C:$C,$A232)&gt;0,"Found","Missing")</f>
        <v>Found</v>
      </c>
      <c r="N232" t="str">
        <f>_xlfn.XLOOKUP($A232,Master_Data!$C:$C,Master_Data!$D:$D,"CHECK",0)</f>
        <v>Md. Shahjahan</v>
      </c>
      <c r="O232" t="str">
        <f>_xlfn.XLOOKUP($A232,Master_Data!$C:$C,Master_Data!$E:$E,"CHECK",0)</f>
        <v>BNP</v>
      </c>
      <c r="P232">
        <f>_xlfn.XLOOKUP($A232,Master_Data!$C:$C,Master_Data!$F:$F,"CHECK",0)</f>
        <v>1</v>
      </c>
      <c r="Q232">
        <f>_xlfn.XLOOKUP($A232,Master_Data!$C:$C,Master_Data!$G:$G,"CHECK",0)</f>
        <v>219182</v>
      </c>
      <c r="R232">
        <f>IFERROR(_xlfn.XLOOKUP($A232,Master_Data!$C:$C,Master_Data!$H:$H,"CHECK",0),"")</f>
        <v>59.532662811573964</v>
      </c>
      <c r="S232" t="str">
        <f>_xlfn.XLOOKUP($A232,Master_Data!$C:$C,Master_Data!$I:$I,"CHECK",0)</f>
        <v>Md. Ishaq Khandkar</v>
      </c>
      <c r="T232">
        <f>_xlfn.XLOOKUP($A232,Master_Data!$C:$C,Master_Data!$K:$K,"CHECK",0)</f>
        <v>148989</v>
      </c>
      <c r="U232">
        <f>IFERROR(_xlfn.XLOOKUP($A232,Master_Data!$C:$C,Master_Data!$L:$L,"CHECK",0),"")</f>
        <v>40.467337188426029</v>
      </c>
      <c r="V232">
        <f>_xlfn.XLOOKUP($A232,Master_Data!$C:$C,Master_Data!$M:$M,"CHECK",0)</f>
        <v>70193</v>
      </c>
      <c r="W232">
        <f>IFERROR(_xlfn.XLOOKUP($A232,Master_Data!$C:$C,Master_Data!$N:$N,"CHECK",0),"")</f>
        <v>19.065325623147938</v>
      </c>
      <c r="X232" t="str">
        <f>IFERROR(_xlfn.XLOOKUP($A232,Master_Data!$C:$C,Master_Data!$O:$O,"CHECK",0),"No Result")</f>
        <v>Safe Seat</v>
      </c>
      <c r="Y232">
        <f>_xlfn.XLOOKUP($A232,Master_Data!$C:$C,Master_Data!$P:$P,"CHECK",0)</f>
        <v>0</v>
      </c>
      <c r="Z232">
        <f t="shared" si="7"/>
        <v>1</v>
      </c>
      <c r="AA232">
        <f>_xlfn.XLOOKUP(B232,Remittance_Data!A:A,Remittance_Data!B:B,"CHECK")</f>
        <v>179444</v>
      </c>
      <c r="AB232">
        <f>_xlfn.XLOOKUP(B232,Remittance_Data!A:A,Remittance_Data!C:C,"CHECK")</f>
        <v>150175</v>
      </c>
      <c r="AC232">
        <f>_xlfn.XLOOKUP(B232,Remittance_Data!A:A,Remittance_Data!D:D,"CHECK")</f>
        <v>29269</v>
      </c>
    </row>
    <row r="233" spans="1:29">
      <c r="A233" t="str">
        <v>Noakhali-5</v>
      </c>
      <c r="B233" t="str" cm="1">
        <f t="array" ref="B23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Nawabganj","Chapainawabganj"),Final_Merged_Data!$B$2:$B$1000=$A233)))</f>
        <v>Noakhali</v>
      </c>
      <c r="C233" t="str" cm="1">
        <f t="array" ref="C233">_xlfn.TEXTJOIN(", ",TRUE,_xlfn._xlws.FILTER(Final_Merged_Data!$C$2:$C$1000,Final_Merged_Data!$B$2:$B$1000=$A233))</f>
        <v>Kabirhat, Hatia</v>
      </c>
      <c r="D233" cm="1">
        <f t="array" ref="D233">COUNTA(_xlfn._xlws.FILTER(Final_Merged_Data!$C$2:$C$1000,Final_Merged_Data!$B$2:$B$1000=$A233))</f>
        <v>2</v>
      </c>
      <c r="E233">
        <f>SUMIFS(Final_Merged_Data!$E:$E,Final_Merged_Data!$B:$B,$A233)</f>
        <v>481.58000000000004</v>
      </c>
      <c r="F233">
        <f>SUMIFS(Final_Merged_Data!$F:$F,Final_Merged_Data!$B:$B,$A233)</f>
        <v>776088</v>
      </c>
      <c r="G233">
        <f t="shared" si="6"/>
        <v>1611.5453299555627</v>
      </c>
      <c r="H233" cm="1">
        <f t="array" ref="H233">SUMPRODUCT((Final_Merged_Data!$B$2:$B$1000=$A233)*Final_Merged_Data!$H$2:$H$1000*Final_Merged_Data!$F$2:$F$1000)/F233</f>
        <v>4.7953805367432558</v>
      </c>
      <c r="I233" cm="1">
        <f t="array" ref="I233">SUMPRODUCT((Final_Merged_Data!$B$2:$B$1000=$A233)*Final_Merged_Data!$I$2:$I$1000*Final_Merged_Data!$F$2:$F$1000)/F233</f>
        <v>67.894457948067739</v>
      </c>
      <c r="J233" t="str" cm="1">
        <f t="array" ref="J233">_xlfn.TEXTJOIN(", ",TRUE,_xlfn.UNIQUE(_xlfn._xlws.FILTER(Final_Merged_Data!$J$2:$J$1000,Final_Merged_Data!$B$2:$B$1000=$A233)))</f>
        <v>Chittagong Range</v>
      </c>
      <c r="K233" cm="1">
        <f t="array" ref="K233">SUMPRODUCT((Final_Merged_Data!$B$2:$B$1000=$A233)*Final_Merged_Data!$K$2:$K$1000*Final_Merged_Data!$F$2:$F$1000)/F233</f>
        <v>84.879645400600893</v>
      </c>
      <c r="L233" cm="1">
        <f t="array" ref="L233">SUMPRODUCT((Final_Merged_Data!$B$2:$B$1000=$A233)*Final_Merged_Data!$L$2:$L$1000*Final_Merged_Data!$F$2:$F$1000)/F233</f>
        <v>10.309673910686193</v>
      </c>
      <c r="M233" t="str">
        <f>IF(COUNTIF(Master_Data!$C:$C,$A233)&gt;0,"Found","Missing")</f>
        <v>Found</v>
      </c>
      <c r="N233" t="str">
        <f>_xlfn.XLOOKUP($A233,Master_Data!$C:$C,Master_Data!$D:$D,"CHECK",0)</f>
        <v>Mohammad Fakhrul Islam</v>
      </c>
      <c r="O233" t="str">
        <f>_xlfn.XLOOKUP($A233,Master_Data!$C:$C,Master_Data!$E:$E,"CHECK",0)</f>
        <v>BNP</v>
      </c>
      <c r="P233">
        <f>_xlfn.XLOOKUP($A233,Master_Data!$C:$C,Master_Data!$F:$F,"CHECK",0)</f>
        <v>1</v>
      </c>
      <c r="Q233">
        <f>_xlfn.XLOOKUP($A233,Master_Data!$C:$C,Master_Data!$G:$G,"CHECK",0)</f>
        <v>147808</v>
      </c>
      <c r="R233">
        <f>IFERROR(_xlfn.XLOOKUP($A233,Master_Data!$C:$C,Master_Data!$H:$H,"CHECK",0),"")</f>
        <v>55.098579368599985</v>
      </c>
      <c r="S233" t="str">
        <f>_xlfn.XLOOKUP($A233,Master_Data!$C:$C,Master_Data!$I:$I,"CHECK",0)</f>
        <v>Mohammad Belayet Hossain</v>
      </c>
      <c r="T233">
        <f>_xlfn.XLOOKUP($A233,Master_Data!$C:$C,Master_Data!$K:$K,"CHECK",0)</f>
        <v>120453</v>
      </c>
      <c r="U233">
        <f>IFERROR(_xlfn.XLOOKUP($A233,Master_Data!$C:$C,Master_Data!$L:$L,"CHECK",0),"")</f>
        <v>44.901420631400022</v>
      </c>
      <c r="V233">
        <f>_xlfn.XLOOKUP($A233,Master_Data!$C:$C,Master_Data!$M:$M,"CHECK",0)</f>
        <v>27355</v>
      </c>
      <c r="W233">
        <f>IFERROR(_xlfn.XLOOKUP($A233,Master_Data!$C:$C,Master_Data!$N:$N,"CHECK",0),"")</f>
        <v>10.197158737199965</v>
      </c>
      <c r="X233" t="str">
        <f>IFERROR(_xlfn.XLOOKUP($A233,Master_Data!$C:$C,Master_Data!$O:$O,"CHECK",0),"No Result")</f>
        <v>Safe Seat</v>
      </c>
      <c r="Y233">
        <f>_xlfn.XLOOKUP($A233,Master_Data!$C:$C,Master_Data!$P:$P,"CHECK",0)</f>
        <v>0</v>
      </c>
      <c r="Z233">
        <f t="shared" si="7"/>
        <v>1</v>
      </c>
      <c r="AA233">
        <f>_xlfn.XLOOKUP(B233,Remittance_Data!A:A,Remittance_Data!B:B,"CHECK")</f>
        <v>179444</v>
      </c>
      <c r="AB233">
        <f>_xlfn.XLOOKUP(B233,Remittance_Data!A:A,Remittance_Data!C:C,"CHECK")</f>
        <v>150175</v>
      </c>
      <c r="AC233">
        <f>_xlfn.XLOOKUP(B233,Remittance_Data!A:A,Remittance_Data!D:D,"CHECK")</f>
        <v>29269</v>
      </c>
    </row>
    <row r="234" spans="1:29">
      <c r="A234" t="str">
        <v>Noakhali-6</v>
      </c>
      <c r="B234" t="str" cm="1">
        <f t="array" ref="B23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Nawabganj","Chapainawabganj"),Final_Merged_Data!$B$2:$B$1000=$A234)))</f>
        <v>Noakhali</v>
      </c>
      <c r="C234" t="str" cm="1">
        <f t="array" ref="C234">_xlfn.TEXTJOIN(", ",TRUE,_xlfn._xlws.FILTER(Final_Merged_Data!$C$2:$C$1000,Final_Merged_Data!$B$2:$B$1000=$A234))</f>
        <v>Begumganj</v>
      </c>
      <c r="D234" cm="1">
        <f t="array" ref="D234">COUNTA(_xlfn._xlws.FILTER(Final_Merged_Data!$C$2:$C$1000,Final_Merged_Data!$B$2:$B$1000=$A234))</f>
        <v>1</v>
      </c>
      <c r="E234">
        <f>SUMIFS(Final_Merged_Data!$E:$E,Final_Merged_Data!$B:$B,$A234)</f>
        <v>134.46</v>
      </c>
      <c r="F234">
        <f>SUMIFS(Final_Merged_Data!$F:$F,Final_Merged_Data!$B:$B,$A234)</f>
        <v>611081</v>
      </c>
      <c r="G234">
        <f t="shared" si="6"/>
        <v>4544.7047449055481</v>
      </c>
      <c r="H234" cm="1">
        <f t="array" ref="H234">SUMPRODUCT((Final_Merged_Data!$B$2:$B$1000=$A234)*Final_Merged_Data!$H$2:$H$1000*Final_Merged_Data!$F$2:$F$1000)/F234</f>
        <v>4.55</v>
      </c>
      <c r="I234" cm="1">
        <f t="array" ref="I234">SUMPRODUCT((Final_Merged_Data!$B$2:$B$1000=$A234)*Final_Merged_Data!$I$2:$I$1000*Final_Merged_Data!$F$2:$F$1000)/F234</f>
        <v>81.459999999999994</v>
      </c>
      <c r="J234" t="str" cm="1">
        <f t="array" ref="J234">_xlfn.TEXTJOIN(", ",TRUE,_xlfn.UNIQUE(_xlfn._xlws.FILTER(Final_Merged_Data!$J$2:$J$1000,Final_Merged_Data!$B$2:$B$1000=$A234)))</f>
        <v>Chittagong Range</v>
      </c>
      <c r="K234" cm="1">
        <f t="array" ref="K234">SUMPRODUCT((Final_Merged_Data!$B$2:$B$1000=$A234)*Final_Merged_Data!$K$2:$K$1000*Final_Merged_Data!$F$2:$F$1000)/F234</f>
        <v>84.879645400600893</v>
      </c>
      <c r="L234" cm="1">
        <f t="array" ref="L234">SUMPRODUCT((Final_Merged_Data!$B$2:$B$1000=$A234)*Final_Merged_Data!$L$2:$L$1000*Final_Merged_Data!$F$2:$F$1000)/F234</f>
        <v>10.309673910686193</v>
      </c>
      <c r="M234" t="str">
        <f>IF(COUNTIF(Master_Data!$C:$C,$A234)&gt;0,"Found","Missing")</f>
        <v>Found</v>
      </c>
      <c r="N234" t="str">
        <f>_xlfn.XLOOKUP($A234,Master_Data!$C:$C,Master_Data!$D:$D,"CHECK",0)</f>
        <v>Abdul Hannan Masud</v>
      </c>
      <c r="O234" t="str">
        <f>_xlfn.XLOOKUP($A234,Master_Data!$C:$C,Master_Data!$E:$E,"CHECK",0)</f>
        <v>NCP</v>
      </c>
      <c r="P234">
        <f>_xlfn.XLOOKUP($A234,Master_Data!$C:$C,Master_Data!$F:$F,"CHECK",0)</f>
        <v>0</v>
      </c>
      <c r="Q234">
        <f>_xlfn.XLOOKUP($A234,Master_Data!$C:$C,Master_Data!$G:$G,"CHECK",0)</f>
        <v>91899</v>
      </c>
      <c r="R234">
        <f>IFERROR(_xlfn.XLOOKUP($A234,Master_Data!$C:$C,Master_Data!$H:$H,"CHECK",0),"")</f>
        <v>58.939840944073886</v>
      </c>
      <c r="S234" t="str">
        <f>_xlfn.XLOOKUP($A234,Master_Data!$C:$C,Master_Data!$I:$I,"CHECK",0)</f>
        <v>Mohammad Mahbuber Rahman</v>
      </c>
      <c r="T234">
        <f>_xlfn.XLOOKUP($A234,Master_Data!$C:$C,Master_Data!$K:$K,"CHECK",0)</f>
        <v>64021</v>
      </c>
      <c r="U234">
        <f>IFERROR(_xlfn.XLOOKUP($A234,Master_Data!$C:$C,Master_Data!$L:$L,"CHECK",0),"")</f>
        <v>41.060159055926114</v>
      </c>
      <c r="V234">
        <f>_xlfn.XLOOKUP($A234,Master_Data!$C:$C,Master_Data!$M:$M,"CHECK",0)</f>
        <v>27878</v>
      </c>
      <c r="W234">
        <f>IFERROR(_xlfn.XLOOKUP($A234,Master_Data!$C:$C,Master_Data!$N:$N,"CHECK",0),"")</f>
        <v>17.879681888147768</v>
      </c>
      <c r="X234" t="str">
        <f>IFERROR(_xlfn.XLOOKUP($A234,Master_Data!$C:$C,Master_Data!$O:$O,"CHECK",0),"No Result")</f>
        <v>Safe Seat</v>
      </c>
      <c r="Y234">
        <f>_xlfn.XLOOKUP($A234,Master_Data!$C:$C,Master_Data!$P:$P,"CHECK",0)</f>
        <v>0</v>
      </c>
      <c r="Z234">
        <f t="shared" si="7"/>
        <v>1</v>
      </c>
      <c r="AA234">
        <f>_xlfn.XLOOKUP(B234,Remittance_Data!A:A,Remittance_Data!B:B,"CHECK")</f>
        <v>179444</v>
      </c>
      <c r="AB234">
        <f>_xlfn.XLOOKUP(B234,Remittance_Data!A:A,Remittance_Data!C:C,"CHECK")</f>
        <v>150175</v>
      </c>
      <c r="AC234">
        <f>_xlfn.XLOOKUP(B234,Remittance_Data!A:A,Remittance_Data!D:D,"CHECK")</f>
        <v>29269</v>
      </c>
    </row>
    <row r="235" spans="1:29">
      <c r="A235" t="str">
        <v>Pabna-1</v>
      </c>
      <c r="B235" t="str" cm="1">
        <f t="array" ref="B23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Nawabganj","Chapainawabganj"),Final_Merged_Data!$B$2:$B$1000=$A235)))</f>
        <v>Pabna</v>
      </c>
      <c r="C235" t="str" cm="1">
        <f t="array" ref="C235">_xlfn.TEXTJOIN(", ",TRUE,_xlfn._xlws.FILTER(Final_Merged_Data!$C$2:$C$1000,Final_Merged_Data!$B$2:$B$1000=$A235))</f>
        <v>Santhia, Bera</v>
      </c>
      <c r="D235" cm="1">
        <f t="array" ref="D235">COUNTA(_xlfn._xlws.FILTER(Final_Merged_Data!$C$2:$C$1000,Final_Merged_Data!$B$2:$B$1000=$A235))</f>
        <v>2</v>
      </c>
      <c r="E235">
        <f>SUMIFS(Final_Merged_Data!$E:$E,Final_Merged_Data!$B:$B,$A235)</f>
        <v>346.15</v>
      </c>
      <c r="F235">
        <f>SUMIFS(Final_Merged_Data!$F:$F,Final_Merged_Data!$B:$B,$A235)</f>
        <v>712236</v>
      </c>
      <c r="G235">
        <f t="shared" si="6"/>
        <v>2057.5935288169871</v>
      </c>
      <c r="H235" cm="1">
        <f t="array" ref="H235">SUMPRODUCT((Final_Merged_Data!$B$2:$B$1000=$A235)*Final_Merged_Data!$H$2:$H$1000*Final_Merged_Data!$F$2:$F$1000)/F235</f>
        <v>3.9615874513503946</v>
      </c>
      <c r="I235" cm="1">
        <f t="array" ref="I235">SUMPRODUCT((Final_Merged_Data!$B$2:$B$1000=$A235)*Final_Merged_Data!$I$2:$I$1000*Final_Merged_Data!$F$2:$F$1000)/F235</f>
        <v>67.154126665880412</v>
      </c>
      <c r="J235" t="str" cm="1">
        <f t="array" ref="J235">_xlfn.TEXTJOIN(", ",TRUE,_xlfn.UNIQUE(_xlfn._xlws.FILTER(Final_Merged_Data!$J$2:$J$1000,Final_Merged_Data!$B$2:$B$1000=$A235)))</f>
        <v>Rajshahi Range</v>
      </c>
      <c r="K235" cm="1">
        <f t="array" ref="K235">SUMPRODUCT((Final_Merged_Data!$B$2:$B$1000=$A235)*Final_Merged_Data!$K$2:$K$1000*Final_Merged_Data!$F$2:$F$1000)/F235</f>
        <v>112.81411131450233</v>
      </c>
      <c r="L235" cm="1">
        <f t="array" ref="L235">SUMPRODUCT((Final_Merged_Data!$B$2:$B$1000=$A235)*Final_Merged_Data!$L$2:$L$1000*Final_Merged_Data!$F$2:$F$1000)/F235</f>
        <v>14.272851259111949</v>
      </c>
      <c r="M235" t="str">
        <f>IF(COUNTIF(Master_Data!$C:$C,$A235)&gt;0,"Found","Missing")</f>
        <v>Found</v>
      </c>
      <c r="N235" t="str">
        <f>_xlfn.XLOOKUP($A235,Master_Data!$C:$C,Master_Data!$D:$D,"CHECK",0)</f>
        <v>Mohammad Najibur Rahman</v>
      </c>
      <c r="O235" t="str">
        <f>_xlfn.XLOOKUP($A235,Master_Data!$C:$C,Master_Data!$E:$E,"CHECK",0)</f>
        <v>Jamaat</v>
      </c>
      <c r="P235">
        <f>_xlfn.XLOOKUP($A235,Master_Data!$C:$C,Master_Data!$F:$F,"CHECK",0)</f>
        <v>2</v>
      </c>
      <c r="Q235">
        <f>_xlfn.XLOOKUP($A235,Master_Data!$C:$C,Master_Data!$G:$G,"CHECK",0)</f>
        <v>129974</v>
      </c>
      <c r="R235">
        <f>IFERROR(_xlfn.XLOOKUP($A235,Master_Data!$C:$C,Master_Data!$H:$H,"CHECK",0),"")</f>
        <v>55.492509147421856</v>
      </c>
      <c r="S235" t="str">
        <f>_xlfn.XLOOKUP($A235,Master_Data!$C:$C,Master_Data!$I:$I,"CHECK",0)</f>
        <v>Md. Shamsur Rahman</v>
      </c>
      <c r="T235">
        <f>_xlfn.XLOOKUP($A235,Master_Data!$C:$C,Master_Data!$K:$K,"CHECK",0)</f>
        <v>104245</v>
      </c>
      <c r="U235">
        <f>IFERROR(_xlfn.XLOOKUP($A235,Master_Data!$C:$C,Master_Data!$L:$L,"CHECK",0),"")</f>
        <v>44.507490852578144</v>
      </c>
      <c r="V235">
        <f>_xlfn.XLOOKUP($A235,Master_Data!$C:$C,Master_Data!$M:$M,"CHECK",0)</f>
        <v>25729</v>
      </c>
      <c r="W235">
        <f>IFERROR(_xlfn.XLOOKUP($A235,Master_Data!$C:$C,Master_Data!$N:$N,"CHECK",0),"")</f>
        <v>10.985018294843716</v>
      </c>
      <c r="X235" t="str">
        <f>IFERROR(_xlfn.XLOOKUP($A235,Master_Data!$C:$C,Master_Data!$O:$O,"CHECK",0),"No Result")</f>
        <v>Safe Seat</v>
      </c>
      <c r="Y235">
        <f>_xlfn.XLOOKUP($A235,Master_Data!$C:$C,Master_Data!$P:$P,"CHECK",0)</f>
        <v>0</v>
      </c>
      <c r="Z235">
        <f t="shared" si="7"/>
        <v>1</v>
      </c>
      <c r="AA235">
        <f>_xlfn.XLOOKUP(B235,Remittance_Data!A:A,Remittance_Data!B:B,"CHECK")</f>
        <v>36218</v>
      </c>
      <c r="AB235">
        <f>_xlfn.XLOOKUP(B235,Remittance_Data!A:A,Remittance_Data!C:C,"CHECK")</f>
        <v>29860</v>
      </c>
      <c r="AC235">
        <f>_xlfn.XLOOKUP(B235,Remittance_Data!A:A,Remittance_Data!D:D,"CHECK")</f>
        <v>6358</v>
      </c>
    </row>
    <row r="236" spans="1:29">
      <c r="A236" t="str">
        <v>Pabna-2</v>
      </c>
      <c r="B236" t="str" cm="1">
        <f t="array" ref="B23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Nawabganj","Chapainawabganj"),Final_Merged_Data!$B$2:$B$1000=$A236)))</f>
        <v>Pabna</v>
      </c>
      <c r="C236" t="str" cm="1">
        <f t="array" ref="C236">_xlfn.TEXTJOIN(", ",TRUE,_xlfn._xlws.FILTER(Final_Merged_Data!$C$2:$C$1000,Final_Merged_Data!$B$2:$B$1000=$A236))</f>
        <v>Sujanagar, Pabna Sadar</v>
      </c>
      <c r="D236" cm="1">
        <f t="array" ref="D236">COUNTA(_xlfn._xlws.FILTER(Final_Merged_Data!$C$2:$C$1000,Final_Merged_Data!$B$2:$B$1000=$A236))</f>
        <v>2</v>
      </c>
      <c r="E236">
        <f>SUMIFS(Final_Merged_Data!$E:$E,Final_Merged_Data!$B:$B,$A236)</f>
        <v>660.05</v>
      </c>
      <c r="F236">
        <f>SUMIFS(Final_Merged_Data!$F:$F,Final_Merged_Data!$B:$B,$A236)</f>
        <v>1017112</v>
      </c>
      <c r="G236">
        <f t="shared" si="6"/>
        <v>1540.9620483296721</v>
      </c>
      <c r="H236" cm="1">
        <f t="array" ref="H236">SUMPRODUCT((Final_Merged_Data!$B$2:$B$1000=$A236)*Final_Merged_Data!$H$2:$H$1000*Final_Merged_Data!$F$2:$F$1000)/F236</f>
        <v>3.8610295523010247</v>
      </c>
      <c r="I236" cm="1">
        <f t="array" ref="I236">SUMPRODUCT((Final_Merged_Data!$B$2:$B$1000=$A236)*Final_Merged_Data!$I$2:$I$1000*Final_Merged_Data!$F$2:$F$1000)/F236</f>
        <v>71.009568267801384</v>
      </c>
      <c r="J236" t="str" cm="1">
        <f t="array" ref="J236">_xlfn.TEXTJOIN(", ",TRUE,_xlfn.UNIQUE(_xlfn._xlws.FILTER(Final_Merged_Data!$J$2:$J$1000,Final_Merged_Data!$B$2:$B$1000=$A236)))</f>
        <v>Rajshahi Range</v>
      </c>
      <c r="K236" cm="1">
        <f t="array" ref="K236">SUMPRODUCT((Final_Merged_Data!$B$2:$B$1000=$A236)*Final_Merged_Data!$K$2:$K$1000*Final_Merged_Data!$F$2:$F$1000)/F236</f>
        <v>112.81411131450233</v>
      </c>
      <c r="L236" cm="1">
        <f t="array" ref="L236">SUMPRODUCT((Final_Merged_Data!$B$2:$B$1000=$A236)*Final_Merged_Data!$L$2:$L$1000*Final_Merged_Data!$F$2:$F$1000)/F236</f>
        <v>14.272851259111949</v>
      </c>
      <c r="M236" t="str">
        <f>IF(COUNTIF(Master_Data!$C:$C,$A236)&gt;0,"Found","Missing")</f>
        <v>Found</v>
      </c>
      <c r="N236" t="str">
        <f>_xlfn.XLOOKUP($A236,Master_Data!$C:$C,Master_Data!$D:$D,"CHECK",0)</f>
        <v>AKM Salim Reza Habib</v>
      </c>
      <c r="O236" t="str">
        <f>_xlfn.XLOOKUP($A236,Master_Data!$C:$C,Master_Data!$E:$E,"CHECK",0)</f>
        <v>BNP</v>
      </c>
      <c r="P236">
        <f>_xlfn.XLOOKUP($A236,Master_Data!$C:$C,Master_Data!$F:$F,"CHECK",0)</f>
        <v>1</v>
      </c>
      <c r="Q236">
        <f>_xlfn.XLOOKUP($A236,Master_Data!$C:$C,Master_Data!$G:$G,"CHECK",0)</f>
        <v>213950</v>
      </c>
      <c r="R236">
        <f>IFERROR(_xlfn.XLOOKUP($A236,Master_Data!$C:$C,Master_Data!$H:$H,"CHECK",0),"")</f>
        <v>73.944915444619937</v>
      </c>
      <c r="S236" t="str">
        <f>_xlfn.XLOOKUP($A236,Master_Data!$C:$C,Master_Data!$I:$I,"CHECK",0)</f>
        <v>Md. Hesab Uddin</v>
      </c>
      <c r="T236">
        <f>_xlfn.XLOOKUP($A236,Master_Data!$C:$C,Master_Data!$K:$K,"CHECK",0)</f>
        <v>75387</v>
      </c>
      <c r="U236">
        <f>IFERROR(_xlfn.XLOOKUP($A236,Master_Data!$C:$C,Master_Data!$L:$L,"CHECK",0),"")</f>
        <v>26.055084555380059</v>
      </c>
      <c r="V236">
        <f>_xlfn.XLOOKUP($A236,Master_Data!$C:$C,Master_Data!$M:$M,"CHECK",0)</f>
        <v>138563</v>
      </c>
      <c r="W236">
        <f>IFERROR(_xlfn.XLOOKUP($A236,Master_Data!$C:$C,Master_Data!$N:$N,"CHECK",0),"")</f>
        <v>47.889830889239882</v>
      </c>
      <c r="X236" t="str">
        <f>IFERROR(_xlfn.XLOOKUP($A236,Master_Data!$C:$C,Master_Data!$O:$O,"CHECK",0),"No Result")</f>
        <v>Safe Seat</v>
      </c>
      <c r="Y236">
        <f>_xlfn.XLOOKUP($A236,Master_Data!$C:$C,Master_Data!$P:$P,"CHECK",0)</f>
        <v>0</v>
      </c>
      <c r="Z236">
        <f t="shared" si="7"/>
        <v>1</v>
      </c>
      <c r="AA236">
        <f>_xlfn.XLOOKUP(B236,Remittance_Data!A:A,Remittance_Data!B:B,"CHECK")</f>
        <v>36218</v>
      </c>
      <c r="AB236">
        <f>_xlfn.XLOOKUP(B236,Remittance_Data!A:A,Remittance_Data!C:C,"CHECK")</f>
        <v>29860</v>
      </c>
      <c r="AC236">
        <f>_xlfn.XLOOKUP(B236,Remittance_Data!A:A,Remittance_Data!D:D,"CHECK")</f>
        <v>6358</v>
      </c>
    </row>
    <row r="237" spans="1:29">
      <c r="A237" t="str">
        <v>Pabna-3</v>
      </c>
      <c r="B237" t="str" cm="1">
        <f t="array" ref="B23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Nawabganj","Chapainawabganj"),Final_Merged_Data!$B$2:$B$1000=$A237)))</f>
        <v>Pabna</v>
      </c>
      <c r="C237" t="str" cm="1">
        <f t="array" ref="C237">_xlfn.TEXTJOIN(", ",TRUE,_xlfn._xlws.FILTER(Final_Merged_Data!$C$2:$C$1000,Final_Merged_Data!$B$2:$B$1000=$A237))</f>
        <v>Chatmohar, Faridpur, Bhangura</v>
      </c>
      <c r="D237" cm="1">
        <f t="array" ref="D237">COUNTA(_xlfn._xlws.FILTER(Final_Merged_Data!$C$2:$C$1000,Final_Merged_Data!$B$2:$B$1000=$A237))</f>
        <v>3</v>
      </c>
      <c r="E237">
        <f>SUMIFS(Final_Merged_Data!$E:$E,Final_Merged_Data!$B:$B,$A237)</f>
        <v>962.92000000000007</v>
      </c>
      <c r="F237">
        <f>SUMIFS(Final_Merged_Data!$F:$F,Final_Merged_Data!$B:$B,$A237)</f>
        <v>611191</v>
      </c>
      <c r="G237">
        <f t="shared" si="6"/>
        <v>634.72666472811864</v>
      </c>
      <c r="H237" cm="1">
        <f t="array" ref="H237">SUMPRODUCT((Final_Merged_Data!$B$2:$B$1000=$A237)*Final_Merged_Data!$H$2:$H$1000*Final_Merged_Data!$F$2:$F$1000)/F237</f>
        <v>3.7871207854827698</v>
      </c>
      <c r="I237" cm="1">
        <f t="array" ref="I237">SUMPRODUCT((Final_Merged_Data!$B$2:$B$1000=$A237)*Final_Merged_Data!$I$2:$I$1000*Final_Merged_Data!$F$2:$F$1000)/F237</f>
        <v>69.038302560083508</v>
      </c>
      <c r="J237" t="str" cm="1">
        <f t="array" ref="J237">_xlfn.TEXTJOIN(", ",TRUE,_xlfn.UNIQUE(_xlfn._xlws.FILTER(Final_Merged_Data!$J$2:$J$1000,Final_Merged_Data!$B$2:$B$1000=$A237)))</f>
        <v>Rajshahi Range</v>
      </c>
      <c r="K237" cm="1">
        <f t="array" ref="K237">SUMPRODUCT((Final_Merged_Data!$B$2:$B$1000=$A237)*Final_Merged_Data!$K$2:$K$1000*Final_Merged_Data!$F$2:$F$1000)/F237</f>
        <v>112.81411131450231</v>
      </c>
      <c r="L237" cm="1">
        <f t="array" ref="L237">SUMPRODUCT((Final_Merged_Data!$B$2:$B$1000=$A237)*Final_Merged_Data!$L$2:$L$1000*Final_Merged_Data!$F$2:$F$1000)/F237</f>
        <v>14.272851259111949</v>
      </c>
      <c r="M237" t="str">
        <f>IF(COUNTIF(Master_Data!$C:$C,$A237)&gt;0,"Found","Missing")</f>
        <v>Found</v>
      </c>
      <c r="N237" t="str">
        <f>_xlfn.XLOOKUP($A237,Master_Data!$C:$C,Master_Data!$D:$D,"CHECK",0)</f>
        <v>Muhammad Ali Asghar</v>
      </c>
      <c r="O237" t="str">
        <f>_xlfn.XLOOKUP($A237,Master_Data!$C:$C,Master_Data!$E:$E,"CHECK",0)</f>
        <v>Jamaat</v>
      </c>
      <c r="P237">
        <f>_xlfn.XLOOKUP($A237,Master_Data!$C:$C,Master_Data!$F:$F,"CHECK",0)</f>
        <v>2</v>
      </c>
      <c r="Q237">
        <f>_xlfn.XLOOKUP($A237,Master_Data!$C:$C,Master_Data!$G:$G,"CHECK",0)</f>
        <v>147475</v>
      </c>
      <c r="R237">
        <f>IFERROR(_xlfn.XLOOKUP($A237,Master_Data!$C:$C,Master_Data!$H:$H,"CHECK",0),"")</f>
        <v>50.560372461696169</v>
      </c>
      <c r="S237" t="str">
        <f>_xlfn.XLOOKUP($A237,Master_Data!$C:$C,Master_Data!$I:$I,"CHECK",0)</f>
        <v>Md. Hasan Zafir Tuhin</v>
      </c>
      <c r="T237">
        <f>_xlfn.XLOOKUP($A237,Master_Data!$C:$C,Master_Data!$K:$K,"CHECK",0)</f>
        <v>144206</v>
      </c>
      <c r="U237">
        <f>IFERROR(_xlfn.XLOOKUP($A237,Master_Data!$C:$C,Master_Data!$L:$L,"CHECK",0),"")</f>
        <v>49.439627538303831</v>
      </c>
      <c r="V237">
        <f>_xlfn.XLOOKUP($A237,Master_Data!$C:$C,Master_Data!$M:$M,"CHECK",0)</f>
        <v>3269</v>
      </c>
      <c r="W237">
        <f>IFERROR(_xlfn.XLOOKUP($A237,Master_Data!$C:$C,Master_Data!$N:$N,"CHECK",0),"")</f>
        <v>1.1207449233923361</v>
      </c>
      <c r="X237" t="str">
        <f>IFERROR(_xlfn.XLOOKUP($A237,Master_Data!$C:$C,Master_Data!$O:$O,"CHECK",0),"No Result")</f>
        <v>Highly Competitive</v>
      </c>
      <c r="Y237">
        <f>_xlfn.XLOOKUP($A237,Master_Data!$C:$C,Master_Data!$P:$P,"CHECK",0)</f>
        <v>0</v>
      </c>
      <c r="Z237">
        <f t="shared" si="7"/>
        <v>1</v>
      </c>
      <c r="AA237">
        <f>_xlfn.XLOOKUP(B237,Remittance_Data!A:A,Remittance_Data!B:B,"CHECK")</f>
        <v>36218</v>
      </c>
      <c r="AB237">
        <f>_xlfn.XLOOKUP(B237,Remittance_Data!A:A,Remittance_Data!C:C,"CHECK")</f>
        <v>29860</v>
      </c>
      <c r="AC237">
        <f>_xlfn.XLOOKUP(B237,Remittance_Data!A:A,Remittance_Data!D:D,"CHECK")</f>
        <v>6358</v>
      </c>
    </row>
    <row r="238" spans="1:29">
      <c r="A238" t="str">
        <v>Pabna-4</v>
      </c>
      <c r="B238" t="str" cm="1">
        <f t="array" ref="B23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Nawabganj","Chapainawabganj"),Final_Merged_Data!$B$2:$B$1000=$A238)))</f>
        <v>Pabna</v>
      </c>
      <c r="C238" t="str" cm="1">
        <f t="array" ref="C238">_xlfn.TEXTJOIN(", ",TRUE,_xlfn._xlws.FILTER(Final_Merged_Data!$C$2:$C$1000,Final_Merged_Data!$B$2:$B$1000=$A238))</f>
        <v>Ishwardi, Atgharia</v>
      </c>
      <c r="D238" cm="1">
        <f t="array" ref="D238">COUNTA(_xlfn._xlws.FILTER(Final_Merged_Data!$C$2:$C$1000,Final_Merged_Data!$B$2:$B$1000=$A238))</f>
        <v>2</v>
      </c>
      <c r="E238">
        <f>SUMIFS(Final_Merged_Data!$E:$E,Final_Merged_Data!$B:$B,$A238)</f>
        <v>697.84</v>
      </c>
      <c r="F238">
        <f>SUMIFS(Final_Merged_Data!$F:$F,Final_Merged_Data!$B:$B,$A238)</f>
        <v>568970</v>
      </c>
      <c r="G238">
        <f t="shared" si="6"/>
        <v>815.33016164163701</v>
      </c>
      <c r="H238" cm="1">
        <f t="array" ref="H238">SUMPRODUCT((Final_Merged_Data!$B$2:$B$1000=$A238)*Final_Merged_Data!$H$2:$H$1000*Final_Merged_Data!$F$2:$F$1000)/F238</f>
        <v>3.840584196003304</v>
      </c>
      <c r="I238" cm="1">
        <f t="array" ref="I238">SUMPRODUCT((Final_Merged_Data!$B$2:$B$1000=$A238)*Final_Merged_Data!$I$2:$I$1000*Final_Merged_Data!$F$2:$F$1000)/F238</f>
        <v>75.205407754363151</v>
      </c>
      <c r="J238" t="str" cm="1">
        <f t="array" ref="J238">_xlfn.TEXTJOIN(", ",TRUE,_xlfn.UNIQUE(_xlfn._xlws.FILTER(Final_Merged_Data!$J$2:$J$1000,Final_Merged_Data!$B$2:$B$1000=$A238)))</f>
        <v>Rajshahi Range</v>
      </c>
      <c r="K238" cm="1">
        <f t="array" ref="K238">SUMPRODUCT((Final_Merged_Data!$B$2:$B$1000=$A238)*Final_Merged_Data!$K$2:$K$1000*Final_Merged_Data!$F$2:$F$1000)/F238</f>
        <v>112.81411131450231</v>
      </c>
      <c r="L238" cm="1">
        <f t="array" ref="L238">SUMPRODUCT((Final_Merged_Data!$B$2:$B$1000=$A238)*Final_Merged_Data!$L$2:$L$1000*Final_Merged_Data!$F$2:$F$1000)/F238</f>
        <v>14.272851259111949</v>
      </c>
      <c r="M238" t="str">
        <f>IF(COUNTIF(Master_Data!$C:$C,$A238)&gt;0,"Found","Missing")</f>
        <v>Found</v>
      </c>
      <c r="N238" t="str">
        <f>_xlfn.XLOOKUP($A238,Master_Data!$C:$C,Master_Data!$D:$D,"CHECK",0)</f>
        <v>Md. Abu Taleb Mandal</v>
      </c>
      <c r="O238" t="str">
        <f>_xlfn.XLOOKUP($A238,Master_Data!$C:$C,Master_Data!$E:$E,"CHECK",0)</f>
        <v>Jamaat</v>
      </c>
      <c r="P238">
        <f>_xlfn.XLOOKUP($A238,Master_Data!$C:$C,Master_Data!$F:$F,"CHECK",0)</f>
        <v>2</v>
      </c>
      <c r="Q238">
        <f>_xlfn.XLOOKUP($A238,Master_Data!$C:$C,Master_Data!$G:$G,"CHECK",0)</f>
        <v>137675</v>
      </c>
      <c r="R238">
        <f>IFERROR(_xlfn.XLOOKUP($A238,Master_Data!$C:$C,Master_Data!$H:$H,"CHECK",0),"")</f>
        <v>50.699873687621754</v>
      </c>
      <c r="S238" t="str">
        <f>_xlfn.XLOOKUP($A238,Master_Data!$C:$C,Master_Data!$I:$I,"CHECK",0)</f>
        <v>Md. Habibur Rahman</v>
      </c>
      <c r="T238">
        <f>_xlfn.XLOOKUP($A238,Master_Data!$C:$C,Master_Data!$K:$K,"CHECK",0)</f>
        <v>133874</v>
      </c>
      <c r="U238">
        <f>IFERROR(_xlfn.XLOOKUP($A238,Master_Data!$C:$C,Master_Data!$L:$L,"CHECK",0),"")</f>
        <v>49.300126312378246</v>
      </c>
      <c r="V238">
        <f>_xlfn.XLOOKUP($A238,Master_Data!$C:$C,Master_Data!$M:$M,"CHECK",0)</f>
        <v>3801</v>
      </c>
      <c r="W238">
        <f>IFERROR(_xlfn.XLOOKUP($A238,Master_Data!$C:$C,Master_Data!$N:$N,"CHECK",0),"")</f>
        <v>1.3997473752435103</v>
      </c>
      <c r="X238" t="str">
        <f>IFERROR(_xlfn.XLOOKUP($A238,Master_Data!$C:$C,Master_Data!$O:$O,"CHECK",0),"No Result")</f>
        <v>Highly Competitive</v>
      </c>
      <c r="Y238">
        <f>_xlfn.XLOOKUP($A238,Master_Data!$C:$C,Master_Data!$P:$P,"CHECK",0)</f>
        <v>0</v>
      </c>
      <c r="Z238">
        <f t="shared" si="7"/>
        <v>1</v>
      </c>
      <c r="AA238">
        <f>_xlfn.XLOOKUP(B238,Remittance_Data!A:A,Remittance_Data!B:B,"CHECK")</f>
        <v>36218</v>
      </c>
      <c r="AB238">
        <f>_xlfn.XLOOKUP(B238,Remittance_Data!A:A,Remittance_Data!C:C,"CHECK")</f>
        <v>29860</v>
      </c>
      <c r="AC238">
        <f>_xlfn.XLOOKUP(B238,Remittance_Data!A:A,Remittance_Data!D:D,"CHECK")</f>
        <v>6358</v>
      </c>
    </row>
    <row r="239" spans="1:29">
      <c r="A239" t="str">
        <v>Pabna-5</v>
      </c>
      <c r="B239" t="str" cm="1">
        <f t="array" ref="B23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Nawabganj","Chapainawabganj"),Final_Merged_Data!$B$2:$B$1000=$A239)))</f>
        <v>Pabna</v>
      </c>
      <c r="C239" t="str" cm="1">
        <f t="array" ref="C239">_xlfn.TEXTJOIN(", ",TRUE,_xlfn._xlws.FILTER(Final_Merged_Data!$C$2:$C$1000,Final_Merged_Data!$B$2:$B$1000=$A239))</f>
        <v>Shahjadpur</v>
      </c>
      <c r="D239" cm="1">
        <f t="array" ref="D239">COUNTA(_xlfn._xlws.FILTER(Final_Merged_Data!$C$2:$C$1000,Final_Merged_Data!$B$2:$B$1000=$A239))</f>
        <v>1</v>
      </c>
      <c r="E239">
        <f>SUMIFS(Final_Merged_Data!$E:$E,Final_Merged_Data!$B:$B,$A239)</f>
        <v>356.67</v>
      </c>
      <c r="F239">
        <f>SUMIFS(Final_Merged_Data!$F:$F,Final_Merged_Data!$B:$B,$A239)</f>
        <v>601613</v>
      </c>
      <c r="G239">
        <f t="shared" si="6"/>
        <v>1686.7496565452659</v>
      </c>
      <c r="H239" cm="1">
        <f t="array" ref="H239">SUMPRODUCT((Final_Merged_Data!$B$2:$B$1000=$A239)*Final_Merged_Data!$H$2:$H$1000*Final_Merged_Data!$F$2:$F$1000)/F239</f>
        <v>4.04</v>
      </c>
      <c r="I239" cm="1">
        <f t="array" ref="I239">SUMPRODUCT((Final_Merged_Data!$B$2:$B$1000=$A239)*Final_Merged_Data!$I$2:$I$1000*Final_Merged_Data!$F$2:$F$1000)/F239</f>
        <v>65.3</v>
      </c>
      <c r="J239" t="str" cm="1">
        <f t="array" ref="J239">_xlfn.TEXTJOIN(", ",TRUE,_xlfn.UNIQUE(_xlfn._xlws.FILTER(Final_Merged_Data!$J$2:$J$1000,Final_Merged_Data!$B$2:$B$1000=$A239)))</f>
        <v>Rajshahi Range</v>
      </c>
      <c r="K239" cm="1">
        <f t="array" ref="K239">SUMPRODUCT((Final_Merged_Data!$B$2:$B$1000=$A239)*Final_Merged_Data!$K$2:$K$1000*Final_Merged_Data!$F$2:$F$1000)/F239</f>
        <v>112.81411131450231</v>
      </c>
      <c r="L239" cm="1">
        <f t="array" ref="L239">SUMPRODUCT((Final_Merged_Data!$B$2:$B$1000=$A239)*Final_Merged_Data!$L$2:$L$1000*Final_Merged_Data!$F$2:$F$1000)/F239</f>
        <v>14.272851259111949</v>
      </c>
      <c r="M239" t="str">
        <f>IF(COUNTIF(Master_Data!$C:$C,$A239)&gt;0,"Found","Missing")</f>
        <v>Found</v>
      </c>
      <c r="N239" t="str">
        <f>_xlfn.XLOOKUP($A239,Master_Data!$C:$C,Master_Data!$D:$D,"CHECK",0)</f>
        <v>Shamsur Rahman Simul Biswas</v>
      </c>
      <c r="O239" t="str">
        <f>_xlfn.XLOOKUP($A239,Master_Data!$C:$C,Master_Data!$E:$E,"CHECK",0)</f>
        <v>BNP</v>
      </c>
      <c r="P239">
        <f>_xlfn.XLOOKUP($A239,Master_Data!$C:$C,Master_Data!$F:$F,"CHECK",0)</f>
        <v>1</v>
      </c>
      <c r="Q239">
        <f>_xlfn.XLOOKUP($A239,Master_Data!$C:$C,Master_Data!$G:$G,"CHECK",0)</f>
        <v>181925</v>
      </c>
      <c r="R239">
        <f>IFERROR(_xlfn.XLOOKUP($A239,Master_Data!$C:$C,Master_Data!$H:$H,"CHECK",0),"")</f>
        <v>52.440194973466426</v>
      </c>
      <c r="S239" t="str">
        <f>_xlfn.XLOOKUP($A239,Master_Data!$C:$C,Master_Data!$I:$I,"CHECK",0)</f>
        <v>Md. Iqbal Hossain</v>
      </c>
      <c r="T239">
        <f>_xlfn.XLOOKUP($A239,Master_Data!$C:$C,Master_Data!$K:$K,"CHECK",0)</f>
        <v>164994</v>
      </c>
      <c r="U239">
        <f>IFERROR(_xlfn.XLOOKUP($A239,Master_Data!$C:$C,Master_Data!$L:$L,"CHECK",0),"")</f>
        <v>47.559805026533567</v>
      </c>
      <c r="V239">
        <f>_xlfn.XLOOKUP($A239,Master_Data!$C:$C,Master_Data!$M:$M,"CHECK",0)</f>
        <v>16931</v>
      </c>
      <c r="W239">
        <f>IFERROR(_xlfn.XLOOKUP($A239,Master_Data!$C:$C,Master_Data!$N:$N,"CHECK",0),"")</f>
        <v>4.8803899469328575</v>
      </c>
      <c r="X239" t="str">
        <f>IFERROR(_xlfn.XLOOKUP($A239,Master_Data!$C:$C,Master_Data!$O:$O,"CHECK",0),"No Result")</f>
        <v>Highly Competitive</v>
      </c>
      <c r="Y239">
        <f>_xlfn.XLOOKUP($A239,Master_Data!$C:$C,Master_Data!$P:$P,"CHECK",0)</f>
        <v>0</v>
      </c>
      <c r="Z239">
        <f t="shared" si="7"/>
        <v>1</v>
      </c>
      <c r="AA239">
        <f>_xlfn.XLOOKUP(B239,Remittance_Data!A:A,Remittance_Data!B:B,"CHECK")</f>
        <v>36218</v>
      </c>
      <c r="AB239">
        <f>_xlfn.XLOOKUP(B239,Remittance_Data!A:A,Remittance_Data!C:C,"CHECK")</f>
        <v>29860</v>
      </c>
      <c r="AC239">
        <f>_xlfn.XLOOKUP(B239,Remittance_Data!A:A,Remittance_Data!D:D,"CHECK")</f>
        <v>6358</v>
      </c>
    </row>
    <row r="240" spans="1:29">
      <c r="A240" t="str">
        <v>Panchagarh-1</v>
      </c>
      <c r="B240" t="str" cm="1">
        <f t="array" ref="B24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Nawabganj","Chapainawabganj"),Final_Merged_Data!$B$2:$B$1000=$A240)))</f>
        <v>Panchagarh</v>
      </c>
      <c r="C240" t="str" cm="1">
        <f t="array" ref="C240">_xlfn.TEXTJOIN(", ",TRUE,_xlfn._xlws.FILTER(Final_Merged_Data!$C$2:$C$1000,Final_Merged_Data!$B$2:$B$1000=$A240))</f>
        <v>Panchagarh Sadar, Tetulia, Atwari</v>
      </c>
      <c r="D240" cm="1">
        <f t="array" ref="D240">COUNTA(_xlfn._xlws.FILTER(Final_Merged_Data!$C$2:$C$1000,Final_Merged_Data!$B$2:$B$1000=$A240))</f>
        <v>3</v>
      </c>
      <c r="E240">
        <f>SUMIFS(Final_Merged_Data!$E:$E,Final_Merged_Data!$B:$B,$A240)</f>
        <v>779.43000000000006</v>
      </c>
      <c r="F240">
        <f>SUMIFS(Final_Merged_Data!$F:$F,Final_Merged_Data!$B:$B,$A240)</f>
        <v>637076</v>
      </c>
      <c r="G240">
        <f t="shared" si="6"/>
        <v>817.36140512938937</v>
      </c>
      <c r="H240" cm="1">
        <f t="array" ref="H240">SUMPRODUCT((Final_Merged_Data!$B$2:$B$1000=$A240)*Final_Merged_Data!$H$2:$H$1000*Final_Merged_Data!$F$2:$F$1000)/F240</f>
        <v>4.2079039863375804</v>
      </c>
      <c r="I240" cm="1">
        <f t="array" ref="I240">SUMPRODUCT((Final_Merged_Data!$B$2:$B$1000=$A240)*Final_Merged_Data!$I$2:$I$1000*Final_Merged_Data!$F$2:$F$1000)/F240</f>
        <v>74.76537125868812</v>
      </c>
      <c r="J240" t="str" cm="1">
        <f t="array" ref="J240">_xlfn.TEXTJOIN(", ",TRUE,_xlfn.UNIQUE(_xlfn._xlws.FILTER(Final_Merged_Data!$J$2:$J$1000,Final_Merged_Data!$B$2:$B$1000=$A240)))</f>
        <v>Rangpur Range</v>
      </c>
      <c r="K240" cm="1">
        <f t="array" ref="K240">SUMPRODUCT((Final_Merged_Data!$B$2:$B$1000=$A240)*Final_Merged_Data!$K$2:$K$1000*Final_Merged_Data!$F$2:$F$1000)/F240</f>
        <v>101.90869513385242</v>
      </c>
      <c r="L240" cm="1">
        <f t="array" ref="L240">SUMPRODUCT((Final_Merged_Data!$B$2:$B$1000=$A240)*Final_Merged_Data!$L$2:$L$1000*Final_Merged_Data!$F$2:$F$1000)/F240</f>
        <v>15.175373179583831</v>
      </c>
      <c r="M240" t="str">
        <f>IF(COUNTIF(Master_Data!$C:$C,$A240)&gt;0,"Found","Missing")</f>
        <v>Found</v>
      </c>
      <c r="N240" t="str">
        <f>_xlfn.XLOOKUP($A240,Master_Data!$C:$C,Master_Data!$D:$D,"CHECK",0)</f>
        <v>Muhammad Nawshad Zamir</v>
      </c>
      <c r="O240" t="str">
        <f>_xlfn.XLOOKUP($A240,Master_Data!$C:$C,Master_Data!$E:$E,"CHECK",0)</f>
        <v>BNP</v>
      </c>
      <c r="P240">
        <f>_xlfn.XLOOKUP($A240,Master_Data!$C:$C,Master_Data!$F:$F,"CHECK",0)</f>
        <v>1</v>
      </c>
      <c r="Q240">
        <f>_xlfn.XLOOKUP($A240,Master_Data!$C:$C,Master_Data!$G:$G,"CHECK",0)</f>
        <v>176169</v>
      </c>
      <c r="R240">
        <f>IFERROR(_xlfn.XLOOKUP($A240,Master_Data!$C:$C,Master_Data!$H:$H,"CHECK",0),"")</f>
        <v>51.179485093748731</v>
      </c>
      <c r="S240" t="str">
        <f>_xlfn.XLOOKUP($A240,Master_Data!$C:$C,Master_Data!$I:$I,"CHECK",0)</f>
        <v>Sarjis Alam</v>
      </c>
      <c r="T240">
        <f>_xlfn.XLOOKUP($A240,Master_Data!$C:$C,Master_Data!$K:$K,"CHECK",0)</f>
        <v>168049</v>
      </c>
      <c r="U240">
        <f>IFERROR(_xlfn.XLOOKUP($A240,Master_Data!$C:$C,Master_Data!$L:$L,"CHECK",0),"")</f>
        <v>48.820514906251269</v>
      </c>
      <c r="V240">
        <f>_xlfn.XLOOKUP($A240,Master_Data!$C:$C,Master_Data!$M:$M,"CHECK",0)</f>
        <v>8120</v>
      </c>
      <c r="W240">
        <f>IFERROR(_xlfn.XLOOKUP($A240,Master_Data!$C:$C,Master_Data!$N:$N,"CHECK",0),"")</f>
        <v>2.3589701874974578</v>
      </c>
      <c r="X240" t="str">
        <f>IFERROR(_xlfn.XLOOKUP($A240,Master_Data!$C:$C,Master_Data!$O:$O,"CHECK",0),"No Result")</f>
        <v>Highly Competitive</v>
      </c>
      <c r="Y240">
        <f>_xlfn.XLOOKUP($A240,Master_Data!$C:$C,Master_Data!$P:$P,"CHECK",0)</f>
        <v>0</v>
      </c>
      <c r="Z240">
        <f t="shared" si="7"/>
        <v>1</v>
      </c>
      <c r="AA240">
        <f>_xlfn.XLOOKUP(B240,Remittance_Data!A:A,Remittance_Data!B:B,"CHECK")</f>
        <v>2017</v>
      </c>
      <c r="AB240">
        <f>_xlfn.XLOOKUP(B240,Remittance_Data!A:A,Remittance_Data!C:C,"CHECK")</f>
        <v>1543</v>
      </c>
      <c r="AC240">
        <f>_xlfn.XLOOKUP(B240,Remittance_Data!A:A,Remittance_Data!D:D,"CHECK")</f>
        <v>474</v>
      </c>
    </row>
    <row r="241" spans="1:29">
      <c r="A241" t="str">
        <v>Panchagarh-2</v>
      </c>
      <c r="B241" t="str" cm="1">
        <f t="array" ref="B24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Nawabganj","Chapainawabganj"),Final_Merged_Data!$B$2:$B$1000=$A241)))</f>
        <v>Panchagarh</v>
      </c>
      <c r="C241" t="str" cm="1">
        <f t="array" ref="C241">_xlfn.TEXTJOIN(", ",TRUE,_xlfn._xlws.FILTER(Final_Merged_Data!$C$2:$C$1000,Final_Merged_Data!$B$2:$B$1000=$A241))</f>
        <v>Boda, Debiganj</v>
      </c>
      <c r="D241" cm="1">
        <f t="array" ref="D241">COUNTA(_xlfn._xlws.FILTER(Final_Merged_Data!$C$2:$C$1000,Final_Merged_Data!$B$2:$B$1000=$A241))</f>
        <v>2</v>
      </c>
      <c r="E241">
        <f>SUMIFS(Final_Merged_Data!$E:$E,Final_Merged_Data!$B:$B,$A241)</f>
        <v>548.80999999999995</v>
      </c>
      <c r="F241">
        <f>SUMIFS(Final_Merged_Data!$F:$F,Final_Merged_Data!$B:$B,$A241)</f>
        <v>542731</v>
      </c>
      <c r="G241">
        <f t="shared" si="6"/>
        <v>988.92330679105714</v>
      </c>
      <c r="H241" cm="1">
        <f t="array" ref="H241">SUMPRODUCT((Final_Merged_Data!$B$2:$B$1000=$A241)*Final_Merged_Data!$H$2:$H$1000*Final_Merged_Data!$F$2:$F$1000)/F241</f>
        <v>4.0746394622750497</v>
      </c>
      <c r="I241" cm="1">
        <f t="array" ref="I241">SUMPRODUCT((Final_Merged_Data!$B$2:$B$1000=$A241)*Final_Merged_Data!$I$2:$I$1000*Final_Merged_Data!$F$2:$F$1000)/F241</f>
        <v>72.373964284332402</v>
      </c>
      <c r="J241" t="str" cm="1">
        <f t="array" ref="J241">_xlfn.TEXTJOIN(", ",TRUE,_xlfn.UNIQUE(_xlfn._xlws.FILTER(Final_Merged_Data!$J$2:$J$1000,Final_Merged_Data!$B$2:$B$1000=$A241)))</f>
        <v>Rangpur Range</v>
      </c>
      <c r="K241" cm="1">
        <f t="array" ref="K241">SUMPRODUCT((Final_Merged_Data!$B$2:$B$1000=$A241)*Final_Merged_Data!$K$2:$K$1000*Final_Merged_Data!$F$2:$F$1000)/F241</f>
        <v>101.90869513385242</v>
      </c>
      <c r="L241" cm="1">
        <f t="array" ref="L241">SUMPRODUCT((Final_Merged_Data!$B$2:$B$1000=$A241)*Final_Merged_Data!$L$2:$L$1000*Final_Merged_Data!$F$2:$F$1000)/F241</f>
        <v>15.175373179583827</v>
      </c>
      <c r="M241" t="str">
        <f>IF(COUNTIF(Master_Data!$C:$C,$A241)&gt;0,"Found","Missing")</f>
        <v>Found</v>
      </c>
      <c r="N241" t="str">
        <f>_xlfn.XLOOKUP($A241,Master_Data!$C:$C,Master_Data!$D:$D,"CHECK",0)</f>
        <v>Farhad Hossain Azad</v>
      </c>
      <c r="O241" t="str">
        <f>_xlfn.XLOOKUP($A241,Master_Data!$C:$C,Master_Data!$E:$E,"CHECK",0)</f>
        <v>BNP</v>
      </c>
      <c r="P241">
        <f>_xlfn.XLOOKUP($A241,Master_Data!$C:$C,Master_Data!$F:$F,"CHECK",0)</f>
        <v>1</v>
      </c>
      <c r="Q241">
        <f>_xlfn.XLOOKUP($A241,Master_Data!$C:$C,Master_Data!$G:$G,"CHECK",0)</f>
        <v>174650</v>
      </c>
      <c r="R241">
        <f>IFERROR(_xlfn.XLOOKUP($A241,Master_Data!$C:$C,Master_Data!$H:$H,"CHECK",0),"")</f>
        <v>57.543029600147612</v>
      </c>
      <c r="S241" t="str">
        <f>_xlfn.XLOOKUP($A241,Master_Data!$C:$C,Master_Data!$I:$I,"CHECK",0)</f>
        <v>Md. Shafiul Alam</v>
      </c>
      <c r="T241">
        <f>_xlfn.XLOOKUP($A241,Master_Data!$C:$C,Master_Data!$K:$K,"CHECK",0)</f>
        <v>128862</v>
      </c>
      <c r="U241">
        <f>IFERROR(_xlfn.XLOOKUP($A241,Master_Data!$C:$C,Master_Data!$L:$L,"CHECK",0),"")</f>
        <v>42.456970399852395</v>
      </c>
      <c r="V241">
        <f>_xlfn.XLOOKUP($A241,Master_Data!$C:$C,Master_Data!$M:$M,"CHECK",0)</f>
        <v>45788</v>
      </c>
      <c r="W241">
        <f>IFERROR(_xlfn.XLOOKUP($A241,Master_Data!$C:$C,Master_Data!$N:$N,"CHECK",0),"")</f>
        <v>15.08605920029521</v>
      </c>
      <c r="X241" t="str">
        <f>IFERROR(_xlfn.XLOOKUP($A241,Master_Data!$C:$C,Master_Data!$O:$O,"CHECK",0),"No Result")</f>
        <v>Safe Seat</v>
      </c>
      <c r="Y241">
        <f>_xlfn.XLOOKUP($A241,Master_Data!$C:$C,Master_Data!$P:$P,"CHECK",0)</f>
        <v>0</v>
      </c>
      <c r="Z241">
        <f t="shared" si="7"/>
        <v>1</v>
      </c>
      <c r="AA241">
        <f>_xlfn.XLOOKUP(B241,Remittance_Data!A:A,Remittance_Data!B:B,"CHECK")</f>
        <v>2017</v>
      </c>
      <c r="AB241">
        <f>_xlfn.XLOOKUP(B241,Remittance_Data!A:A,Remittance_Data!C:C,"CHECK")</f>
        <v>1543</v>
      </c>
      <c r="AC241">
        <f>_xlfn.XLOOKUP(B241,Remittance_Data!A:A,Remittance_Data!D:D,"CHECK")</f>
        <v>474</v>
      </c>
    </row>
    <row r="242" spans="1:29">
      <c r="A242" t="str">
        <v>Patuakhali-1</v>
      </c>
      <c r="B242" t="str" cm="1">
        <f t="array" ref="B24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Nawabganj","Chapainawabganj"),Final_Merged_Data!$B$2:$B$1000=$A242)))</f>
        <v>Patuakhali</v>
      </c>
      <c r="C242" t="str" cm="1">
        <f t="array" ref="C242">_xlfn.TEXTJOIN(", ",TRUE,_xlfn._xlws.FILTER(Final_Merged_Data!$C$2:$C$1000,Final_Merged_Data!$B$2:$B$1000=$A242))</f>
        <v>Patuakhali Sadar, Dumki</v>
      </c>
      <c r="D242" cm="1">
        <f t="array" ref="D242">COUNTA(_xlfn._xlws.FILTER(Final_Merged_Data!$C$2:$C$1000,Final_Merged_Data!$B$2:$B$1000=$A242))</f>
        <v>2</v>
      </c>
      <c r="E242">
        <f>SUMIFS(Final_Merged_Data!$E:$E,Final_Merged_Data!$B:$B,$A242)</f>
        <v>603.54</v>
      </c>
      <c r="F242">
        <f>SUMIFS(Final_Merged_Data!$F:$F,Final_Merged_Data!$B:$B,$A242)</f>
        <v>436637</v>
      </c>
      <c r="G242">
        <f t="shared" si="6"/>
        <v>723.45991980647523</v>
      </c>
      <c r="H242" cm="1">
        <f t="array" ref="H242">SUMPRODUCT((Final_Merged_Data!$B$2:$B$1000=$A242)*Final_Merged_Data!$H$2:$H$1000*Final_Merged_Data!$F$2:$F$1000)/F242</f>
        <v>4.085622771318052</v>
      </c>
      <c r="I242" cm="1">
        <f t="array" ref="I242">SUMPRODUCT((Final_Merged_Data!$B$2:$B$1000=$A242)*Final_Merged_Data!$I$2:$I$1000*Final_Merged_Data!$F$2:$F$1000)/F242</f>
        <v>79.784863307507152</v>
      </c>
      <c r="J242" t="str" cm="1">
        <f t="array" ref="J242">_xlfn.TEXTJOIN(", ",TRUE,_xlfn.UNIQUE(_xlfn._xlws.FILTER(Final_Merged_Data!$J$2:$J$1000,Final_Merged_Data!$B$2:$B$1000=$A242)))</f>
        <v>Barishal Range</v>
      </c>
      <c r="K242" cm="1">
        <f t="array" ref="K242">SUMPRODUCT((Final_Merged_Data!$B$2:$B$1000=$A242)*Final_Merged_Data!$K$2:$K$1000*Final_Merged_Data!$F$2:$F$1000)/F242</f>
        <v>112.01964836613054</v>
      </c>
      <c r="L242" cm="1">
        <f t="array" ref="L242">SUMPRODUCT((Final_Merged_Data!$B$2:$B$1000=$A242)*Final_Merged_Data!$L$2:$L$1000*Final_Merged_Data!$F$2:$F$1000)/F242</f>
        <v>22.37167391269287</v>
      </c>
      <c r="M242" t="str">
        <f>IF(COUNTIF(Master_Data!$C:$C,$A242)&gt;0,"Found","Missing")</f>
        <v>Found</v>
      </c>
      <c r="N242" t="str">
        <f>_xlfn.XLOOKUP($A242,Master_Data!$C:$C,Master_Data!$D:$D,"CHECK",0)</f>
        <v>Altaf Hossain Chowdhury</v>
      </c>
      <c r="O242" t="str">
        <f>_xlfn.XLOOKUP($A242,Master_Data!$C:$C,Master_Data!$E:$E,"CHECK",0)</f>
        <v>BNP</v>
      </c>
      <c r="P242">
        <f>_xlfn.XLOOKUP($A242,Master_Data!$C:$C,Master_Data!$F:$F,"CHECK",0)</f>
        <v>1</v>
      </c>
      <c r="Q242">
        <f>_xlfn.XLOOKUP($A242,Master_Data!$C:$C,Master_Data!$G:$G,"CHECK",0)</f>
        <v>152087</v>
      </c>
      <c r="R242">
        <f>IFERROR(_xlfn.XLOOKUP($A242,Master_Data!$C:$C,Master_Data!$H:$H,"CHECK",0),"")</f>
        <v>72.336954453787911</v>
      </c>
      <c r="S242" t="str">
        <f>_xlfn.XLOOKUP($A242,Master_Data!$C:$C,Master_Data!$I:$I,"CHECK",0)</f>
        <v>Md Feroze Alam</v>
      </c>
      <c r="T242">
        <f>_xlfn.XLOOKUP($A242,Master_Data!$C:$C,Master_Data!$K:$K,"CHECK",0)</f>
        <v>58161</v>
      </c>
      <c r="U242">
        <f>IFERROR(_xlfn.XLOOKUP($A242,Master_Data!$C:$C,Master_Data!$L:$L,"CHECK",0),"")</f>
        <v>27.663045546212096</v>
      </c>
      <c r="V242">
        <f>_xlfn.XLOOKUP($A242,Master_Data!$C:$C,Master_Data!$M:$M,"CHECK",0)</f>
        <v>93926</v>
      </c>
      <c r="W242">
        <f>IFERROR(_xlfn.XLOOKUP($A242,Master_Data!$C:$C,Master_Data!$N:$N,"CHECK",0),"")</f>
        <v>44.673908907575814</v>
      </c>
      <c r="X242" t="str">
        <f>IFERROR(_xlfn.XLOOKUP($A242,Master_Data!$C:$C,Master_Data!$O:$O,"CHECK",0),"No Result")</f>
        <v>Safe Seat</v>
      </c>
      <c r="Y242">
        <f>_xlfn.XLOOKUP($A242,Master_Data!$C:$C,Master_Data!$P:$P,"CHECK",0)</f>
        <v>0</v>
      </c>
      <c r="Z242">
        <f t="shared" si="7"/>
        <v>1</v>
      </c>
      <c r="AA242">
        <f>_xlfn.XLOOKUP(B242,Remittance_Data!A:A,Remittance_Data!B:B,"CHECK")</f>
        <v>9027</v>
      </c>
      <c r="AB242">
        <f>_xlfn.XLOOKUP(B242,Remittance_Data!A:A,Remittance_Data!C:C,"CHECK")</f>
        <v>7139</v>
      </c>
      <c r="AC242">
        <f>_xlfn.XLOOKUP(B242,Remittance_Data!A:A,Remittance_Data!D:D,"CHECK")</f>
        <v>1888</v>
      </c>
    </row>
    <row r="243" spans="1:29">
      <c r="A243" t="str">
        <v>Patuakhali-2</v>
      </c>
      <c r="B243" t="str" cm="1">
        <f t="array" ref="B24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Nawabganj","Chapainawabganj"),Final_Merged_Data!$B$2:$B$1000=$A243)))</f>
        <v>Patuakhali</v>
      </c>
      <c r="C243" t="str" cm="1">
        <f t="array" ref="C243">_xlfn.TEXTJOIN(", ",TRUE,_xlfn._xlws.FILTER(Final_Merged_Data!$C$2:$C$1000,Final_Merged_Data!$B$2:$B$1000=$A243))</f>
        <v>Bauphal</v>
      </c>
      <c r="D243" cm="1">
        <f t="array" ref="D243">COUNTA(_xlfn._xlws.FILTER(Final_Merged_Data!$C$2:$C$1000,Final_Merged_Data!$B$2:$B$1000=$A243))</f>
        <v>1</v>
      </c>
      <c r="E243">
        <f>SUMIFS(Final_Merged_Data!$E:$E,Final_Merged_Data!$B:$B,$A243)</f>
        <v>353.7</v>
      </c>
      <c r="F243">
        <f>SUMIFS(Final_Merged_Data!$F:$F,Final_Merged_Data!$B:$B,$A243)</f>
        <v>327491</v>
      </c>
      <c r="G243">
        <f t="shared" si="6"/>
        <v>925.90048063330505</v>
      </c>
      <c r="H243" cm="1">
        <f t="array" ref="H243">SUMPRODUCT((Final_Merged_Data!$B$2:$B$1000=$A243)*Final_Merged_Data!$H$2:$H$1000*Final_Merged_Data!$F$2:$F$1000)/F243</f>
        <v>4.04</v>
      </c>
      <c r="I243" cm="1">
        <f t="array" ref="I243">SUMPRODUCT((Final_Merged_Data!$B$2:$B$1000=$A243)*Final_Merged_Data!$I$2:$I$1000*Final_Merged_Data!$F$2:$F$1000)/F243</f>
        <v>76.209999999999994</v>
      </c>
      <c r="J243" t="str" cm="1">
        <f t="array" ref="J243">_xlfn.TEXTJOIN(", ",TRUE,_xlfn.UNIQUE(_xlfn._xlws.FILTER(Final_Merged_Data!$J$2:$J$1000,Final_Merged_Data!$B$2:$B$1000=$A243)))</f>
        <v>Barishal Range</v>
      </c>
      <c r="K243" cm="1">
        <f t="array" ref="K243">SUMPRODUCT((Final_Merged_Data!$B$2:$B$1000=$A243)*Final_Merged_Data!$K$2:$K$1000*Final_Merged_Data!$F$2:$F$1000)/F243</f>
        <v>112.01964836613055</v>
      </c>
      <c r="L243" cm="1">
        <f t="array" ref="L243">SUMPRODUCT((Final_Merged_Data!$B$2:$B$1000=$A243)*Final_Merged_Data!$L$2:$L$1000*Final_Merged_Data!$F$2:$F$1000)/F243</f>
        <v>22.37167391269287</v>
      </c>
      <c r="M243" t="str">
        <f>IF(COUNTIF(Master_Data!$C:$C,$A243)&gt;0,"Found","Missing")</f>
        <v>Found</v>
      </c>
      <c r="N243" t="str">
        <f>_xlfn.XLOOKUP($A243,Master_Data!$C:$C,Master_Data!$D:$D,"CHECK",0)</f>
        <v>Shafiqul Islam Masud</v>
      </c>
      <c r="O243" t="str">
        <f>_xlfn.XLOOKUP($A243,Master_Data!$C:$C,Master_Data!$E:$E,"CHECK",0)</f>
        <v>Jamaat</v>
      </c>
      <c r="P243">
        <f>_xlfn.XLOOKUP($A243,Master_Data!$C:$C,Master_Data!$F:$F,"CHECK",0)</f>
        <v>2</v>
      </c>
      <c r="Q243">
        <f>_xlfn.XLOOKUP($A243,Master_Data!$C:$C,Master_Data!$G:$G,"CHECK",0)</f>
        <v>100750</v>
      </c>
      <c r="R243">
        <f>IFERROR(_xlfn.XLOOKUP($A243,Master_Data!$C:$C,Master_Data!$H:$H,"CHECK",0),"")</f>
        <v>58.093942084808504</v>
      </c>
      <c r="S243" t="str">
        <f>_xlfn.XLOOKUP($A243,Master_Data!$C:$C,Master_Data!$I:$I,"CHECK",0)</f>
        <v>Md. Shahidul Alam Talukder</v>
      </c>
      <c r="T243">
        <f>_xlfn.XLOOKUP($A243,Master_Data!$C:$C,Master_Data!$K:$K,"CHECK",0)</f>
        <v>72676</v>
      </c>
      <c r="U243">
        <f>IFERROR(_xlfn.XLOOKUP($A243,Master_Data!$C:$C,Master_Data!$L:$L,"CHECK",0),"")</f>
        <v>41.906057915191489</v>
      </c>
      <c r="V243">
        <f>_xlfn.XLOOKUP($A243,Master_Data!$C:$C,Master_Data!$M:$M,"CHECK",0)</f>
        <v>28074</v>
      </c>
      <c r="W243">
        <f>IFERROR(_xlfn.XLOOKUP($A243,Master_Data!$C:$C,Master_Data!$N:$N,"CHECK",0),"")</f>
        <v>16.187884169617011</v>
      </c>
      <c r="X243" t="str">
        <f>IFERROR(_xlfn.XLOOKUP($A243,Master_Data!$C:$C,Master_Data!$O:$O,"CHECK",0),"No Result")</f>
        <v>Safe Seat</v>
      </c>
      <c r="Y243">
        <f>_xlfn.XLOOKUP($A243,Master_Data!$C:$C,Master_Data!$P:$P,"CHECK",0)</f>
        <v>0</v>
      </c>
      <c r="Z243">
        <f t="shared" si="7"/>
        <v>1</v>
      </c>
      <c r="AA243">
        <f>_xlfn.XLOOKUP(B243,Remittance_Data!A:A,Remittance_Data!B:B,"CHECK")</f>
        <v>9027</v>
      </c>
      <c r="AB243">
        <f>_xlfn.XLOOKUP(B243,Remittance_Data!A:A,Remittance_Data!C:C,"CHECK")</f>
        <v>7139</v>
      </c>
      <c r="AC243">
        <f>_xlfn.XLOOKUP(B243,Remittance_Data!A:A,Remittance_Data!D:D,"CHECK")</f>
        <v>1888</v>
      </c>
    </row>
    <row r="244" spans="1:29">
      <c r="A244" t="str">
        <v>Patuakhali-3</v>
      </c>
      <c r="B244" t="str" cm="1">
        <f t="array" ref="B24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Nawabganj","Chapainawabganj"),Final_Merged_Data!$B$2:$B$1000=$A244)))</f>
        <v>Patuakhali</v>
      </c>
      <c r="C244" t="str" cm="1">
        <f t="array" ref="C244">_xlfn.TEXTJOIN(", ",TRUE,_xlfn._xlws.FILTER(Final_Merged_Data!$C$2:$C$1000,Final_Merged_Data!$B$2:$B$1000=$A244))</f>
        <v>Galachipa, Dashmina</v>
      </c>
      <c r="D244" cm="1">
        <f t="array" ref="D244">COUNTA(_xlfn._xlws.FILTER(Final_Merged_Data!$C$2:$C$1000,Final_Merged_Data!$B$2:$B$1000=$A244))</f>
        <v>2</v>
      </c>
      <c r="E244">
        <f>SUMIFS(Final_Merged_Data!$E:$E,Final_Merged_Data!$B:$B,$A244)</f>
        <v>894.85</v>
      </c>
      <c r="F244">
        <f>SUMIFS(Final_Merged_Data!$F:$F,Final_Merged_Data!$B:$B,$A244)</f>
        <v>430617</v>
      </c>
      <c r="G244">
        <f t="shared" si="6"/>
        <v>481.21696373693914</v>
      </c>
      <c r="H244" cm="1">
        <f t="array" ref="H244">SUMPRODUCT((Final_Merged_Data!$B$2:$B$1000=$A244)*Final_Merged_Data!$H$2:$H$1000*Final_Merged_Data!$F$2:$F$1000)/F244</f>
        <v>3.947887147976044</v>
      </c>
      <c r="I244" cm="1">
        <f t="array" ref="I244">SUMPRODUCT((Final_Merged_Data!$B$2:$B$1000=$A244)*Final_Merged_Data!$I$2:$I$1000*Final_Merged_Data!$F$2:$F$1000)/F244</f>
        <v>72.560125447903829</v>
      </c>
      <c r="J244" t="str" cm="1">
        <f t="array" ref="J244">_xlfn.TEXTJOIN(", ",TRUE,_xlfn.UNIQUE(_xlfn._xlws.FILTER(Final_Merged_Data!$J$2:$J$1000,Final_Merged_Data!$B$2:$B$1000=$A244)))</f>
        <v>Barishal Range</v>
      </c>
      <c r="K244" cm="1">
        <f t="array" ref="K244">SUMPRODUCT((Final_Merged_Data!$B$2:$B$1000=$A244)*Final_Merged_Data!$K$2:$K$1000*Final_Merged_Data!$F$2:$F$1000)/F244</f>
        <v>112.01964836613053</v>
      </c>
      <c r="L244" cm="1">
        <f t="array" ref="L244">SUMPRODUCT((Final_Merged_Data!$B$2:$B$1000=$A244)*Final_Merged_Data!$L$2:$L$1000*Final_Merged_Data!$F$2:$F$1000)/F244</f>
        <v>22.37167391269287</v>
      </c>
      <c r="M244" t="str">
        <f>IF(COUNTIF(Master_Data!$C:$C,$A244)&gt;0,"Found","Missing")</f>
        <v>Found</v>
      </c>
      <c r="N244" t="str">
        <f>_xlfn.XLOOKUP($A244,Master_Data!$C:$C,Master_Data!$D:$D,"CHECK",0)</f>
        <v>Nurul Haque Nur</v>
      </c>
      <c r="O244" t="str">
        <f>_xlfn.XLOOKUP($A244,Master_Data!$C:$C,Master_Data!$E:$E,"CHECK",0)</f>
        <v>GOP</v>
      </c>
      <c r="P244">
        <f>_xlfn.XLOOKUP($A244,Master_Data!$C:$C,Master_Data!$F:$F,"CHECK",0)</f>
        <v>0</v>
      </c>
      <c r="Q244">
        <f>_xlfn.XLOOKUP($A244,Master_Data!$C:$C,Master_Data!$G:$G,"CHECK",0)</f>
        <v>97323</v>
      </c>
      <c r="R244">
        <f>IFERROR(_xlfn.XLOOKUP($A244,Master_Data!$C:$C,Master_Data!$H:$H,"CHECK",0),"")</f>
        <v>54.466544290479277</v>
      </c>
      <c r="S244" t="str">
        <f>_xlfn.XLOOKUP($A244,Master_Data!$C:$C,Master_Data!$I:$I,"CHECK",0)</f>
        <v>Md Hasan Mamun</v>
      </c>
      <c r="T244">
        <f>_xlfn.XLOOKUP($A244,Master_Data!$C:$C,Master_Data!$K:$K,"CHECK",0)</f>
        <v>81361</v>
      </c>
      <c r="U244">
        <f>IFERROR(_xlfn.XLOOKUP($A244,Master_Data!$C:$C,Master_Data!$L:$L,"CHECK",0),"")</f>
        <v>45.533455709520723</v>
      </c>
      <c r="V244">
        <f>_xlfn.XLOOKUP($A244,Master_Data!$C:$C,Master_Data!$M:$M,"CHECK",0)</f>
        <v>15962</v>
      </c>
      <c r="W244">
        <f>IFERROR(_xlfn.XLOOKUP($A244,Master_Data!$C:$C,Master_Data!$N:$N,"CHECK",0),"")</f>
        <v>8.9330885809585627</v>
      </c>
      <c r="X244" t="str">
        <f>IFERROR(_xlfn.XLOOKUP($A244,Master_Data!$C:$C,Master_Data!$O:$O,"CHECK",0),"No Result")</f>
        <v>Safe Seat</v>
      </c>
      <c r="Y244">
        <f>_xlfn.XLOOKUP($A244,Master_Data!$C:$C,Master_Data!$P:$P,"CHECK",0)</f>
        <v>0</v>
      </c>
      <c r="Z244">
        <f t="shared" si="7"/>
        <v>1</v>
      </c>
      <c r="AA244">
        <f>_xlfn.XLOOKUP(B244,Remittance_Data!A:A,Remittance_Data!B:B,"CHECK")</f>
        <v>9027</v>
      </c>
      <c r="AB244">
        <f>_xlfn.XLOOKUP(B244,Remittance_Data!A:A,Remittance_Data!C:C,"CHECK")</f>
        <v>7139</v>
      </c>
      <c r="AC244">
        <f>_xlfn.XLOOKUP(B244,Remittance_Data!A:A,Remittance_Data!D:D,"CHECK")</f>
        <v>1888</v>
      </c>
    </row>
    <row r="245" spans="1:29">
      <c r="A245" t="str">
        <v>Patuakhali-4</v>
      </c>
      <c r="B245" t="str" cm="1">
        <f t="array" ref="B24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Nawabganj","Chapainawabganj"),Final_Merged_Data!$B$2:$B$1000=$A245)))</f>
        <v>Patuakhali</v>
      </c>
      <c r="C245" t="str" cm="1">
        <f t="array" ref="C245">_xlfn.TEXTJOIN(", ",TRUE,_xlfn._xlws.FILTER(Final_Merged_Data!$C$2:$C$1000,Final_Merged_Data!$B$2:$B$1000=$A245))</f>
        <v>Kalapara, Rangabali</v>
      </c>
      <c r="D245" cm="1">
        <f t="array" ref="D245">COUNTA(_xlfn._xlws.FILTER(Final_Merged_Data!$C$2:$C$1000,Final_Merged_Data!$B$2:$B$1000=$A245))</f>
        <v>2</v>
      </c>
      <c r="E245">
        <f>SUMIFS(Final_Merged_Data!$E:$E,Final_Merged_Data!$B:$B,$A245)</f>
        <v>703.07</v>
      </c>
      <c r="F245">
        <f>SUMIFS(Final_Merged_Data!$F:$F,Final_Merged_Data!$B:$B,$A245)</f>
        <v>405363</v>
      </c>
      <c r="G245">
        <f t="shared" si="6"/>
        <v>576.56136657800789</v>
      </c>
      <c r="H245" cm="1">
        <f t="array" ref="H245">SUMPRODUCT((Final_Merged_Data!$B$2:$B$1000=$A245)*Final_Merged_Data!$H$2:$H$1000*Final_Merged_Data!$F$2:$F$1000)/F245</f>
        <v>4.0467235539504101</v>
      </c>
      <c r="I245" cm="1">
        <f t="array" ref="I245">SUMPRODUCT((Final_Merged_Data!$B$2:$B$1000=$A245)*Final_Merged_Data!$I$2:$I$1000*Final_Merged_Data!$F$2:$F$1000)/F245</f>
        <v>77.214820543562183</v>
      </c>
      <c r="J245" t="str" cm="1">
        <f t="array" ref="J245">_xlfn.TEXTJOIN(", ",TRUE,_xlfn.UNIQUE(_xlfn._xlws.FILTER(Final_Merged_Data!$J$2:$J$1000,Final_Merged_Data!$B$2:$B$1000=$A245)))</f>
        <v>Barishal Range</v>
      </c>
      <c r="K245" cm="1">
        <f t="array" ref="K245">SUMPRODUCT((Final_Merged_Data!$B$2:$B$1000=$A245)*Final_Merged_Data!$K$2:$K$1000*Final_Merged_Data!$F$2:$F$1000)/F245</f>
        <v>112.01964836613054</v>
      </c>
      <c r="L245" cm="1">
        <f t="array" ref="L245">SUMPRODUCT((Final_Merged_Data!$B$2:$B$1000=$A245)*Final_Merged_Data!$L$2:$L$1000*Final_Merged_Data!$F$2:$F$1000)/F245</f>
        <v>22.37167391269287</v>
      </c>
      <c r="M245" t="str">
        <f>IF(COUNTIF(Master_Data!$C:$C,$A245)&gt;0,"Found","Missing")</f>
        <v>Found</v>
      </c>
      <c r="N245" t="str">
        <f>_xlfn.XLOOKUP($A245,Master_Data!$C:$C,Master_Data!$D:$D,"CHECK",0)</f>
        <v>ABM Mosharraf Hossain</v>
      </c>
      <c r="O245" t="str">
        <f>_xlfn.XLOOKUP($A245,Master_Data!$C:$C,Master_Data!$E:$E,"CHECK",0)</f>
        <v>BNP</v>
      </c>
      <c r="P245">
        <f>_xlfn.XLOOKUP($A245,Master_Data!$C:$C,Master_Data!$F:$F,"CHECK",0)</f>
        <v>1</v>
      </c>
      <c r="Q245">
        <f>_xlfn.XLOOKUP($A245,Master_Data!$C:$C,Master_Data!$G:$G,"CHECK",0)</f>
        <v>124013</v>
      </c>
      <c r="R245">
        <f>IFERROR(_xlfn.XLOOKUP($A245,Master_Data!$C:$C,Master_Data!$H:$H,"CHECK",0),"")</f>
        <v>63.878129185124131</v>
      </c>
      <c r="S245" t="str">
        <f>_xlfn.XLOOKUP($A245,Master_Data!$C:$C,Master_Data!$I:$I,"CHECK",0)</f>
        <v>Mostafizur Rahman</v>
      </c>
      <c r="T245">
        <f>_xlfn.XLOOKUP($A245,Master_Data!$C:$C,Master_Data!$K:$K,"CHECK",0)</f>
        <v>70127</v>
      </c>
      <c r="U245">
        <f>IFERROR(_xlfn.XLOOKUP($A245,Master_Data!$C:$C,Master_Data!$L:$L,"CHECK",0),"")</f>
        <v>36.121870814875862</v>
      </c>
      <c r="V245">
        <f>_xlfn.XLOOKUP($A245,Master_Data!$C:$C,Master_Data!$M:$M,"CHECK",0)</f>
        <v>53886</v>
      </c>
      <c r="W245">
        <f>IFERROR(_xlfn.XLOOKUP($A245,Master_Data!$C:$C,Master_Data!$N:$N,"CHECK",0),"")</f>
        <v>27.756258370248275</v>
      </c>
      <c r="X245" t="str">
        <f>IFERROR(_xlfn.XLOOKUP($A245,Master_Data!$C:$C,Master_Data!$O:$O,"CHECK",0),"No Result")</f>
        <v>Safe Seat</v>
      </c>
      <c r="Y245">
        <f>_xlfn.XLOOKUP($A245,Master_Data!$C:$C,Master_Data!$P:$P,"CHECK",0)</f>
        <v>0</v>
      </c>
      <c r="Z245">
        <f t="shared" si="7"/>
        <v>1</v>
      </c>
      <c r="AA245">
        <f>_xlfn.XLOOKUP(B245,Remittance_Data!A:A,Remittance_Data!B:B,"CHECK")</f>
        <v>9027</v>
      </c>
      <c r="AB245">
        <f>_xlfn.XLOOKUP(B245,Remittance_Data!A:A,Remittance_Data!C:C,"CHECK")</f>
        <v>7139</v>
      </c>
      <c r="AC245">
        <f>_xlfn.XLOOKUP(B245,Remittance_Data!A:A,Remittance_Data!D:D,"CHECK")</f>
        <v>1888</v>
      </c>
    </row>
    <row r="246" spans="1:29">
      <c r="A246" t="str">
        <v>Pirojpur-1</v>
      </c>
      <c r="B246" t="str" cm="1">
        <f t="array" ref="B24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Nawabganj","Chapainawabganj"),Final_Merged_Data!$B$2:$B$1000=$A246)))</f>
        <v>Pirojpur</v>
      </c>
      <c r="C246" t="str" cm="1">
        <f t="array" ref="C246">_xlfn.TEXTJOIN(", ",TRUE,_xlfn._xlws.FILTER(Final_Merged_Data!$C$2:$C$1000,Final_Merged_Data!$B$2:$B$1000=$A246))</f>
        <v>Pirojpur Sadar, Nazirpur, Indurkani</v>
      </c>
      <c r="D246" cm="1">
        <f t="array" ref="D246">COUNTA(_xlfn._xlws.FILTER(Final_Merged_Data!$C$2:$C$1000,Final_Merged_Data!$B$2:$B$1000=$A246))</f>
        <v>3</v>
      </c>
      <c r="E246">
        <f>SUMIFS(Final_Merged_Data!$E:$E,Final_Merged_Data!$B:$B,$A246)</f>
        <v>584.67000000000007</v>
      </c>
      <c r="F246">
        <f>SUMIFS(Final_Merged_Data!$F:$F,Final_Merged_Data!$B:$B,$A246)</f>
        <v>455145</v>
      </c>
      <c r="G246">
        <f t="shared" si="6"/>
        <v>778.46477500128265</v>
      </c>
      <c r="H246" cm="1">
        <f t="array" ref="H246">SUMPRODUCT((Final_Merged_Data!$B$2:$B$1000=$A246)*Final_Merged_Data!$H$2:$H$1000*Final_Merged_Data!$F$2:$F$1000)/F246</f>
        <v>4.0372728690856761</v>
      </c>
      <c r="I246" cm="1">
        <f t="array" ref="I246">SUMPRODUCT((Final_Merged_Data!$B$2:$B$1000=$A246)*Final_Merged_Data!$I$2:$I$1000*Final_Merged_Data!$F$2:$F$1000)/F246</f>
        <v>84.657473574355436</v>
      </c>
      <c r="J246" t="str" cm="1">
        <f t="array" ref="J246">_xlfn.TEXTJOIN(", ",TRUE,_xlfn.UNIQUE(_xlfn._xlws.FILTER(Final_Merged_Data!$J$2:$J$1000,Final_Merged_Data!$B$2:$B$1000=$A246)))</f>
        <v>Barishal Range</v>
      </c>
      <c r="K246" cm="1">
        <f t="array" ref="K246">SUMPRODUCT((Final_Merged_Data!$B$2:$B$1000=$A246)*Final_Merged_Data!$K$2:$K$1000*Final_Merged_Data!$F$2:$F$1000)/F246</f>
        <v>112.01964836613055</v>
      </c>
      <c r="L246" cm="1">
        <f t="array" ref="L246">SUMPRODUCT((Final_Merged_Data!$B$2:$B$1000=$A246)*Final_Merged_Data!$L$2:$L$1000*Final_Merged_Data!$F$2:$F$1000)/F246</f>
        <v>22.37167391269287</v>
      </c>
      <c r="M246" t="str">
        <f>IF(COUNTIF(Master_Data!$C:$C,$A246)&gt;0,"Found","Missing")</f>
        <v>Found</v>
      </c>
      <c r="N246" t="str">
        <f>_xlfn.XLOOKUP($A246,Master_Data!$C:$C,Master_Data!$D:$D,"CHECK",0)</f>
        <v>Masood Sayeedi</v>
      </c>
      <c r="O246" t="str">
        <f>_xlfn.XLOOKUP($A246,Master_Data!$C:$C,Master_Data!$E:$E,"CHECK",0)</f>
        <v>Jamaat</v>
      </c>
      <c r="P246">
        <f>_xlfn.XLOOKUP($A246,Master_Data!$C:$C,Master_Data!$F:$F,"CHECK",0)</f>
        <v>2</v>
      </c>
      <c r="Q246">
        <f>_xlfn.XLOOKUP($A246,Master_Data!$C:$C,Master_Data!$G:$G,"CHECK",0)</f>
        <v>132659</v>
      </c>
      <c r="R246">
        <f>IFERROR(_xlfn.XLOOKUP($A246,Master_Data!$C:$C,Master_Data!$H:$H,"CHECK",0),"")</f>
        <v>55.328990173670775</v>
      </c>
      <c r="S246" t="str">
        <f>_xlfn.XLOOKUP($A246,Master_Data!$C:$C,Master_Data!$I:$I,"CHECK",0)</f>
        <v>Alamgir Hossain</v>
      </c>
      <c r="T246">
        <f>_xlfn.XLOOKUP($A246,Master_Data!$C:$C,Master_Data!$K:$K,"CHECK",0)</f>
        <v>107105</v>
      </c>
      <c r="U246">
        <f>IFERROR(_xlfn.XLOOKUP($A246,Master_Data!$C:$C,Master_Data!$L:$L,"CHECK",0),"")</f>
        <v>44.671009826329225</v>
      </c>
      <c r="V246">
        <f>_xlfn.XLOOKUP($A246,Master_Data!$C:$C,Master_Data!$M:$M,"CHECK",0)</f>
        <v>25554</v>
      </c>
      <c r="W246">
        <f>IFERROR(_xlfn.XLOOKUP($A246,Master_Data!$C:$C,Master_Data!$N:$N,"CHECK",0),"")</f>
        <v>10.657980347341553</v>
      </c>
      <c r="X246" t="str">
        <f>IFERROR(_xlfn.XLOOKUP($A246,Master_Data!$C:$C,Master_Data!$O:$O,"CHECK",0),"No Result")</f>
        <v>Safe Seat</v>
      </c>
      <c r="Y246">
        <f>_xlfn.XLOOKUP($A246,Master_Data!$C:$C,Master_Data!$P:$P,"CHECK",0)</f>
        <v>0</v>
      </c>
      <c r="Z246">
        <f t="shared" si="7"/>
        <v>1</v>
      </c>
      <c r="AA246">
        <f>_xlfn.XLOOKUP(B246,Remittance_Data!A:A,Remittance_Data!B:B,"CHECK")</f>
        <v>20674</v>
      </c>
      <c r="AB246">
        <f>_xlfn.XLOOKUP(B246,Remittance_Data!A:A,Remittance_Data!C:C,"CHECK")</f>
        <v>16336</v>
      </c>
      <c r="AC246">
        <f>_xlfn.XLOOKUP(B246,Remittance_Data!A:A,Remittance_Data!D:D,"CHECK")</f>
        <v>4338</v>
      </c>
    </row>
    <row r="247" spans="1:29">
      <c r="A247" t="str">
        <v>Pirojpur-2</v>
      </c>
      <c r="B247" t="str" cm="1">
        <f t="array" ref="B24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Nawabganj","Chapainawabganj"),Final_Merged_Data!$B$2:$B$1000=$A247)))</f>
        <v>Pirojpur</v>
      </c>
      <c r="C247" t="str" cm="1">
        <f t="array" ref="C247">_xlfn.TEXTJOIN(", ",TRUE,_xlfn._xlws.FILTER(Final_Merged_Data!$C$2:$C$1000,Final_Merged_Data!$B$2:$B$1000=$A247))</f>
        <v>Bhandaria, Kawkhali</v>
      </c>
      <c r="D247" cm="1">
        <f t="array" ref="D247">COUNTA(_xlfn._xlws.FILTER(Final_Merged_Data!$C$2:$C$1000,Final_Merged_Data!$B$2:$B$1000=$A247))</f>
        <v>2</v>
      </c>
      <c r="E247">
        <f>SUMIFS(Final_Merged_Data!$E:$E,Final_Merged_Data!$B:$B,$A247)</f>
        <v>648.08000000000004</v>
      </c>
      <c r="F247">
        <f>SUMIFS(Final_Merged_Data!$F:$F,Final_Merged_Data!$B:$B,$A247)</f>
        <v>234429</v>
      </c>
      <c r="G247">
        <f t="shared" si="6"/>
        <v>361.72849030983826</v>
      </c>
      <c r="H247" cm="1">
        <f t="array" ref="H247">SUMPRODUCT((Final_Merged_Data!$B$2:$B$1000=$A247)*Final_Merged_Data!$H$2:$H$1000*Final_Merged_Data!$F$2:$F$1000)/F247</f>
        <v>3.8918842378715945</v>
      </c>
      <c r="I247" cm="1">
        <f t="array" ref="I247">SUMPRODUCT((Final_Merged_Data!$B$2:$B$1000=$A247)*Final_Merged_Data!$I$2:$I$1000*Final_Merged_Data!$F$2:$F$1000)/F247</f>
        <v>85.237649778824292</v>
      </c>
      <c r="J247" t="str" cm="1">
        <f t="array" ref="J247">_xlfn.TEXTJOIN(", ",TRUE,_xlfn.UNIQUE(_xlfn._xlws.FILTER(Final_Merged_Data!$J$2:$J$1000,Final_Merged_Data!$B$2:$B$1000=$A247)))</f>
        <v>Barishal Range</v>
      </c>
      <c r="K247" cm="1">
        <f t="array" ref="K247">SUMPRODUCT((Final_Merged_Data!$B$2:$B$1000=$A247)*Final_Merged_Data!$K$2:$K$1000*Final_Merged_Data!$F$2:$F$1000)/F247</f>
        <v>112.01964836613055</v>
      </c>
      <c r="L247" cm="1">
        <f t="array" ref="L247">SUMPRODUCT((Final_Merged_Data!$B$2:$B$1000=$A247)*Final_Merged_Data!$L$2:$L$1000*Final_Merged_Data!$F$2:$F$1000)/F247</f>
        <v>22.371673912692867</v>
      </c>
      <c r="M247" t="str">
        <f>IF(COUNTIF(Master_Data!$C:$C,$A247)&gt;0,"Found","Missing")</f>
        <v>Found</v>
      </c>
      <c r="N247" t="str">
        <f>_xlfn.XLOOKUP($A247,Master_Data!$C:$C,Master_Data!$D:$D,"CHECK",0)</f>
        <v>Ahmad Sohail Manzoor</v>
      </c>
      <c r="O247" t="str">
        <f>_xlfn.XLOOKUP($A247,Master_Data!$C:$C,Master_Data!$E:$E,"CHECK",0)</f>
        <v>BNP</v>
      </c>
      <c r="P247">
        <f>_xlfn.XLOOKUP($A247,Master_Data!$C:$C,Master_Data!$F:$F,"CHECK",0)</f>
        <v>1</v>
      </c>
      <c r="Q247">
        <f>_xlfn.XLOOKUP($A247,Master_Data!$C:$C,Master_Data!$G:$G,"CHECK",0)</f>
        <v>105185</v>
      </c>
      <c r="R247">
        <f>IFERROR(_xlfn.XLOOKUP($A247,Master_Data!$C:$C,Master_Data!$H:$H,"CHECK",0),"")</f>
        <v>52.050652705337441</v>
      </c>
      <c r="S247" t="str">
        <f>_xlfn.XLOOKUP($A247,Master_Data!$C:$C,Master_Data!$I:$I,"CHECK",0)</f>
        <v>Shameem Sayeedi</v>
      </c>
      <c r="T247">
        <f>_xlfn.XLOOKUP($A247,Master_Data!$C:$C,Master_Data!$K:$K,"CHECK",0)</f>
        <v>96897</v>
      </c>
      <c r="U247">
        <f>IFERROR(_xlfn.XLOOKUP($A247,Master_Data!$C:$C,Master_Data!$L:$L,"CHECK",0),"")</f>
        <v>47.949347294662566</v>
      </c>
      <c r="V247">
        <f>_xlfn.XLOOKUP($A247,Master_Data!$C:$C,Master_Data!$M:$M,"CHECK",0)</f>
        <v>8288</v>
      </c>
      <c r="W247">
        <f>IFERROR(_xlfn.XLOOKUP($A247,Master_Data!$C:$C,Master_Data!$N:$N,"CHECK",0),"")</f>
        <v>4.1013054106748745</v>
      </c>
      <c r="X247" t="str">
        <f>IFERROR(_xlfn.XLOOKUP($A247,Master_Data!$C:$C,Master_Data!$O:$O,"CHECK",0),"No Result")</f>
        <v>Highly Competitive</v>
      </c>
      <c r="Y247">
        <f>_xlfn.XLOOKUP($A247,Master_Data!$C:$C,Master_Data!$P:$P,"CHECK",0)</f>
        <v>0</v>
      </c>
      <c r="Z247">
        <f t="shared" si="7"/>
        <v>1</v>
      </c>
      <c r="AA247">
        <f>_xlfn.XLOOKUP(B247,Remittance_Data!A:A,Remittance_Data!B:B,"CHECK")</f>
        <v>20674</v>
      </c>
      <c r="AB247">
        <f>_xlfn.XLOOKUP(B247,Remittance_Data!A:A,Remittance_Data!C:C,"CHECK")</f>
        <v>16336</v>
      </c>
      <c r="AC247">
        <f>_xlfn.XLOOKUP(B247,Remittance_Data!A:A,Remittance_Data!D:D,"CHECK")</f>
        <v>4338</v>
      </c>
    </row>
    <row r="248" spans="1:29">
      <c r="A248" t="str">
        <v>Pirojpur-3</v>
      </c>
      <c r="B248" t="str" cm="1">
        <f t="array" ref="B24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Nawabganj","Chapainawabganj"),Final_Merged_Data!$B$2:$B$1000=$A248)))</f>
        <v>Pirojpur</v>
      </c>
      <c r="C248" t="str" cm="1">
        <f t="array" ref="C248">_xlfn.TEXTJOIN(", ",TRUE,_xlfn._xlws.FILTER(Final_Merged_Data!$C$2:$C$1000,Final_Merged_Data!$B$2:$B$1000=$A248))</f>
        <v>Mathbaria</v>
      </c>
      <c r="D248" cm="1">
        <f t="array" ref="D248">COUNTA(_xlfn._xlws.FILTER(Final_Merged_Data!$C$2:$C$1000,Final_Merged_Data!$B$2:$B$1000=$A248))</f>
        <v>1</v>
      </c>
      <c r="E248">
        <f>SUMIFS(Final_Merged_Data!$E:$E,Final_Merged_Data!$B:$B,$A248)</f>
        <v>128.91999999999999</v>
      </c>
      <c r="F248">
        <f>SUMIFS(Final_Merged_Data!$F:$F,Final_Merged_Data!$B:$B,$A248)</f>
        <v>277614</v>
      </c>
      <c r="G248">
        <f t="shared" si="6"/>
        <v>2153.3819422897923</v>
      </c>
      <c r="H248" cm="1">
        <f t="array" ref="H248">SUMPRODUCT((Final_Merged_Data!$B$2:$B$1000=$A248)*Final_Merged_Data!$H$2:$H$1000*Final_Merged_Data!$F$2:$F$1000)/F248</f>
        <v>3.8600000000000003</v>
      </c>
      <c r="I248" cm="1">
        <f t="array" ref="I248">SUMPRODUCT((Final_Merged_Data!$B$2:$B$1000=$A248)*Final_Merged_Data!$I$2:$I$1000*Final_Merged_Data!$F$2:$F$1000)/F248</f>
        <v>84.95</v>
      </c>
      <c r="J248" t="str" cm="1">
        <f t="array" ref="J248">_xlfn.TEXTJOIN(", ",TRUE,_xlfn.UNIQUE(_xlfn._xlws.FILTER(Final_Merged_Data!$J$2:$J$1000,Final_Merged_Data!$B$2:$B$1000=$A248)))</f>
        <v>Barishal Range</v>
      </c>
      <c r="K248" cm="1">
        <f t="array" ref="K248">SUMPRODUCT((Final_Merged_Data!$B$2:$B$1000=$A248)*Final_Merged_Data!$K$2:$K$1000*Final_Merged_Data!$F$2:$F$1000)/F248</f>
        <v>112.01964836613054</v>
      </c>
      <c r="L248" cm="1">
        <f t="array" ref="L248">SUMPRODUCT((Final_Merged_Data!$B$2:$B$1000=$A248)*Final_Merged_Data!$L$2:$L$1000*Final_Merged_Data!$F$2:$F$1000)/F248</f>
        <v>22.37167391269287</v>
      </c>
      <c r="M248" t="str">
        <f>IF(COUNTIF(Master_Data!$C:$C,$A248)&gt;0,"Found","Missing")</f>
        <v>Found</v>
      </c>
      <c r="N248" t="str">
        <f>_xlfn.XLOOKUP($A248,Master_Data!$C:$C,Master_Data!$D:$D,"CHECK",0)</f>
        <v>Md. Ruhul Amin Dulal</v>
      </c>
      <c r="O248" t="str">
        <f>_xlfn.XLOOKUP($A248,Master_Data!$C:$C,Master_Data!$E:$E,"CHECK",0)</f>
        <v>BNP</v>
      </c>
      <c r="P248">
        <f>_xlfn.XLOOKUP($A248,Master_Data!$C:$C,Master_Data!$F:$F,"CHECK",0)</f>
        <v>1</v>
      </c>
      <c r="Q248">
        <f>_xlfn.XLOOKUP($A248,Master_Data!$C:$C,Master_Data!$G:$G,"CHECK",0)</f>
        <v>63791</v>
      </c>
      <c r="R248">
        <f>IFERROR(_xlfn.XLOOKUP($A248,Master_Data!$C:$C,Master_Data!$H:$H,"CHECK",0),"")</f>
        <v>63.532423038234384</v>
      </c>
      <c r="S248" t="str">
        <f>_xlfn.XLOOKUP($A248,Master_Data!$C:$C,Master_Data!$I:$I,"CHECK",0)</f>
        <v>Md. Shamim Hamidi</v>
      </c>
      <c r="T248">
        <f>_xlfn.XLOOKUP($A248,Master_Data!$C:$C,Master_Data!$K:$K,"CHECK",0)</f>
        <v>36616</v>
      </c>
      <c r="U248">
        <f>IFERROR(_xlfn.XLOOKUP($A248,Master_Data!$C:$C,Master_Data!$L:$L,"CHECK",0),"")</f>
        <v>36.467576961765616</v>
      </c>
      <c r="V248">
        <f>_xlfn.XLOOKUP($A248,Master_Data!$C:$C,Master_Data!$M:$M,"CHECK",0)</f>
        <v>27175</v>
      </c>
      <c r="W248">
        <f>IFERROR(_xlfn.XLOOKUP($A248,Master_Data!$C:$C,Master_Data!$N:$N,"CHECK",0),"")</f>
        <v>27.064846076468775</v>
      </c>
      <c r="X248" t="str">
        <f>IFERROR(_xlfn.XLOOKUP($A248,Master_Data!$C:$C,Master_Data!$O:$O,"CHECK",0),"No Result")</f>
        <v>Safe Seat</v>
      </c>
      <c r="Y248">
        <f>_xlfn.XLOOKUP($A248,Master_Data!$C:$C,Master_Data!$P:$P,"CHECK",0)</f>
        <v>0</v>
      </c>
      <c r="Z248">
        <f t="shared" si="7"/>
        <v>1</v>
      </c>
      <c r="AA248">
        <f>_xlfn.XLOOKUP(B248,Remittance_Data!A:A,Remittance_Data!B:B,"CHECK")</f>
        <v>20674</v>
      </c>
      <c r="AB248">
        <f>_xlfn.XLOOKUP(B248,Remittance_Data!A:A,Remittance_Data!C:C,"CHECK")</f>
        <v>16336</v>
      </c>
      <c r="AC248">
        <f>_xlfn.XLOOKUP(B248,Remittance_Data!A:A,Remittance_Data!D:D,"CHECK")</f>
        <v>4338</v>
      </c>
    </row>
    <row r="249" spans="1:29">
      <c r="A249" t="str">
        <v>Rajbari-1</v>
      </c>
      <c r="B249" t="str" cm="1">
        <f t="array" ref="B24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Nawabganj","Chapainawabganj"),Final_Merged_Data!$B$2:$B$1000=$A249)))</f>
        <v>Rajbari</v>
      </c>
      <c r="C249" t="str" cm="1">
        <f t="array" ref="C249">_xlfn.TEXTJOIN(", ",TRUE,_xlfn._xlws.FILTER(Final_Merged_Data!$C$2:$C$1000,Final_Merged_Data!$B$2:$B$1000=$A249))</f>
        <v>Pangsha, Baliakandi</v>
      </c>
      <c r="D249" cm="1">
        <f t="array" ref="D249">COUNTA(_xlfn._xlws.FILTER(Final_Merged_Data!$C$2:$C$1000,Final_Merged_Data!$B$2:$B$1000=$A249))</f>
        <v>2</v>
      </c>
      <c r="E249">
        <f>SUMIFS(Final_Merged_Data!$E:$E,Final_Merged_Data!$B:$B,$A249)</f>
        <v>431.71</v>
      </c>
      <c r="F249">
        <f>SUMIFS(Final_Merged_Data!$F:$F,Final_Merged_Data!$B:$B,$A249)</f>
        <v>504108</v>
      </c>
      <c r="G249">
        <f t="shared" si="6"/>
        <v>1167.70053971416</v>
      </c>
      <c r="H249" cm="1">
        <f t="array" ref="H249">SUMPRODUCT((Final_Merged_Data!$B$2:$B$1000=$A249)*Final_Merged_Data!$H$2:$H$1000*Final_Merged_Data!$F$2:$F$1000)/F249</f>
        <v>4.0095055821371606</v>
      </c>
      <c r="I249" cm="1">
        <f t="array" ref="I249">SUMPRODUCT((Final_Merged_Data!$B$2:$B$1000=$A249)*Final_Merged_Data!$I$2:$I$1000*Final_Merged_Data!$F$2:$F$1000)/F249</f>
        <v>68.031670653907497</v>
      </c>
      <c r="J249" t="str" cm="1">
        <f t="array" ref="J249">_xlfn.TEXTJOIN(", ",TRUE,_xlfn.UNIQUE(_xlfn._xlws.FILTER(Final_Merged_Data!$J$2:$J$1000,Final_Merged_Data!$B$2:$B$1000=$A249)))</f>
        <v>Dhaka Range</v>
      </c>
      <c r="K249" cm="1">
        <f t="array" ref="K249">SUMPRODUCT((Final_Merged_Data!$B$2:$B$1000=$A249)*Final_Merged_Data!$K$2:$K$1000*Final_Merged_Data!$F$2:$F$1000)/F249</f>
        <v>87.055167395391194</v>
      </c>
      <c r="L249" cm="1">
        <f t="array" ref="L249">SUMPRODUCT((Final_Merged_Data!$B$2:$B$1000=$A249)*Final_Merged_Data!$L$2:$L$1000*Final_Merged_Data!$F$2:$F$1000)/F249</f>
        <v>14.083489099923572</v>
      </c>
      <c r="M249" t="str">
        <f>IF(COUNTIF(Master_Data!$C:$C,$A249)&gt;0,"Found","Missing")</f>
        <v>Found</v>
      </c>
      <c r="N249" t="str">
        <f>_xlfn.XLOOKUP($A249,Master_Data!$C:$C,Master_Data!$D:$D,"CHECK",0)</f>
        <v>Ali Newaz Mahmud Khayyam</v>
      </c>
      <c r="O249" t="str">
        <f>_xlfn.XLOOKUP($A249,Master_Data!$C:$C,Master_Data!$E:$E,"CHECK",0)</f>
        <v>BNP</v>
      </c>
      <c r="P249">
        <f>_xlfn.XLOOKUP($A249,Master_Data!$C:$C,Master_Data!$F:$F,"CHECK",0)</f>
        <v>1</v>
      </c>
      <c r="Q249">
        <f>_xlfn.XLOOKUP($A249,Master_Data!$C:$C,Master_Data!$G:$G,"CHECK",0)</f>
        <v>154541</v>
      </c>
      <c r="R249">
        <f>IFERROR(_xlfn.XLOOKUP($A249,Master_Data!$C:$C,Master_Data!$H:$H,"CHECK",0),"")</f>
        <v>60.454244952725197</v>
      </c>
      <c r="S249" t="str">
        <f>_xlfn.XLOOKUP($A249,Master_Data!$C:$C,Master_Data!$I:$I,"CHECK",0)</f>
        <v>Md. Nurul Islam</v>
      </c>
      <c r="T249">
        <f>_xlfn.XLOOKUP($A249,Master_Data!$C:$C,Master_Data!$K:$K,"CHECK",0)</f>
        <v>101092</v>
      </c>
      <c r="U249">
        <f>IFERROR(_xlfn.XLOOKUP($A249,Master_Data!$C:$C,Master_Data!$L:$L,"CHECK",0),"")</f>
        <v>39.545755047274803</v>
      </c>
      <c r="V249">
        <f>_xlfn.XLOOKUP($A249,Master_Data!$C:$C,Master_Data!$M:$M,"CHECK",0)</f>
        <v>53449</v>
      </c>
      <c r="W249">
        <f>IFERROR(_xlfn.XLOOKUP($A249,Master_Data!$C:$C,Master_Data!$N:$N,"CHECK",0),"")</f>
        <v>20.908489905450391</v>
      </c>
      <c r="X249" t="str">
        <f>IFERROR(_xlfn.XLOOKUP($A249,Master_Data!$C:$C,Master_Data!$O:$O,"CHECK",0),"No Result")</f>
        <v>Safe Seat</v>
      </c>
      <c r="Y249">
        <f>_xlfn.XLOOKUP($A249,Master_Data!$C:$C,Master_Data!$P:$P,"CHECK",0)</f>
        <v>0</v>
      </c>
      <c r="Z249">
        <f t="shared" si="7"/>
        <v>1</v>
      </c>
      <c r="AA249">
        <f>_xlfn.XLOOKUP(B249,Remittance_Data!A:A,Remittance_Data!B:B,"CHECK")</f>
        <v>23972</v>
      </c>
      <c r="AB249">
        <f>_xlfn.XLOOKUP(B249,Remittance_Data!A:A,Remittance_Data!C:C,"CHECK")</f>
        <v>20840</v>
      </c>
      <c r="AC249">
        <f>_xlfn.XLOOKUP(B249,Remittance_Data!A:A,Remittance_Data!D:D,"CHECK")</f>
        <v>3132</v>
      </c>
    </row>
    <row r="250" spans="1:29">
      <c r="A250" t="str">
        <v>Rajbari-2</v>
      </c>
      <c r="B250" t="str" cm="1">
        <f t="array" ref="B25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Nawabganj","Chapainawabganj"),Final_Merged_Data!$B$2:$B$1000=$A250)))</f>
        <v>Rajbari</v>
      </c>
      <c r="C250" t="str" cm="1">
        <f t="array" ref="C250">_xlfn.TEXTJOIN(", ",TRUE,_xlfn._xlws.FILTER(Final_Merged_Data!$C$2:$C$1000,Final_Merged_Data!$B$2:$B$1000=$A250))</f>
        <v>Rajbari Sadar, Goalanda, Kalukhali</v>
      </c>
      <c r="D250" cm="1">
        <f t="array" ref="D250">COUNTA(_xlfn._xlws.FILTER(Final_Merged_Data!$C$2:$C$1000,Final_Merged_Data!$B$2:$B$1000=$A250))</f>
        <v>3</v>
      </c>
      <c r="E250">
        <f>SUMIFS(Final_Merged_Data!$E:$E,Final_Merged_Data!$B:$B,$A250)</f>
        <v>435.55999999999995</v>
      </c>
      <c r="F250">
        <f>SUMIFS(Final_Merged_Data!$F:$F,Final_Merged_Data!$B:$B,$A250)</f>
        <v>685635</v>
      </c>
      <c r="G250">
        <f t="shared" si="6"/>
        <v>1574.1459270823768</v>
      </c>
      <c r="H250" cm="1">
        <f t="array" ref="H250">SUMPRODUCT((Final_Merged_Data!$B$2:$B$1000=$A250)*Final_Merged_Data!$H$2:$H$1000*Final_Merged_Data!$F$2:$F$1000)/F250</f>
        <v>3.9826191340873787</v>
      </c>
      <c r="I250" cm="1">
        <f t="array" ref="I250">SUMPRODUCT((Final_Merged_Data!$B$2:$B$1000=$A250)*Final_Merged_Data!$I$2:$I$1000*Final_Merged_Data!$F$2:$F$1000)/F250</f>
        <v>70.546738702079097</v>
      </c>
      <c r="J250" t="str" cm="1">
        <f t="array" ref="J250">_xlfn.TEXTJOIN(", ",TRUE,_xlfn.UNIQUE(_xlfn._xlws.FILTER(Final_Merged_Data!$J$2:$J$1000,Final_Merged_Data!$B$2:$B$1000=$A250)))</f>
        <v>Dhaka Range</v>
      </c>
      <c r="K250" cm="1">
        <f t="array" ref="K250">SUMPRODUCT((Final_Merged_Data!$B$2:$B$1000=$A250)*Final_Merged_Data!$K$2:$K$1000*Final_Merged_Data!$F$2:$F$1000)/F250</f>
        <v>87.055167395391194</v>
      </c>
      <c r="L250" cm="1">
        <f t="array" ref="L250">SUMPRODUCT((Final_Merged_Data!$B$2:$B$1000=$A250)*Final_Merged_Data!$L$2:$L$1000*Final_Merged_Data!$F$2:$F$1000)/F250</f>
        <v>14.083489099923572</v>
      </c>
      <c r="M250" t="str">
        <f>IF(COUNTIF(Master_Data!$C:$C,$A250)&gt;0,"Found","Missing")</f>
        <v>Found</v>
      </c>
      <c r="N250" t="str">
        <f>_xlfn.XLOOKUP($A250,Master_Data!$C:$C,Master_Data!$D:$D,"CHECK",0)</f>
        <v>Md. Haroon-or-Rashid</v>
      </c>
      <c r="O250" t="str">
        <f>_xlfn.XLOOKUP($A250,Master_Data!$C:$C,Master_Data!$E:$E,"CHECK",0)</f>
        <v>BNP</v>
      </c>
      <c r="P250">
        <f>_xlfn.XLOOKUP($A250,Master_Data!$C:$C,Master_Data!$F:$F,"CHECK",0)</f>
        <v>1</v>
      </c>
      <c r="Q250">
        <f>_xlfn.XLOOKUP($A250,Master_Data!$C:$C,Master_Data!$G:$G,"CHECK",0)</f>
        <v>237254</v>
      </c>
      <c r="R250">
        <f>IFERROR(_xlfn.XLOOKUP($A250,Master_Data!$C:$C,Master_Data!$H:$H,"CHECK",0),"")</f>
        <v>77.902368389081701</v>
      </c>
      <c r="S250" t="str">
        <f>_xlfn.XLOOKUP($A250,Master_Data!$C:$C,Master_Data!$I:$I,"CHECK",0)</f>
        <v>Jamil Hijazi</v>
      </c>
      <c r="T250">
        <f>_xlfn.XLOOKUP($A250,Master_Data!$C:$C,Master_Data!$K:$K,"CHECK",0)</f>
        <v>67299</v>
      </c>
      <c r="U250">
        <f>IFERROR(_xlfn.XLOOKUP($A250,Master_Data!$C:$C,Master_Data!$L:$L,"CHECK",0),"")</f>
        <v>22.097631610918299</v>
      </c>
      <c r="V250">
        <f>_xlfn.XLOOKUP($A250,Master_Data!$C:$C,Master_Data!$M:$M,"CHECK",0)</f>
        <v>169955</v>
      </c>
      <c r="W250">
        <f>IFERROR(_xlfn.XLOOKUP($A250,Master_Data!$C:$C,Master_Data!$N:$N,"CHECK",0),"")</f>
        <v>55.804736778163409</v>
      </c>
      <c r="X250" t="str">
        <f>IFERROR(_xlfn.XLOOKUP($A250,Master_Data!$C:$C,Master_Data!$O:$O,"CHECK",0),"No Result")</f>
        <v>Safe Seat</v>
      </c>
      <c r="Y250">
        <f>_xlfn.XLOOKUP($A250,Master_Data!$C:$C,Master_Data!$P:$P,"CHECK",0)</f>
        <v>0</v>
      </c>
      <c r="Z250">
        <f t="shared" si="7"/>
        <v>1</v>
      </c>
      <c r="AA250">
        <f>_xlfn.XLOOKUP(B250,Remittance_Data!A:A,Remittance_Data!B:B,"CHECK")</f>
        <v>23972</v>
      </c>
      <c r="AB250">
        <f>_xlfn.XLOOKUP(B250,Remittance_Data!A:A,Remittance_Data!C:C,"CHECK")</f>
        <v>20840</v>
      </c>
      <c r="AC250">
        <f>_xlfn.XLOOKUP(B250,Remittance_Data!A:A,Remittance_Data!D:D,"CHECK")</f>
        <v>3132</v>
      </c>
    </row>
    <row r="251" spans="1:29">
      <c r="A251" t="str">
        <v>Rajshahi-1</v>
      </c>
      <c r="B251" t="str" cm="1">
        <f t="array" ref="B25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Nawabganj","Chapainawabganj"),Final_Merged_Data!$B$2:$B$1000=$A251)))</f>
        <v>Rajshahi</v>
      </c>
      <c r="C251" t="str" cm="1">
        <f t="array" ref="C251">_xlfn.TEXTJOIN(", ",TRUE,_xlfn._xlws.FILTER(Final_Merged_Data!$C$2:$C$1000,Final_Merged_Data!$B$2:$B$1000=$A251))</f>
        <v>Godagari, Tanor</v>
      </c>
      <c r="D251" cm="1">
        <f t="array" ref="D251">COUNTA(_xlfn._xlws.FILTER(Final_Merged_Data!$C$2:$C$1000,Final_Merged_Data!$B$2:$B$1000=$A251))</f>
        <v>2</v>
      </c>
      <c r="E251">
        <f>SUMIFS(Final_Merged_Data!$E:$E,Final_Merged_Data!$B:$B,$A251)</f>
        <v>752.55</v>
      </c>
      <c r="F251">
        <f>SUMIFS(Final_Merged_Data!$F:$F,Final_Merged_Data!$B:$B,$A251)</f>
        <v>589344</v>
      </c>
      <c r="G251">
        <f t="shared" si="6"/>
        <v>783.12936017540369</v>
      </c>
      <c r="H251" cm="1">
        <f t="array" ref="H251">SUMPRODUCT((Final_Merged_Data!$B$2:$B$1000=$A251)*Final_Merged_Data!$H$2:$H$1000*Final_Merged_Data!$F$2:$F$1000)/F251</f>
        <v>3.8846132649182818</v>
      </c>
      <c r="I251" cm="1">
        <f t="array" ref="I251">SUMPRODUCT((Final_Merged_Data!$B$2:$B$1000=$A251)*Final_Merged_Data!$I$2:$I$1000*Final_Merged_Data!$F$2:$F$1000)/F251</f>
        <v>73.069976244773841</v>
      </c>
      <c r="J251" t="str" cm="1">
        <f t="array" ref="J251">_xlfn.TEXTJOIN(", ",TRUE,_xlfn.UNIQUE(_xlfn._xlws.FILTER(Final_Merged_Data!$J$2:$J$1000,Final_Merged_Data!$B$2:$B$1000=$A251)))</f>
        <v>Rajshahi Range</v>
      </c>
      <c r="K251" cm="1">
        <f t="array" ref="K251">SUMPRODUCT((Final_Merged_Data!$B$2:$B$1000=$A251)*Final_Merged_Data!$K$2:$K$1000*Final_Merged_Data!$F$2:$F$1000)/F251</f>
        <v>112.81411131450233</v>
      </c>
      <c r="L251" cm="1">
        <f t="array" ref="L251">SUMPRODUCT((Final_Merged_Data!$B$2:$B$1000=$A251)*Final_Merged_Data!$L$2:$L$1000*Final_Merged_Data!$F$2:$F$1000)/F251</f>
        <v>14.272851259111947</v>
      </c>
      <c r="M251" t="str">
        <f>IF(COUNTIF(Master_Data!$C:$C,$A251)&gt;0,"Found","Missing")</f>
        <v>Found</v>
      </c>
      <c r="N251" t="str">
        <f>_xlfn.XLOOKUP($A251,Master_Data!$C:$C,Master_Data!$D:$D,"CHECK",0)</f>
        <v>Mujibur Rahman</v>
      </c>
      <c r="O251" t="str">
        <f>_xlfn.XLOOKUP($A251,Master_Data!$C:$C,Master_Data!$E:$E,"CHECK",0)</f>
        <v>Jamaat</v>
      </c>
      <c r="P251">
        <f>_xlfn.XLOOKUP($A251,Master_Data!$C:$C,Master_Data!$F:$F,"CHECK",0)</f>
        <v>2</v>
      </c>
      <c r="Q251">
        <f>_xlfn.XLOOKUP($A251,Master_Data!$C:$C,Master_Data!$G:$G,"CHECK",0)</f>
        <v>171786</v>
      </c>
      <c r="R251">
        <f>IFERROR(_xlfn.XLOOKUP($A251,Master_Data!$C:$C,Master_Data!$H:$H,"CHECK",0),"")</f>
        <v>50.275690103252089</v>
      </c>
      <c r="S251" t="str">
        <f>_xlfn.XLOOKUP($A251,Master_Data!$C:$C,Master_Data!$I:$I,"CHECK",0)</f>
        <v>Md. Sharif Uddin</v>
      </c>
      <c r="T251">
        <f>_xlfn.XLOOKUP($A251,Master_Data!$C:$C,Master_Data!$K:$K,"CHECK",0)</f>
        <v>169902</v>
      </c>
      <c r="U251">
        <f>IFERROR(_xlfn.XLOOKUP($A251,Master_Data!$C:$C,Master_Data!$L:$L,"CHECK",0),"")</f>
        <v>49.724309896747911</v>
      </c>
      <c r="V251">
        <f>_xlfn.XLOOKUP($A251,Master_Data!$C:$C,Master_Data!$M:$M,"CHECK",0)</f>
        <v>1884</v>
      </c>
      <c r="W251">
        <f>IFERROR(_xlfn.XLOOKUP($A251,Master_Data!$C:$C,Master_Data!$N:$N,"CHECK",0),"")</f>
        <v>0.55138020650417918</v>
      </c>
      <c r="X251" t="str">
        <f>IFERROR(_xlfn.XLOOKUP($A251,Master_Data!$C:$C,Master_Data!$O:$O,"CHECK",0),"No Result")</f>
        <v>Highly Competitive</v>
      </c>
      <c r="Y251">
        <f>_xlfn.XLOOKUP($A251,Master_Data!$C:$C,Master_Data!$P:$P,"CHECK",0)</f>
        <v>0</v>
      </c>
      <c r="Z251">
        <f t="shared" si="7"/>
        <v>1</v>
      </c>
      <c r="AA251">
        <f>_xlfn.XLOOKUP(B251,Remittance_Data!A:A,Remittance_Data!B:B,"CHECK")</f>
        <v>17411</v>
      </c>
      <c r="AB251">
        <f>_xlfn.XLOOKUP(B251,Remittance_Data!A:A,Remittance_Data!C:C,"CHECK")</f>
        <v>12083</v>
      </c>
      <c r="AC251">
        <f>_xlfn.XLOOKUP(B251,Remittance_Data!A:A,Remittance_Data!D:D,"CHECK")</f>
        <v>5328</v>
      </c>
    </row>
    <row r="252" spans="1:29">
      <c r="A252" t="str">
        <v>Rajshahi-2</v>
      </c>
      <c r="B252" t="str" cm="1">
        <f t="array" ref="B25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Nawabganj","Chapainawabganj"),Final_Merged_Data!$B$2:$B$1000=$A252)))</f>
        <v>Rajshahi</v>
      </c>
      <c r="C252" t="str" cm="1">
        <f t="array" ref="C252">_xlfn.TEXTJOIN(", ",TRUE,_xlfn._xlws.FILTER(Final_Merged_Data!$C$2:$C$1000,Final_Merged_Data!$B$2:$B$1000=$A252))</f>
        <v>Rajshahi City Corporation</v>
      </c>
      <c r="D252" cm="1">
        <f t="array" ref="D252">COUNTA(_xlfn._xlws.FILTER(Final_Merged_Data!$C$2:$C$1000,Final_Merged_Data!$B$2:$B$1000=$A252))</f>
        <v>1</v>
      </c>
      <c r="E252">
        <f>SUMIFS(Final_Merged_Data!$E:$E,Final_Merged_Data!$B:$B,$A252)</f>
        <v>96.72</v>
      </c>
      <c r="F252">
        <f>SUMIFS(Final_Merged_Data!$F:$F,Final_Merged_Data!$B:$B,$A252)</f>
        <v>550599</v>
      </c>
      <c r="G252">
        <f t="shared" si="6"/>
        <v>5692.7109181141441</v>
      </c>
      <c r="H252" cm="1">
        <f t="array" ref="H252">SUMPRODUCT((Final_Merged_Data!$B$2:$B$1000=$A252)*Final_Merged_Data!$H$2:$H$1000*Final_Merged_Data!$F$2:$F$1000)/F252</f>
        <v>3.75</v>
      </c>
      <c r="I252" cm="1">
        <f t="array" ref="I252">SUMPRODUCT((Final_Merged_Data!$B$2:$B$1000=$A252)*Final_Merged_Data!$I$2:$I$1000*Final_Merged_Data!$F$2:$F$1000)/F252</f>
        <v>88.83</v>
      </c>
      <c r="J252" t="str" cm="1">
        <f t="array" ref="J252">_xlfn.TEXTJOIN(", ",TRUE,_xlfn.UNIQUE(_xlfn._xlws.FILTER(Final_Merged_Data!$J$2:$J$1000,Final_Merged_Data!$B$2:$B$1000=$A252)))</f>
        <v>Rajshahi Range</v>
      </c>
      <c r="K252" cm="1">
        <f t="array" ref="K252">SUMPRODUCT((Final_Merged_Data!$B$2:$B$1000=$A252)*Final_Merged_Data!$K$2:$K$1000*Final_Merged_Data!$F$2:$F$1000)/F252</f>
        <v>112.81411131450233</v>
      </c>
      <c r="L252" cm="1">
        <f t="array" ref="L252">SUMPRODUCT((Final_Merged_Data!$B$2:$B$1000=$A252)*Final_Merged_Data!$L$2:$L$1000*Final_Merged_Data!$F$2:$F$1000)/F252</f>
        <v>14.272851259111949</v>
      </c>
      <c r="M252" t="str">
        <f>IF(COUNTIF(Master_Data!$C:$C,$A252)&gt;0,"Found","Missing")</f>
        <v>Found</v>
      </c>
      <c r="N252" t="str">
        <f>_xlfn.XLOOKUP($A252,Master_Data!$C:$C,Master_Data!$D:$D,"CHECK",0)</f>
        <v>Mizanur Rahman Minu</v>
      </c>
      <c r="O252" t="str">
        <f>_xlfn.XLOOKUP($A252,Master_Data!$C:$C,Master_Data!$E:$E,"CHECK",0)</f>
        <v>BNP</v>
      </c>
      <c r="P252">
        <f>_xlfn.XLOOKUP($A252,Master_Data!$C:$C,Master_Data!$F:$F,"CHECK",0)</f>
        <v>1</v>
      </c>
      <c r="Q252">
        <f>_xlfn.XLOOKUP($A252,Master_Data!$C:$C,Master_Data!$G:$G,"CHECK",0)</f>
        <v>128546</v>
      </c>
      <c r="R252">
        <f>IFERROR(_xlfn.XLOOKUP($A252,Master_Data!$C:$C,Master_Data!$H:$H,"CHECK",0),"")</f>
        <v>56.154222509566829</v>
      </c>
      <c r="S252" t="str">
        <f>_xlfn.XLOOKUP($A252,Master_Data!$C:$C,Master_Data!$I:$I,"CHECK",0)</f>
        <v>Mohammad Jahangir</v>
      </c>
      <c r="T252">
        <f>_xlfn.XLOOKUP($A252,Master_Data!$C:$C,Master_Data!$K:$K,"CHECK",0)</f>
        <v>100370</v>
      </c>
      <c r="U252">
        <f>IFERROR(_xlfn.XLOOKUP($A252,Master_Data!$C:$C,Master_Data!$L:$L,"CHECK",0),"")</f>
        <v>43.845777490433171</v>
      </c>
      <c r="V252">
        <f>_xlfn.XLOOKUP($A252,Master_Data!$C:$C,Master_Data!$M:$M,"CHECK",0)</f>
        <v>28176</v>
      </c>
      <c r="W252">
        <f>IFERROR(_xlfn.XLOOKUP($A252,Master_Data!$C:$C,Master_Data!$N:$N,"CHECK",0),"")</f>
        <v>12.308445019133655</v>
      </c>
      <c r="X252" t="str">
        <f>IFERROR(_xlfn.XLOOKUP($A252,Master_Data!$C:$C,Master_Data!$O:$O,"CHECK",0),"No Result")</f>
        <v>Safe Seat</v>
      </c>
      <c r="Y252">
        <f>_xlfn.XLOOKUP($A252,Master_Data!$C:$C,Master_Data!$P:$P,"CHECK",0)</f>
        <v>1</v>
      </c>
      <c r="Z252">
        <f t="shared" si="7"/>
        <v>1</v>
      </c>
      <c r="AA252">
        <f>_xlfn.XLOOKUP(B252,Remittance_Data!A:A,Remittance_Data!B:B,"CHECK")</f>
        <v>17411</v>
      </c>
      <c r="AB252">
        <f>_xlfn.XLOOKUP(B252,Remittance_Data!A:A,Remittance_Data!C:C,"CHECK")</f>
        <v>12083</v>
      </c>
      <c r="AC252">
        <f>_xlfn.XLOOKUP(B252,Remittance_Data!A:A,Remittance_Data!D:D,"CHECK")</f>
        <v>5328</v>
      </c>
    </row>
    <row r="253" spans="1:29">
      <c r="A253" t="str">
        <v>Rajshahi-3</v>
      </c>
      <c r="B253" t="str" cm="1">
        <f t="array" ref="B25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Nawabganj","Chapainawabganj"),Final_Merged_Data!$B$2:$B$1000=$A253)))</f>
        <v>Rajshahi</v>
      </c>
      <c r="C253" t="str" cm="1">
        <f t="array" ref="C253">_xlfn.TEXTJOIN(", ",TRUE,_xlfn._xlws.FILTER(Final_Merged_Data!$C$2:$C$1000,Final_Merged_Data!$B$2:$B$1000=$A253))</f>
        <v>Paba, Mohanpur</v>
      </c>
      <c r="D253" cm="1">
        <f t="array" ref="D253">COUNTA(_xlfn._xlws.FILTER(Final_Merged_Data!$C$2:$C$1000,Final_Merged_Data!$B$2:$B$1000=$A253))</f>
        <v>2</v>
      </c>
      <c r="E253">
        <f>SUMIFS(Final_Merged_Data!$E:$E,Final_Merged_Data!$B:$B,$A253)</f>
        <v>353.39</v>
      </c>
      <c r="F253">
        <f>SUMIFS(Final_Merged_Data!$F:$F,Final_Merged_Data!$B:$B,$A253)</f>
        <v>555740</v>
      </c>
      <c r="G253">
        <f t="shared" si="6"/>
        <v>1572.5968476753728</v>
      </c>
      <c r="H253" cm="1">
        <f t="array" ref="H253">SUMPRODUCT((Final_Merged_Data!$B$2:$B$1000=$A253)*Final_Merged_Data!$H$2:$H$1000*Final_Merged_Data!$F$2:$F$1000)/F253</f>
        <v>3.6660188937272831</v>
      </c>
      <c r="I253" cm="1">
        <f t="array" ref="I253">SUMPRODUCT((Final_Merged_Data!$B$2:$B$1000=$A253)*Final_Merged_Data!$I$2:$I$1000*Final_Merged_Data!$F$2:$F$1000)/F253</f>
        <v>74.437526685140526</v>
      </c>
      <c r="J253" t="str" cm="1">
        <f t="array" ref="J253">_xlfn.TEXTJOIN(", ",TRUE,_xlfn.UNIQUE(_xlfn._xlws.FILTER(Final_Merged_Data!$J$2:$J$1000,Final_Merged_Data!$B$2:$B$1000=$A253)))</f>
        <v>Rajshahi Range</v>
      </c>
      <c r="K253" cm="1">
        <f t="array" ref="K253">SUMPRODUCT((Final_Merged_Data!$B$2:$B$1000=$A253)*Final_Merged_Data!$K$2:$K$1000*Final_Merged_Data!$F$2:$F$1000)/F253</f>
        <v>112.81411131450231</v>
      </c>
      <c r="L253" cm="1">
        <f t="array" ref="L253">SUMPRODUCT((Final_Merged_Data!$B$2:$B$1000=$A253)*Final_Merged_Data!$L$2:$L$1000*Final_Merged_Data!$F$2:$F$1000)/F253</f>
        <v>14.272851259111949</v>
      </c>
      <c r="M253" t="str">
        <f>IF(COUNTIF(Master_Data!$C:$C,$A253)&gt;0,"Found","Missing")</f>
        <v>Found</v>
      </c>
      <c r="N253" t="str">
        <f>_xlfn.XLOOKUP($A253,Master_Data!$C:$C,Master_Data!$D:$D,"CHECK",0)</f>
        <v>Shofiqul Haque Milon</v>
      </c>
      <c r="O253" t="str">
        <f>_xlfn.XLOOKUP($A253,Master_Data!$C:$C,Master_Data!$E:$E,"CHECK",0)</f>
        <v>BNP</v>
      </c>
      <c r="P253">
        <f>_xlfn.XLOOKUP($A253,Master_Data!$C:$C,Master_Data!$F:$F,"CHECK",0)</f>
        <v>1</v>
      </c>
      <c r="Q253">
        <f>_xlfn.XLOOKUP($A253,Master_Data!$C:$C,Master_Data!$G:$G,"CHECK",0)</f>
        <v>176318</v>
      </c>
      <c r="R253">
        <f>IFERROR(_xlfn.XLOOKUP($A253,Master_Data!$C:$C,Master_Data!$H:$H,"CHECK",0),"")</f>
        <v>56.108450412894392</v>
      </c>
      <c r="S253" t="str">
        <f>_xlfn.XLOOKUP($A253,Master_Data!$C:$C,Master_Data!$I:$I,"CHECK",0)</f>
        <v>Md. Abul Kalam Azad</v>
      </c>
      <c r="T253">
        <f>_xlfn.XLOOKUP($A253,Master_Data!$C:$C,Master_Data!$K:$K,"CHECK",0)</f>
        <v>137927</v>
      </c>
      <c r="U253">
        <f>IFERROR(_xlfn.XLOOKUP($A253,Master_Data!$C:$C,Master_Data!$L:$L,"CHECK",0),"")</f>
        <v>43.891549587105608</v>
      </c>
      <c r="V253">
        <f>_xlfn.XLOOKUP($A253,Master_Data!$C:$C,Master_Data!$M:$M,"CHECK",0)</f>
        <v>38391</v>
      </c>
      <c r="W253">
        <f>IFERROR(_xlfn.XLOOKUP($A253,Master_Data!$C:$C,Master_Data!$N:$N,"CHECK",0),"")</f>
        <v>12.216900825788796</v>
      </c>
      <c r="X253" t="str">
        <f>IFERROR(_xlfn.XLOOKUP($A253,Master_Data!$C:$C,Master_Data!$O:$O,"CHECK",0),"No Result")</f>
        <v>Safe Seat</v>
      </c>
      <c r="Y253">
        <f>_xlfn.XLOOKUP($A253,Master_Data!$C:$C,Master_Data!$P:$P,"CHECK",0)</f>
        <v>0</v>
      </c>
      <c r="Z253">
        <f t="shared" si="7"/>
        <v>1</v>
      </c>
      <c r="AA253">
        <f>_xlfn.XLOOKUP(B253,Remittance_Data!A:A,Remittance_Data!B:B,"CHECK")</f>
        <v>17411</v>
      </c>
      <c r="AB253">
        <f>_xlfn.XLOOKUP(B253,Remittance_Data!A:A,Remittance_Data!C:C,"CHECK")</f>
        <v>12083</v>
      </c>
      <c r="AC253">
        <f>_xlfn.XLOOKUP(B253,Remittance_Data!A:A,Remittance_Data!D:D,"CHECK")</f>
        <v>5328</v>
      </c>
    </row>
    <row r="254" spans="1:29">
      <c r="A254" t="str">
        <v>Rajshahi-4</v>
      </c>
      <c r="B254" t="str" cm="1">
        <f t="array" ref="B25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Nawabganj","Chapainawabganj"),Final_Merged_Data!$B$2:$B$1000=$A254)))</f>
        <v>Rajshahi</v>
      </c>
      <c r="C254" t="str" cm="1">
        <f t="array" ref="C254">_xlfn.TEXTJOIN(", ",TRUE,_xlfn._xlws.FILTER(Final_Merged_Data!$C$2:$C$1000,Final_Merged_Data!$B$2:$B$1000=$A254))</f>
        <v>Bagmara</v>
      </c>
      <c r="D254" cm="1">
        <f t="array" ref="D254">COUNTA(_xlfn._xlws.FILTER(Final_Merged_Data!$C$2:$C$1000,Final_Merged_Data!$B$2:$B$1000=$A254))</f>
        <v>1</v>
      </c>
      <c r="E254">
        <f>SUMIFS(Final_Merged_Data!$E:$E,Final_Merged_Data!$B:$B,$A254)</f>
        <v>363.56</v>
      </c>
      <c r="F254">
        <f>SUMIFS(Final_Merged_Data!$F:$F,Final_Merged_Data!$B:$B,$A254)</f>
        <v>373945</v>
      </c>
      <c r="G254">
        <f t="shared" si="6"/>
        <v>1028.5647485972054</v>
      </c>
      <c r="H254" cm="1">
        <f t="array" ref="H254">SUMPRODUCT((Final_Merged_Data!$B$2:$B$1000=$A254)*Final_Merged_Data!$H$2:$H$1000*Final_Merged_Data!$F$2:$F$1000)/F254</f>
        <v>3.5</v>
      </c>
      <c r="I254" cm="1">
        <f t="array" ref="I254">SUMPRODUCT((Final_Merged_Data!$B$2:$B$1000=$A254)*Final_Merged_Data!$I$2:$I$1000*Final_Merged_Data!$F$2:$F$1000)/F254</f>
        <v>69.209999999999994</v>
      </c>
      <c r="J254" t="str" cm="1">
        <f t="array" ref="J254">_xlfn.TEXTJOIN(", ",TRUE,_xlfn.UNIQUE(_xlfn._xlws.FILTER(Final_Merged_Data!$J$2:$J$1000,Final_Merged_Data!$B$2:$B$1000=$A254)))</f>
        <v>Rajshahi Range</v>
      </c>
      <c r="K254" cm="1">
        <f t="array" ref="K254">SUMPRODUCT((Final_Merged_Data!$B$2:$B$1000=$A254)*Final_Merged_Data!$K$2:$K$1000*Final_Merged_Data!$F$2:$F$1000)/F254</f>
        <v>112.81411131450231</v>
      </c>
      <c r="L254" cm="1">
        <f t="array" ref="L254">SUMPRODUCT((Final_Merged_Data!$B$2:$B$1000=$A254)*Final_Merged_Data!$L$2:$L$1000*Final_Merged_Data!$F$2:$F$1000)/F254</f>
        <v>14.272851259111951</v>
      </c>
      <c r="M254" t="str">
        <f>IF(COUNTIF(Master_Data!$C:$C,$A254)&gt;0,"Found","Missing")</f>
        <v>Found</v>
      </c>
      <c r="N254" t="str">
        <f>_xlfn.XLOOKUP($A254,Master_Data!$C:$C,Master_Data!$D:$D,"CHECK",0)</f>
        <v>Md. Abdul Bari</v>
      </c>
      <c r="O254" t="str">
        <f>_xlfn.XLOOKUP($A254,Master_Data!$C:$C,Master_Data!$E:$E,"CHECK",0)</f>
        <v>Jamaat</v>
      </c>
      <c r="P254">
        <f>_xlfn.XLOOKUP($A254,Master_Data!$C:$C,Master_Data!$F:$F,"CHECK",0)</f>
        <v>2</v>
      </c>
      <c r="Q254">
        <f>_xlfn.XLOOKUP($A254,Master_Data!$C:$C,Master_Data!$G:$G,"CHECK",0)</f>
        <v>115226</v>
      </c>
      <c r="R254">
        <f>IFERROR(_xlfn.XLOOKUP($A254,Master_Data!$C:$C,Master_Data!$H:$H,"CHECK",0),"")</f>
        <v>51.282895761659553</v>
      </c>
      <c r="S254" t="str">
        <f>_xlfn.XLOOKUP($A254,Master_Data!$C:$C,Master_Data!$I:$I,"CHECK",0)</f>
        <v>Ziaur Rahman</v>
      </c>
      <c r="T254">
        <f>_xlfn.XLOOKUP($A254,Master_Data!$C:$C,Master_Data!$K:$K,"CHECK",0)</f>
        <v>109461</v>
      </c>
      <c r="U254">
        <f>IFERROR(_xlfn.XLOOKUP($A254,Master_Data!$C:$C,Master_Data!$L:$L,"CHECK",0),"")</f>
        <v>48.717104238340447</v>
      </c>
      <c r="V254">
        <f>_xlfn.XLOOKUP($A254,Master_Data!$C:$C,Master_Data!$M:$M,"CHECK",0)</f>
        <v>5765</v>
      </c>
      <c r="W254">
        <f>IFERROR(_xlfn.XLOOKUP($A254,Master_Data!$C:$C,Master_Data!$N:$N,"CHECK",0),"")</f>
        <v>2.5657915233191062</v>
      </c>
      <c r="X254" t="str">
        <f>IFERROR(_xlfn.XLOOKUP($A254,Master_Data!$C:$C,Master_Data!$O:$O,"CHECK",0),"No Result")</f>
        <v>Highly Competitive</v>
      </c>
      <c r="Y254">
        <f>_xlfn.XLOOKUP($A254,Master_Data!$C:$C,Master_Data!$P:$P,"CHECK",0)</f>
        <v>0</v>
      </c>
      <c r="Z254">
        <f t="shared" si="7"/>
        <v>1</v>
      </c>
      <c r="AA254">
        <f>_xlfn.XLOOKUP(B254,Remittance_Data!A:A,Remittance_Data!B:B,"CHECK")</f>
        <v>17411</v>
      </c>
      <c r="AB254">
        <f>_xlfn.XLOOKUP(B254,Remittance_Data!A:A,Remittance_Data!C:C,"CHECK")</f>
        <v>12083</v>
      </c>
      <c r="AC254">
        <f>_xlfn.XLOOKUP(B254,Remittance_Data!A:A,Remittance_Data!D:D,"CHECK")</f>
        <v>5328</v>
      </c>
    </row>
    <row r="255" spans="1:29">
      <c r="A255" t="str">
        <v>Rajshahi-5</v>
      </c>
      <c r="B255" t="str" cm="1">
        <f t="array" ref="B25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Nawabganj","Chapainawabganj"),Final_Merged_Data!$B$2:$B$1000=$A255)))</f>
        <v>Rajshahi</v>
      </c>
      <c r="C255" t="str" cm="1">
        <f t="array" ref="C255">_xlfn.TEXTJOIN(", ",TRUE,_xlfn._xlws.FILTER(Final_Merged_Data!$C$2:$C$1000,Final_Merged_Data!$B$2:$B$1000=$A255))</f>
        <v>Durgapur, Puthia</v>
      </c>
      <c r="D255" cm="1">
        <f t="array" ref="D255">COUNTA(_xlfn._xlws.FILTER(Final_Merged_Data!$C$2:$C$1000,Final_Merged_Data!$B$2:$B$1000=$A255))</f>
        <v>2</v>
      </c>
      <c r="E255">
        <f>SUMIFS(Final_Merged_Data!$E:$E,Final_Merged_Data!$B:$B,$A255)</f>
        <v>527.76</v>
      </c>
      <c r="F255">
        <f>SUMIFS(Final_Merged_Data!$F:$F,Final_Merged_Data!$B:$B,$A255)</f>
        <v>466576</v>
      </c>
      <c r="G255">
        <f t="shared" si="6"/>
        <v>884.06851599211768</v>
      </c>
      <c r="H255" cm="1">
        <f t="array" ref="H255">SUMPRODUCT((Final_Merged_Data!$B$2:$B$1000=$A255)*Final_Merged_Data!$H$2:$H$1000*Final_Merged_Data!$F$2:$F$1000)/F255</f>
        <v>3.8350092375090017</v>
      </c>
      <c r="I255" cm="1">
        <f t="array" ref="I255">SUMPRODUCT((Final_Merged_Data!$B$2:$B$1000=$A255)*Final_Merged_Data!$I$2:$I$1000*Final_Merged_Data!$F$2:$F$1000)/F255</f>
        <v>69.051384190356984</v>
      </c>
      <c r="J255" t="str" cm="1">
        <f t="array" ref="J255">_xlfn.TEXTJOIN(", ",TRUE,_xlfn.UNIQUE(_xlfn._xlws.FILTER(Final_Merged_Data!$J$2:$J$1000,Final_Merged_Data!$B$2:$B$1000=$A255)))</f>
        <v>Rajshahi Range</v>
      </c>
      <c r="K255" cm="1">
        <f t="array" ref="K255">SUMPRODUCT((Final_Merged_Data!$B$2:$B$1000=$A255)*Final_Merged_Data!$K$2:$K$1000*Final_Merged_Data!$F$2:$F$1000)/F255</f>
        <v>112.81411131450233</v>
      </c>
      <c r="L255" cm="1">
        <f t="array" ref="L255">SUMPRODUCT((Final_Merged_Data!$B$2:$B$1000=$A255)*Final_Merged_Data!$L$2:$L$1000*Final_Merged_Data!$F$2:$F$1000)/F255</f>
        <v>14.272851259111949</v>
      </c>
      <c r="M255" t="str">
        <f>IF(COUNTIF(Master_Data!$C:$C,$A255)&gt;0,"Found","Missing")</f>
        <v>Found</v>
      </c>
      <c r="N255" t="str">
        <f>_xlfn.XLOOKUP($A255,Master_Data!$C:$C,Master_Data!$D:$D,"CHECK",0)</f>
        <v>Nazrul Islam Mondol</v>
      </c>
      <c r="O255" t="str">
        <f>_xlfn.XLOOKUP($A255,Master_Data!$C:$C,Master_Data!$E:$E,"CHECK",0)</f>
        <v>BNP</v>
      </c>
      <c r="P255">
        <f>_xlfn.XLOOKUP($A255,Master_Data!$C:$C,Master_Data!$F:$F,"CHECK",0)</f>
        <v>1</v>
      </c>
      <c r="Q255">
        <f>_xlfn.XLOOKUP($A255,Master_Data!$C:$C,Master_Data!$G:$G,"CHECK",0)</f>
        <v>153425</v>
      </c>
      <c r="R255">
        <f>IFERROR(_xlfn.XLOOKUP($A255,Master_Data!$C:$C,Master_Data!$H:$H,"CHECK",0),"")</f>
        <v>67.626834751179089</v>
      </c>
      <c r="S255" t="str">
        <f>_xlfn.XLOOKUP($A255,Master_Data!$C:$C,Master_Data!$I:$I,"CHECK",0)</f>
        <v>Manzoor Rahman</v>
      </c>
      <c r="T255">
        <f>_xlfn.XLOOKUP($A255,Master_Data!$C:$C,Master_Data!$K:$K,"CHECK",0)</f>
        <v>73445</v>
      </c>
      <c r="U255">
        <f>IFERROR(_xlfn.XLOOKUP($A255,Master_Data!$C:$C,Master_Data!$L:$L,"CHECK",0),"")</f>
        <v>32.373165248820911</v>
      </c>
      <c r="V255">
        <f>_xlfn.XLOOKUP($A255,Master_Data!$C:$C,Master_Data!$M:$M,"CHECK",0)</f>
        <v>79980</v>
      </c>
      <c r="W255">
        <f>IFERROR(_xlfn.XLOOKUP($A255,Master_Data!$C:$C,Master_Data!$N:$N,"CHECK",0),"")</f>
        <v>35.253669502358179</v>
      </c>
      <c r="X255" t="str">
        <f>IFERROR(_xlfn.XLOOKUP($A255,Master_Data!$C:$C,Master_Data!$O:$O,"CHECK",0),"No Result")</f>
        <v>Safe Seat</v>
      </c>
      <c r="Y255">
        <f>_xlfn.XLOOKUP($A255,Master_Data!$C:$C,Master_Data!$P:$P,"CHECK",0)</f>
        <v>0</v>
      </c>
      <c r="Z255">
        <f t="shared" si="7"/>
        <v>1</v>
      </c>
      <c r="AA255">
        <f>_xlfn.XLOOKUP(B255,Remittance_Data!A:A,Remittance_Data!B:B,"CHECK")</f>
        <v>17411</v>
      </c>
      <c r="AB255">
        <f>_xlfn.XLOOKUP(B255,Remittance_Data!A:A,Remittance_Data!C:C,"CHECK")</f>
        <v>12083</v>
      </c>
      <c r="AC255">
        <f>_xlfn.XLOOKUP(B255,Remittance_Data!A:A,Remittance_Data!D:D,"CHECK")</f>
        <v>5328</v>
      </c>
    </row>
    <row r="256" spans="1:29">
      <c r="A256" t="str">
        <v>Rajshahi-6</v>
      </c>
      <c r="B256" t="str" cm="1">
        <f t="array" ref="B25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Nawabganj","Chapainawabganj"),Final_Merged_Data!$B$2:$B$1000=$A256)))</f>
        <v>Rajshahi</v>
      </c>
      <c r="C256" t="str" cm="1">
        <f t="array" ref="C256">_xlfn.TEXTJOIN(", ",TRUE,_xlfn._xlws.FILTER(Final_Merged_Data!$C$2:$C$1000,Final_Merged_Data!$B$2:$B$1000=$A256))</f>
        <v>Bagha, Charghat</v>
      </c>
      <c r="D256" cm="1">
        <f t="array" ref="D256">COUNTA(_xlfn._xlws.FILTER(Final_Merged_Data!$C$2:$C$1000,Final_Merged_Data!$B$2:$B$1000=$A256))</f>
        <v>2</v>
      </c>
      <c r="E256">
        <f>SUMIFS(Final_Merged_Data!$E:$E,Final_Merged_Data!$B:$B,$A256)</f>
        <v>405.99</v>
      </c>
      <c r="F256">
        <f>SUMIFS(Final_Merged_Data!$F:$F,Final_Merged_Data!$B:$B,$A256)</f>
        <v>420719</v>
      </c>
      <c r="G256">
        <f t="shared" si="6"/>
        <v>1036.2792186999679</v>
      </c>
      <c r="H256" cm="1">
        <f t="array" ref="H256">SUMPRODUCT((Final_Merged_Data!$B$2:$B$1000=$A256)*Final_Merged_Data!$H$2:$H$1000*Final_Merged_Data!$F$2:$F$1000)/F256</f>
        <v>3.6406880364328682</v>
      </c>
      <c r="I256" cm="1">
        <f t="array" ref="I256">SUMPRODUCT((Final_Merged_Data!$B$2:$B$1000=$A256)*Final_Merged_Data!$I$2:$I$1000*Final_Merged_Data!$F$2:$F$1000)/F256</f>
        <v>70.55699369412838</v>
      </c>
      <c r="J256" t="str" cm="1">
        <f t="array" ref="J256">_xlfn.TEXTJOIN(", ",TRUE,_xlfn.UNIQUE(_xlfn._xlws.FILTER(Final_Merged_Data!$J$2:$J$1000,Final_Merged_Data!$B$2:$B$1000=$A256)))</f>
        <v>Rajshahi Range</v>
      </c>
      <c r="K256" cm="1">
        <f t="array" ref="K256">SUMPRODUCT((Final_Merged_Data!$B$2:$B$1000=$A256)*Final_Merged_Data!$K$2:$K$1000*Final_Merged_Data!$F$2:$F$1000)/F256</f>
        <v>112.81411131450233</v>
      </c>
      <c r="L256" cm="1">
        <f t="array" ref="L256">SUMPRODUCT((Final_Merged_Data!$B$2:$B$1000=$A256)*Final_Merged_Data!$L$2:$L$1000*Final_Merged_Data!$F$2:$F$1000)/F256</f>
        <v>14.272851259111951</v>
      </c>
      <c r="M256" t="str">
        <f>IF(COUNTIF(Master_Data!$C:$C,$A256)&gt;0,"Found","Missing")</f>
        <v>Found</v>
      </c>
      <c r="N256" t="str">
        <f>_xlfn.XLOOKUP($A256,Master_Data!$C:$C,Master_Data!$D:$D,"CHECK",0)</f>
        <v>Md. Abu Said Chand</v>
      </c>
      <c r="O256" t="str">
        <f>_xlfn.XLOOKUP($A256,Master_Data!$C:$C,Master_Data!$E:$E,"CHECK",0)</f>
        <v>BNP</v>
      </c>
      <c r="P256">
        <f>_xlfn.XLOOKUP($A256,Master_Data!$C:$C,Master_Data!$F:$F,"CHECK",0)</f>
        <v>1</v>
      </c>
      <c r="Q256">
        <f>_xlfn.XLOOKUP($A256,Master_Data!$C:$C,Master_Data!$G:$G,"CHECK",0)</f>
        <v>148672</v>
      </c>
      <c r="R256">
        <f>IFERROR(_xlfn.XLOOKUP($A256,Master_Data!$C:$C,Master_Data!$H:$H,"CHECK",0),"")</f>
        <v>61.527001245670156</v>
      </c>
      <c r="S256" t="str">
        <f>_xlfn.XLOOKUP($A256,Master_Data!$C:$C,Master_Data!$I:$I,"CHECK",0)</f>
        <v>Md. Nazmul Haque</v>
      </c>
      <c r="T256">
        <f>_xlfn.XLOOKUP($A256,Master_Data!$C:$C,Master_Data!$K:$K,"CHECK",0)</f>
        <v>92965</v>
      </c>
      <c r="U256">
        <f>IFERROR(_xlfn.XLOOKUP($A256,Master_Data!$C:$C,Master_Data!$L:$L,"CHECK",0),"")</f>
        <v>38.472998754329844</v>
      </c>
      <c r="V256">
        <f>_xlfn.XLOOKUP($A256,Master_Data!$C:$C,Master_Data!$M:$M,"CHECK",0)</f>
        <v>55707</v>
      </c>
      <c r="W256">
        <f>IFERROR(_xlfn.XLOOKUP($A256,Master_Data!$C:$C,Master_Data!$N:$N,"CHECK",0),"")</f>
        <v>23.054002491340317</v>
      </c>
      <c r="X256" t="str">
        <f>IFERROR(_xlfn.XLOOKUP($A256,Master_Data!$C:$C,Master_Data!$O:$O,"CHECK",0),"No Result")</f>
        <v>Safe Seat</v>
      </c>
      <c r="Y256">
        <f>_xlfn.XLOOKUP($A256,Master_Data!$C:$C,Master_Data!$P:$P,"CHECK",0)</f>
        <v>0</v>
      </c>
      <c r="Z256">
        <f t="shared" si="7"/>
        <v>1</v>
      </c>
      <c r="AA256">
        <f>_xlfn.XLOOKUP(B256,Remittance_Data!A:A,Remittance_Data!B:B,"CHECK")</f>
        <v>17411</v>
      </c>
      <c r="AB256">
        <f>_xlfn.XLOOKUP(B256,Remittance_Data!A:A,Remittance_Data!C:C,"CHECK")</f>
        <v>12083</v>
      </c>
      <c r="AC256">
        <f>_xlfn.XLOOKUP(B256,Remittance_Data!A:A,Remittance_Data!D:D,"CHECK")</f>
        <v>5328</v>
      </c>
    </row>
    <row r="257" spans="1:29">
      <c r="A257" t="str">
        <v>Rangamati-1</v>
      </c>
      <c r="B257" t="str" cm="1">
        <f t="array" ref="B25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Nawabganj","Chapainawabganj"),Final_Merged_Data!$B$2:$B$1000=$A257)))</f>
        <v>Rangamati</v>
      </c>
      <c r="C257" t="str" cm="1">
        <f t="array" ref="C257">_xlfn.TEXTJOIN(", ",TRUE,_xlfn._xlws.FILTER(Final_Merged_Data!$C$2:$C$1000,Final_Merged_Data!$B$2:$B$1000=$A257))</f>
        <v>Rangamati Sadar, Kaptai, Kawkhali, Belaichhari, Baghaichhari, Barkal, Jurachhari, Rajasthali</v>
      </c>
      <c r="D257" cm="1">
        <f t="array" ref="D257">COUNTA(_xlfn._xlws.FILTER(Final_Merged_Data!$C$2:$C$1000,Final_Merged_Data!$B$2:$B$1000=$A257))</f>
        <v>8</v>
      </c>
      <c r="E257">
        <f>SUMIFS(Final_Merged_Data!$E:$E,Final_Merged_Data!$B:$B,$A257)</f>
        <v>4305.17</v>
      </c>
      <c r="F257">
        <f>SUMIFS(Final_Merged_Data!$F:$F,Final_Merged_Data!$B:$B,$A257)</f>
        <v>513105</v>
      </c>
      <c r="G257">
        <f t="shared" si="6"/>
        <v>119.18344687898504</v>
      </c>
      <c r="H257" cm="1">
        <f t="array" ref="H257">SUMPRODUCT((Final_Merged_Data!$B$2:$B$1000=$A257)*Final_Merged_Data!$H$2:$H$1000*Final_Merged_Data!$F$2:$F$1000)/F257</f>
        <v>4.0771271182311617</v>
      </c>
      <c r="I257" cm="1">
        <f t="array" ref="I257">SUMPRODUCT((Final_Merged_Data!$B$2:$B$1000=$A257)*Final_Merged_Data!$I$2:$I$1000*Final_Merged_Data!$F$2:$F$1000)/F257</f>
        <v>73.844935948782407</v>
      </c>
      <c r="J257" t="str" cm="1">
        <f t="array" ref="J257">_xlfn.TEXTJOIN(", ",TRUE,_xlfn.UNIQUE(_xlfn._xlws.FILTER(Final_Merged_Data!$J$2:$J$1000,Final_Merged_Data!$B$2:$B$1000=$A257)))</f>
        <v>Chittagong Range</v>
      </c>
      <c r="K257" cm="1">
        <f t="array" ref="K257">SUMPRODUCT((Final_Merged_Data!$B$2:$B$1000=$A257)*Final_Merged_Data!$K$2:$K$1000*Final_Merged_Data!$F$2:$F$1000)/F257</f>
        <v>84.879645400600893</v>
      </c>
      <c r="L257" cm="1">
        <f t="array" ref="L257">SUMPRODUCT((Final_Merged_Data!$B$2:$B$1000=$A257)*Final_Merged_Data!$L$2:$L$1000*Final_Merged_Data!$F$2:$F$1000)/F257</f>
        <v>10.309673910686193</v>
      </c>
      <c r="M257" t="str">
        <f>IF(COUNTIF(Master_Data!$C:$C,$A257)&gt;0,"Found","Missing")</f>
        <v>Found</v>
      </c>
      <c r="N257" t="str">
        <f>_xlfn.XLOOKUP($A257,Master_Data!$C:$C,Master_Data!$D:$D,"CHECK",0)</f>
        <v>Dipen Dewan</v>
      </c>
      <c r="O257" t="str">
        <f>_xlfn.XLOOKUP($A257,Master_Data!$C:$C,Master_Data!$E:$E,"CHECK",0)</f>
        <v>BNP</v>
      </c>
      <c r="P257">
        <f>_xlfn.XLOOKUP($A257,Master_Data!$C:$C,Master_Data!$F:$F,"CHECK",0)</f>
        <v>1</v>
      </c>
      <c r="Q257">
        <f>_xlfn.XLOOKUP($A257,Master_Data!$C:$C,Master_Data!$G:$G,"CHECK",0)</f>
        <v>201544</v>
      </c>
      <c r="R257">
        <f>IFERROR(_xlfn.XLOOKUP($A257,Master_Data!$C:$C,Master_Data!$H:$H,"CHECK",0),"")</f>
        <v>86.58652896041518</v>
      </c>
      <c r="S257" t="str">
        <f>_xlfn.XLOOKUP($A257,Master_Data!$C:$C,Master_Data!$I:$I,"CHECK",0)</f>
        <v>Pahel Chakma</v>
      </c>
      <c r="T257">
        <f>_xlfn.XLOOKUP($A257,Master_Data!$C:$C,Master_Data!$K:$K,"CHECK",0)</f>
        <v>31222</v>
      </c>
      <c r="U257">
        <f>IFERROR(_xlfn.XLOOKUP($A257,Master_Data!$C:$C,Master_Data!$L:$L,"CHECK",0),"")</f>
        <v>13.413471039584818</v>
      </c>
      <c r="V257">
        <f>_xlfn.XLOOKUP($A257,Master_Data!$C:$C,Master_Data!$M:$M,"CHECK",0)</f>
        <v>170322</v>
      </c>
      <c r="W257">
        <f>IFERROR(_xlfn.XLOOKUP($A257,Master_Data!$C:$C,Master_Data!$N:$N,"CHECK",0),"")</f>
        <v>73.17305792083036</v>
      </c>
      <c r="X257" t="str">
        <f>IFERROR(_xlfn.XLOOKUP($A257,Master_Data!$C:$C,Master_Data!$O:$O,"CHECK",0),"No Result")</f>
        <v>Safe Seat</v>
      </c>
      <c r="Y257">
        <f>_xlfn.XLOOKUP($A257,Master_Data!$C:$C,Master_Data!$P:$P,"CHECK",0)</f>
        <v>0</v>
      </c>
      <c r="Z257">
        <f t="shared" si="7"/>
        <v>1</v>
      </c>
      <c r="AA257">
        <f>_xlfn.XLOOKUP(B257,Remittance_Data!A:A,Remittance_Data!B:B,"CHECK")</f>
        <v>4548</v>
      </c>
      <c r="AB257">
        <f>_xlfn.XLOOKUP(B257,Remittance_Data!A:A,Remittance_Data!C:C,"CHECK")</f>
        <v>2082</v>
      </c>
      <c r="AC257">
        <f>_xlfn.XLOOKUP(B257,Remittance_Data!A:A,Remittance_Data!D:D,"CHECK")</f>
        <v>2466</v>
      </c>
    </row>
    <row r="258" spans="1:29">
      <c r="A258" t="str">
        <v>Rangpur-1</v>
      </c>
      <c r="B258" t="str" cm="1">
        <f t="array" ref="B25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Nawabganj","Chapainawabganj"),Final_Merged_Data!$B$2:$B$1000=$A258)))</f>
        <v>Rangpur</v>
      </c>
      <c r="C258" t="str" cm="1">
        <f t="array" ref="C258">_xlfn.TEXTJOIN(", ",TRUE,_xlfn._xlws.FILTER(Final_Merged_Data!$C$2:$C$1000,Final_Merged_Data!$B$2:$B$1000=$A258))</f>
        <v>Gangachara, Rangpur Sadar</v>
      </c>
      <c r="D258" cm="1">
        <f t="array" ref="D258">COUNTA(_xlfn._xlws.FILTER(Final_Merged_Data!$C$2:$C$1000,Final_Merged_Data!$B$2:$B$1000=$A258))</f>
        <v>2</v>
      </c>
      <c r="E258">
        <f>SUMIFS(Final_Merged_Data!$E:$E,Final_Merged_Data!$B:$B,$A258)</f>
        <v>566.77</v>
      </c>
      <c r="F258">
        <f>SUMIFS(Final_Merged_Data!$F:$F,Final_Merged_Data!$B:$B,$A258)</f>
        <v>465394</v>
      </c>
      <c r="G258">
        <f t="shared" si="6"/>
        <v>821.13379324946629</v>
      </c>
      <c r="H258" cm="1">
        <f t="array" ref="H258">SUMPRODUCT((Final_Merged_Data!$B$2:$B$1000=$A258)*Final_Merged_Data!$H$2:$H$1000*Final_Merged_Data!$F$2:$F$1000)/F258</f>
        <v>3.8438389837428075</v>
      </c>
      <c r="I258" cm="1">
        <f t="array" ref="I258">SUMPRODUCT((Final_Merged_Data!$B$2:$B$1000=$A258)*Final_Merged_Data!$I$2:$I$1000*Final_Merged_Data!$F$2:$F$1000)/F258</f>
        <v>67.266559431363532</v>
      </c>
      <c r="J258" t="str" cm="1">
        <f t="array" ref="J258">_xlfn.TEXTJOIN(", ",TRUE,_xlfn.UNIQUE(_xlfn._xlws.FILTER(Final_Merged_Data!$J$2:$J$1000,Final_Merged_Data!$B$2:$B$1000=$A258)))</f>
        <v>Rangpur Range</v>
      </c>
      <c r="K258" cm="1">
        <f t="array" ref="K258">SUMPRODUCT((Final_Merged_Data!$B$2:$B$1000=$A258)*Final_Merged_Data!$K$2:$K$1000*Final_Merged_Data!$F$2:$F$1000)/F258</f>
        <v>101.9086951338524</v>
      </c>
      <c r="L258" cm="1">
        <f t="array" ref="L258">SUMPRODUCT((Final_Merged_Data!$B$2:$B$1000=$A258)*Final_Merged_Data!$L$2:$L$1000*Final_Merged_Data!$F$2:$F$1000)/F258</f>
        <v>15.175373179583827</v>
      </c>
      <c r="M258" t="str">
        <f>IF(COUNTIF(Master_Data!$C:$C,$A258)&gt;0,"Found","Missing")</f>
        <v>Found</v>
      </c>
      <c r="N258" t="str">
        <f>_xlfn.XLOOKUP($A258,Master_Data!$C:$C,Master_Data!$D:$D,"CHECK",0)</f>
        <v>Raihan Siraji</v>
      </c>
      <c r="O258" t="str">
        <f>_xlfn.XLOOKUP($A258,Master_Data!$C:$C,Master_Data!$E:$E,"CHECK",0)</f>
        <v>Jamaat</v>
      </c>
      <c r="P258">
        <f>_xlfn.XLOOKUP($A258,Master_Data!$C:$C,Master_Data!$F:$F,"CHECK",0)</f>
        <v>2</v>
      </c>
      <c r="Q258">
        <f>_xlfn.XLOOKUP($A258,Master_Data!$C:$C,Master_Data!$G:$G,"CHECK",0)</f>
        <v>145088</v>
      </c>
      <c r="R258">
        <f>IFERROR(_xlfn.XLOOKUP($A258,Master_Data!$C:$C,Master_Data!$H:$H,"CHECK",0),"")</f>
        <v>67.641669968996936</v>
      </c>
      <c r="S258" t="str">
        <f>_xlfn.XLOOKUP($A258,Master_Data!$C:$C,Master_Data!$I:$I,"CHECK",0)</f>
        <v>Md. Mokarram Hossain Sujan</v>
      </c>
      <c r="T258">
        <f>_xlfn.XLOOKUP($A258,Master_Data!$C:$C,Master_Data!$K:$K,"CHECK",0)</f>
        <v>69407</v>
      </c>
      <c r="U258">
        <f>IFERROR(_xlfn.XLOOKUP($A258,Master_Data!$C:$C,Master_Data!$L:$L,"CHECK",0),"")</f>
        <v>32.358330031003049</v>
      </c>
      <c r="V258">
        <f>_xlfn.XLOOKUP($A258,Master_Data!$C:$C,Master_Data!$M:$M,"CHECK",0)</f>
        <v>75681</v>
      </c>
      <c r="W258">
        <f>IFERROR(_xlfn.XLOOKUP($A258,Master_Data!$C:$C,Master_Data!$N:$N,"CHECK",0),"")</f>
        <v>35.283339937993894</v>
      </c>
      <c r="X258" t="str">
        <f>IFERROR(_xlfn.XLOOKUP($A258,Master_Data!$C:$C,Master_Data!$O:$O,"CHECK",0),"No Result")</f>
        <v>Safe Seat</v>
      </c>
      <c r="Y258">
        <f>_xlfn.XLOOKUP($A258,Master_Data!$C:$C,Master_Data!$P:$P,"CHECK",0)</f>
        <v>0</v>
      </c>
      <c r="Z258">
        <f t="shared" si="7"/>
        <v>1</v>
      </c>
      <c r="AA258">
        <f>_xlfn.XLOOKUP(B258,Remittance_Data!A:A,Remittance_Data!B:B,"CHECK")</f>
        <v>8897</v>
      </c>
      <c r="AB258">
        <f>_xlfn.XLOOKUP(B258,Remittance_Data!A:A,Remittance_Data!C:C,"CHECK")</f>
        <v>6286</v>
      </c>
      <c r="AC258">
        <f>_xlfn.XLOOKUP(B258,Remittance_Data!A:A,Remittance_Data!D:D,"CHECK")</f>
        <v>2611</v>
      </c>
    </row>
    <row r="259" spans="1:29">
      <c r="A259" t="str">
        <v>Rangpur-2</v>
      </c>
      <c r="B259" t="str" cm="1">
        <f t="array" ref="B25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Nawabganj","Chapainawabganj"),Final_Merged_Data!$B$2:$B$1000=$A259)))</f>
        <v>Rangpur</v>
      </c>
      <c r="C259" t="str" cm="1">
        <f t="array" ref="C259">_xlfn.TEXTJOIN(", ",TRUE,_xlfn._xlws.FILTER(Final_Merged_Data!$C$2:$C$1000,Final_Merged_Data!$B$2:$B$1000=$A259))</f>
        <v>Badarganj, Taraganj</v>
      </c>
      <c r="D259" cm="1">
        <f t="array" ref="D259">COUNTA(_xlfn._xlws.FILTER(Final_Merged_Data!$C$2:$C$1000,Final_Merged_Data!$B$2:$B$1000=$A259))</f>
        <v>2</v>
      </c>
      <c r="E259">
        <f>SUMIFS(Final_Merged_Data!$E:$E,Final_Merged_Data!$B:$B,$A259)</f>
        <v>398.82</v>
      </c>
      <c r="F259">
        <f>SUMIFS(Final_Merged_Data!$F:$F,Final_Merged_Data!$B:$B,$A259)</f>
        <v>475729</v>
      </c>
      <c r="G259">
        <f t="shared" ref="G259:G301" si="8">IF(E259=0,"",F259/E259)</f>
        <v>1192.8413820771275</v>
      </c>
      <c r="H259" cm="1">
        <f t="array" ref="H259">SUMPRODUCT((Final_Merged_Data!$B$2:$B$1000=$A259)*Final_Merged_Data!$H$2:$H$1000*Final_Merged_Data!$F$2:$F$1000)/F259</f>
        <v>3.8407279354422372</v>
      </c>
      <c r="I259" cm="1">
        <f t="array" ref="I259">SUMPRODUCT((Final_Merged_Data!$B$2:$B$1000=$A259)*Final_Merged_Data!$I$2:$I$1000*Final_Merged_Data!$F$2:$F$1000)/F259</f>
        <v>68.235453440929604</v>
      </c>
      <c r="J259" t="str" cm="1">
        <f t="array" ref="J259">_xlfn.TEXTJOIN(", ",TRUE,_xlfn.UNIQUE(_xlfn._xlws.FILTER(Final_Merged_Data!$J$2:$J$1000,Final_Merged_Data!$B$2:$B$1000=$A259)))</f>
        <v>Rangpur Range</v>
      </c>
      <c r="K259" cm="1">
        <f t="array" ref="K259">SUMPRODUCT((Final_Merged_Data!$B$2:$B$1000=$A259)*Final_Merged_Data!$K$2:$K$1000*Final_Merged_Data!$F$2:$F$1000)/F259</f>
        <v>101.90869513385242</v>
      </c>
      <c r="L259" cm="1">
        <f t="array" ref="L259">SUMPRODUCT((Final_Merged_Data!$B$2:$B$1000=$A259)*Final_Merged_Data!$L$2:$L$1000*Final_Merged_Data!$F$2:$F$1000)/F259</f>
        <v>15.175373179583826</v>
      </c>
      <c r="M259" t="str">
        <f>IF(COUNTIF(Master_Data!$C:$C,$A259)&gt;0,"Found","Missing")</f>
        <v>Found</v>
      </c>
      <c r="N259" t="str">
        <f>_xlfn.XLOOKUP($A259,Master_Data!$C:$C,Master_Data!$D:$D,"CHECK",0)</f>
        <v>ATM Azharul Islam</v>
      </c>
      <c r="O259" t="str">
        <f>_xlfn.XLOOKUP($A259,Master_Data!$C:$C,Master_Data!$E:$E,"CHECK",0)</f>
        <v>Jamaat</v>
      </c>
      <c r="P259">
        <f>_xlfn.XLOOKUP($A259,Master_Data!$C:$C,Master_Data!$F:$F,"CHECK",0)</f>
        <v>2</v>
      </c>
      <c r="Q259">
        <f>_xlfn.XLOOKUP($A259,Master_Data!$C:$C,Master_Data!$G:$G,"CHECK",0)</f>
        <v>43076</v>
      </c>
      <c r="R259">
        <f>IFERROR(_xlfn.XLOOKUP($A259,Master_Data!$C:$C,Master_Data!$H:$H,"CHECK",0),"")</f>
        <v>66.091812937277524</v>
      </c>
      <c r="S259" t="str">
        <f>_xlfn.XLOOKUP($A259,Master_Data!$C:$C,Master_Data!$I:$I,"CHECK",0)</f>
        <v>Muhammad Ali Sarkar</v>
      </c>
      <c r="T259">
        <f>_xlfn.XLOOKUP($A259,Master_Data!$C:$C,Master_Data!$K:$K,"CHECK",0)</f>
        <v>22100</v>
      </c>
      <c r="U259">
        <f>IFERROR(_xlfn.XLOOKUP($A259,Master_Data!$C:$C,Master_Data!$L:$L,"CHECK",0),"")</f>
        <v>33.908187062722476</v>
      </c>
      <c r="V259">
        <f>_xlfn.XLOOKUP($A259,Master_Data!$C:$C,Master_Data!$M:$M,"CHECK",0)</f>
        <v>20976</v>
      </c>
      <c r="W259">
        <f>IFERROR(_xlfn.XLOOKUP($A259,Master_Data!$C:$C,Master_Data!$N:$N,"CHECK",0),"")</f>
        <v>32.183625874555048</v>
      </c>
      <c r="X259" t="str">
        <f>IFERROR(_xlfn.XLOOKUP($A259,Master_Data!$C:$C,Master_Data!$O:$O,"CHECK",0),"No Result")</f>
        <v>Safe Seat</v>
      </c>
      <c r="Y259">
        <f>_xlfn.XLOOKUP($A259,Master_Data!$C:$C,Master_Data!$P:$P,"CHECK",0)</f>
        <v>0</v>
      </c>
      <c r="Z259">
        <f t="shared" ref="Z259:Z301" si="9">IF(OR(R259="",Y259="No Result",N259="Election postponed",N259="Result withheld"),0,1)</f>
        <v>1</v>
      </c>
      <c r="AA259">
        <f>_xlfn.XLOOKUP(B259,Remittance_Data!A:A,Remittance_Data!B:B,"CHECK")</f>
        <v>8897</v>
      </c>
      <c r="AB259">
        <f>_xlfn.XLOOKUP(B259,Remittance_Data!A:A,Remittance_Data!C:C,"CHECK")</f>
        <v>6286</v>
      </c>
      <c r="AC259">
        <f>_xlfn.XLOOKUP(B259,Remittance_Data!A:A,Remittance_Data!D:D,"CHECK")</f>
        <v>2611</v>
      </c>
    </row>
    <row r="260" spans="1:29">
      <c r="A260" t="str">
        <v>Rangpur-3</v>
      </c>
      <c r="B260" t="str" cm="1">
        <f t="array" ref="B26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Nawabganj","Chapainawabganj"),Final_Merged_Data!$B$2:$B$1000=$A260)))</f>
        <v>Rangpur</v>
      </c>
      <c r="C260" t="str" cm="1">
        <f t="array" ref="C260">_xlfn.TEXTJOIN(", ",TRUE,_xlfn._xlws.FILTER(Final_Merged_Data!$C$2:$C$1000,Final_Merged_Data!$B$2:$B$1000=$A260))</f>
        <v>Rangpur Sadar</v>
      </c>
      <c r="D260" cm="1">
        <f t="array" ref="D260">COUNTA(_xlfn._xlws.FILTER(Final_Merged_Data!$C$2:$C$1000,Final_Merged_Data!$B$2:$B$1000=$A260))</f>
        <v>1</v>
      </c>
      <c r="E260">
        <f>SUMIFS(Final_Merged_Data!$E:$E,Final_Merged_Data!$B:$B,$A260)</f>
        <v>236.44</v>
      </c>
      <c r="F260">
        <f>SUMIFS(Final_Merged_Data!$F:$F,Final_Merged_Data!$B:$B,$A260)</f>
        <v>178664</v>
      </c>
      <c r="G260">
        <f t="shared" si="8"/>
        <v>755.64202334630352</v>
      </c>
      <c r="H260" cm="1">
        <f t="array" ref="H260">SUMPRODUCT((Final_Merged_Data!$B$2:$B$1000=$A260)*Final_Merged_Data!$H$2:$H$1000*Final_Merged_Data!$F$2:$F$1000)/F260</f>
        <v>3.85</v>
      </c>
      <c r="I260" cm="1">
        <f t="array" ref="I260">SUMPRODUCT((Final_Merged_Data!$B$2:$B$1000=$A260)*Final_Merged_Data!$I$2:$I$1000*Final_Merged_Data!$F$2:$F$1000)/F260</f>
        <v>68.239999999999995</v>
      </c>
      <c r="J260" t="str" cm="1">
        <f t="array" ref="J260">_xlfn.TEXTJOIN(", ",TRUE,_xlfn.UNIQUE(_xlfn._xlws.FILTER(Final_Merged_Data!$J$2:$J$1000,Final_Merged_Data!$B$2:$B$1000=$A260)))</f>
        <v>Rangpur Range</v>
      </c>
      <c r="K260" cm="1">
        <f t="array" ref="K260">SUMPRODUCT((Final_Merged_Data!$B$2:$B$1000=$A260)*Final_Merged_Data!$K$2:$K$1000*Final_Merged_Data!$F$2:$F$1000)/F260</f>
        <v>101.90869513385242</v>
      </c>
      <c r="L260" cm="1">
        <f t="array" ref="L260">SUMPRODUCT((Final_Merged_Data!$B$2:$B$1000=$A260)*Final_Merged_Data!$L$2:$L$1000*Final_Merged_Data!$F$2:$F$1000)/F260</f>
        <v>15.175373179583827</v>
      </c>
      <c r="M260" t="str">
        <f>IF(COUNTIF(Master_Data!$C:$C,$A260)&gt;0,"Found","Missing")</f>
        <v>Found</v>
      </c>
      <c r="N260" t="str">
        <f>_xlfn.XLOOKUP($A260,Master_Data!$C:$C,Master_Data!$D:$D,"CHECK",0)</f>
        <v>Mahbubur Rahman Belal</v>
      </c>
      <c r="O260" t="str">
        <f>_xlfn.XLOOKUP($A260,Master_Data!$C:$C,Master_Data!$E:$E,"CHECK",0)</f>
        <v>Jamaat</v>
      </c>
      <c r="P260">
        <f>_xlfn.XLOOKUP($A260,Master_Data!$C:$C,Master_Data!$F:$F,"CHECK",0)</f>
        <v>2</v>
      </c>
      <c r="Q260">
        <f>_xlfn.XLOOKUP($A260,Master_Data!$C:$C,Master_Data!$G:$G,"CHECK",0)</f>
        <v>175827</v>
      </c>
      <c r="R260">
        <f>IFERROR(_xlfn.XLOOKUP($A260,Master_Data!$C:$C,Master_Data!$H:$H,"CHECK",0),"")</f>
        <v>67.520592922562926</v>
      </c>
      <c r="S260" t="str">
        <f>_xlfn.XLOOKUP($A260,Master_Data!$C:$C,Master_Data!$I:$I,"CHECK",0)</f>
        <v>Md. Samsuzzaman Samu</v>
      </c>
      <c r="T260">
        <f>_xlfn.XLOOKUP($A260,Master_Data!$C:$C,Master_Data!$K:$K,"CHECK",0)</f>
        <v>84578</v>
      </c>
      <c r="U260">
        <f>IFERROR(_xlfn.XLOOKUP($A260,Master_Data!$C:$C,Master_Data!$L:$L,"CHECK",0),"")</f>
        <v>32.479407077437067</v>
      </c>
      <c r="V260">
        <f>_xlfn.XLOOKUP($A260,Master_Data!$C:$C,Master_Data!$M:$M,"CHECK",0)</f>
        <v>91249</v>
      </c>
      <c r="W260">
        <f>IFERROR(_xlfn.XLOOKUP($A260,Master_Data!$C:$C,Master_Data!$N:$N,"CHECK",0),"")</f>
        <v>35.04118584512586</v>
      </c>
      <c r="X260" t="str">
        <f>IFERROR(_xlfn.XLOOKUP($A260,Master_Data!$C:$C,Master_Data!$O:$O,"CHECK",0),"No Result")</f>
        <v>Safe Seat</v>
      </c>
      <c r="Y260">
        <f>_xlfn.XLOOKUP($A260,Master_Data!$C:$C,Master_Data!$P:$P,"CHECK",0)</f>
        <v>1</v>
      </c>
      <c r="Z260">
        <f t="shared" si="9"/>
        <v>1</v>
      </c>
      <c r="AA260">
        <f>_xlfn.XLOOKUP(B260,Remittance_Data!A:A,Remittance_Data!B:B,"CHECK")</f>
        <v>8897</v>
      </c>
      <c r="AB260">
        <f>_xlfn.XLOOKUP(B260,Remittance_Data!A:A,Remittance_Data!C:C,"CHECK")</f>
        <v>6286</v>
      </c>
      <c r="AC260">
        <f>_xlfn.XLOOKUP(B260,Remittance_Data!A:A,Remittance_Data!D:D,"CHECK")</f>
        <v>2611</v>
      </c>
    </row>
    <row r="261" spans="1:29">
      <c r="A261" t="str">
        <v>Rangpur-4</v>
      </c>
      <c r="B261" t="str" cm="1">
        <f t="array" ref="B26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Nawabganj","Chapainawabganj"),Final_Merged_Data!$B$2:$B$1000=$A261)))</f>
        <v>Rangpur</v>
      </c>
      <c r="C261" t="str" cm="1">
        <f t="array" ref="C261">_xlfn.TEXTJOIN(", ",TRUE,_xlfn._xlws.FILTER(Final_Merged_Data!$C$2:$C$1000,Final_Merged_Data!$B$2:$B$1000=$A261))</f>
        <v>Pirgachha, Kaunia</v>
      </c>
      <c r="D261" cm="1">
        <f t="array" ref="D261">COUNTA(_xlfn._xlws.FILTER(Final_Merged_Data!$C$2:$C$1000,Final_Merged_Data!$B$2:$B$1000=$A261))</f>
        <v>2</v>
      </c>
      <c r="E261">
        <f>SUMIFS(Final_Merged_Data!$E:$E,Final_Merged_Data!$B:$B,$A261)</f>
        <v>584.19999999999993</v>
      </c>
      <c r="F261">
        <f>SUMIFS(Final_Merged_Data!$F:$F,Final_Merged_Data!$B:$B,$A261)</f>
        <v>566288</v>
      </c>
      <c r="G261">
        <f t="shared" si="8"/>
        <v>969.33926737418699</v>
      </c>
      <c r="H261" cm="1">
        <f t="array" ref="H261">SUMPRODUCT((Final_Merged_Data!$B$2:$B$1000=$A261)*Final_Merged_Data!$H$2:$H$1000*Final_Merged_Data!$F$2:$F$1000)/F261</f>
        <v>3.638882723984969</v>
      </c>
      <c r="I261" cm="1">
        <f t="array" ref="I261">SUMPRODUCT((Final_Merged_Data!$B$2:$B$1000=$A261)*Final_Merged_Data!$I$2:$I$1000*Final_Merged_Data!$F$2:$F$1000)/F261</f>
        <v>66.645430134489871</v>
      </c>
      <c r="J261" t="str" cm="1">
        <f t="array" ref="J261">_xlfn.TEXTJOIN(", ",TRUE,_xlfn.UNIQUE(_xlfn._xlws.FILTER(Final_Merged_Data!$J$2:$J$1000,Final_Merged_Data!$B$2:$B$1000=$A261)))</f>
        <v>Rangpur Range</v>
      </c>
      <c r="K261" cm="1">
        <f t="array" ref="K261">SUMPRODUCT((Final_Merged_Data!$B$2:$B$1000=$A261)*Final_Merged_Data!$K$2:$K$1000*Final_Merged_Data!$F$2:$F$1000)/F261</f>
        <v>101.90869513385242</v>
      </c>
      <c r="L261" cm="1">
        <f t="array" ref="L261">SUMPRODUCT((Final_Merged_Data!$B$2:$B$1000=$A261)*Final_Merged_Data!$L$2:$L$1000*Final_Merged_Data!$F$2:$F$1000)/F261</f>
        <v>15.175373179583827</v>
      </c>
      <c r="M261" t="str">
        <f>IF(COUNTIF(Master_Data!$C:$C,$A261)&gt;0,"Found","Missing")</f>
        <v>Found</v>
      </c>
      <c r="N261" t="str">
        <f>_xlfn.XLOOKUP($A261,Master_Data!$C:$C,Master_Data!$D:$D,"CHECK",0)</f>
        <v>Akhter Hossen</v>
      </c>
      <c r="O261" t="str">
        <f>_xlfn.XLOOKUP($A261,Master_Data!$C:$C,Master_Data!$E:$E,"CHECK",0)</f>
        <v>NCP</v>
      </c>
      <c r="P261">
        <f>_xlfn.XLOOKUP($A261,Master_Data!$C:$C,Master_Data!$F:$F,"CHECK",0)</f>
        <v>0</v>
      </c>
      <c r="Q261">
        <f>_xlfn.XLOOKUP($A261,Master_Data!$C:$C,Master_Data!$G:$G,"CHECK",0)</f>
        <v>147947</v>
      </c>
      <c r="R261">
        <f>IFERROR(_xlfn.XLOOKUP($A261,Master_Data!$C:$C,Master_Data!$H:$H,"CHECK",0),"")</f>
        <v>51.448552143356409</v>
      </c>
      <c r="S261" t="str">
        <f>_xlfn.XLOOKUP($A261,Master_Data!$C:$C,Master_Data!$I:$I,"CHECK",0)</f>
        <v>Mohammad Emdadul Haque Bharsa</v>
      </c>
      <c r="T261">
        <f>_xlfn.XLOOKUP($A261,Master_Data!$C:$C,Master_Data!$K:$K,"CHECK",0)</f>
        <v>139616</v>
      </c>
      <c r="U261">
        <f>IFERROR(_xlfn.XLOOKUP($A261,Master_Data!$C:$C,Master_Data!$L:$L,"CHECK",0),"")</f>
        <v>48.551447856643584</v>
      </c>
      <c r="V261">
        <f>_xlfn.XLOOKUP($A261,Master_Data!$C:$C,Master_Data!$M:$M,"CHECK",0)</f>
        <v>8331</v>
      </c>
      <c r="W261">
        <f>IFERROR(_xlfn.XLOOKUP($A261,Master_Data!$C:$C,Master_Data!$N:$N,"CHECK",0),"")</f>
        <v>2.8971042867128247</v>
      </c>
      <c r="X261" t="str">
        <f>IFERROR(_xlfn.XLOOKUP($A261,Master_Data!$C:$C,Master_Data!$O:$O,"CHECK",0),"No Result")</f>
        <v>Highly Competitive</v>
      </c>
      <c r="Y261">
        <f>_xlfn.XLOOKUP($A261,Master_Data!$C:$C,Master_Data!$P:$P,"CHECK",0)</f>
        <v>0</v>
      </c>
      <c r="Z261">
        <f t="shared" si="9"/>
        <v>1</v>
      </c>
      <c r="AA261">
        <f>_xlfn.XLOOKUP(B261,Remittance_Data!A:A,Remittance_Data!B:B,"CHECK")</f>
        <v>8897</v>
      </c>
      <c r="AB261">
        <f>_xlfn.XLOOKUP(B261,Remittance_Data!A:A,Remittance_Data!C:C,"CHECK")</f>
        <v>6286</v>
      </c>
      <c r="AC261">
        <f>_xlfn.XLOOKUP(B261,Remittance_Data!A:A,Remittance_Data!D:D,"CHECK")</f>
        <v>2611</v>
      </c>
    </row>
    <row r="262" spans="1:29">
      <c r="A262" t="str">
        <v>Rangpur-5</v>
      </c>
      <c r="B262" t="str" cm="1">
        <f t="array" ref="B26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Nawabganj","Chapainawabganj"),Final_Merged_Data!$B$2:$B$1000=$A262)))</f>
        <v>Rangpur</v>
      </c>
      <c r="C262" t="str" cm="1">
        <f t="array" ref="C262">_xlfn.TEXTJOIN(", ",TRUE,_xlfn._xlws.FILTER(Final_Merged_Data!$C$2:$C$1000,Final_Merged_Data!$B$2:$B$1000=$A262))</f>
        <v>Mithapukur</v>
      </c>
      <c r="D262" cm="1">
        <f t="array" ref="D262">COUNTA(_xlfn._xlws.FILTER(Final_Merged_Data!$C$2:$C$1000,Final_Merged_Data!$B$2:$B$1000=$A262))</f>
        <v>1</v>
      </c>
      <c r="E262">
        <f>SUMIFS(Final_Merged_Data!$E:$E,Final_Merged_Data!$B:$B,$A262)</f>
        <v>409.37</v>
      </c>
      <c r="F262">
        <f>SUMIFS(Final_Merged_Data!$F:$F,Final_Merged_Data!$B:$B,$A262)</f>
        <v>538686</v>
      </c>
      <c r="G262">
        <f t="shared" si="8"/>
        <v>1315.8902704155164</v>
      </c>
      <c r="H262" cm="1">
        <f t="array" ref="H262">SUMPRODUCT((Final_Merged_Data!$B$2:$B$1000=$A262)*Final_Merged_Data!$H$2:$H$1000*Final_Merged_Data!$F$2:$F$1000)/F262</f>
        <v>3.51</v>
      </c>
      <c r="I262" cm="1">
        <f t="array" ref="I262">SUMPRODUCT((Final_Merged_Data!$B$2:$B$1000=$A262)*Final_Merged_Data!$I$2:$I$1000*Final_Merged_Data!$F$2:$F$1000)/F262</f>
        <v>69.33</v>
      </c>
      <c r="J262" t="str" cm="1">
        <f t="array" ref="J262">_xlfn.TEXTJOIN(", ",TRUE,_xlfn.UNIQUE(_xlfn._xlws.FILTER(Final_Merged_Data!$J$2:$J$1000,Final_Merged_Data!$B$2:$B$1000=$A262)))</f>
        <v>Rangpur Range</v>
      </c>
      <c r="K262" cm="1">
        <f t="array" ref="K262">SUMPRODUCT((Final_Merged_Data!$B$2:$B$1000=$A262)*Final_Merged_Data!$K$2:$K$1000*Final_Merged_Data!$F$2:$F$1000)/F262</f>
        <v>101.90869513385242</v>
      </c>
      <c r="L262" cm="1">
        <f t="array" ref="L262">SUMPRODUCT((Final_Merged_Data!$B$2:$B$1000=$A262)*Final_Merged_Data!$L$2:$L$1000*Final_Merged_Data!$F$2:$F$1000)/F262</f>
        <v>15.175373179583827</v>
      </c>
      <c r="M262" t="str">
        <f>IF(COUNTIF(Master_Data!$C:$C,$A262)&gt;0,"Found","Missing")</f>
        <v>Found</v>
      </c>
      <c r="N262" t="str">
        <f>_xlfn.XLOOKUP($A262,Master_Data!$C:$C,Master_Data!$D:$D,"CHECK",0)</f>
        <v>Md. Golam Rabbani</v>
      </c>
      <c r="O262" t="str">
        <f>_xlfn.XLOOKUP($A262,Master_Data!$C:$C,Master_Data!$E:$E,"CHECK",0)</f>
        <v>Jamaat</v>
      </c>
      <c r="P262">
        <f>_xlfn.XLOOKUP($A262,Master_Data!$C:$C,Master_Data!$F:$F,"CHECK",0)</f>
        <v>2</v>
      </c>
      <c r="Q262">
        <f>_xlfn.XLOOKUP($A262,Master_Data!$C:$C,Master_Data!$G:$G,"CHECK",0)</f>
        <v>175208</v>
      </c>
      <c r="R262">
        <f>IFERROR(_xlfn.XLOOKUP($A262,Master_Data!$C:$C,Master_Data!$H:$H,"CHECK",0),"")</f>
        <v>60.552481605258698</v>
      </c>
      <c r="S262" t="str">
        <f>_xlfn.XLOOKUP($A262,Master_Data!$C:$C,Master_Data!$I:$I,"CHECK",0)</f>
        <v>Md. Golam Rabbani</v>
      </c>
      <c r="T262">
        <f>_xlfn.XLOOKUP($A262,Master_Data!$C:$C,Master_Data!$K:$K,"CHECK",0)</f>
        <v>114141</v>
      </c>
      <c r="U262">
        <f>IFERROR(_xlfn.XLOOKUP($A262,Master_Data!$C:$C,Master_Data!$L:$L,"CHECK",0),"")</f>
        <v>39.447518394741302</v>
      </c>
      <c r="V262">
        <f>_xlfn.XLOOKUP($A262,Master_Data!$C:$C,Master_Data!$M:$M,"CHECK",0)</f>
        <v>61067</v>
      </c>
      <c r="W262">
        <f>IFERROR(_xlfn.XLOOKUP($A262,Master_Data!$C:$C,Master_Data!$N:$N,"CHECK",0),"")</f>
        <v>21.104963210517404</v>
      </c>
      <c r="X262" t="str">
        <f>IFERROR(_xlfn.XLOOKUP($A262,Master_Data!$C:$C,Master_Data!$O:$O,"CHECK",0),"No Result")</f>
        <v>Safe Seat</v>
      </c>
      <c r="Y262">
        <f>_xlfn.XLOOKUP($A262,Master_Data!$C:$C,Master_Data!$P:$P,"CHECK",0)</f>
        <v>0</v>
      </c>
      <c r="Z262">
        <f t="shared" si="9"/>
        <v>1</v>
      </c>
      <c r="AA262">
        <f>_xlfn.XLOOKUP(B262,Remittance_Data!A:A,Remittance_Data!B:B,"CHECK")</f>
        <v>8897</v>
      </c>
      <c r="AB262">
        <f>_xlfn.XLOOKUP(B262,Remittance_Data!A:A,Remittance_Data!C:C,"CHECK")</f>
        <v>6286</v>
      </c>
      <c r="AC262">
        <f>_xlfn.XLOOKUP(B262,Remittance_Data!A:A,Remittance_Data!D:D,"CHECK")</f>
        <v>2611</v>
      </c>
    </row>
    <row r="263" spans="1:29">
      <c r="A263" t="str">
        <v>Rangpur-6</v>
      </c>
      <c r="B263" t="str" cm="1">
        <f t="array" ref="B26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Nawabganj","Chapainawabganj"),Final_Merged_Data!$B$2:$B$1000=$A263)))</f>
        <v>Rangpur</v>
      </c>
      <c r="C263" t="str" cm="1">
        <f t="array" ref="C263">_xlfn.TEXTJOIN(", ",TRUE,_xlfn._xlws.FILTER(Final_Merged_Data!$C$2:$C$1000,Final_Merged_Data!$B$2:$B$1000=$A263))</f>
        <v>Pirganj</v>
      </c>
      <c r="D263" cm="1">
        <f t="array" ref="D263">COUNTA(_xlfn._xlws.FILTER(Final_Merged_Data!$C$2:$C$1000,Final_Merged_Data!$B$2:$B$1000=$A263))</f>
        <v>1</v>
      </c>
      <c r="E263">
        <f>SUMIFS(Final_Merged_Data!$E:$E,Final_Merged_Data!$B:$B,$A263)</f>
        <v>280.43</v>
      </c>
      <c r="F263">
        <f>SUMIFS(Final_Merged_Data!$F:$F,Final_Merged_Data!$B:$B,$A263)</f>
        <v>414833</v>
      </c>
      <c r="G263">
        <f t="shared" si="8"/>
        <v>1479.2746853047106</v>
      </c>
      <c r="H263" cm="1">
        <f t="array" ref="H263">SUMPRODUCT((Final_Merged_Data!$B$2:$B$1000=$A263)*Final_Merged_Data!$H$2:$H$1000*Final_Merged_Data!$F$2:$F$1000)/F263</f>
        <v>3.5800000000000005</v>
      </c>
      <c r="I263" cm="1">
        <f t="array" ref="I263">SUMPRODUCT((Final_Merged_Data!$B$2:$B$1000=$A263)*Final_Merged_Data!$I$2:$I$1000*Final_Merged_Data!$F$2:$F$1000)/F263</f>
        <v>67.11</v>
      </c>
      <c r="J263" t="str" cm="1">
        <f t="array" ref="J263">_xlfn.TEXTJOIN(", ",TRUE,_xlfn.UNIQUE(_xlfn._xlws.FILTER(Final_Merged_Data!$J$2:$J$1000,Final_Merged_Data!$B$2:$B$1000=$A263)))</f>
        <v>Rangpur Range</v>
      </c>
      <c r="K263" cm="1">
        <f t="array" ref="K263">SUMPRODUCT((Final_Merged_Data!$B$2:$B$1000=$A263)*Final_Merged_Data!$K$2:$K$1000*Final_Merged_Data!$F$2:$F$1000)/F263</f>
        <v>101.90869513385242</v>
      </c>
      <c r="L263" cm="1">
        <f t="array" ref="L263">SUMPRODUCT((Final_Merged_Data!$B$2:$B$1000=$A263)*Final_Merged_Data!$L$2:$L$1000*Final_Merged_Data!$F$2:$F$1000)/F263</f>
        <v>15.175373179583827</v>
      </c>
      <c r="M263" t="str">
        <f>IF(COUNTIF(Master_Data!$C:$C,$A263)&gt;0,"Found","Missing")</f>
        <v>Found</v>
      </c>
      <c r="N263" t="str">
        <f>_xlfn.XLOOKUP($A263,Master_Data!$C:$C,Master_Data!$D:$D,"CHECK",0)</f>
        <v>Md. Nurul Amin</v>
      </c>
      <c r="O263" t="str">
        <f>_xlfn.XLOOKUP($A263,Master_Data!$C:$C,Master_Data!$E:$E,"CHECK",0)</f>
        <v>Jamaat</v>
      </c>
      <c r="P263">
        <f>_xlfn.XLOOKUP($A263,Master_Data!$C:$C,Master_Data!$F:$F,"CHECK",0)</f>
        <v>2</v>
      </c>
      <c r="Q263">
        <f>_xlfn.XLOOKUP($A263,Master_Data!$C:$C,Master_Data!$G:$G,"CHECK",0)</f>
        <v>118890</v>
      </c>
      <c r="R263">
        <f>IFERROR(_xlfn.XLOOKUP($A263,Master_Data!$C:$C,Master_Data!$H:$H,"CHECK",0),"")</f>
        <v>50.417922980038931</v>
      </c>
      <c r="S263" t="str">
        <f>_xlfn.XLOOKUP($A263,Master_Data!$C:$C,Master_Data!$I:$I,"CHECK",0)</f>
        <v>Md. Saiful Islam[disambiguation needed]</v>
      </c>
      <c r="T263">
        <f>_xlfn.XLOOKUP($A263,Master_Data!$C:$C,Master_Data!$K:$K,"CHECK",0)</f>
        <v>116919</v>
      </c>
      <c r="U263">
        <f>IFERROR(_xlfn.XLOOKUP($A263,Master_Data!$C:$C,Master_Data!$L:$L,"CHECK",0),"")</f>
        <v>49.582077019961069</v>
      </c>
      <c r="V263">
        <f>_xlfn.XLOOKUP($A263,Master_Data!$C:$C,Master_Data!$M:$M,"CHECK",0)</f>
        <v>1971</v>
      </c>
      <c r="W263">
        <f>IFERROR(_xlfn.XLOOKUP($A263,Master_Data!$C:$C,Master_Data!$N:$N,"CHECK",0),"")</f>
        <v>0.83584596007785961</v>
      </c>
      <c r="X263" t="str">
        <f>IFERROR(_xlfn.XLOOKUP($A263,Master_Data!$C:$C,Master_Data!$O:$O,"CHECK",0),"No Result")</f>
        <v>Highly Competitive</v>
      </c>
      <c r="Y263">
        <f>_xlfn.XLOOKUP($A263,Master_Data!$C:$C,Master_Data!$P:$P,"CHECK",0)</f>
        <v>0</v>
      </c>
      <c r="Z263">
        <f t="shared" si="9"/>
        <v>1</v>
      </c>
      <c r="AA263">
        <f>_xlfn.XLOOKUP(B263,Remittance_Data!A:A,Remittance_Data!B:B,"CHECK")</f>
        <v>8897</v>
      </c>
      <c r="AB263">
        <f>_xlfn.XLOOKUP(B263,Remittance_Data!A:A,Remittance_Data!C:C,"CHECK")</f>
        <v>6286</v>
      </c>
      <c r="AC263">
        <f>_xlfn.XLOOKUP(B263,Remittance_Data!A:A,Remittance_Data!D:D,"CHECK")</f>
        <v>2611</v>
      </c>
    </row>
    <row r="264" spans="1:29">
      <c r="A264" t="str">
        <v>Satkhira-1</v>
      </c>
      <c r="B264" t="str" cm="1">
        <f t="array" ref="B26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Nawabganj","Chapainawabganj"),Final_Merged_Data!$B$2:$B$1000=$A264)))</f>
        <v>Satkhira</v>
      </c>
      <c r="C264" t="str" cm="1">
        <f t="array" ref="C264">_xlfn.TEXTJOIN(", ",TRUE,_xlfn._xlws.FILTER(Final_Merged_Data!$C$2:$C$1000,Final_Merged_Data!$B$2:$B$1000=$A264))</f>
        <v>Tala, Kalaroa</v>
      </c>
      <c r="D264" cm="1">
        <f t="array" ref="D264">COUNTA(_xlfn._xlws.FILTER(Final_Merged_Data!$C$2:$C$1000,Final_Merged_Data!$B$2:$B$1000=$A264))</f>
        <v>2</v>
      </c>
      <c r="E264">
        <f>SUMIFS(Final_Merged_Data!$E:$E,Final_Merged_Data!$B:$B,$A264)</f>
        <v>539.88</v>
      </c>
      <c r="F264">
        <f>SUMIFS(Final_Merged_Data!$F:$F,Final_Merged_Data!$B:$B,$A264)</f>
        <v>587361</v>
      </c>
      <c r="G264">
        <f t="shared" si="8"/>
        <v>1087.9473216270283</v>
      </c>
      <c r="H264" cm="1">
        <f t="array" ref="H264">SUMPRODUCT((Final_Merged_Data!$B$2:$B$1000=$A264)*Final_Merged_Data!$H$2:$H$1000*Final_Merged_Data!$F$2:$F$1000)/F264</f>
        <v>3.7366236266963591</v>
      </c>
      <c r="I264" cm="1">
        <f t="array" ref="I264">SUMPRODUCT((Final_Merged_Data!$B$2:$B$1000=$A264)*Final_Merged_Data!$I$2:$I$1000*Final_Merged_Data!$F$2:$F$1000)/F264</f>
        <v>73.617243364813135</v>
      </c>
      <c r="J264" t="str" cm="1">
        <f t="array" ref="J264">_xlfn.TEXTJOIN(", ",TRUE,_xlfn.UNIQUE(_xlfn._xlws.FILTER(Final_Merged_Data!$J$2:$J$1000,Final_Merged_Data!$B$2:$B$1000=$A264)))</f>
        <v>Khulna Range</v>
      </c>
      <c r="K264" cm="1">
        <f t="array" ref="K264">SUMPRODUCT((Final_Merged_Data!$B$2:$B$1000=$A264)*Final_Merged_Data!$K$2:$K$1000*Final_Merged_Data!$F$2:$F$1000)/F264</f>
        <v>102.32166075410298</v>
      </c>
      <c r="L264" cm="1">
        <f t="array" ref="L264">SUMPRODUCT((Final_Merged_Data!$B$2:$B$1000=$A264)*Final_Merged_Data!$L$2:$L$1000*Final_Merged_Data!$F$2:$F$1000)/F264</f>
        <v>12.212237548443921</v>
      </c>
      <c r="M264" t="str">
        <f>IF(COUNTIF(Master_Data!$C:$C,$A264)&gt;0,"Found","Missing")</f>
        <v>Found</v>
      </c>
      <c r="N264" t="str">
        <f>_xlfn.XLOOKUP($A264,Master_Data!$C:$C,Master_Data!$D:$D,"CHECK",0)</f>
        <v>Md. Izzatullah</v>
      </c>
      <c r="O264" t="str">
        <f>_xlfn.XLOOKUP($A264,Master_Data!$C:$C,Master_Data!$E:$E,"CHECK",0)</f>
        <v>Jamaat</v>
      </c>
      <c r="P264">
        <f>_xlfn.XLOOKUP($A264,Master_Data!$C:$C,Master_Data!$F:$F,"CHECK",0)</f>
        <v>2</v>
      </c>
      <c r="Q264">
        <f>_xlfn.XLOOKUP($A264,Master_Data!$C:$C,Master_Data!$G:$G,"CHECK",0)</f>
        <v>193772</v>
      </c>
      <c r="R264">
        <f>IFERROR(_xlfn.XLOOKUP($A264,Master_Data!$C:$C,Master_Data!$H:$H,"CHECK",0),"")</f>
        <v>53.268163412294136</v>
      </c>
      <c r="S264" t="str">
        <f>_xlfn.XLOOKUP($A264,Master_Data!$C:$C,Master_Data!$I:$I,"CHECK",0)</f>
        <v>Md. Habibul Islam Habib</v>
      </c>
      <c r="T264">
        <f>_xlfn.XLOOKUP($A264,Master_Data!$C:$C,Master_Data!$K:$K,"CHECK",0)</f>
        <v>169995</v>
      </c>
      <c r="U264">
        <f>IFERROR(_xlfn.XLOOKUP($A264,Master_Data!$C:$C,Master_Data!$L:$L,"CHECK",0),"")</f>
        <v>46.731836587705864</v>
      </c>
      <c r="V264">
        <f>_xlfn.XLOOKUP($A264,Master_Data!$C:$C,Master_Data!$M:$M,"CHECK",0)</f>
        <v>23777</v>
      </c>
      <c r="W264">
        <f>IFERROR(_xlfn.XLOOKUP($A264,Master_Data!$C:$C,Master_Data!$N:$N,"CHECK",0),"")</f>
        <v>6.536326824588266</v>
      </c>
      <c r="X264" t="str">
        <f>IFERROR(_xlfn.XLOOKUP($A264,Master_Data!$C:$C,Master_Data!$O:$O,"CHECK",0),"No Result")</f>
        <v>Safe Seat</v>
      </c>
      <c r="Y264">
        <f>_xlfn.XLOOKUP($A264,Master_Data!$C:$C,Master_Data!$P:$P,"CHECK",0)</f>
        <v>0</v>
      </c>
      <c r="Z264">
        <f t="shared" si="9"/>
        <v>1</v>
      </c>
      <c r="AA264">
        <f>_xlfn.XLOOKUP(B264,Remittance_Data!A:A,Remittance_Data!B:B,"CHECK")</f>
        <v>20170</v>
      </c>
      <c r="AB264">
        <f>_xlfn.XLOOKUP(B264,Remittance_Data!A:A,Remittance_Data!C:C,"CHECK")</f>
        <v>16852</v>
      </c>
      <c r="AC264">
        <f>_xlfn.XLOOKUP(B264,Remittance_Data!A:A,Remittance_Data!D:D,"CHECK")</f>
        <v>3318</v>
      </c>
    </row>
    <row r="265" spans="1:29">
      <c r="A265" t="str">
        <v>Satkhira-2</v>
      </c>
      <c r="B265" t="str" cm="1">
        <f t="array" ref="B26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Nawabganj","Chapainawabganj"),Final_Merged_Data!$B$2:$B$1000=$A265)))</f>
        <v>Satkhira</v>
      </c>
      <c r="C265" t="str" cm="1">
        <f t="array" ref="C265">_xlfn.TEXTJOIN(", ",TRUE,_xlfn._xlws.FILTER(Final_Merged_Data!$C$2:$C$1000,Final_Merged_Data!$B$2:$B$1000=$A265))</f>
        <v>Satkhira Sadar</v>
      </c>
      <c r="D265" cm="1">
        <f t="array" ref="D265">COUNTA(_xlfn._xlws.FILTER(Final_Merged_Data!$C$2:$C$1000,Final_Merged_Data!$B$2:$B$1000=$A265))</f>
        <v>1</v>
      </c>
      <c r="E265">
        <f>SUMIFS(Final_Merged_Data!$E:$E,Final_Merged_Data!$B:$B,$A265)</f>
        <v>401.87</v>
      </c>
      <c r="F265">
        <f>SUMIFS(Final_Merged_Data!$F:$F,Final_Merged_Data!$B:$B,$A265)</f>
        <v>522934</v>
      </c>
      <c r="G265">
        <f t="shared" si="8"/>
        <v>1301.2516485430613</v>
      </c>
      <c r="H265" cm="1">
        <f t="array" ref="H265">SUMPRODUCT((Final_Merged_Data!$B$2:$B$1000=$A265)*Final_Merged_Data!$H$2:$H$1000*Final_Merged_Data!$F$2:$F$1000)/F265</f>
        <v>3.81</v>
      </c>
      <c r="I265" cm="1">
        <f t="array" ref="I265">SUMPRODUCT((Final_Merged_Data!$B$2:$B$1000=$A265)*Final_Merged_Data!$I$2:$I$1000*Final_Merged_Data!$F$2:$F$1000)/F265</f>
        <v>78.06</v>
      </c>
      <c r="J265" t="str" cm="1">
        <f t="array" ref="J265">_xlfn.TEXTJOIN(", ",TRUE,_xlfn.UNIQUE(_xlfn._xlws.FILTER(Final_Merged_Data!$J$2:$J$1000,Final_Merged_Data!$B$2:$B$1000=$A265)))</f>
        <v>Khulna Range</v>
      </c>
      <c r="K265" cm="1">
        <f t="array" ref="K265">SUMPRODUCT((Final_Merged_Data!$B$2:$B$1000=$A265)*Final_Merged_Data!$K$2:$K$1000*Final_Merged_Data!$F$2:$F$1000)/F265</f>
        <v>102.32166075410298</v>
      </c>
      <c r="L265" cm="1">
        <f t="array" ref="L265">SUMPRODUCT((Final_Merged_Data!$B$2:$B$1000=$A265)*Final_Merged_Data!$L$2:$L$1000*Final_Merged_Data!$F$2:$F$1000)/F265</f>
        <v>12.212237548443923</v>
      </c>
      <c r="M265" t="str">
        <f>IF(COUNTIF(Master_Data!$C:$C,$A265)&gt;0,"Found","Missing")</f>
        <v>Found</v>
      </c>
      <c r="N265" t="str">
        <f>_xlfn.XLOOKUP($A265,Master_Data!$C:$C,Master_Data!$D:$D,"CHECK",0)</f>
        <v>Muhammad Abdul Khaliq</v>
      </c>
      <c r="O265" t="str">
        <f>_xlfn.XLOOKUP($A265,Master_Data!$C:$C,Master_Data!$E:$E,"CHECK",0)</f>
        <v>Jamaat</v>
      </c>
      <c r="P265">
        <f>_xlfn.XLOOKUP($A265,Master_Data!$C:$C,Master_Data!$F:$F,"CHECK",0)</f>
        <v>2</v>
      </c>
      <c r="Q265">
        <f>_xlfn.XLOOKUP($A265,Master_Data!$C:$C,Master_Data!$G:$G,"CHECK",0)</f>
        <v>266959</v>
      </c>
      <c r="R265">
        <f>IFERROR(_xlfn.XLOOKUP($A265,Master_Data!$C:$C,Master_Data!$H:$H,"CHECK",0),"")</f>
        <v>69.656257501591639</v>
      </c>
      <c r="S265" t="str">
        <f>_xlfn.XLOOKUP($A265,Master_Data!$C:$C,Master_Data!$I:$I,"CHECK",0)</f>
        <v>Md. Abdur Rauf</v>
      </c>
      <c r="T265">
        <f>_xlfn.XLOOKUP($A265,Master_Data!$C:$C,Master_Data!$K:$K,"CHECK",0)</f>
        <v>116293</v>
      </c>
      <c r="U265">
        <f>IFERROR(_xlfn.XLOOKUP($A265,Master_Data!$C:$C,Master_Data!$L:$L,"CHECK",0),"")</f>
        <v>30.343742498408361</v>
      </c>
      <c r="V265">
        <f>_xlfn.XLOOKUP($A265,Master_Data!$C:$C,Master_Data!$M:$M,"CHECK",0)</f>
        <v>150666</v>
      </c>
      <c r="W265">
        <f>IFERROR(_xlfn.XLOOKUP($A265,Master_Data!$C:$C,Master_Data!$N:$N,"CHECK",0),"")</f>
        <v>39.312515003183286</v>
      </c>
      <c r="X265" t="str">
        <f>IFERROR(_xlfn.XLOOKUP($A265,Master_Data!$C:$C,Master_Data!$O:$O,"CHECK",0),"No Result")</f>
        <v>Safe Seat</v>
      </c>
      <c r="Y265">
        <f>_xlfn.XLOOKUP($A265,Master_Data!$C:$C,Master_Data!$P:$P,"CHECK",0)</f>
        <v>0</v>
      </c>
      <c r="Z265">
        <f t="shared" si="9"/>
        <v>1</v>
      </c>
      <c r="AA265">
        <f>_xlfn.XLOOKUP(B265,Remittance_Data!A:A,Remittance_Data!B:B,"CHECK")</f>
        <v>20170</v>
      </c>
      <c r="AB265">
        <f>_xlfn.XLOOKUP(B265,Remittance_Data!A:A,Remittance_Data!C:C,"CHECK")</f>
        <v>16852</v>
      </c>
      <c r="AC265">
        <f>_xlfn.XLOOKUP(B265,Remittance_Data!A:A,Remittance_Data!D:D,"CHECK")</f>
        <v>3318</v>
      </c>
    </row>
    <row r="266" spans="1:29">
      <c r="A266" t="str">
        <v>Satkhira-3</v>
      </c>
      <c r="B266" t="str" cm="1">
        <f t="array" ref="B26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Nawabganj","Chapainawabganj"),Final_Merged_Data!$B$2:$B$1000=$A266)))</f>
        <v>Satkhira</v>
      </c>
      <c r="C266" t="str" cm="1">
        <f t="array" ref="C266">_xlfn.TEXTJOIN(", ",TRUE,_xlfn._xlws.FILTER(Final_Merged_Data!$C$2:$C$1000,Final_Merged_Data!$B$2:$B$1000=$A266))</f>
        <v>Ashashuni, Debhata</v>
      </c>
      <c r="D266" cm="1">
        <f t="array" ref="D266">COUNTA(_xlfn._xlws.FILTER(Final_Merged_Data!$C$2:$C$1000,Final_Merged_Data!$B$2:$B$1000=$A266))</f>
        <v>2</v>
      </c>
      <c r="E266">
        <f>SUMIFS(Final_Merged_Data!$E:$E,Final_Merged_Data!$B:$B,$A266)</f>
        <v>525.52</v>
      </c>
      <c r="F266">
        <f>SUMIFS(Final_Merged_Data!$F:$F,Final_Merged_Data!$B:$B,$A266)</f>
        <v>414762</v>
      </c>
      <c r="G266">
        <f t="shared" si="8"/>
        <v>789.24113259247986</v>
      </c>
      <c r="H266" cm="1">
        <f t="array" ref="H266">SUMPRODUCT((Final_Merged_Data!$B$2:$B$1000=$A266)*Final_Merged_Data!$H$2:$H$1000*Final_Merged_Data!$F$2:$F$1000)/F266</f>
        <v>3.8971721131636943</v>
      </c>
      <c r="I266" cm="1">
        <f t="array" ref="I266">SUMPRODUCT((Final_Merged_Data!$B$2:$B$1000=$A266)*Final_Merged_Data!$I$2:$I$1000*Final_Merged_Data!$F$2:$F$1000)/F266</f>
        <v>74.464357318172816</v>
      </c>
      <c r="J266" t="str" cm="1">
        <f t="array" ref="J266">_xlfn.TEXTJOIN(", ",TRUE,_xlfn.UNIQUE(_xlfn._xlws.FILTER(Final_Merged_Data!$J$2:$J$1000,Final_Merged_Data!$B$2:$B$1000=$A266)))</f>
        <v>Khulna Range</v>
      </c>
      <c r="K266" cm="1">
        <f t="array" ref="K266">SUMPRODUCT((Final_Merged_Data!$B$2:$B$1000=$A266)*Final_Merged_Data!$K$2:$K$1000*Final_Merged_Data!$F$2:$F$1000)/F266</f>
        <v>102.32166075410298</v>
      </c>
      <c r="L266" cm="1">
        <f t="array" ref="L266">SUMPRODUCT((Final_Merged_Data!$B$2:$B$1000=$A266)*Final_Merged_Data!$L$2:$L$1000*Final_Merged_Data!$F$2:$F$1000)/F266</f>
        <v>12.212237548443923</v>
      </c>
      <c r="M266" t="str">
        <f>IF(COUNTIF(Master_Data!$C:$C,$A266)&gt;0,"Found","Missing")</f>
        <v>Found</v>
      </c>
      <c r="N266" t="str">
        <f>_xlfn.XLOOKUP($A266,Master_Data!$C:$C,Master_Data!$D:$D,"CHECK",0)</f>
        <v>Hafez Rabiul Bashar</v>
      </c>
      <c r="O266" t="str">
        <f>_xlfn.XLOOKUP($A266,Master_Data!$C:$C,Master_Data!$E:$E,"CHECK",0)</f>
        <v>Jamaat</v>
      </c>
      <c r="P266">
        <f>_xlfn.XLOOKUP($A266,Master_Data!$C:$C,Master_Data!$F:$F,"CHECK",0)</f>
        <v>2</v>
      </c>
      <c r="Q266">
        <f>_xlfn.XLOOKUP($A266,Master_Data!$C:$C,Master_Data!$G:$G,"CHECK",0)</f>
        <v>184233</v>
      </c>
      <c r="R266">
        <f>IFERROR(_xlfn.XLOOKUP($A266,Master_Data!$C:$C,Master_Data!$H:$H,"CHECK",0),"")</f>
        <v>63.613731475215118</v>
      </c>
      <c r="S266" t="str">
        <f>_xlfn.XLOOKUP($A266,Master_Data!$C:$C,Master_Data!$I:$I,"CHECK",0)</f>
        <v>Md. Shahidul Alam</v>
      </c>
      <c r="T266">
        <f>_xlfn.XLOOKUP($A266,Master_Data!$C:$C,Master_Data!$K:$K,"CHECK",0)</f>
        <v>105379</v>
      </c>
      <c r="U266">
        <f>IFERROR(_xlfn.XLOOKUP($A266,Master_Data!$C:$C,Master_Data!$L:$L,"CHECK",0),"")</f>
        <v>36.386268524784889</v>
      </c>
      <c r="V266">
        <f>_xlfn.XLOOKUP($A266,Master_Data!$C:$C,Master_Data!$M:$M,"CHECK",0)</f>
        <v>78854</v>
      </c>
      <c r="W266">
        <f>IFERROR(_xlfn.XLOOKUP($A266,Master_Data!$C:$C,Master_Data!$N:$N,"CHECK",0),"")</f>
        <v>27.22746295043023</v>
      </c>
      <c r="X266" t="str">
        <f>IFERROR(_xlfn.XLOOKUP($A266,Master_Data!$C:$C,Master_Data!$O:$O,"CHECK",0),"No Result")</f>
        <v>Safe Seat</v>
      </c>
      <c r="Y266">
        <f>_xlfn.XLOOKUP($A266,Master_Data!$C:$C,Master_Data!$P:$P,"CHECK",0)</f>
        <v>0</v>
      </c>
      <c r="Z266">
        <f t="shared" si="9"/>
        <v>1</v>
      </c>
      <c r="AA266">
        <f>_xlfn.XLOOKUP(B266,Remittance_Data!A:A,Remittance_Data!B:B,"CHECK")</f>
        <v>20170</v>
      </c>
      <c r="AB266">
        <f>_xlfn.XLOOKUP(B266,Remittance_Data!A:A,Remittance_Data!C:C,"CHECK")</f>
        <v>16852</v>
      </c>
      <c r="AC266">
        <f>_xlfn.XLOOKUP(B266,Remittance_Data!A:A,Remittance_Data!D:D,"CHECK")</f>
        <v>3318</v>
      </c>
    </row>
    <row r="267" spans="1:29">
      <c r="A267" t="str">
        <v>Satkhira-4</v>
      </c>
      <c r="B267" t="str" cm="1">
        <f t="array" ref="B26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Nawabganj","Chapainawabganj"),Final_Merged_Data!$B$2:$B$1000=$A267)))</f>
        <v>Satkhira</v>
      </c>
      <c r="C267" t="str" cm="1">
        <f t="array" ref="C267">_xlfn.TEXTJOIN(", ",TRUE,_xlfn._xlws.FILTER(Final_Merged_Data!$C$2:$C$1000,Final_Merged_Data!$B$2:$B$1000=$A267))</f>
        <v>Shyamnagar, Kaliganj</v>
      </c>
      <c r="D267" cm="1">
        <f t="array" ref="D267">COUNTA(_xlfn._xlws.FILTER(Final_Merged_Data!$C$2:$C$1000,Final_Merged_Data!$B$2:$B$1000=$A267))</f>
        <v>2</v>
      </c>
      <c r="E267">
        <f>SUMIFS(Final_Merged_Data!$E:$E,Final_Merged_Data!$B:$B,$A267)</f>
        <v>433.16999999999996</v>
      </c>
      <c r="F267">
        <f>SUMIFS(Final_Merged_Data!$F:$F,Final_Merged_Data!$B:$B,$A267)</f>
        <v>676896</v>
      </c>
      <c r="G267">
        <f t="shared" si="8"/>
        <v>1562.6566936768477</v>
      </c>
      <c r="H267" cm="1">
        <f t="array" ref="H267">SUMPRODUCT((Final_Merged_Data!$B$2:$B$1000=$A267)*Final_Merged_Data!$H$2:$H$1000*Final_Merged_Data!$F$2:$F$1000)/F267</f>
        <v>4.0024380407034457</v>
      </c>
      <c r="I267" cm="1">
        <f t="array" ref="I267">SUMPRODUCT((Final_Merged_Data!$B$2:$B$1000=$A267)*Final_Merged_Data!$I$2:$I$1000*Final_Merged_Data!$F$2:$F$1000)/F267</f>
        <v>77.006582104193242</v>
      </c>
      <c r="J267" t="str" cm="1">
        <f t="array" ref="J267">_xlfn.TEXTJOIN(", ",TRUE,_xlfn.UNIQUE(_xlfn._xlws.FILTER(Final_Merged_Data!$J$2:$J$1000,Final_Merged_Data!$B$2:$B$1000=$A267)))</f>
        <v>Khulna Range</v>
      </c>
      <c r="K267" cm="1">
        <f t="array" ref="K267">SUMPRODUCT((Final_Merged_Data!$B$2:$B$1000=$A267)*Final_Merged_Data!$K$2:$K$1000*Final_Merged_Data!$F$2:$F$1000)/F267</f>
        <v>102.32166075410298</v>
      </c>
      <c r="L267" cm="1">
        <f t="array" ref="L267">SUMPRODUCT((Final_Merged_Data!$B$2:$B$1000=$A267)*Final_Merged_Data!$L$2:$L$1000*Final_Merged_Data!$F$2:$F$1000)/F267</f>
        <v>12.212237548443923</v>
      </c>
      <c r="M267" t="str">
        <f>IF(COUNTIF(Master_Data!$C:$C,$A267)&gt;0,"Found","Missing")</f>
        <v>Found</v>
      </c>
      <c r="N267" t="str">
        <f>_xlfn.XLOOKUP($A267,Master_Data!$C:$C,Master_Data!$D:$D,"CHECK",0)</f>
        <v>Gazi Nazrul Islam</v>
      </c>
      <c r="O267" t="str">
        <f>_xlfn.XLOOKUP($A267,Master_Data!$C:$C,Master_Data!$E:$E,"CHECK",0)</f>
        <v>Jamaat</v>
      </c>
      <c r="P267">
        <f>_xlfn.XLOOKUP($A267,Master_Data!$C:$C,Master_Data!$F:$F,"CHECK",0)</f>
        <v>2</v>
      </c>
      <c r="Q267">
        <f>_xlfn.XLOOKUP($A267,Master_Data!$C:$C,Master_Data!$G:$G,"CHECK",0)</f>
        <v>106913</v>
      </c>
      <c r="R267">
        <f>IFERROR(_xlfn.XLOOKUP($A267,Master_Data!$C:$C,Master_Data!$H:$H,"CHECK",0),"")</f>
        <v>55.585710646306786</v>
      </c>
      <c r="S267" t="str">
        <f>_xlfn.XLOOKUP($A267,Master_Data!$C:$C,Master_Data!$I:$I,"CHECK",0)</f>
        <v>Md. Moniruzzaman</v>
      </c>
      <c r="T267">
        <f>_xlfn.XLOOKUP($A267,Master_Data!$C:$C,Master_Data!$K:$K,"CHECK",0)</f>
        <v>85426</v>
      </c>
      <c r="U267">
        <f>IFERROR(_xlfn.XLOOKUP($A267,Master_Data!$C:$C,Master_Data!$L:$L,"CHECK",0),"")</f>
        <v>44.414289353693221</v>
      </c>
      <c r="V267">
        <f>_xlfn.XLOOKUP($A267,Master_Data!$C:$C,Master_Data!$M:$M,"CHECK",0)</f>
        <v>21487</v>
      </c>
      <c r="W267">
        <f>IFERROR(_xlfn.XLOOKUP($A267,Master_Data!$C:$C,Master_Data!$N:$N,"CHECK",0),"")</f>
        <v>11.171421292613562</v>
      </c>
      <c r="X267" t="str">
        <f>IFERROR(_xlfn.XLOOKUP($A267,Master_Data!$C:$C,Master_Data!$O:$O,"CHECK",0),"No Result")</f>
        <v>Safe Seat</v>
      </c>
      <c r="Y267">
        <f>_xlfn.XLOOKUP($A267,Master_Data!$C:$C,Master_Data!$P:$P,"CHECK",0)</f>
        <v>0</v>
      </c>
      <c r="Z267">
        <f t="shared" si="9"/>
        <v>1</v>
      </c>
      <c r="AA267">
        <f>_xlfn.XLOOKUP(B267,Remittance_Data!A:A,Remittance_Data!B:B,"CHECK")</f>
        <v>20170</v>
      </c>
      <c r="AB267">
        <f>_xlfn.XLOOKUP(B267,Remittance_Data!A:A,Remittance_Data!C:C,"CHECK")</f>
        <v>16852</v>
      </c>
      <c r="AC267">
        <f>_xlfn.XLOOKUP(B267,Remittance_Data!A:A,Remittance_Data!D:D,"CHECK")</f>
        <v>3318</v>
      </c>
    </row>
    <row r="268" spans="1:29">
      <c r="A268" t="str">
        <v>Shariatpur-1</v>
      </c>
      <c r="B268" t="str" cm="1">
        <f t="array" ref="B26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Nawabganj","Chapainawabganj"),Final_Merged_Data!$B$2:$B$1000=$A268)))</f>
        <v>Shariatpur</v>
      </c>
      <c r="C268" t="str" cm="1">
        <f t="array" ref="C268">_xlfn.TEXTJOIN(", ",TRUE,_xlfn._xlws.FILTER(Final_Merged_Data!$C$2:$C$1000,Final_Merged_Data!$B$2:$B$1000=$A268))</f>
        <v>Shariatpur Sadar, Zajira</v>
      </c>
      <c r="D268" cm="1">
        <f t="array" ref="D268">COUNTA(_xlfn._xlws.FILTER(Final_Merged_Data!$C$2:$C$1000,Final_Merged_Data!$B$2:$B$1000=$A268))</f>
        <v>2</v>
      </c>
      <c r="E268">
        <f>SUMIFS(Final_Merged_Data!$E:$E,Final_Merged_Data!$B:$B,$A268)</f>
        <v>428.74</v>
      </c>
      <c r="F268">
        <f>SUMIFS(Final_Merged_Data!$F:$F,Final_Merged_Data!$B:$B,$A268)</f>
        <v>457336</v>
      </c>
      <c r="G268">
        <f t="shared" si="8"/>
        <v>1066.6977655455521</v>
      </c>
      <c r="H268" cm="1">
        <f t="array" ref="H268">SUMPRODUCT((Final_Merged_Data!$B$2:$B$1000=$A268)*Final_Merged_Data!$H$2:$H$1000*Final_Merged_Data!$F$2:$F$1000)/F268</f>
        <v>4.1599930904192979</v>
      </c>
      <c r="I268" cm="1">
        <f t="array" ref="I268">SUMPRODUCT((Final_Merged_Data!$B$2:$B$1000=$A268)*Final_Merged_Data!$I$2:$I$1000*Final_Merged_Data!$F$2:$F$1000)/F268</f>
        <v>72.643434673850294</v>
      </c>
      <c r="J268" t="str" cm="1">
        <f t="array" ref="J268">_xlfn.TEXTJOIN(", ",TRUE,_xlfn.UNIQUE(_xlfn._xlws.FILTER(Final_Merged_Data!$J$2:$J$1000,Final_Merged_Data!$B$2:$B$1000=$A268)))</f>
        <v>Dhaka Range</v>
      </c>
      <c r="K268" cm="1">
        <f t="array" ref="K268">SUMPRODUCT((Final_Merged_Data!$B$2:$B$1000=$A268)*Final_Merged_Data!$K$2:$K$1000*Final_Merged_Data!$F$2:$F$1000)/F268</f>
        <v>87.055167395391194</v>
      </c>
      <c r="L268" cm="1">
        <f t="array" ref="L268">SUMPRODUCT((Final_Merged_Data!$B$2:$B$1000=$A268)*Final_Merged_Data!$L$2:$L$1000*Final_Merged_Data!$F$2:$F$1000)/F268</f>
        <v>14.083489099923574</v>
      </c>
      <c r="M268" t="str">
        <f>IF(COUNTIF(Master_Data!$C:$C,$A268)&gt;0,"Found","Missing")</f>
        <v>Found</v>
      </c>
      <c r="N268" t="str">
        <f>_xlfn.XLOOKUP($A268,Master_Data!$C:$C,Master_Data!$D:$D,"CHECK",0)</f>
        <v>Sayeed Ahmed Aslam</v>
      </c>
      <c r="O268" t="str">
        <f>_xlfn.XLOOKUP($A268,Master_Data!$C:$C,Master_Data!$E:$E,"CHECK",0)</f>
        <v>BNP</v>
      </c>
      <c r="P268">
        <f>_xlfn.XLOOKUP($A268,Master_Data!$C:$C,Master_Data!$F:$F,"CHECK",0)</f>
        <v>1</v>
      </c>
      <c r="Q268">
        <f>_xlfn.XLOOKUP($A268,Master_Data!$C:$C,Master_Data!$G:$G,"CHECK",0)</f>
        <v>77398</v>
      </c>
      <c r="R268">
        <f>IFERROR(_xlfn.XLOOKUP($A268,Master_Data!$C:$C,Master_Data!$H:$H,"CHECK",0),"")</f>
        <v>55.238910894622272</v>
      </c>
      <c r="S268" t="str">
        <f>_xlfn.XLOOKUP($A268,Master_Data!$C:$C,Master_Data!$I:$I,"CHECK",0)</f>
        <v>Jalaluddin Ahmad</v>
      </c>
      <c r="T268">
        <f>_xlfn.XLOOKUP($A268,Master_Data!$C:$C,Master_Data!$K:$K,"CHECK",0)</f>
        <v>62717</v>
      </c>
      <c r="U268">
        <f>IFERROR(_xlfn.XLOOKUP($A268,Master_Data!$C:$C,Master_Data!$L:$L,"CHECK",0),"")</f>
        <v>44.761089105377728</v>
      </c>
      <c r="V268">
        <f>_xlfn.XLOOKUP($A268,Master_Data!$C:$C,Master_Data!$M:$M,"CHECK",0)</f>
        <v>14681</v>
      </c>
      <c r="W268">
        <f>IFERROR(_xlfn.XLOOKUP($A268,Master_Data!$C:$C,Master_Data!$N:$N,"CHECK",0),"")</f>
        <v>10.477821789244549</v>
      </c>
      <c r="X268" t="str">
        <f>IFERROR(_xlfn.XLOOKUP($A268,Master_Data!$C:$C,Master_Data!$O:$O,"CHECK",0),"No Result")</f>
        <v>Safe Seat</v>
      </c>
      <c r="Y268">
        <f>_xlfn.XLOOKUP($A268,Master_Data!$C:$C,Master_Data!$P:$P,"CHECK",0)</f>
        <v>0</v>
      </c>
      <c r="Z268">
        <f t="shared" si="9"/>
        <v>1</v>
      </c>
      <c r="AA268">
        <f>_xlfn.XLOOKUP(B268,Remittance_Data!A:A,Remittance_Data!B:B,"CHECK")</f>
        <v>60712</v>
      </c>
      <c r="AB268">
        <f>_xlfn.XLOOKUP(B268,Remittance_Data!A:A,Remittance_Data!C:C,"CHECK")</f>
        <v>47735</v>
      </c>
      <c r="AC268">
        <f>_xlfn.XLOOKUP(B268,Remittance_Data!A:A,Remittance_Data!D:D,"CHECK")</f>
        <v>12977</v>
      </c>
    </row>
    <row r="269" spans="1:29">
      <c r="A269" t="str">
        <v>Shariatpur-2</v>
      </c>
      <c r="B269" t="str" cm="1">
        <f t="array" ref="B26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Nawabganj","Chapainawabganj"),Final_Merged_Data!$B$2:$B$1000=$A269)))</f>
        <v>Shariatpur</v>
      </c>
      <c r="C269" t="str" cm="1">
        <f t="array" ref="C269">_xlfn.TEXTJOIN(", ",TRUE,_xlfn._xlws.FILTER(Final_Merged_Data!$C$2:$C$1000,Final_Merged_Data!$B$2:$B$1000=$A269))</f>
        <v>Naria, Sakhipur</v>
      </c>
      <c r="D269" cm="1">
        <f t="array" ref="D269">COUNTA(_xlfn._xlws.FILTER(Final_Merged_Data!$C$2:$C$1000,Final_Merged_Data!$B$2:$B$1000=$A269))</f>
        <v>2</v>
      </c>
      <c r="E269">
        <f>SUMIFS(Final_Merged_Data!$E:$E,Final_Merged_Data!$B:$B,$A269)</f>
        <v>460.66999999999996</v>
      </c>
      <c r="F269">
        <f>SUMIFS(Final_Merged_Data!$F:$F,Final_Merged_Data!$B:$B,$A269)</f>
        <v>582537</v>
      </c>
      <c r="G269">
        <f t="shared" si="8"/>
        <v>1264.5429483144117</v>
      </c>
      <c r="H269" cm="1">
        <f t="array" ref="H269">SUMPRODUCT((Final_Merged_Data!$B$2:$B$1000=$A269)*Final_Merged_Data!$H$2:$H$1000*Final_Merged_Data!$F$2:$F$1000)/F269</f>
        <v>3.8022935710521391</v>
      </c>
      <c r="I269" cm="1">
        <f t="array" ref="I269">SUMPRODUCT((Final_Merged_Data!$B$2:$B$1000=$A269)*Final_Merged_Data!$I$2:$I$1000*Final_Merged_Data!$F$2:$F$1000)/F269</f>
        <v>70.921735941236349</v>
      </c>
      <c r="J269" t="str" cm="1">
        <f t="array" ref="J269">_xlfn.TEXTJOIN(", ",TRUE,_xlfn.UNIQUE(_xlfn._xlws.FILTER(Final_Merged_Data!$J$2:$J$1000,Final_Merged_Data!$B$2:$B$1000=$A269)))</f>
        <v>Dhaka Range</v>
      </c>
      <c r="K269" cm="1">
        <f t="array" ref="K269">SUMPRODUCT((Final_Merged_Data!$B$2:$B$1000=$A269)*Final_Merged_Data!$K$2:$K$1000*Final_Merged_Data!$F$2:$F$1000)/F269</f>
        <v>87.05516739539118</v>
      </c>
      <c r="L269" cm="1">
        <f t="array" ref="L269">SUMPRODUCT((Final_Merged_Data!$B$2:$B$1000=$A269)*Final_Merged_Data!$L$2:$L$1000*Final_Merged_Data!$F$2:$F$1000)/F269</f>
        <v>14.083489099923572</v>
      </c>
      <c r="M269" t="str">
        <f>IF(COUNTIF(Master_Data!$C:$C,$A269)&gt;0,"Found","Missing")</f>
        <v>Found</v>
      </c>
      <c r="N269" t="str">
        <f>_xlfn.XLOOKUP($A269,Master_Data!$C:$C,Master_Data!$D:$D,"CHECK",0)</f>
        <v>Md. Safiqur Rahman Kiran</v>
      </c>
      <c r="O269" t="str">
        <f>_xlfn.XLOOKUP($A269,Master_Data!$C:$C,Master_Data!$E:$E,"CHECK",0)</f>
        <v>BNP</v>
      </c>
      <c r="P269">
        <f>_xlfn.XLOOKUP($A269,Master_Data!$C:$C,Master_Data!$F:$F,"CHECK",0)</f>
        <v>1</v>
      </c>
      <c r="Q269">
        <f>_xlfn.XLOOKUP($A269,Master_Data!$C:$C,Master_Data!$G:$G,"CHECK",0)</f>
        <v>129814</v>
      </c>
      <c r="R269">
        <f>IFERROR(_xlfn.XLOOKUP($A269,Master_Data!$C:$C,Master_Data!$H:$H,"CHECK",0),"")</f>
        <v>64.678684244616505</v>
      </c>
      <c r="S269" t="str">
        <f>_xlfn.XLOOKUP($A269,Master_Data!$C:$C,Master_Data!$I:$I,"CHECK",0)</f>
        <v>Mahmud Hossain</v>
      </c>
      <c r="T269">
        <f>_xlfn.XLOOKUP($A269,Master_Data!$C:$C,Master_Data!$K:$K,"CHECK",0)</f>
        <v>70892</v>
      </c>
      <c r="U269">
        <f>IFERROR(_xlfn.XLOOKUP($A269,Master_Data!$C:$C,Master_Data!$L:$L,"CHECK",0),"")</f>
        <v>35.321315755383495</v>
      </c>
      <c r="V269">
        <f>_xlfn.XLOOKUP($A269,Master_Data!$C:$C,Master_Data!$M:$M,"CHECK",0)</f>
        <v>58922</v>
      </c>
      <c r="W269">
        <f>IFERROR(_xlfn.XLOOKUP($A269,Master_Data!$C:$C,Master_Data!$N:$N,"CHECK",0),"")</f>
        <v>29.357368489233011</v>
      </c>
      <c r="X269" t="str">
        <f>IFERROR(_xlfn.XLOOKUP($A269,Master_Data!$C:$C,Master_Data!$O:$O,"CHECK",0),"No Result")</f>
        <v>Safe Seat</v>
      </c>
      <c r="Y269">
        <f>_xlfn.XLOOKUP($A269,Master_Data!$C:$C,Master_Data!$P:$P,"CHECK",0)</f>
        <v>0</v>
      </c>
      <c r="Z269">
        <f t="shared" si="9"/>
        <v>1</v>
      </c>
      <c r="AA269">
        <f>_xlfn.XLOOKUP(B269,Remittance_Data!A:A,Remittance_Data!B:B,"CHECK")</f>
        <v>60712</v>
      </c>
      <c r="AB269">
        <f>_xlfn.XLOOKUP(B269,Remittance_Data!A:A,Remittance_Data!C:C,"CHECK")</f>
        <v>47735</v>
      </c>
      <c r="AC269">
        <f>_xlfn.XLOOKUP(B269,Remittance_Data!A:A,Remittance_Data!D:D,"CHECK")</f>
        <v>12977</v>
      </c>
    </row>
    <row r="270" spans="1:29">
      <c r="A270" t="str">
        <v>Shariatpur-3</v>
      </c>
      <c r="B270" t="str" cm="1">
        <f t="array" ref="B27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Nawabganj","Chapainawabganj"),Final_Merged_Data!$B$2:$B$1000=$A270)))</f>
        <v>Shariatpur</v>
      </c>
      <c r="C270" t="str" cm="1">
        <f t="array" ref="C270">_xlfn.TEXTJOIN(", ",TRUE,_xlfn._xlws.FILTER(Final_Merged_Data!$C$2:$C$1000,Final_Merged_Data!$B$2:$B$1000=$A270))</f>
        <v>Damudya, Gosairhat</v>
      </c>
      <c r="D270" cm="1">
        <f t="array" ref="D270">COUNTA(_xlfn._xlws.FILTER(Final_Merged_Data!$C$2:$C$1000,Final_Merged_Data!$B$2:$B$1000=$A270))</f>
        <v>2</v>
      </c>
      <c r="E270">
        <f>SUMIFS(Final_Merged_Data!$E:$E,Final_Merged_Data!$B:$B,$A270)</f>
        <v>220.41</v>
      </c>
      <c r="F270">
        <f>SUMIFS(Final_Merged_Data!$F:$F,Final_Merged_Data!$B:$B,$A270)</f>
        <v>298652</v>
      </c>
      <c r="G270">
        <f t="shared" si="8"/>
        <v>1354.9838936527381</v>
      </c>
      <c r="H270" cm="1">
        <f t="array" ref="H270">SUMPRODUCT((Final_Merged_Data!$B$2:$B$1000=$A270)*Final_Merged_Data!$H$2:$H$1000*Final_Merged_Data!$F$2:$F$1000)/F270</f>
        <v>4.1654835728540238</v>
      </c>
      <c r="I270" cm="1">
        <f t="array" ref="I270">SUMPRODUCT((Final_Merged_Data!$B$2:$B$1000=$A270)*Final_Merged_Data!$I$2:$I$1000*Final_Merged_Data!$F$2:$F$1000)/F270</f>
        <v>72.180220055449155</v>
      </c>
      <c r="J270" t="str" cm="1">
        <f t="array" ref="J270">_xlfn.TEXTJOIN(", ",TRUE,_xlfn.UNIQUE(_xlfn._xlws.FILTER(Final_Merged_Data!$J$2:$J$1000,Final_Merged_Data!$B$2:$B$1000=$A270)))</f>
        <v>Dhaka Range</v>
      </c>
      <c r="K270" cm="1">
        <f t="array" ref="K270">SUMPRODUCT((Final_Merged_Data!$B$2:$B$1000=$A270)*Final_Merged_Data!$K$2:$K$1000*Final_Merged_Data!$F$2:$F$1000)/F270</f>
        <v>87.055167395391194</v>
      </c>
      <c r="L270" cm="1">
        <f t="array" ref="L270">SUMPRODUCT((Final_Merged_Data!$B$2:$B$1000=$A270)*Final_Merged_Data!$L$2:$L$1000*Final_Merged_Data!$F$2:$F$1000)/F270</f>
        <v>14.08348909992357</v>
      </c>
      <c r="M270" t="str">
        <f>IF(COUNTIF(Master_Data!$C:$C,$A270)&gt;0,"Found","Missing")</f>
        <v>Found</v>
      </c>
      <c r="N270" t="str">
        <f>_xlfn.XLOOKUP($A270,Master_Data!$C:$C,Master_Data!$D:$D,"CHECK",0)</f>
        <v>Mia Nuruddin Ahmed Apu</v>
      </c>
      <c r="O270" t="str">
        <f>_xlfn.XLOOKUP($A270,Master_Data!$C:$C,Master_Data!$E:$E,"CHECK",0)</f>
        <v>BNP</v>
      </c>
      <c r="P270">
        <f>_xlfn.XLOOKUP($A270,Master_Data!$C:$C,Master_Data!$F:$F,"CHECK",0)</f>
        <v>1</v>
      </c>
      <c r="Q270">
        <f>_xlfn.XLOOKUP($A270,Master_Data!$C:$C,Master_Data!$G:$G,"CHECK",0)</f>
        <v>107516</v>
      </c>
      <c r="R270">
        <f>IFERROR(_xlfn.XLOOKUP($A270,Master_Data!$C:$C,Master_Data!$H:$H,"CHECK",0),"")</f>
        <v>60.674943566591423</v>
      </c>
      <c r="S270" t="str">
        <f>_xlfn.XLOOKUP($A270,Master_Data!$C:$C,Master_Data!$I:$I,"CHECK",0)</f>
        <v>Muhammad Azharul Islam</v>
      </c>
      <c r="T270">
        <f>_xlfn.XLOOKUP($A270,Master_Data!$C:$C,Master_Data!$K:$K,"CHECK",0)</f>
        <v>69684</v>
      </c>
      <c r="U270">
        <f>IFERROR(_xlfn.XLOOKUP($A270,Master_Data!$C:$C,Master_Data!$L:$L,"CHECK",0),"")</f>
        <v>39.325056433408577</v>
      </c>
      <c r="V270">
        <f>_xlfn.XLOOKUP($A270,Master_Data!$C:$C,Master_Data!$M:$M,"CHECK",0)</f>
        <v>37832</v>
      </c>
      <c r="W270">
        <f>IFERROR(_xlfn.XLOOKUP($A270,Master_Data!$C:$C,Master_Data!$N:$N,"CHECK",0),"")</f>
        <v>21.349887133182843</v>
      </c>
      <c r="X270" t="str">
        <f>IFERROR(_xlfn.XLOOKUP($A270,Master_Data!$C:$C,Master_Data!$O:$O,"CHECK",0),"No Result")</f>
        <v>Safe Seat</v>
      </c>
      <c r="Y270">
        <f>_xlfn.XLOOKUP($A270,Master_Data!$C:$C,Master_Data!$P:$P,"CHECK",0)</f>
        <v>0</v>
      </c>
      <c r="Z270">
        <f t="shared" si="9"/>
        <v>1</v>
      </c>
      <c r="AA270">
        <f>_xlfn.XLOOKUP(B270,Remittance_Data!A:A,Remittance_Data!B:B,"CHECK")</f>
        <v>60712</v>
      </c>
      <c r="AB270">
        <f>_xlfn.XLOOKUP(B270,Remittance_Data!A:A,Remittance_Data!C:C,"CHECK")</f>
        <v>47735</v>
      </c>
      <c r="AC270">
        <f>_xlfn.XLOOKUP(B270,Remittance_Data!A:A,Remittance_Data!D:D,"CHECK")</f>
        <v>12977</v>
      </c>
    </row>
    <row r="271" spans="1:29">
      <c r="A271" t="str">
        <v>Sherpur-1</v>
      </c>
      <c r="B271" t="str" cm="1">
        <f t="array" ref="B27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Nawabganj","Chapainawabganj"),Final_Merged_Data!$B$2:$B$1000=$A271)))</f>
        <v>Sherpur</v>
      </c>
      <c r="C271" t="str" cm="1">
        <f t="array" ref="C271">_xlfn.TEXTJOIN(", ",TRUE,_xlfn._xlws.FILTER(Final_Merged_Data!$C$2:$C$1000,Final_Merged_Data!$B$2:$B$1000=$A271))</f>
        <v>Sherpur Sadar</v>
      </c>
      <c r="D271" cm="1">
        <f t="array" ref="D271">COUNTA(_xlfn._xlws.FILTER(Final_Merged_Data!$C$2:$C$1000,Final_Merged_Data!$B$2:$B$1000=$A271))</f>
        <v>1</v>
      </c>
      <c r="E271">
        <f>SUMIFS(Final_Merged_Data!$E:$E,Final_Merged_Data!$B:$B,$A271)</f>
        <v>366.52</v>
      </c>
      <c r="F271">
        <f>SUMIFS(Final_Merged_Data!$F:$F,Final_Merged_Data!$B:$B,$A271)</f>
        <v>563817</v>
      </c>
      <c r="G271">
        <f t="shared" si="8"/>
        <v>1538.2980464913239</v>
      </c>
      <c r="H271" cm="1">
        <f t="array" ref="H271">SUMPRODUCT((Final_Merged_Data!$B$2:$B$1000=$A271)*Final_Merged_Data!$H$2:$H$1000*Final_Merged_Data!$F$2:$F$1000)/F271</f>
        <v>3.8299999999999996</v>
      </c>
      <c r="I271" cm="1">
        <f t="array" ref="I271">SUMPRODUCT((Final_Merged_Data!$B$2:$B$1000=$A271)*Final_Merged_Data!$I$2:$I$1000*Final_Merged_Data!$F$2:$F$1000)/F271</f>
        <v>63.890000000000008</v>
      </c>
      <c r="J271" t="str" cm="1">
        <f t="array" ref="J271">_xlfn.TEXTJOIN(", ",TRUE,_xlfn.UNIQUE(_xlfn._xlws.FILTER(Final_Merged_Data!$J$2:$J$1000,Final_Merged_Data!$B$2:$B$1000=$A271)))</f>
        <v>Mymensingh Range</v>
      </c>
      <c r="K271" cm="1">
        <f t="array" ref="K271">SUMPRODUCT((Final_Merged_Data!$B$2:$B$1000=$A271)*Final_Merged_Data!$K$2:$K$1000*Final_Merged_Data!$F$2:$F$1000)/F271</f>
        <v>84.741263899591743</v>
      </c>
      <c r="L271" cm="1">
        <f t="array" ref="L271">SUMPRODUCT((Final_Merged_Data!$B$2:$B$1000=$A271)*Final_Merged_Data!$L$2:$L$1000*Final_Merged_Data!$F$2:$F$1000)/F271</f>
        <v>13.635491015503808</v>
      </c>
      <c r="M271" t="str">
        <f>IF(COUNTIF(Master_Data!$C:$C,$A271)&gt;0,"Found","Missing")</f>
        <v>Found</v>
      </c>
      <c r="N271" t="str">
        <f>_xlfn.XLOOKUP($A271,Master_Data!$C:$C,Master_Data!$D:$D,"CHECK",0)</f>
        <v>Md. Rashedul Islam Rashed</v>
      </c>
      <c r="O271" t="str">
        <f>_xlfn.XLOOKUP($A271,Master_Data!$C:$C,Master_Data!$E:$E,"CHECK",0)</f>
        <v>Jamaat</v>
      </c>
      <c r="P271">
        <f>_xlfn.XLOOKUP($A271,Master_Data!$C:$C,Master_Data!$F:$F,"CHECK",0)</f>
        <v>2</v>
      </c>
      <c r="Q271">
        <f>_xlfn.XLOOKUP($A271,Master_Data!$C:$C,Master_Data!$G:$G,"CHECK",0)</f>
        <v>127811</v>
      </c>
      <c r="R271">
        <f>IFERROR(_xlfn.XLOOKUP($A271,Master_Data!$C:$C,Master_Data!$H:$H,"CHECK",0),"")</f>
        <v>61.998127604255096</v>
      </c>
      <c r="S271" t="str">
        <f>_xlfn.XLOOKUP($A271,Master_Data!$C:$C,Master_Data!$I:$I,"CHECK",0)</f>
        <v>Sansila Zebrin</v>
      </c>
      <c r="T271">
        <f>_xlfn.XLOOKUP($A271,Master_Data!$C:$C,Master_Data!$K:$K,"CHECK",0)</f>
        <v>78342</v>
      </c>
      <c r="U271">
        <f>IFERROR(_xlfn.XLOOKUP($A271,Master_Data!$C:$C,Master_Data!$L:$L,"CHECK",0),"")</f>
        <v>38.001872395744904</v>
      </c>
      <c r="V271">
        <f>_xlfn.XLOOKUP($A271,Master_Data!$C:$C,Master_Data!$M:$M,"CHECK",0)</f>
        <v>49469</v>
      </c>
      <c r="W271">
        <f>IFERROR(_xlfn.XLOOKUP($A271,Master_Data!$C:$C,Master_Data!$N:$N,"CHECK",0),"")</f>
        <v>23.996255208510185</v>
      </c>
      <c r="X271" t="str">
        <f>IFERROR(_xlfn.XLOOKUP($A271,Master_Data!$C:$C,Master_Data!$O:$O,"CHECK",0),"No Result")</f>
        <v>Safe Seat</v>
      </c>
      <c r="Y271">
        <f>_xlfn.XLOOKUP($A271,Master_Data!$C:$C,Master_Data!$P:$P,"CHECK",0)</f>
        <v>0</v>
      </c>
      <c r="Z271">
        <f t="shared" si="9"/>
        <v>1</v>
      </c>
      <c r="AA271">
        <f>_xlfn.XLOOKUP(B271,Remittance_Data!A:A,Remittance_Data!B:B,"CHECK")</f>
        <v>5294</v>
      </c>
      <c r="AB271">
        <f>_xlfn.XLOOKUP(B271,Remittance_Data!A:A,Remittance_Data!C:C,"CHECK")</f>
        <v>3909</v>
      </c>
      <c r="AC271">
        <f>_xlfn.XLOOKUP(B271,Remittance_Data!A:A,Remittance_Data!D:D,"CHECK")</f>
        <v>1385</v>
      </c>
    </row>
    <row r="272" spans="1:29">
      <c r="A272" t="str">
        <v>Sherpur-2</v>
      </c>
      <c r="B272" t="str" cm="1">
        <f t="array" ref="B27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Nawabganj","Chapainawabganj"),Final_Merged_Data!$B$2:$B$1000=$A272)))</f>
        <v>Sherpur</v>
      </c>
      <c r="C272" t="str" cm="1">
        <f t="array" ref="C272">_xlfn.TEXTJOIN(", ",TRUE,_xlfn._xlws.FILTER(Final_Merged_Data!$C$2:$C$1000,Final_Merged_Data!$B$2:$B$1000=$A272))</f>
        <v>Nakla, Nalitabari</v>
      </c>
      <c r="D272" cm="1">
        <f t="array" ref="D272">COUNTA(_xlfn._xlws.FILTER(Final_Merged_Data!$C$2:$C$1000,Final_Merged_Data!$B$2:$B$1000=$A272))</f>
        <v>2</v>
      </c>
      <c r="E272">
        <f>SUMIFS(Final_Merged_Data!$E:$E,Final_Merged_Data!$B:$B,$A272)</f>
        <v>551.30999999999995</v>
      </c>
      <c r="F272">
        <f>SUMIFS(Final_Merged_Data!$F:$F,Final_Merged_Data!$B:$B,$A272)</f>
        <v>480658</v>
      </c>
      <c r="G272">
        <f t="shared" si="8"/>
        <v>871.84705519580643</v>
      </c>
      <c r="H272" cm="1">
        <f t="array" ref="H272">SUMPRODUCT((Final_Merged_Data!$B$2:$B$1000=$A272)*Final_Merged_Data!$H$2:$H$1000*Final_Merged_Data!$F$2:$F$1000)/F272</f>
        <v>3.7438321426045134</v>
      </c>
      <c r="I272" cm="1">
        <f t="array" ref="I272">SUMPRODUCT((Final_Merged_Data!$B$2:$B$1000=$A272)*Final_Merged_Data!$I$2:$I$1000*Final_Merged_Data!$F$2:$F$1000)/F272</f>
        <v>64.603430256024026</v>
      </c>
      <c r="J272" t="str" cm="1">
        <f t="array" ref="J272">_xlfn.TEXTJOIN(", ",TRUE,_xlfn.UNIQUE(_xlfn._xlws.FILTER(Final_Merged_Data!$J$2:$J$1000,Final_Merged_Data!$B$2:$B$1000=$A272)))</f>
        <v>Mymensingh Range</v>
      </c>
      <c r="K272" cm="1">
        <f t="array" ref="K272">SUMPRODUCT((Final_Merged_Data!$B$2:$B$1000=$A272)*Final_Merged_Data!$K$2:$K$1000*Final_Merged_Data!$F$2:$F$1000)/F272</f>
        <v>84.741263899591743</v>
      </c>
      <c r="L272" cm="1">
        <f t="array" ref="L272">SUMPRODUCT((Final_Merged_Data!$B$2:$B$1000=$A272)*Final_Merged_Data!$L$2:$L$1000*Final_Merged_Data!$F$2:$F$1000)/F272</f>
        <v>13.635491015503808</v>
      </c>
      <c r="M272" t="str">
        <f>IF(COUNTIF(Master_Data!$C:$C,$A272)&gt;0,"Found","Missing")</f>
        <v>Found</v>
      </c>
      <c r="N272" t="str">
        <f>_xlfn.XLOOKUP($A272,Master_Data!$C:$C,Master_Data!$D:$D,"CHECK",0)</f>
        <v>Mohammad Fahim Chowdhury</v>
      </c>
      <c r="O272" t="str">
        <f>_xlfn.XLOOKUP($A272,Master_Data!$C:$C,Master_Data!$E:$E,"CHECK",0)</f>
        <v>BNP</v>
      </c>
      <c r="P272">
        <f>_xlfn.XLOOKUP($A272,Master_Data!$C:$C,Master_Data!$F:$F,"CHECK",0)</f>
        <v>1</v>
      </c>
      <c r="Q272">
        <f>_xlfn.XLOOKUP($A272,Master_Data!$C:$C,Master_Data!$G:$G,"CHECK",0)</f>
        <v>118472</v>
      </c>
      <c r="R272">
        <f>IFERROR(_xlfn.XLOOKUP($A272,Master_Data!$C:$C,Master_Data!$H:$H,"CHECK",0),"")</f>
        <v>52.234719386967775</v>
      </c>
      <c r="S272" t="str">
        <f>_xlfn.XLOOKUP($A272,Master_Data!$C:$C,Master_Data!$I:$I,"CHECK",0)</f>
        <v>Md. Golam Kibria</v>
      </c>
      <c r="T272">
        <f>_xlfn.XLOOKUP($A272,Master_Data!$C:$C,Master_Data!$K:$K,"CHECK",0)</f>
        <v>108335</v>
      </c>
      <c r="U272">
        <f>IFERROR(_xlfn.XLOOKUP($A272,Master_Data!$C:$C,Master_Data!$L:$L,"CHECK",0),"")</f>
        <v>47.765280613032225</v>
      </c>
      <c r="V272">
        <f>_xlfn.XLOOKUP($A272,Master_Data!$C:$C,Master_Data!$M:$M,"CHECK",0)</f>
        <v>10137</v>
      </c>
      <c r="W272">
        <f>IFERROR(_xlfn.XLOOKUP($A272,Master_Data!$C:$C,Master_Data!$N:$N,"CHECK",0),"")</f>
        <v>4.4694387739355488</v>
      </c>
      <c r="X272" t="str">
        <f>IFERROR(_xlfn.XLOOKUP($A272,Master_Data!$C:$C,Master_Data!$O:$O,"CHECK",0),"No Result")</f>
        <v>Highly Competitive</v>
      </c>
      <c r="Y272">
        <f>_xlfn.XLOOKUP($A272,Master_Data!$C:$C,Master_Data!$P:$P,"CHECK",0)</f>
        <v>0</v>
      </c>
      <c r="Z272">
        <f t="shared" si="9"/>
        <v>1</v>
      </c>
      <c r="AA272">
        <f>_xlfn.XLOOKUP(B272,Remittance_Data!A:A,Remittance_Data!B:B,"CHECK")</f>
        <v>5294</v>
      </c>
      <c r="AB272">
        <f>_xlfn.XLOOKUP(B272,Remittance_Data!A:A,Remittance_Data!C:C,"CHECK")</f>
        <v>3909</v>
      </c>
      <c r="AC272">
        <f>_xlfn.XLOOKUP(B272,Remittance_Data!A:A,Remittance_Data!D:D,"CHECK")</f>
        <v>1385</v>
      </c>
    </row>
    <row r="273" spans="1:29">
      <c r="A273" t="str">
        <v>Sherpur-3</v>
      </c>
      <c r="B273" t="str" cm="1">
        <f t="array" ref="B27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Nawabganj","Chapainawabganj"),Final_Merged_Data!$B$2:$B$1000=$A273)))</f>
        <v>Sherpur</v>
      </c>
      <c r="C273" t="str" cm="1">
        <f t="array" ref="C273">_xlfn.TEXTJOIN(", ",TRUE,_xlfn._xlws.FILTER(Final_Merged_Data!$C$2:$C$1000,Final_Merged_Data!$B$2:$B$1000=$A273))</f>
        <v>Jhenaigati, Sreebardi</v>
      </c>
      <c r="D273" cm="1">
        <f t="array" ref="D273">COUNTA(_xlfn._xlws.FILTER(Final_Merged_Data!$C$2:$C$1000,Final_Merged_Data!$B$2:$B$1000=$A273))</f>
        <v>2</v>
      </c>
      <c r="E273">
        <f>SUMIFS(Final_Merged_Data!$E:$E,Final_Merged_Data!$B:$B,$A273)</f>
        <v>681.28</v>
      </c>
      <c r="F273">
        <f>SUMIFS(Final_Merged_Data!$F:$F,Final_Merged_Data!$B:$B,$A273)</f>
        <v>457276</v>
      </c>
      <c r="G273">
        <f t="shared" si="8"/>
        <v>671.20126820103337</v>
      </c>
      <c r="H273" cm="1">
        <f t="array" ref="H273">SUMPRODUCT((Final_Merged_Data!$B$2:$B$1000=$A273)*Final_Merged_Data!$H$2:$H$1000*Final_Merged_Data!$F$2:$F$1000)/F273</f>
        <v>3.7010438772207594</v>
      </c>
      <c r="I273" cm="1">
        <f t="array" ref="I273">SUMPRODUCT((Final_Merged_Data!$B$2:$B$1000=$A273)*Final_Merged_Data!$I$2:$I$1000*Final_Merged_Data!$F$2:$F$1000)/F273</f>
        <v>62.510332665611145</v>
      </c>
      <c r="J273" t="str" cm="1">
        <f t="array" ref="J273">_xlfn.TEXTJOIN(", ",TRUE,_xlfn.UNIQUE(_xlfn._xlws.FILTER(Final_Merged_Data!$J$2:$J$1000,Final_Merged_Data!$B$2:$B$1000=$A273)))</f>
        <v>Mymensingh Range</v>
      </c>
      <c r="K273" cm="1">
        <f t="array" ref="K273">SUMPRODUCT((Final_Merged_Data!$B$2:$B$1000=$A273)*Final_Merged_Data!$K$2:$K$1000*Final_Merged_Data!$F$2:$F$1000)/F273</f>
        <v>84.741263899591743</v>
      </c>
      <c r="L273" cm="1">
        <f t="array" ref="L273">SUMPRODUCT((Final_Merged_Data!$B$2:$B$1000=$A273)*Final_Merged_Data!$L$2:$L$1000*Final_Merged_Data!$F$2:$F$1000)/F273</f>
        <v>13.63549101550381</v>
      </c>
      <c r="M273" t="str">
        <f>IF(COUNTIF(Master_Data!$C:$C,$A273)&gt;0,"Found","Missing")</f>
        <v>Found</v>
      </c>
      <c r="N273" t="str">
        <f>_xlfn.XLOOKUP($A273,Master_Data!$C:$C,Master_Data!$D:$D,"CHECK",0)</f>
        <v>Election postponed</v>
      </c>
      <c r="O273" t="str">
        <f>_xlfn.XLOOKUP($A273,Master_Data!$C:$C,Master_Data!$E:$E,"CHECK",0)</f>
        <v>Election postponed</v>
      </c>
      <c r="P273">
        <f>_xlfn.XLOOKUP($A273,Master_Data!$C:$C,Master_Data!$F:$F,"CHECK",0)</f>
        <v>0</v>
      </c>
      <c r="Q273">
        <f>_xlfn.XLOOKUP($A273,Master_Data!$C:$C,Master_Data!$G:$G,"CHECK",0)</f>
        <v>0</v>
      </c>
      <c r="R273" t="str">
        <f>IFERROR(_xlfn.XLOOKUP($A273,Master_Data!$C:$C,Master_Data!$H:$H,"CHECK",0),"")</f>
        <v/>
      </c>
      <c r="S273" t="str">
        <f>_xlfn.XLOOKUP($A273,Master_Data!$C:$C,Master_Data!$I:$I,"CHECK",0)</f>
        <v>Election postponed</v>
      </c>
      <c r="T273">
        <f>_xlfn.XLOOKUP($A273,Master_Data!$C:$C,Master_Data!$K:$K,"CHECK",0)</f>
        <v>0</v>
      </c>
      <c r="U273" t="str">
        <f>IFERROR(_xlfn.XLOOKUP($A273,Master_Data!$C:$C,Master_Data!$L:$L,"CHECK",0),"")</f>
        <v/>
      </c>
      <c r="V273">
        <f>_xlfn.XLOOKUP($A273,Master_Data!$C:$C,Master_Data!$M:$M,"CHECK",0)</f>
        <v>0</v>
      </c>
      <c r="W273" t="str">
        <f>IFERROR(_xlfn.XLOOKUP($A273,Master_Data!$C:$C,Master_Data!$N:$N,"CHECK",0),"")</f>
        <v/>
      </c>
      <c r="X273" t="str">
        <f>IFERROR(_xlfn.XLOOKUP($A273,Master_Data!$C:$C,Master_Data!$O:$O,"CHECK",0),"No Result")</f>
        <v>No Result</v>
      </c>
      <c r="Y273">
        <f>_xlfn.XLOOKUP($A273,Master_Data!$C:$C,Master_Data!$P:$P,"CHECK",0)</f>
        <v>0</v>
      </c>
      <c r="Z273">
        <f t="shared" si="9"/>
        <v>0</v>
      </c>
      <c r="AA273">
        <f>_xlfn.XLOOKUP(B273,Remittance_Data!A:A,Remittance_Data!B:B,"CHECK")</f>
        <v>5294</v>
      </c>
      <c r="AB273">
        <f>_xlfn.XLOOKUP(B273,Remittance_Data!A:A,Remittance_Data!C:C,"CHECK")</f>
        <v>3909</v>
      </c>
      <c r="AC273">
        <f>_xlfn.XLOOKUP(B273,Remittance_Data!A:A,Remittance_Data!D:D,"CHECK")</f>
        <v>1385</v>
      </c>
    </row>
    <row r="274" spans="1:29">
      <c r="A274" t="str">
        <v>Sirajganj-1</v>
      </c>
      <c r="B274" t="str" cm="1">
        <f t="array" ref="B27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Nawabganj","Chapainawabganj"),Final_Merged_Data!$B$2:$B$1000=$A274)))</f>
        <v>Sirajganj</v>
      </c>
      <c r="C274" t="str" cm="1">
        <f t="array" ref="C274">_xlfn.TEXTJOIN(", ",TRUE,_xlfn._xlws.FILTER(Final_Merged_Data!$C$2:$C$1000,Final_Merged_Data!$B$2:$B$1000=$A274))</f>
        <v>Kazipur</v>
      </c>
      <c r="D274" cm="1">
        <f t="array" ref="D274">COUNTA(_xlfn._xlws.FILTER(Final_Merged_Data!$C$2:$C$1000,Final_Merged_Data!$B$2:$B$1000=$A274))</f>
        <v>1</v>
      </c>
      <c r="E274">
        <f>SUMIFS(Final_Merged_Data!$E:$E,Final_Merged_Data!$B:$B,$A274)</f>
        <v>368.63</v>
      </c>
      <c r="F274">
        <f>SUMIFS(Final_Merged_Data!$F:$F,Final_Merged_Data!$B:$B,$A274)</f>
        <v>281429</v>
      </c>
      <c r="G274">
        <f t="shared" si="8"/>
        <v>763.44573149228222</v>
      </c>
      <c r="H274" cm="1">
        <f t="array" ref="H274">SUMPRODUCT((Final_Merged_Data!$B$2:$B$1000=$A274)*Final_Merged_Data!$H$2:$H$1000*Final_Merged_Data!$F$2:$F$1000)/F274</f>
        <v>3.7299999999999995</v>
      </c>
      <c r="I274" cm="1">
        <f t="array" ref="I274">SUMPRODUCT((Final_Merged_Data!$B$2:$B$1000=$A274)*Final_Merged_Data!$I$2:$I$1000*Final_Merged_Data!$F$2:$F$1000)/F274</f>
        <v>63.95</v>
      </c>
      <c r="J274" t="str" cm="1">
        <f t="array" ref="J274">_xlfn.TEXTJOIN(", ",TRUE,_xlfn.UNIQUE(_xlfn._xlws.FILTER(Final_Merged_Data!$J$2:$J$1000,Final_Merged_Data!$B$2:$B$1000=$A274)))</f>
        <v>Rajshahi Range</v>
      </c>
      <c r="K274" cm="1">
        <f t="array" ref="K274">SUMPRODUCT((Final_Merged_Data!$B$2:$B$1000=$A274)*Final_Merged_Data!$K$2:$K$1000*Final_Merged_Data!$F$2:$F$1000)/F274</f>
        <v>112.81411131450233</v>
      </c>
      <c r="L274" cm="1">
        <f t="array" ref="L274">SUMPRODUCT((Final_Merged_Data!$B$2:$B$1000=$A274)*Final_Merged_Data!$L$2:$L$1000*Final_Merged_Data!$F$2:$F$1000)/F274</f>
        <v>14.272851259111949</v>
      </c>
      <c r="M274" t="str">
        <f>IF(COUNTIF(Master_Data!$C:$C,$A274)&gt;0,"Found","Missing")</f>
        <v>Found</v>
      </c>
      <c r="N274" t="str">
        <f>_xlfn.XLOOKUP($A274,Master_Data!$C:$C,Master_Data!$D:$D,"CHECK",0)</f>
        <v>Md. Salim Reza</v>
      </c>
      <c r="O274" t="str">
        <f>_xlfn.XLOOKUP($A274,Master_Data!$C:$C,Master_Data!$E:$E,"CHECK",0)</f>
        <v>BNP</v>
      </c>
      <c r="P274">
        <f>_xlfn.XLOOKUP($A274,Master_Data!$C:$C,Master_Data!$F:$F,"CHECK",0)</f>
        <v>1</v>
      </c>
      <c r="Q274">
        <f>_xlfn.XLOOKUP($A274,Master_Data!$C:$C,Master_Data!$G:$G,"CHECK",0)</f>
        <v>116613</v>
      </c>
      <c r="R274">
        <f>IFERROR(_xlfn.XLOOKUP($A274,Master_Data!$C:$C,Master_Data!$H:$H,"CHECK",0),"")</f>
        <v>51.72959880760154</v>
      </c>
      <c r="S274" t="str">
        <f>_xlfn.XLOOKUP($A274,Master_Data!$C:$C,Master_Data!$I:$I,"CHECK",0)</f>
        <v>Md. Shahinur Alam</v>
      </c>
      <c r="T274">
        <f>_xlfn.XLOOKUP($A274,Master_Data!$C:$C,Master_Data!$K:$K,"CHECK",0)</f>
        <v>108815</v>
      </c>
      <c r="U274">
        <f>IFERROR(_xlfn.XLOOKUP($A274,Master_Data!$C:$C,Master_Data!$L:$L,"CHECK",0),"")</f>
        <v>48.27040119239846</v>
      </c>
      <c r="V274">
        <f>_xlfn.XLOOKUP($A274,Master_Data!$C:$C,Master_Data!$M:$M,"CHECK",0)</f>
        <v>7798</v>
      </c>
      <c r="W274">
        <f>IFERROR(_xlfn.XLOOKUP($A274,Master_Data!$C:$C,Master_Data!$N:$N,"CHECK",0),"")</f>
        <v>3.4591976152030801</v>
      </c>
      <c r="X274" t="str">
        <f>IFERROR(_xlfn.XLOOKUP($A274,Master_Data!$C:$C,Master_Data!$O:$O,"CHECK",0),"No Result")</f>
        <v>Highly Competitive</v>
      </c>
      <c r="Y274">
        <f>_xlfn.XLOOKUP($A274,Master_Data!$C:$C,Master_Data!$P:$P,"CHECK",0)</f>
        <v>0</v>
      </c>
      <c r="Z274">
        <f t="shared" si="9"/>
        <v>1</v>
      </c>
      <c r="AA274">
        <f>_xlfn.XLOOKUP(B274,Remittance_Data!A:A,Remittance_Data!B:B,"CHECK")</f>
        <v>30007</v>
      </c>
      <c r="AB274">
        <f>_xlfn.XLOOKUP(B274,Remittance_Data!A:A,Remittance_Data!C:C,"CHECK")</f>
        <v>24382</v>
      </c>
      <c r="AC274">
        <f>_xlfn.XLOOKUP(B274,Remittance_Data!A:A,Remittance_Data!D:D,"CHECK")</f>
        <v>5625</v>
      </c>
    </row>
    <row r="275" spans="1:29">
      <c r="A275" t="str">
        <v>Sirajganj-2</v>
      </c>
      <c r="B275" t="str" cm="1">
        <f t="array" ref="B27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Nawabganj","Chapainawabganj"),Final_Merged_Data!$B$2:$B$1000=$A275)))</f>
        <v>Sirajganj</v>
      </c>
      <c r="C275" t="str" cm="1">
        <f t="array" ref="C275">_xlfn.TEXTJOIN(", ",TRUE,_xlfn._xlws.FILTER(Final_Merged_Data!$C$2:$C$1000,Final_Merged_Data!$B$2:$B$1000=$A275))</f>
        <v>Sirajganj Sadar, Kamarkhanda</v>
      </c>
      <c r="D275" cm="1">
        <f t="array" ref="D275">COUNTA(_xlfn._xlws.FILTER(Final_Merged_Data!$C$2:$C$1000,Final_Merged_Data!$B$2:$B$1000=$A275))</f>
        <v>2</v>
      </c>
      <c r="E275">
        <f>SUMIFS(Final_Merged_Data!$E:$E,Final_Merged_Data!$B:$B,$A275)</f>
        <v>564.53</v>
      </c>
      <c r="F275">
        <f>SUMIFS(Final_Merged_Data!$F:$F,Final_Merged_Data!$B:$B,$A275)</f>
        <v>786262</v>
      </c>
      <c r="G275">
        <f t="shared" si="8"/>
        <v>1392.772749012453</v>
      </c>
      <c r="H275" cm="1">
        <f t="array" ref="H275">SUMPRODUCT((Final_Merged_Data!$B$2:$B$1000=$A275)*Final_Merged_Data!$H$2:$H$1000*Final_Merged_Data!$F$2:$F$1000)/F275</f>
        <v>3.9580364687597771</v>
      </c>
      <c r="I275" cm="1">
        <f t="array" ref="I275">SUMPRODUCT((Final_Merged_Data!$B$2:$B$1000=$A275)*Final_Merged_Data!$I$2:$I$1000*Final_Merged_Data!$F$2:$F$1000)/F275</f>
        <v>73.539677562949763</v>
      </c>
      <c r="J275" t="str" cm="1">
        <f t="array" ref="J275">_xlfn.TEXTJOIN(", ",TRUE,_xlfn.UNIQUE(_xlfn._xlws.FILTER(Final_Merged_Data!$J$2:$J$1000,Final_Merged_Data!$B$2:$B$1000=$A275)))</f>
        <v>Rajshahi Range</v>
      </c>
      <c r="K275" cm="1">
        <f t="array" ref="K275">SUMPRODUCT((Final_Merged_Data!$B$2:$B$1000=$A275)*Final_Merged_Data!$K$2:$K$1000*Final_Merged_Data!$F$2:$F$1000)/F275</f>
        <v>112.81411131450234</v>
      </c>
      <c r="L275" cm="1">
        <f t="array" ref="L275">SUMPRODUCT((Final_Merged_Data!$B$2:$B$1000=$A275)*Final_Merged_Data!$L$2:$L$1000*Final_Merged_Data!$F$2:$F$1000)/F275</f>
        <v>14.272851259111949</v>
      </c>
      <c r="M275" t="str">
        <f>IF(COUNTIF(Master_Data!$C:$C,$A275)&gt;0,"Found","Missing")</f>
        <v>Found</v>
      </c>
      <c r="N275" t="str">
        <f>_xlfn.XLOOKUP($A275,Master_Data!$C:$C,Master_Data!$D:$D,"CHECK",0)</f>
        <v>Iqbal Hassan Mahmood</v>
      </c>
      <c r="O275" t="str">
        <f>_xlfn.XLOOKUP($A275,Master_Data!$C:$C,Master_Data!$E:$E,"CHECK",0)</f>
        <v>BNP</v>
      </c>
      <c r="P275">
        <f>_xlfn.XLOOKUP($A275,Master_Data!$C:$C,Master_Data!$F:$F,"CHECK",0)</f>
        <v>1</v>
      </c>
      <c r="Q275">
        <f>_xlfn.XLOOKUP($A275,Master_Data!$C:$C,Master_Data!$G:$G,"CHECK",0)</f>
        <v>176638</v>
      </c>
      <c r="R275">
        <f>IFERROR(_xlfn.XLOOKUP($A275,Master_Data!$C:$C,Master_Data!$H:$H,"CHECK",0),"")</f>
        <v>56.391887189408521</v>
      </c>
      <c r="S275" t="str">
        <f>_xlfn.XLOOKUP($A275,Master_Data!$C:$C,Master_Data!$I:$I,"CHECK",0)</f>
        <v>Muhammad Zahidul Islam</v>
      </c>
      <c r="T275">
        <f>_xlfn.XLOOKUP($A275,Master_Data!$C:$C,Master_Data!$K:$K,"CHECK",0)</f>
        <v>136595</v>
      </c>
      <c r="U275">
        <f>IFERROR(_xlfn.XLOOKUP($A275,Master_Data!$C:$C,Master_Data!$L:$L,"CHECK",0),"")</f>
        <v>43.608112810591479</v>
      </c>
      <c r="V275">
        <f>_xlfn.XLOOKUP($A275,Master_Data!$C:$C,Master_Data!$M:$M,"CHECK",0)</f>
        <v>40043</v>
      </c>
      <c r="W275">
        <f>IFERROR(_xlfn.XLOOKUP($A275,Master_Data!$C:$C,Master_Data!$N:$N,"CHECK",0),"")</f>
        <v>12.783774378817048</v>
      </c>
      <c r="X275" t="str">
        <f>IFERROR(_xlfn.XLOOKUP($A275,Master_Data!$C:$C,Master_Data!$O:$O,"CHECK",0),"No Result")</f>
        <v>Safe Seat</v>
      </c>
      <c r="Y275">
        <f>_xlfn.XLOOKUP($A275,Master_Data!$C:$C,Master_Data!$P:$P,"CHECK",0)</f>
        <v>0</v>
      </c>
      <c r="Z275">
        <f t="shared" si="9"/>
        <v>1</v>
      </c>
      <c r="AA275">
        <f>_xlfn.XLOOKUP(B275,Remittance_Data!A:A,Remittance_Data!B:B,"CHECK")</f>
        <v>30007</v>
      </c>
      <c r="AB275">
        <f>_xlfn.XLOOKUP(B275,Remittance_Data!A:A,Remittance_Data!C:C,"CHECK")</f>
        <v>24382</v>
      </c>
      <c r="AC275">
        <f>_xlfn.XLOOKUP(B275,Remittance_Data!A:A,Remittance_Data!D:D,"CHECK")</f>
        <v>5625</v>
      </c>
    </row>
    <row r="276" spans="1:29">
      <c r="A276" t="str">
        <v>Sirajganj-3</v>
      </c>
      <c r="B276" t="str" cm="1">
        <f t="array" ref="B27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Nawabganj","Chapainawabganj"),Final_Merged_Data!$B$2:$B$1000=$A276)))</f>
        <v>Sirajganj</v>
      </c>
      <c r="C276" t="str" cm="1">
        <f t="array" ref="C276">_xlfn.TEXTJOIN(", ",TRUE,_xlfn._xlws.FILTER(Final_Merged_Data!$C$2:$C$1000,Final_Merged_Data!$B$2:$B$1000=$A276))</f>
        <v>Rayganj, Tarash</v>
      </c>
      <c r="D276" cm="1">
        <f t="array" ref="D276">COUNTA(_xlfn._xlws.FILTER(Final_Merged_Data!$C$2:$C$1000,Final_Merged_Data!$B$2:$B$1000=$A276))</f>
        <v>2</v>
      </c>
      <c r="E276">
        <f>SUMIFS(Final_Merged_Data!$E:$E,Final_Merged_Data!$B:$B,$A276)</f>
        <v>740.7</v>
      </c>
      <c r="F276">
        <f>SUMIFS(Final_Merged_Data!$F:$F,Final_Merged_Data!$B:$B,$A276)</f>
        <v>559982</v>
      </c>
      <c r="G276">
        <f t="shared" si="8"/>
        <v>756.01728095045223</v>
      </c>
      <c r="H276" cm="1">
        <f t="array" ref="H276">SUMPRODUCT((Final_Merged_Data!$B$2:$B$1000=$A276)*Final_Merged_Data!$H$2:$H$1000*Final_Merged_Data!$F$2:$F$1000)/F276</f>
        <v>3.7659531913525792</v>
      </c>
      <c r="I276" cm="1">
        <f t="array" ref="I276">SUMPRODUCT((Final_Merged_Data!$B$2:$B$1000=$A276)*Final_Merged_Data!$I$2:$I$1000*Final_Merged_Data!$F$2:$F$1000)/F276</f>
        <v>69.818382983738758</v>
      </c>
      <c r="J276" t="str" cm="1">
        <f t="array" ref="J276">_xlfn.TEXTJOIN(", ",TRUE,_xlfn.UNIQUE(_xlfn._xlws.FILTER(Final_Merged_Data!$J$2:$J$1000,Final_Merged_Data!$B$2:$B$1000=$A276)))</f>
        <v>Rajshahi Range</v>
      </c>
      <c r="K276" cm="1">
        <f t="array" ref="K276">SUMPRODUCT((Final_Merged_Data!$B$2:$B$1000=$A276)*Final_Merged_Data!$K$2:$K$1000*Final_Merged_Data!$F$2:$F$1000)/F276</f>
        <v>112.81411131450233</v>
      </c>
      <c r="L276" cm="1">
        <f t="array" ref="L276">SUMPRODUCT((Final_Merged_Data!$B$2:$B$1000=$A276)*Final_Merged_Data!$L$2:$L$1000*Final_Merged_Data!$F$2:$F$1000)/F276</f>
        <v>14.272851259111949</v>
      </c>
      <c r="M276" t="str">
        <f>IF(COUNTIF(Master_Data!$C:$C,$A276)&gt;0,"Found","Missing")</f>
        <v>Found</v>
      </c>
      <c r="N276" t="str">
        <f>_xlfn.XLOOKUP($A276,Master_Data!$C:$C,Master_Data!$D:$D,"CHECK",0)</f>
        <v>Md. Ainul Haque</v>
      </c>
      <c r="O276" t="str">
        <f>_xlfn.XLOOKUP($A276,Master_Data!$C:$C,Master_Data!$E:$E,"CHECK",0)</f>
        <v>BNP</v>
      </c>
      <c r="P276">
        <f>_xlfn.XLOOKUP($A276,Master_Data!$C:$C,Master_Data!$F:$F,"CHECK",0)</f>
        <v>1</v>
      </c>
      <c r="Q276">
        <f>_xlfn.XLOOKUP($A276,Master_Data!$C:$C,Master_Data!$G:$G,"CHECK",0)</f>
        <v>174430</v>
      </c>
      <c r="R276">
        <f>IFERROR(_xlfn.XLOOKUP($A276,Master_Data!$C:$C,Master_Data!$H:$H,"CHECK",0),"")</f>
        <v>59.893830348313372</v>
      </c>
      <c r="S276" t="str">
        <f>_xlfn.XLOOKUP($A276,Master_Data!$C:$C,Master_Data!$I:$I,"CHECK",0)</f>
        <v>Muha: Abdur Rauf Sarkar</v>
      </c>
      <c r="T276">
        <f>_xlfn.XLOOKUP($A276,Master_Data!$C:$C,Master_Data!$K:$K,"CHECK",0)</f>
        <v>116802</v>
      </c>
      <c r="U276">
        <f>IFERROR(_xlfn.XLOOKUP($A276,Master_Data!$C:$C,Master_Data!$L:$L,"CHECK",0),"")</f>
        <v>40.106169651686628</v>
      </c>
      <c r="V276">
        <f>_xlfn.XLOOKUP($A276,Master_Data!$C:$C,Master_Data!$M:$M,"CHECK",0)</f>
        <v>57628</v>
      </c>
      <c r="W276">
        <f>IFERROR(_xlfn.XLOOKUP($A276,Master_Data!$C:$C,Master_Data!$N:$N,"CHECK",0),"")</f>
        <v>19.787660696626745</v>
      </c>
      <c r="X276" t="str">
        <f>IFERROR(_xlfn.XLOOKUP($A276,Master_Data!$C:$C,Master_Data!$O:$O,"CHECK",0),"No Result")</f>
        <v>Safe Seat</v>
      </c>
      <c r="Y276">
        <f>_xlfn.XLOOKUP($A276,Master_Data!$C:$C,Master_Data!$P:$P,"CHECK",0)</f>
        <v>0</v>
      </c>
      <c r="Z276">
        <f t="shared" si="9"/>
        <v>1</v>
      </c>
      <c r="AA276">
        <f>_xlfn.XLOOKUP(B276,Remittance_Data!A:A,Remittance_Data!B:B,"CHECK")</f>
        <v>30007</v>
      </c>
      <c r="AB276">
        <f>_xlfn.XLOOKUP(B276,Remittance_Data!A:A,Remittance_Data!C:C,"CHECK")</f>
        <v>24382</v>
      </c>
      <c r="AC276">
        <f>_xlfn.XLOOKUP(B276,Remittance_Data!A:A,Remittance_Data!D:D,"CHECK")</f>
        <v>5625</v>
      </c>
    </row>
    <row r="277" spans="1:29">
      <c r="A277" t="str">
        <v>Sirajganj-4</v>
      </c>
      <c r="B277" t="str" cm="1">
        <f t="array" ref="B27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Nawabganj","Chapainawabganj"),Final_Merged_Data!$B$2:$B$1000=$A277)))</f>
        <v>Sirajganj</v>
      </c>
      <c r="C277" t="str" cm="1">
        <f t="array" ref="C277">_xlfn.TEXTJOIN(", ",TRUE,_xlfn._xlws.FILTER(Final_Merged_Data!$C$2:$C$1000,Final_Merged_Data!$B$2:$B$1000=$A277))</f>
        <v>Ullapara</v>
      </c>
      <c r="D277" cm="1">
        <f t="array" ref="D277">COUNTA(_xlfn._xlws.FILTER(Final_Merged_Data!$C$2:$C$1000,Final_Merged_Data!$B$2:$B$1000=$A277))</f>
        <v>1</v>
      </c>
      <c r="E277">
        <f>SUMIFS(Final_Merged_Data!$E:$E,Final_Merged_Data!$B:$B,$A277)</f>
        <v>127.74</v>
      </c>
      <c r="F277">
        <f>SUMIFS(Final_Merged_Data!$F:$F,Final_Merged_Data!$B:$B,$A277)</f>
        <v>588977</v>
      </c>
      <c r="G277">
        <f t="shared" si="8"/>
        <v>4610.7483951777049</v>
      </c>
      <c r="H277" cm="1">
        <f t="array" ref="H277">SUMPRODUCT((Final_Merged_Data!$B$2:$B$1000=$A277)*Final_Merged_Data!$H$2:$H$1000*Final_Merged_Data!$F$2:$F$1000)/F277</f>
        <v>3.9299999999999997</v>
      </c>
      <c r="I277" cm="1">
        <f t="array" ref="I277">SUMPRODUCT((Final_Merged_Data!$B$2:$B$1000=$A277)*Final_Merged_Data!$I$2:$I$1000*Final_Merged_Data!$F$2:$F$1000)/F277</f>
        <v>70.010000000000005</v>
      </c>
      <c r="J277" t="str" cm="1">
        <f t="array" ref="J277">_xlfn.TEXTJOIN(", ",TRUE,_xlfn.UNIQUE(_xlfn._xlws.FILTER(Final_Merged_Data!$J$2:$J$1000,Final_Merged_Data!$B$2:$B$1000=$A277)))</f>
        <v>Rajshahi Range</v>
      </c>
      <c r="K277" cm="1">
        <f t="array" ref="K277">SUMPRODUCT((Final_Merged_Data!$B$2:$B$1000=$A277)*Final_Merged_Data!$K$2:$K$1000*Final_Merged_Data!$F$2:$F$1000)/F277</f>
        <v>112.81411131450233</v>
      </c>
      <c r="L277" cm="1">
        <f t="array" ref="L277">SUMPRODUCT((Final_Merged_Data!$B$2:$B$1000=$A277)*Final_Merged_Data!$L$2:$L$1000*Final_Merged_Data!$F$2:$F$1000)/F277</f>
        <v>14.272851259111949</v>
      </c>
      <c r="M277" t="str">
        <f>IF(COUNTIF(Master_Data!$C:$C,$A277)&gt;0,"Found","Missing")</f>
        <v>Found</v>
      </c>
      <c r="N277" t="str">
        <f>_xlfn.XLOOKUP($A277,Master_Data!$C:$C,Master_Data!$D:$D,"CHECK",0)</f>
        <v>Md. Rafiqul Islam Khan</v>
      </c>
      <c r="O277" t="str">
        <f>_xlfn.XLOOKUP($A277,Master_Data!$C:$C,Master_Data!$E:$E,"CHECK",0)</f>
        <v>Jamaat</v>
      </c>
      <c r="P277">
        <f>_xlfn.XLOOKUP($A277,Master_Data!$C:$C,Master_Data!$F:$F,"CHECK",0)</f>
        <v>2</v>
      </c>
      <c r="Q277">
        <f>_xlfn.XLOOKUP($A277,Master_Data!$C:$C,Master_Data!$G:$G,"CHECK",0)</f>
        <v>161872</v>
      </c>
      <c r="R277">
        <f>IFERROR(_xlfn.XLOOKUP($A277,Master_Data!$C:$C,Master_Data!$H:$H,"CHECK",0),"")</f>
        <v>50.091907782763421</v>
      </c>
      <c r="S277" t="str">
        <f>_xlfn.XLOOKUP($A277,Master_Data!$C:$C,Master_Data!$I:$I,"CHECK",0)</f>
        <v>M. Akbar Ali</v>
      </c>
      <c r="T277">
        <f>_xlfn.XLOOKUP($A277,Master_Data!$C:$C,Master_Data!$K:$K,"CHECK",0)</f>
        <v>161278</v>
      </c>
      <c r="U277">
        <f>IFERROR(_xlfn.XLOOKUP($A277,Master_Data!$C:$C,Master_Data!$L:$L,"CHECK",0),"")</f>
        <v>49.908092217236579</v>
      </c>
      <c r="V277">
        <f>_xlfn.XLOOKUP($A277,Master_Data!$C:$C,Master_Data!$M:$M,"CHECK",0)</f>
        <v>594</v>
      </c>
      <c r="W277">
        <f>IFERROR(_xlfn.XLOOKUP($A277,Master_Data!$C:$C,Master_Data!$N:$N,"CHECK",0),"")</f>
        <v>0.18381556552684511</v>
      </c>
      <c r="X277" t="str">
        <f>IFERROR(_xlfn.XLOOKUP($A277,Master_Data!$C:$C,Master_Data!$O:$O,"CHECK",0),"No Result")</f>
        <v>Highly Competitive</v>
      </c>
      <c r="Y277">
        <f>_xlfn.XLOOKUP($A277,Master_Data!$C:$C,Master_Data!$P:$P,"CHECK",0)</f>
        <v>0</v>
      </c>
      <c r="Z277">
        <f t="shared" si="9"/>
        <v>1</v>
      </c>
      <c r="AA277">
        <f>_xlfn.XLOOKUP(B277,Remittance_Data!A:A,Remittance_Data!B:B,"CHECK")</f>
        <v>30007</v>
      </c>
      <c r="AB277">
        <f>_xlfn.XLOOKUP(B277,Remittance_Data!A:A,Remittance_Data!C:C,"CHECK")</f>
        <v>24382</v>
      </c>
      <c r="AC277">
        <f>_xlfn.XLOOKUP(B277,Remittance_Data!A:A,Remittance_Data!D:D,"CHECK")</f>
        <v>5625</v>
      </c>
    </row>
    <row r="278" spans="1:29">
      <c r="A278" t="str">
        <v>Sirajganj-5</v>
      </c>
      <c r="B278" t="str" cm="1">
        <f t="array" ref="B27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Nawabganj","Chapainawabganj"),Final_Merged_Data!$B$2:$B$1000=$A278)))</f>
        <v>Sirajganj</v>
      </c>
      <c r="C278" t="str" cm="1">
        <f t="array" ref="C278">_xlfn.TEXTJOIN(", ",TRUE,_xlfn._xlws.FILTER(Final_Merged_Data!$C$2:$C$1000,Final_Merged_Data!$B$2:$B$1000=$A278))</f>
        <v>Belkuchi, Chouhali</v>
      </c>
      <c r="D278" cm="1">
        <f t="array" ref="D278">COUNTA(_xlfn._xlws.FILTER(Final_Merged_Data!$C$2:$C$1000,Final_Merged_Data!$B$2:$B$1000=$A278))</f>
        <v>2</v>
      </c>
      <c r="E278">
        <f>SUMIFS(Final_Merged_Data!$E:$E,Final_Merged_Data!$B:$B,$A278)</f>
        <v>277.78999999999996</v>
      </c>
      <c r="F278">
        <f>SUMIFS(Final_Merged_Data!$F:$F,Final_Merged_Data!$B:$B,$A278)</f>
        <v>539206</v>
      </c>
      <c r="G278">
        <f t="shared" si="8"/>
        <v>1941.056193527485</v>
      </c>
      <c r="H278" cm="1">
        <f t="array" ref="H278">SUMPRODUCT((Final_Merged_Data!$B$2:$B$1000=$A278)*Final_Merged_Data!$H$2:$H$1000*Final_Merged_Data!$F$2:$F$1000)/F278</f>
        <v>4.0692761579062546</v>
      </c>
      <c r="I278" cm="1">
        <f t="array" ref="I278">SUMPRODUCT((Final_Merged_Data!$B$2:$B$1000=$A278)*Final_Merged_Data!$I$2:$I$1000*Final_Merged_Data!$F$2:$F$1000)/F278</f>
        <v>70.129921106219143</v>
      </c>
      <c r="J278" t="str" cm="1">
        <f t="array" ref="J278">_xlfn.TEXTJOIN(", ",TRUE,_xlfn.UNIQUE(_xlfn._xlws.FILTER(Final_Merged_Data!$J$2:$J$1000,Final_Merged_Data!$B$2:$B$1000=$A278)))</f>
        <v>Rajshahi Range</v>
      </c>
      <c r="K278" cm="1">
        <f t="array" ref="K278">SUMPRODUCT((Final_Merged_Data!$B$2:$B$1000=$A278)*Final_Merged_Data!$K$2:$K$1000*Final_Merged_Data!$F$2:$F$1000)/F278</f>
        <v>112.81411131450234</v>
      </c>
      <c r="L278" cm="1">
        <f t="array" ref="L278">SUMPRODUCT((Final_Merged_Data!$B$2:$B$1000=$A278)*Final_Merged_Data!$L$2:$L$1000*Final_Merged_Data!$F$2:$F$1000)/F278</f>
        <v>14.272851259111949</v>
      </c>
      <c r="M278" t="str">
        <f>IF(COUNTIF(Master_Data!$C:$C,$A278)&gt;0,"Found","Missing")</f>
        <v>Found</v>
      </c>
      <c r="N278" t="str">
        <f>_xlfn.XLOOKUP($A278,Master_Data!$C:$C,Master_Data!$D:$D,"CHECK",0)</f>
        <v>Md. Amirul Islam Khan</v>
      </c>
      <c r="O278" t="str">
        <f>_xlfn.XLOOKUP($A278,Master_Data!$C:$C,Master_Data!$E:$E,"CHECK",0)</f>
        <v>BNP</v>
      </c>
      <c r="P278">
        <f>_xlfn.XLOOKUP($A278,Master_Data!$C:$C,Master_Data!$F:$F,"CHECK",0)</f>
        <v>1</v>
      </c>
      <c r="Q278">
        <f>_xlfn.XLOOKUP($A278,Master_Data!$C:$C,Master_Data!$G:$G,"CHECK",0)</f>
        <v>134197</v>
      </c>
      <c r="R278">
        <f>IFERROR(_xlfn.XLOOKUP($A278,Master_Data!$C:$C,Master_Data!$H:$H,"CHECK",0),"")</f>
        <v>56.059068028489669</v>
      </c>
      <c r="S278" t="str">
        <f>_xlfn.XLOOKUP($A278,Master_Data!$C:$C,Master_Data!$I:$I,"CHECK",0)</f>
        <v>Md. Ali Alam</v>
      </c>
      <c r="T278">
        <f>_xlfn.XLOOKUP($A278,Master_Data!$C:$C,Master_Data!$K:$K,"CHECK",0)</f>
        <v>105188</v>
      </c>
      <c r="U278">
        <f>IFERROR(_xlfn.XLOOKUP($A278,Master_Data!$C:$C,Master_Data!$L:$L,"CHECK",0),"")</f>
        <v>43.940931971510331</v>
      </c>
      <c r="V278">
        <f>_xlfn.XLOOKUP($A278,Master_Data!$C:$C,Master_Data!$M:$M,"CHECK",0)</f>
        <v>29009</v>
      </c>
      <c r="W278">
        <f>IFERROR(_xlfn.XLOOKUP($A278,Master_Data!$C:$C,Master_Data!$N:$N,"CHECK",0),"")</f>
        <v>12.118136056979342</v>
      </c>
      <c r="X278" t="str">
        <f>IFERROR(_xlfn.XLOOKUP($A278,Master_Data!$C:$C,Master_Data!$O:$O,"CHECK",0),"No Result")</f>
        <v>Safe Seat</v>
      </c>
      <c r="Y278">
        <f>_xlfn.XLOOKUP($A278,Master_Data!$C:$C,Master_Data!$P:$P,"CHECK",0)</f>
        <v>0</v>
      </c>
      <c r="Z278">
        <f t="shared" si="9"/>
        <v>1</v>
      </c>
      <c r="AA278">
        <f>_xlfn.XLOOKUP(B278,Remittance_Data!A:A,Remittance_Data!B:B,"CHECK")</f>
        <v>30007</v>
      </c>
      <c r="AB278">
        <f>_xlfn.XLOOKUP(B278,Remittance_Data!A:A,Remittance_Data!C:C,"CHECK")</f>
        <v>24382</v>
      </c>
      <c r="AC278">
        <f>_xlfn.XLOOKUP(B278,Remittance_Data!A:A,Remittance_Data!D:D,"CHECK")</f>
        <v>5625</v>
      </c>
    </row>
    <row r="279" spans="1:29">
      <c r="A279" t="str">
        <v>Sirajganj-6</v>
      </c>
      <c r="B279" t="str" cm="1">
        <f t="array" ref="B27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Nawabganj","Chapainawabganj"),Final_Merged_Data!$B$2:$B$1000=$A279)))</f>
        <v>Sirajganj</v>
      </c>
      <c r="C279" t="str" cm="1">
        <f t="array" ref="C279">_xlfn.TEXTJOIN(", ",TRUE,_xlfn._xlws.FILTER(Final_Merged_Data!$C$2:$C$1000,Final_Merged_Data!$B$2:$B$1000=$A279))</f>
        <v>Shahjadpur</v>
      </c>
      <c r="D279" cm="1">
        <f t="array" ref="D279">COUNTA(_xlfn._xlws.FILTER(Final_Merged_Data!$C$2:$C$1000,Final_Merged_Data!$B$2:$B$1000=$A279))</f>
        <v>1</v>
      </c>
      <c r="E279">
        <f>SUMIFS(Final_Merged_Data!$E:$E,Final_Merged_Data!$B:$B,$A279)</f>
        <v>356.67</v>
      </c>
      <c r="F279">
        <f>SUMIFS(Final_Merged_Data!$F:$F,Final_Merged_Data!$B:$B,$A279)</f>
        <v>601613</v>
      </c>
      <c r="G279">
        <f t="shared" si="8"/>
        <v>1686.7496565452659</v>
      </c>
      <c r="H279" cm="1">
        <f t="array" ref="H279">SUMPRODUCT((Final_Merged_Data!$B$2:$B$1000=$A279)*Final_Merged_Data!$H$2:$H$1000*Final_Merged_Data!$F$2:$F$1000)/F279</f>
        <v>4.04</v>
      </c>
      <c r="I279" cm="1">
        <f t="array" ref="I279">SUMPRODUCT((Final_Merged_Data!$B$2:$B$1000=$A279)*Final_Merged_Data!$I$2:$I$1000*Final_Merged_Data!$F$2:$F$1000)/F279</f>
        <v>65.3</v>
      </c>
      <c r="J279" t="str" cm="1">
        <f t="array" ref="J279">_xlfn.TEXTJOIN(", ",TRUE,_xlfn.UNIQUE(_xlfn._xlws.FILTER(Final_Merged_Data!$J$2:$J$1000,Final_Merged_Data!$B$2:$B$1000=$A279)))</f>
        <v>Rajshahi Range</v>
      </c>
      <c r="K279" cm="1">
        <f t="array" ref="K279">SUMPRODUCT((Final_Merged_Data!$B$2:$B$1000=$A279)*Final_Merged_Data!$K$2:$K$1000*Final_Merged_Data!$F$2:$F$1000)/F279</f>
        <v>112.81411131450231</v>
      </c>
      <c r="L279" cm="1">
        <f t="array" ref="L279">SUMPRODUCT((Final_Merged_Data!$B$2:$B$1000=$A279)*Final_Merged_Data!$L$2:$L$1000*Final_Merged_Data!$F$2:$F$1000)/F279</f>
        <v>14.272851259111949</v>
      </c>
      <c r="M279" t="str">
        <f>IF(COUNTIF(Master_Data!$C:$C,$A279)&gt;0,"Found","Missing")</f>
        <v>Found</v>
      </c>
      <c r="N279" t="str">
        <f>_xlfn.XLOOKUP($A279,Master_Data!$C:$C,Master_Data!$D:$D,"CHECK",0)</f>
        <v>M. A. Muhit</v>
      </c>
      <c r="O279" t="str">
        <f>_xlfn.XLOOKUP($A279,Master_Data!$C:$C,Master_Data!$E:$E,"CHECK",0)</f>
        <v>BNP</v>
      </c>
      <c r="P279">
        <f>_xlfn.XLOOKUP($A279,Master_Data!$C:$C,Master_Data!$F:$F,"CHECK",0)</f>
        <v>1</v>
      </c>
      <c r="Q279">
        <f>_xlfn.XLOOKUP($A279,Master_Data!$C:$C,Master_Data!$G:$G,"CHECK",0)</f>
        <v>171508</v>
      </c>
      <c r="R279">
        <f>IFERROR(_xlfn.XLOOKUP($A279,Master_Data!$C:$C,Master_Data!$H:$H,"CHECK",0),"")</f>
        <v>62.277771322333251</v>
      </c>
      <c r="S279" t="str">
        <f>_xlfn.XLOOKUP($A279,Master_Data!$C:$C,Master_Data!$I:$I,"CHECK",0)</f>
        <v>SM Saif Mostafiz</v>
      </c>
      <c r="T279">
        <f>_xlfn.XLOOKUP($A279,Master_Data!$C:$C,Master_Data!$K:$K,"CHECK",0)</f>
        <v>103884</v>
      </c>
      <c r="U279">
        <f>IFERROR(_xlfn.XLOOKUP($A279,Master_Data!$C:$C,Master_Data!$L:$L,"CHECK",0),"")</f>
        <v>37.722228677666742</v>
      </c>
      <c r="V279">
        <f>_xlfn.XLOOKUP($A279,Master_Data!$C:$C,Master_Data!$M:$M,"CHECK",0)</f>
        <v>67624</v>
      </c>
      <c r="W279">
        <f>IFERROR(_xlfn.XLOOKUP($A279,Master_Data!$C:$C,Master_Data!$N:$N,"CHECK",0),"")</f>
        <v>24.555542644666513</v>
      </c>
      <c r="X279" t="str">
        <f>IFERROR(_xlfn.XLOOKUP($A279,Master_Data!$C:$C,Master_Data!$O:$O,"CHECK",0),"No Result")</f>
        <v>Safe Seat</v>
      </c>
      <c r="Y279">
        <f>_xlfn.XLOOKUP($A279,Master_Data!$C:$C,Master_Data!$P:$P,"CHECK",0)</f>
        <v>0</v>
      </c>
      <c r="Z279">
        <f t="shared" si="9"/>
        <v>1</v>
      </c>
      <c r="AA279">
        <f>_xlfn.XLOOKUP(B279,Remittance_Data!A:A,Remittance_Data!B:B,"CHECK")</f>
        <v>30007</v>
      </c>
      <c r="AB279">
        <f>_xlfn.XLOOKUP(B279,Remittance_Data!A:A,Remittance_Data!C:C,"CHECK")</f>
        <v>24382</v>
      </c>
      <c r="AC279">
        <f>_xlfn.XLOOKUP(B279,Remittance_Data!A:A,Remittance_Data!D:D,"CHECK")</f>
        <v>5625</v>
      </c>
    </row>
    <row r="280" spans="1:29">
      <c r="A280" t="str">
        <v>Sunamganj-1</v>
      </c>
      <c r="B280" t="str" cm="1">
        <f t="array" ref="B28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Nawabganj","Chapainawabganj"),Final_Merged_Data!$B$2:$B$1000=$A280)))</f>
        <v>Sunamganj</v>
      </c>
      <c r="C280" t="str" cm="1">
        <f t="array" ref="C280">_xlfn.TEXTJOIN(", ",TRUE,_xlfn._xlws.FILTER(Final_Merged_Data!$C$2:$C$1000,Final_Merged_Data!$B$2:$B$1000=$A280))</f>
        <v>Tahirpur, Jamalganj, Dharmapasha</v>
      </c>
      <c r="D280" cm="1">
        <f t="array" ref="D280">COUNTA(_xlfn._xlws.FILTER(Final_Merged_Data!$C$2:$C$1000,Final_Merged_Data!$B$2:$B$1000=$A280))</f>
        <v>3</v>
      </c>
      <c r="E280">
        <f>SUMIFS(Final_Merged_Data!$E:$E,Final_Merged_Data!$B:$B,$A280)</f>
        <v>857.64</v>
      </c>
      <c r="F280">
        <f>SUMIFS(Final_Merged_Data!$F:$F,Final_Merged_Data!$B:$B,$A280)</f>
        <v>543923</v>
      </c>
      <c r="G280">
        <f t="shared" si="8"/>
        <v>634.20899211790493</v>
      </c>
      <c r="H280" cm="1">
        <f t="array" ref="H280">SUMPRODUCT((Final_Merged_Data!$B$2:$B$1000=$A280)*Final_Merged_Data!$H$2:$H$1000*Final_Merged_Data!$F$2:$F$1000)/F280</f>
        <v>5.0490581019739924</v>
      </c>
      <c r="I280" cm="1">
        <f t="array" ref="I280">SUMPRODUCT((Final_Merged_Data!$B$2:$B$1000=$A280)*Final_Merged_Data!$I$2:$I$1000*Final_Merged_Data!$F$2:$F$1000)/F280</f>
        <v>58.983348985058555</v>
      </c>
      <c r="J280" t="str" cm="1">
        <f t="array" ref="J280">_xlfn.TEXTJOIN(", ",TRUE,_xlfn.UNIQUE(_xlfn._xlws.FILTER(Final_Merged_Data!$J$2:$J$1000,Final_Merged_Data!$B$2:$B$1000=$A280)))</f>
        <v>Sylhet Range</v>
      </c>
      <c r="K280" cm="1">
        <f t="array" ref="K280">SUMPRODUCT((Final_Merged_Data!$B$2:$B$1000=$A280)*Final_Merged_Data!$K$2:$K$1000*Final_Merged_Data!$F$2:$F$1000)/F280</f>
        <v>74.251724391082064</v>
      </c>
      <c r="L280" cm="1">
        <f t="array" ref="L280">SUMPRODUCT((Final_Merged_Data!$B$2:$B$1000=$A280)*Final_Merged_Data!$L$2:$L$1000*Final_Merged_Data!$F$2:$F$1000)/F280</f>
        <v>9.6171122896887518</v>
      </c>
      <c r="M280" t="str">
        <f>IF(COUNTIF(Master_Data!$C:$C,$A280)&gt;0,"Found","Missing")</f>
        <v>Found</v>
      </c>
      <c r="N280" t="str">
        <f>_xlfn.XLOOKUP($A280,Master_Data!$C:$C,Master_Data!$D:$D,"CHECK",0)</f>
        <v>Kamruzzaman Kamrul</v>
      </c>
      <c r="O280" t="str">
        <f>_xlfn.XLOOKUP($A280,Master_Data!$C:$C,Master_Data!$E:$E,"CHECK",0)</f>
        <v>BNP</v>
      </c>
      <c r="P280">
        <f>_xlfn.XLOOKUP($A280,Master_Data!$C:$C,Master_Data!$F:$F,"CHECK",0)</f>
        <v>1</v>
      </c>
      <c r="Q280">
        <f>_xlfn.XLOOKUP($A280,Master_Data!$C:$C,Master_Data!$G:$G,"CHECK",0)</f>
        <v>161774</v>
      </c>
      <c r="R280">
        <f>IFERROR(_xlfn.XLOOKUP($A280,Master_Data!$C:$C,Master_Data!$H:$H,"CHECK",0),"")</f>
        <v>63.505535055350549</v>
      </c>
      <c r="S280" t="str">
        <f>_xlfn.XLOOKUP($A280,Master_Data!$C:$C,Master_Data!$I:$I,"CHECK",0)</f>
        <v>Tofail Ahmed</v>
      </c>
      <c r="T280">
        <f>_xlfn.XLOOKUP($A280,Master_Data!$C:$C,Master_Data!$K:$K,"CHECK",0)</f>
        <v>92966</v>
      </c>
      <c r="U280">
        <f>IFERROR(_xlfn.XLOOKUP($A280,Master_Data!$C:$C,Master_Data!$L:$L,"CHECK",0),"")</f>
        <v>36.494464944649444</v>
      </c>
      <c r="V280">
        <f>_xlfn.XLOOKUP($A280,Master_Data!$C:$C,Master_Data!$M:$M,"CHECK",0)</f>
        <v>68808</v>
      </c>
      <c r="W280">
        <f>IFERROR(_xlfn.XLOOKUP($A280,Master_Data!$C:$C,Master_Data!$N:$N,"CHECK",0),"")</f>
        <v>27.011070110701109</v>
      </c>
      <c r="X280" t="str">
        <f>IFERROR(_xlfn.XLOOKUP($A280,Master_Data!$C:$C,Master_Data!$O:$O,"CHECK",0),"No Result")</f>
        <v>Safe Seat</v>
      </c>
      <c r="Y280">
        <f>_xlfn.XLOOKUP($A280,Master_Data!$C:$C,Master_Data!$P:$P,"CHECK",0)</f>
        <v>0</v>
      </c>
      <c r="Z280">
        <f t="shared" si="9"/>
        <v>1</v>
      </c>
      <c r="AA280">
        <f>_xlfn.XLOOKUP(B280,Remittance_Data!A:A,Remittance_Data!B:B,"CHECK")</f>
        <v>63212</v>
      </c>
      <c r="AB280">
        <f>_xlfn.XLOOKUP(B280,Remittance_Data!A:A,Remittance_Data!C:C,"CHECK")</f>
        <v>54941</v>
      </c>
      <c r="AC280">
        <f>_xlfn.XLOOKUP(B280,Remittance_Data!A:A,Remittance_Data!D:D,"CHECK")</f>
        <v>8271</v>
      </c>
    </row>
    <row r="281" spans="1:29">
      <c r="A281" t="str">
        <v>Sunamganj-2</v>
      </c>
      <c r="B281" t="str" cm="1">
        <f t="array" ref="B28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Nawabganj","Chapainawabganj"),Final_Merged_Data!$B$2:$B$1000=$A281)))</f>
        <v>Sunamganj</v>
      </c>
      <c r="C281" t="str" cm="1">
        <f t="array" ref="C281">_xlfn.TEXTJOIN(", ",TRUE,_xlfn._xlws.FILTER(Final_Merged_Data!$C$2:$C$1000,Final_Merged_Data!$B$2:$B$1000=$A281))</f>
        <v>Dirai, Shalla</v>
      </c>
      <c r="D281" cm="1">
        <f t="array" ref="D281">COUNTA(_xlfn._xlws.FILTER(Final_Merged_Data!$C$2:$C$1000,Final_Merged_Data!$B$2:$B$1000=$A281))</f>
        <v>2</v>
      </c>
      <c r="E281">
        <f>SUMIFS(Final_Merged_Data!$E:$E,Final_Merged_Data!$B:$B,$A281)</f>
        <v>658.17</v>
      </c>
      <c r="F281">
        <f>SUMIFS(Final_Merged_Data!$F:$F,Final_Merged_Data!$B:$B,$A281)</f>
        <v>371318</v>
      </c>
      <c r="G281">
        <f t="shared" si="8"/>
        <v>564.16731239649334</v>
      </c>
      <c r="H281" cm="1">
        <f t="array" ref="H281">SUMPRODUCT((Final_Merged_Data!$B$2:$B$1000=$A281)*Final_Merged_Data!$H$2:$H$1000*Final_Merged_Data!$F$2:$F$1000)/F281</f>
        <v>5.0995033906247471</v>
      </c>
      <c r="I281" cm="1">
        <f t="array" ref="I281">SUMPRODUCT((Final_Merged_Data!$B$2:$B$1000=$A281)*Final_Merged_Data!$I$2:$I$1000*Final_Merged_Data!$F$2:$F$1000)/F281</f>
        <v>66.464062609407577</v>
      </c>
      <c r="J281" t="str" cm="1">
        <f t="array" ref="J281">_xlfn.TEXTJOIN(", ",TRUE,_xlfn.UNIQUE(_xlfn._xlws.FILTER(Final_Merged_Data!$J$2:$J$1000,Final_Merged_Data!$B$2:$B$1000=$A281)))</f>
        <v>Sylhet Range</v>
      </c>
      <c r="K281" cm="1">
        <f t="array" ref="K281">SUMPRODUCT((Final_Merged_Data!$B$2:$B$1000=$A281)*Final_Merged_Data!$K$2:$K$1000*Final_Merged_Data!$F$2:$F$1000)/F281</f>
        <v>74.251724391082064</v>
      </c>
      <c r="L281" cm="1">
        <f t="array" ref="L281">SUMPRODUCT((Final_Merged_Data!$B$2:$B$1000=$A281)*Final_Merged_Data!$L$2:$L$1000*Final_Merged_Data!$F$2:$F$1000)/F281</f>
        <v>9.6171122896887518</v>
      </c>
      <c r="M281" t="str">
        <f>IF(COUNTIF(Master_Data!$C:$C,$A281)&gt;0,"Found","Missing")</f>
        <v>Found</v>
      </c>
      <c r="N281" t="str">
        <f>_xlfn.XLOOKUP($A281,Master_Data!$C:$C,Master_Data!$D:$D,"CHECK",0)</f>
        <v>Md. Nasir Chowdhury</v>
      </c>
      <c r="O281" t="str">
        <f>_xlfn.XLOOKUP($A281,Master_Data!$C:$C,Master_Data!$E:$E,"CHECK",0)</f>
        <v>BNP</v>
      </c>
      <c r="P281">
        <f>_xlfn.XLOOKUP($A281,Master_Data!$C:$C,Master_Data!$F:$F,"CHECK",0)</f>
        <v>1</v>
      </c>
      <c r="Q281">
        <f>_xlfn.XLOOKUP($A281,Master_Data!$C:$C,Master_Data!$G:$G,"CHECK",0)</f>
        <v>99522</v>
      </c>
      <c r="R281">
        <f>IFERROR(_xlfn.XLOOKUP($A281,Master_Data!$C:$C,Master_Data!$H:$H,"CHECK",0),"")</f>
        <v>61.153236411006375</v>
      </c>
      <c r="S281" t="str">
        <f>_xlfn.XLOOKUP($A281,Master_Data!$C:$C,Master_Data!$I:$I,"CHECK",0)</f>
        <v>Mohammad Shishir Monir</v>
      </c>
      <c r="T281">
        <f>_xlfn.XLOOKUP($A281,Master_Data!$C:$C,Master_Data!$K:$K,"CHECK",0)</f>
        <v>63220</v>
      </c>
      <c r="U281">
        <f>IFERROR(_xlfn.XLOOKUP($A281,Master_Data!$C:$C,Master_Data!$L:$L,"CHECK",0),"")</f>
        <v>38.846763588993625</v>
      </c>
      <c r="V281">
        <f>_xlfn.XLOOKUP($A281,Master_Data!$C:$C,Master_Data!$M:$M,"CHECK",0)</f>
        <v>36302</v>
      </c>
      <c r="W281">
        <f>IFERROR(_xlfn.XLOOKUP($A281,Master_Data!$C:$C,Master_Data!$N:$N,"CHECK",0),"")</f>
        <v>22.306472822012758</v>
      </c>
      <c r="X281" t="str">
        <f>IFERROR(_xlfn.XLOOKUP($A281,Master_Data!$C:$C,Master_Data!$O:$O,"CHECK",0),"No Result")</f>
        <v>Safe Seat</v>
      </c>
      <c r="Y281">
        <f>_xlfn.XLOOKUP($A281,Master_Data!$C:$C,Master_Data!$P:$P,"CHECK",0)</f>
        <v>0</v>
      </c>
      <c r="Z281">
        <f t="shared" si="9"/>
        <v>1</v>
      </c>
      <c r="AA281">
        <f>_xlfn.XLOOKUP(B281,Remittance_Data!A:A,Remittance_Data!B:B,"CHECK")</f>
        <v>63212</v>
      </c>
      <c r="AB281">
        <f>_xlfn.XLOOKUP(B281,Remittance_Data!A:A,Remittance_Data!C:C,"CHECK")</f>
        <v>54941</v>
      </c>
      <c r="AC281">
        <f>_xlfn.XLOOKUP(B281,Remittance_Data!A:A,Remittance_Data!D:D,"CHECK")</f>
        <v>8271</v>
      </c>
    </row>
    <row r="282" spans="1:29">
      <c r="A282" t="str">
        <v>Sunamganj-3</v>
      </c>
      <c r="B282" t="str" cm="1">
        <f t="array" ref="B28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Nawabganj","Chapainawabganj"),Final_Merged_Data!$B$2:$B$1000=$A282)))</f>
        <v>Sunamganj</v>
      </c>
      <c r="C282" t="str" cm="1">
        <f t="array" ref="C282">_xlfn.TEXTJOIN(", ",TRUE,_xlfn._xlws.FILTER(Final_Merged_Data!$C$2:$C$1000,Final_Merged_Data!$B$2:$B$1000=$A282))</f>
        <v>Sunamganj Sadar, Bishwambharpur</v>
      </c>
      <c r="D282" cm="1">
        <f t="array" ref="D282">COUNTA(_xlfn._xlws.FILTER(Final_Merged_Data!$C$2:$C$1000,Final_Merged_Data!$B$2:$B$1000=$A282))</f>
        <v>2</v>
      </c>
      <c r="E282">
        <f>SUMIFS(Final_Merged_Data!$E:$E,Final_Merged_Data!$B:$B,$A282)</f>
        <v>774.12</v>
      </c>
      <c r="F282">
        <f>SUMIFS(Final_Merged_Data!$F:$F,Final_Merged_Data!$B:$B,$A282)</f>
        <v>508396</v>
      </c>
      <c r="G282">
        <f t="shared" si="8"/>
        <v>656.74055701958355</v>
      </c>
      <c r="H282" cm="1">
        <f t="array" ref="H282">SUMPRODUCT((Final_Merged_Data!$B$2:$B$1000=$A282)*Final_Merged_Data!$H$2:$H$1000*Final_Merged_Data!$F$2:$F$1000)/F282</f>
        <v>5.0112313236138757</v>
      </c>
      <c r="I282" cm="1">
        <f t="array" ref="I282">SUMPRODUCT((Final_Merged_Data!$B$2:$B$1000=$A282)*Final_Merged_Data!$I$2:$I$1000*Final_Merged_Data!$F$2:$F$1000)/F282</f>
        <v>66.559878126499811</v>
      </c>
      <c r="J282" t="str" cm="1">
        <f t="array" ref="J282">_xlfn.TEXTJOIN(", ",TRUE,_xlfn.UNIQUE(_xlfn._xlws.FILTER(Final_Merged_Data!$J$2:$J$1000,Final_Merged_Data!$B$2:$B$1000=$A282)))</f>
        <v>Sylhet Range</v>
      </c>
      <c r="K282" cm="1">
        <f t="array" ref="K282">SUMPRODUCT((Final_Merged_Data!$B$2:$B$1000=$A282)*Final_Merged_Data!$K$2:$K$1000*Final_Merged_Data!$F$2:$F$1000)/F282</f>
        <v>74.251724391082064</v>
      </c>
      <c r="L282" cm="1">
        <f t="array" ref="L282">SUMPRODUCT((Final_Merged_Data!$B$2:$B$1000=$A282)*Final_Merged_Data!$L$2:$L$1000*Final_Merged_Data!$F$2:$F$1000)/F282</f>
        <v>9.6171122896887518</v>
      </c>
      <c r="M282" t="str">
        <f>IF(COUNTIF(Master_Data!$C:$C,$A282)&gt;0,"Found","Missing")</f>
        <v>Found</v>
      </c>
      <c r="N282" t="str">
        <f>_xlfn.XLOOKUP($A282,Master_Data!$C:$C,Master_Data!$D:$D,"CHECK",0)</f>
        <v>Mohammad Kaisar Ahmed</v>
      </c>
      <c r="O282" t="str">
        <f>_xlfn.XLOOKUP($A282,Master_Data!$C:$C,Master_Data!$E:$E,"CHECK",0)</f>
        <v>BNP</v>
      </c>
      <c r="P282">
        <f>_xlfn.XLOOKUP($A282,Master_Data!$C:$C,Master_Data!$F:$F,"CHECK",0)</f>
        <v>1</v>
      </c>
      <c r="Q282">
        <f>_xlfn.XLOOKUP($A282,Master_Data!$C:$C,Master_Data!$G:$G,"CHECK",0)</f>
        <v>97313</v>
      </c>
      <c r="R282">
        <f>IFERROR(_xlfn.XLOOKUP($A282,Master_Data!$C:$C,Master_Data!$H:$H,"CHECK",0),"")</f>
        <v>69.738926035015297</v>
      </c>
      <c r="S282" t="str">
        <f>_xlfn.XLOOKUP($A282,Master_Data!$C:$C,Master_Data!$I:$I,"CHECK",0)</f>
        <v>Md. Anwar Hossain</v>
      </c>
      <c r="T282">
        <f>_xlfn.XLOOKUP($A282,Master_Data!$C:$C,Master_Data!$K:$K,"CHECK",0)</f>
        <v>42226</v>
      </c>
      <c r="U282">
        <f>IFERROR(_xlfn.XLOOKUP($A282,Master_Data!$C:$C,Master_Data!$L:$L,"CHECK",0),"")</f>
        <v>30.261073964984696</v>
      </c>
      <c r="V282">
        <f>_xlfn.XLOOKUP($A282,Master_Data!$C:$C,Master_Data!$M:$M,"CHECK",0)</f>
        <v>55087</v>
      </c>
      <c r="W282">
        <f>IFERROR(_xlfn.XLOOKUP($A282,Master_Data!$C:$C,Master_Data!$N:$N,"CHECK",0),"")</f>
        <v>39.4778520700306</v>
      </c>
      <c r="X282" t="str">
        <f>IFERROR(_xlfn.XLOOKUP($A282,Master_Data!$C:$C,Master_Data!$O:$O,"CHECK",0),"No Result")</f>
        <v>Safe Seat</v>
      </c>
      <c r="Y282">
        <f>_xlfn.XLOOKUP($A282,Master_Data!$C:$C,Master_Data!$P:$P,"CHECK",0)</f>
        <v>0</v>
      </c>
      <c r="Z282">
        <f t="shared" si="9"/>
        <v>1</v>
      </c>
      <c r="AA282">
        <f>_xlfn.XLOOKUP(B282,Remittance_Data!A:A,Remittance_Data!B:B,"CHECK")</f>
        <v>63212</v>
      </c>
      <c r="AB282">
        <f>_xlfn.XLOOKUP(B282,Remittance_Data!A:A,Remittance_Data!C:C,"CHECK")</f>
        <v>54941</v>
      </c>
      <c r="AC282">
        <f>_xlfn.XLOOKUP(B282,Remittance_Data!A:A,Remittance_Data!D:D,"CHECK")</f>
        <v>8271</v>
      </c>
    </row>
    <row r="283" spans="1:29">
      <c r="A283" t="str">
        <v>Sunamganj-4</v>
      </c>
      <c r="B283" t="str" cm="1">
        <f t="array" ref="B28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Nawabganj","Chapainawabganj"),Final_Merged_Data!$B$2:$B$1000=$A283)))</f>
        <v>Sunamganj</v>
      </c>
      <c r="C283" t="str" cm="1">
        <f t="array" ref="C283">_xlfn.TEXTJOIN(", ",TRUE,_xlfn._xlws.FILTER(Final_Merged_Data!$C$2:$C$1000,Final_Merged_Data!$B$2:$B$1000=$A283))</f>
        <v>Chhatak, Dowarabazar</v>
      </c>
      <c r="D283" cm="1">
        <f t="array" ref="D283">COUNTA(_xlfn._xlws.FILTER(Final_Merged_Data!$C$2:$C$1000,Final_Merged_Data!$B$2:$B$1000=$A283))</f>
        <v>2</v>
      </c>
      <c r="E283">
        <f>SUMIFS(Final_Merged_Data!$E:$E,Final_Merged_Data!$B:$B,$A283)</f>
        <v>561.85</v>
      </c>
      <c r="F283">
        <f>SUMIFS(Final_Merged_Data!$F:$F,Final_Merged_Data!$B:$B,$A283)</f>
        <v>706265</v>
      </c>
      <c r="G283">
        <f t="shared" si="8"/>
        <v>1257.034795763994</v>
      </c>
      <c r="H283" cm="1">
        <f t="array" ref="H283">SUMPRODUCT((Final_Merged_Data!$B$2:$B$1000=$A283)*Final_Merged_Data!$H$2:$H$1000*Final_Merged_Data!$F$2:$F$1000)/F283</f>
        <v>5.1399211485773746</v>
      </c>
      <c r="I283" cm="1">
        <f t="array" ref="I283">SUMPRODUCT((Final_Merged_Data!$B$2:$B$1000=$A283)*Final_Merged_Data!$I$2:$I$1000*Final_Merged_Data!$F$2:$F$1000)/F283</f>
        <v>66.869152641005854</v>
      </c>
      <c r="J283" t="str" cm="1">
        <f t="array" ref="J283">_xlfn.TEXTJOIN(", ",TRUE,_xlfn.UNIQUE(_xlfn._xlws.FILTER(Final_Merged_Data!$J$2:$J$1000,Final_Merged_Data!$B$2:$B$1000=$A283)))</f>
        <v>Sylhet Range</v>
      </c>
      <c r="K283" cm="1">
        <f t="array" ref="K283">SUMPRODUCT((Final_Merged_Data!$B$2:$B$1000=$A283)*Final_Merged_Data!$K$2:$K$1000*Final_Merged_Data!$F$2:$F$1000)/F283</f>
        <v>74.251724391082064</v>
      </c>
      <c r="L283" cm="1">
        <f t="array" ref="L283">SUMPRODUCT((Final_Merged_Data!$B$2:$B$1000=$A283)*Final_Merged_Data!$L$2:$L$1000*Final_Merged_Data!$F$2:$F$1000)/F283</f>
        <v>9.6171122896887518</v>
      </c>
      <c r="M283" t="str">
        <f>IF(COUNTIF(Master_Data!$C:$C,$A283)&gt;0,"Found","Missing")</f>
        <v>Found</v>
      </c>
      <c r="N283" t="str">
        <f>_xlfn.XLOOKUP($A283,Master_Data!$C:$C,Master_Data!$D:$D,"CHECK",0)</f>
        <v>Nurul Islam</v>
      </c>
      <c r="O283" t="str">
        <f>_xlfn.XLOOKUP($A283,Master_Data!$C:$C,Master_Data!$E:$E,"CHECK",0)</f>
        <v>BNP</v>
      </c>
      <c r="P283">
        <f>_xlfn.XLOOKUP($A283,Master_Data!$C:$C,Master_Data!$F:$F,"CHECK",0)</f>
        <v>1</v>
      </c>
      <c r="Q283">
        <f>_xlfn.XLOOKUP($A283,Master_Data!$C:$C,Master_Data!$G:$G,"CHECK",0)</f>
        <v>98092</v>
      </c>
      <c r="R283">
        <f>IFERROR(_xlfn.XLOOKUP($A283,Master_Data!$C:$C,Master_Data!$H:$H,"CHECK",0),"")</f>
        <v>56.430819147773356</v>
      </c>
      <c r="S283" t="str">
        <f>_xlfn.XLOOKUP($A283,Master_Data!$C:$C,Master_Data!$I:$I,"CHECK",0)</f>
        <v>Md. Shams Uddin</v>
      </c>
      <c r="T283">
        <f>_xlfn.XLOOKUP($A283,Master_Data!$C:$C,Master_Data!$K:$K,"CHECK",0)</f>
        <v>75735</v>
      </c>
      <c r="U283">
        <f>IFERROR(_xlfn.XLOOKUP($A283,Master_Data!$C:$C,Master_Data!$L:$L,"CHECK",0),"")</f>
        <v>43.569180852226644</v>
      </c>
      <c r="V283">
        <f>_xlfn.XLOOKUP($A283,Master_Data!$C:$C,Master_Data!$M:$M,"CHECK",0)</f>
        <v>22357</v>
      </c>
      <c r="W283">
        <f>IFERROR(_xlfn.XLOOKUP($A283,Master_Data!$C:$C,Master_Data!$N:$N,"CHECK",0),"")</f>
        <v>12.861638295546721</v>
      </c>
      <c r="X283" t="str">
        <f>IFERROR(_xlfn.XLOOKUP($A283,Master_Data!$C:$C,Master_Data!$O:$O,"CHECK",0),"No Result")</f>
        <v>Safe Seat</v>
      </c>
      <c r="Y283">
        <f>_xlfn.XLOOKUP($A283,Master_Data!$C:$C,Master_Data!$P:$P,"CHECK",0)</f>
        <v>0</v>
      </c>
      <c r="Z283">
        <f t="shared" si="9"/>
        <v>1</v>
      </c>
      <c r="AA283">
        <f>_xlfn.XLOOKUP(B283,Remittance_Data!A:A,Remittance_Data!B:B,"CHECK")</f>
        <v>63212</v>
      </c>
      <c r="AB283">
        <f>_xlfn.XLOOKUP(B283,Remittance_Data!A:A,Remittance_Data!C:C,"CHECK")</f>
        <v>54941</v>
      </c>
      <c r="AC283">
        <f>_xlfn.XLOOKUP(B283,Remittance_Data!A:A,Remittance_Data!D:D,"CHECK")</f>
        <v>8271</v>
      </c>
    </row>
    <row r="284" spans="1:29">
      <c r="A284" t="str">
        <v>Sunamganj-5</v>
      </c>
      <c r="B284" t="str" cm="1">
        <f t="array" ref="B28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Nawabganj","Chapainawabganj"),Final_Merged_Data!$B$2:$B$1000=$A284)))</f>
        <v>Sunamganj</v>
      </c>
      <c r="C284" t="str" cm="1">
        <f t="array" ref="C284">_xlfn.TEXTJOIN(", ",TRUE,_xlfn._xlws.FILTER(Final_Merged_Data!$C$2:$C$1000,Final_Merged_Data!$B$2:$B$1000=$A284))</f>
        <v>Jagannathpur, Shantiganj</v>
      </c>
      <c r="D284" cm="1">
        <f t="array" ref="D284">COUNTA(_xlfn._xlws.FILTER(Final_Merged_Data!$C$2:$C$1000,Final_Merged_Data!$B$2:$B$1000=$A284))</f>
        <v>2</v>
      </c>
      <c r="E284">
        <f>SUMIFS(Final_Merged_Data!$E:$E,Final_Merged_Data!$B:$B,$A284)</f>
        <v>594.86</v>
      </c>
      <c r="F284">
        <f>SUMIFS(Final_Merged_Data!$F:$F,Final_Merged_Data!$B:$B,$A284)</f>
        <v>469155</v>
      </c>
      <c r="G284">
        <f t="shared" si="8"/>
        <v>788.68137040648219</v>
      </c>
      <c r="H284" cm="1">
        <f t="array" ref="H284">SUMPRODUCT((Final_Merged_Data!$B$2:$B$1000=$A284)*Final_Merged_Data!$H$2:$H$1000*Final_Merged_Data!$F$2:$F$1000)/F284</f>
        <v>5.2919388475024256</v>
      </c>
      <c r="I284" cm="1">
        <f t="array" ref="I284">SUMPRODUCT((Final_Merged_Data!$B$2:$B$1000=$A284)*Final_Merged_Data!$I$2:$I$1000*Final_Merged_Data!$F$2:$F$1000)/F284</f>
        <v>67.135150707122392</v>
      </c>
      <c r="J284" t="str" cm="1">
        <f t="array" ref="J284">_xlfn.TEXTJOIN(", ",TRUE,_xlfn.UNIQUE(_xlfn._xlws.FILTER(Final_Merged_Data!$J$2:$J$1000,Final_Merged_Data!$B$2:$B$1000=$A284)))</f>
        <v>Sylhet Range</v>
      </c>
      <c r="K284" cm="1">
        <f t="array" ref="K284">SUMPRODUCT((Final_Merged_Data!$B$2:$B$1000=$A284)*Final_Merged_Data!$K$2:$K$1000*Final_Merged_Data!$F$2:$F$1000)/F284</f>
        <v>74.251724391082078</v>
      </c>
      <c r="L284" cm="1">
        <f t="array" ref="L284">SUMPRODUCT((Final_Merged_Data!$B$2:$B$1000=$A284)*Final_Merged_Data!$L$2:$L$1000*Final_Merged_Data!$F$2:$F$1000)/F284</f>
        <v>9.6171122896887518</v>
      </c>
      <c r="M284" t="str">
        <f>IF(COUNTIF(Master_Data!$C:$C,$A284)&gt;0,"Found","Missing")</f>
        <v>Found</v>
      </c>
      <c r="N284" t="str">
        <f>_xlfn.XLOOKUP($A284,Master_Data!$C:$C,Master_Data!$D:$D,"CHECK",0)</f>
        <v>Kalim Uddin Ahmed</v>
      </c>
      <c r="O284" t="str">
        <f>_xlfn.XLOOKUP($A284,Master_Data!$C:$C,Master_Data!$E:$E,"CHECK",0)</f>
        <v>BNP</v>
      </c>
      <c r="P284">
        <f>_xlfn.XLOOKUP($A284,Master_Data!$C:$C,Master_Data!$F:$F,"CHECK",0)</f>
        <v>1</v>
      </c>
      <c r="Q284">
        <f>_xlfn.XLOOKUP($A284,Master_Data!$C:$C,Master_Data!$G:$G,"CHECK",0)</f>
        <v>151915</v>
      </c>
      <c r="R284">
        <f>IFERROR(_xlfn.XLOOKUP($A284,Master_Data!$C:$C,Master_Data!$H:$H,"CHECK",0),"")</f>
        <v>59.80057944543293</v>
      </c>
      <c r="S284" t="str">
        <f>_xlfn.XLOOKUP($A284,Master_Data!$C:$C,Master_Data!$I:$I,"CHECK",0)</f>
        <v>Abu Tahir Muhammad Abdus Salam</v>
      </c>
      <c r="T284">
        <f>_xlfn.XLOOKUP($A284,Master_Data!$C:$C,Master_Data!$K:$K,"CHECK",0)</f>
        <v>102121</v>
      </c>
      <c r="U284">
        <f>IFERROR(_xlfn.XLOOKUP($A284,Master_Data!$C:$C,Master_Data!$L:$L,"CHECK",0),"")</f>
        <v>40.19942055456707</v>
      </c>
      <c r="V284">
        <f>_xlfn.XLOOKUP($A284,Master_Data!$C:$C,Master_Data!$M:$M,"CHECK",0)</f>
        <v>49794</v>
      </c>
      <c r="W284">
        <f>IFERROR(_xlfn.XLOOKUP($A284,Master_Data!$C:$C,Master_Data!$N:$N,"CHECK",0),"")</f>
        <v>19.601158890865861</v>
      </c>
      <c r="X284" t="str">
        <f>IFERROR(_xlfn.XLOOKUP($A284,Master_Data!$C:$C,Master_Data!$O:$O,"CHECK",0),"No Result")</f>
        <v>Safe Seat</v>
      </c>
      <c r="Y284">
        <f>_xlfn.XLOOKUP($A284,Master_Data!$C:$C,Master_Data!$P:$P,"CHECK",0)</f>
        <v>0</v>
      </c>
      <c r="Z284">
        <f t="shared" si="9"/>
        <v>1</v>
      </c>
      <c r="AA284">
        <f>_xlfn.XLOOKUP(B284,Remittance_Data!A:A,Remittance_Data!B:B,"CHECK")</f>
        <v>63212</v>
      </c>
      <c r="AB284">
        <f>_xlfn.XLOOKUP(B284,Remittance_Data!A:A,Remittance_Data!C:C,"CHECK")</f>
        <v>54941</v>
      </c>
      <c r="AC284">
        <f>_xlfn.XLOOKUP(B284,Remittance_Data!A:A,Remittance_Data!D:D,"CHECK")</f>
        <v>8271</v>
      </c>
    </row>
    <row r="285" spans="1:29">
      <c r="A285" t="str">
        <v>Sylhet-1</v>
      </c>
      <c r="B285" t="str" cm="1">
        <f t="array" ref="B28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Nawabganj","Chapainawabganj"),Final_Merged_Data!$B$2:$B$1000=$A285)))</f>
        <v>Sylhet</v>
      </c>
      <c r="C285" t="str" cm="1">
        <f t="array" ref="C285">_xlfn.TEXTJOIN(", ",TRUE,_xlfn._xlws.FILTER(Final_Merged_Data!$C$2:$C$1000,Final_Merged_Data!$B$2:$B$1000=$A285))</f>
        <v>Sylhet City Corporation</v>
      </c>
      <c r="D285" cm="1">
        <f t="array" ref="D285">COUNTA(_xlfn._xlws.FILTER(Final_Merged_Data!$C$2:$C$1000,Final_Merged_Data!$B$2:$B$1000=$A285))</f>
        <v>1</v>
      </c>
      <c r="E285">
        <f>SUMIFS(Final_Merged_Data!$E:$E,Final_Merged_Data!$B:$B,$A285)</f>
        <v>79.5</v>
      </c>
      <c r="F285">
        <f>SUMIFS(Final_Merged_Data!$F:$F,Final_Merged_Data!$B:$B,$A285)</f>
        <v>532839</v>
      </c>
      <c r="G285">
        <f t="shared" si="8"/>
        <v>6702.3773584905657</v>
      </c>
      <c r="H285" cm="1">
        <f t="array" ref="H285">SUMPRODUCT((Final_Merged_Data!$B$2:$B$1000=$A285)*Final_Merged_Data!$H$2:$H$1000*Final_Merged_Data!$F$2:$F$1000)/F285</f>
        <v>4.53</v>
      </c>
      <c r="I285" cm="1">
        <f t="array" ref="I285">SUMPRODUCT((Final_Merged_Data!$B$2:$B$1000=$A285)*Final_Merged_Data!$I$2:$I$1000*Final_Merged_Data!$F$2:$F$1000)/F285</f>
        <v>84.57</v>
      </c>
      <c r="J285" t="str" cm="1">
        <f t="array" ref="J285">_xlfn.TEXTJOIN(", ",TRUE,_xlfn.UNIQUE(_xlfn._xlws.FILTER(Final_Merged_Data!$J$2:$J$1000,Final_Merged_Data!$B$2:$B$1000=$A285)))</f>
        <v>Sylhet Range</v>
      </c>
      <c r="K285" cm="1">
        <f t="array" ref="K285">SUMPRODUCT((Final_Merged_Data!$B$2:$B$1000=$A285)*Final_Merged_Data!$K$2:$K$1000*Final_Merged_Data!$F$2:$F$1000)/F285</f>
        <v>74.251724391082064</v>
      </c>
      <c r="L285" cm="1">
        <f t="array" ref="L285">SUMPRODUCT((Final_Merged_Data!$B$2:$B$1000=$A285)*Final_Merged_Data!$L$2:$L$1000*Final_Merged_Data!$F$2:$F$1000)/F285</f>
        <v>9.6171122896887518</v>
      </c>
      <c r="M285" t="str">
        <f>IF(COUNTIF(Master_Data!$C:$C,$A285)&gt;0,"Found","Missing")</f>
        <v>Found</v>
      </c>
      <c r="N285" t="str">
        <f>_xlfn.XLOOKUP($A285,Master_Data!$C:$C,Master_Data!$D:$D,"CHECK",0)</f>
        <v>Khandakar Abdul Muktadir</v>
      </c>
      <c r="O285" t="str">
        <f>_xlfn.XLOOKUP($A285,Master_Data!$C:$C,Master_Data!$E:$E,"CHECK",0)</f>
        <v>BNP</v>
      </c>
      <c r="P285">
        <f>_xlfn.XLOOKUP($A285,Master_Data!$C:$C,Master_Data!$F:$F,"CHECK",0)</f>
        <v>1</v>
      </c>
      <c r="Q285">
        <f>_xlfn.XLOOKUP($A285,Master_Data!$C:$C,Master_Data!$G:$G,"CHECK",0)</f>
        <v>176936</v>
      </c>
      <c r="R285">
        <f>IFERROR(_xlfn.XLOOKUP($A285,Master_Data!$C:$C,Master_Data!$H:$H,"CHECK",0),"")</f>
        <v>56.724983088558247</v>
      </c>
      <c r="S285" t="str">
        <f>_xlfn.XLOOKUP($A285,Master_Data!$C:$C,Master_Data!$I:$I,"CHECK",0)</f>
        <v>Maulana Habibur Rahman</v>
      </c>
      <c r="T285">
        <f>_xlfn.XLOOKUP($A285,Master_Data!$C:$C,Master_Data!$K:$K,"CHECK",0)</f>
        <v>134983</v>
      </c>
      <c r="U285">
        <f>IFERROR(_xlfn.XLOOKUP($A285,Master_Data!$C:$C,Master_Data!$L:$L,"CHECK",0),"")</f>
        <v>43.275016911441753</v>
      </c>
      <c r="V285">
        <f>_xlfn.XLOOKUP($A285,Master_Data!$C:$C,Master_Data!$M:$M,"CHECK",0)</f>
        <v>41953</v>
      </c>
      <c r="W285">
        <f>IFERROR(_xlfn.XLOOKUP($A285,Master_Data!$C:$C,Master_Data!$N:$N,"CHECK",0),"")</f>
        <v>13.449966177116496</v>
      </c>
      <c r="X285" t="str">
        <f>IFERROR(_xlfn.XLOOKUP($A285,Master_Data!$C:$C,Master_Data!$O:$O,"CHECK",0),"No Result")</f>
        <v>Safe Seat</v>
      </c>
      <c r="Y285">
        <f>_xlfn.XLOOKUP($A285,Master_Data!$C:$C,Master_Data!$P:$P,"CHECK",0)</f>
        <v>1</v>
      </c>
      <c r="Z285">
        <f t="shared" si="9"/>
        <v>1</v>
      </c>
      <c r="AA285">
        <f>_xlfn.XLOOKUP(B285,Remittance_Data!A:A,Remittance_Data!B:B,"CHECK")</f>
        <v>149149</v>
      </c>
      <c r="AB285">
        <f>_xlfn.XLOOKUP(B285,Remittance_Data!A:A,Remittance_Data!C:C,"CHECK")</f>
        <v>116642</v>
      </c>
      <c r="AC285">
        <f>_xlfn.XLOOKUP(B285,Remittance_Data!A:A,Remittance_Data!D:D,"CHECK")</f>
        <v>32507</v>
      </c>
    </row>
    <row r="286" spans="1:29">
      <c r="A286" t="str">
        <v>Sylhet-2</v>
      </c>
      <c r="B286" t="str" cm="1">
        <f t="array" ref="B28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Nawabganj","Chapainawabganj"),Final_Merged_Data!$B$2:$B$1000=$A286)))</f>
        <v>Sylhet</v>
      </c>
      <c r="C286" t="str" cm="1">
        <f t="array" ref="C286">_xlfn.TEXTJOIN(", ",TRUE,_xlfn._xlws.FILTER(Final_Merged_Data!$C$2:$C$1000,Final_Merged_Data!$B$2:$B$1000=$A286))</f>
        <v>Balaganj, Osmaninagar</v>
      </c>
      <c r="D286" cm="1">
        <f t="array" ref="D286">COUNTA(_xlfn._xlws.FILTER(Final_Merged_Data!$C$2:$C$1000,Final_Merged_Data!$B$2:$B$1000=$A286))</f>
        <v>2</v>
      </c>
      <c r="E286">
        <f>SUMIFS(Final_Merged_Data!$E:$E,Final_Merged_Data!$B:$B,$A286)</f>
        <v>567.20000000000005</v>
      </c>
      <c r="F286">
        <f>SUMIFS(Final_Merged_Data!$F:$F,Final_Merged_Data!$B:$B,$A286)</f>
        <v>339758</v>
      </c>
      <c r="G286">
        <f t="shared" si="8"/>
        <v>599.00916784203093</v>
      </c>
      <c r="H286" cm="1">
        <f t="array" ref="H286">SUMPRODUCT((Final_Merged_Data!$B$2:$B$1000=$A286)*Final_Merged_Data!$H$2:$H$1000*Final_Merged_Data!$F$2:$F$1000)/F286</f>
        <v>5.2945223364865592</v>
      </c>
      <c r="I286" cm="1">
        <f t="array" ref="I286">SUMPRODUCT((Final_Merged_Data!$B$2:$B$1000=$A286)*Final_Merged_Data!$I$2:$I$1000*Final_Merged_Data!$F$2:$F$1000)/F286</f>
        <v>76.700063574661968</v>
      </c>
      <c r="J286" t="str" cm="1">
        <f t="array" ref="J286">_xlfn.TEXTJOIN(", ",TRUE,_xlfn.UNIQUE(_xlfn._xlws.FILTER(Final_Merged_Data!$J$2:$J$1000,Final_Merged_Data!$B$2:$B$1000=$A286)))</f>
        <v>Sylhet Range</v>
      </c>
      <c r="K286" cm="1">
        <f t="array" ref="K286">SUMPRODUCT((Final_Merged_Data!$B$2:$B$1000=$A286)*Final_Merged_Data!$K$2:$K$1000*Final_Merged_Data!$F$2:$F$1000)/F286</f>
        <v>74.251724391082078</v>
      </c>
      <c r="L286" cm="1">
        <f t="array" ref="L286">SUMPRODUCT((Final_Merged_Data!$B$2:$B$1000=$A286)*Final_Merged_Data!$L$2:$L$1000*Final_Merged_Data!$F$2:$F$1000)/F286</f>
        <v>9.6171122896887518</v>
      </c>
      <c r="M286" t="str">
        <f>IF(COUNTIF(Master_Data!$C:$C,$A286)&gt;0,"Found","Missing")</f>
        <v>Found</v>
      </c>
      <c r="N286" t="str">
        <f>_xlfn.XLOOKUP($A286,Master_Data!$C:$C,Master_Data!$D:$D,"CHECK",0)</f>
        <v>Tahsina Rushdir Luna</v>
      </c>
      <c r="O286" t="str">
        <f>_xlfn.XLOOKUP($A286,Master_Data!$C:$C,Master_Data!$E:$E,"CHECK",0)</f>
        <v>BNP</v>
      </c>
      <c r="P286">
        <f>_xlfn.XLOOKUP($A286,Master_Data!$C:$C,Master_Data!$F:$F,"CHECK",0)</f>
        <v>1</v>
      </c>
      <c r="Q286">
        <f>_xlfn.XLOOKUP($A286,Master_Data!$C:$C,Master_Data!$G:$G,"CHECK",0)</f>
        <v>116697</v>
      </c>
      <c r="R286">
        <f>IFERROR(_xlfn.XLOOKUP($A286,Master_Data!$C:$C,Master_Data!$H:$H,"CHECK",0),"")</f>
        <v>75.706973394834662</v>
      </c>
      <c r="S286" t="str">
        <f>_xlfn.XLOOKUP($A286,Master_Data!$C:$C,Master_Data!$I:$I,"CHECK",0)</f>
        <v>Muhammad Muntasir Ali</v>
      </c>
      <c r="T286">
        <f>_xlfn.XLOOKUP($A286,Master_Data!$C:$C,Master_Data!$K:$K,"CHECK",0)</f>
        <v>37446</v>
      </c>
      <c r="U286">
        <f>IFERROR(_xlfn.XLOOKUP($A286,Master_Data!$C:$C,Master_Data!$L:$L,"CHECK",0),"")</f>
        <v>24.293026605165334</v>
      </c>
      <c r="V286">
        <f>_xlfn.XLOOKUP($A286,Master_Data!$C:$C,Master_Data!$M:$M,"CHECK",0)</f>
        <v>79251</v>
      </c>
      <c r="W286">
        <f>IFERROR(_xlfn.XLOOKUP($A286,Master_Data!$C:$C,Master_Data!$N:$N,"CHECK",0),"")</f>
        <v>51.413946789669332</v>
      </c>
      <c r="X286" t="str">
        <f>IFERROR(_xlfn.XLOOKUP($A286,Master_Data!$C:$C,Master_Data!$O:$O,"CHECK",0),"No Result")</f>
        <v>Safe Seat</v>
      </c>
      <c r="Y286">
        <f>_xlfn.XLOOKUP($A286,Master_Data!$C:$C,Master_Data!$P:$P,"CHECK",0)</f>
        <v>0</v>
      </c>
      <c r="Z286">
        <f t="shared" si="9"/>
        <v>1</v>
      </c>
      <c r="AA286">
        <f>_xlfn.XLOOKUP(B286,Remittance_Data!A:A,Remittance_Data!B:B,"CHECK")</f>
        <v>149149</v>
      </c>
      <c r="AB286">
        <f>_xlfn.XLOOKUP(B286,Remittance_Data!A:A,Remittance_Data!C:C,"CHECK")</f>
        <v>116642</v>
      </c>
      <c r="AC286">
        <f>_xlfn.XLOOKUP(B286,Remittance_Data!A:A,Remittance_Data!D:D,"CHECK")</f>
        <v>32507</v>
      </c>
    </row>
    <row r="287" spans="1:29">
      <c r="A287" t="str">
        <v>Sylhet-3</v>
      </c>
      <c r="B287" t="str" cm="1">
        <f t="array" ref="B28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Nawabganj","Chapainawabganj"),Final_Merged_Data!$B$2:$B$1000=$A287)))</f>
        <v>Sylhet</v>
      </c>
      <c r="C287" t="str" cm="1">
        <f t="array" ref="C287">_xlfn.TEXTJOIN(", ",TRUE,_xlfn._xlws.FILTER(Final_Merged_Data!$C$2:$C$1000,Final_Merged_Data!$B$2:$B$1000=$A287))</f>
        <v>Sylhet Sadar, Fenchuganj</v>
      </c>
      <c r="D287" cm="1">
        <f t="array" ref="D287">COUNTA(_xlfn._xlws.FILTER(Final_Merged_Data!$C$2:$C$1000,Final_Merged_Data!$B$2:$B$1000=$A287))</f>
        <v>2</v>
      </c>
      <c r="E287">
        <f>SUMIFS(Final_Merged_Data!$E:$E,Final_Merged_Data!$B:$B,$A287)</f>
        <v>477.3</v>
      </c>
      <c r="F287">
        <f>SUMIFS(Final_Merged_Data!$F:$F,Final_Merged_Data!$B:$B,$A287)</f>
        <v>559198</v>
      </c>
      <c r="G287">
        <f t="shared" si="8"/>
        <v>1171.5860046092605</v>
      </c>
      <c r="H287" cm="1">
        <f t="array" ref="H287">SUMPRODUCT((Final_Merged_Data!$B$2:$B$1000=$A287)*Final_Merged_Data!$H$2:$H$1000*Final_Merged_Data!$F$2:$F$1000)/F287</f>
        <v>5.0581749934727949</v>
      </c>
      <c r="I287" cm="1">
        <f t="array" ref="I287">SUMPRODUCT((Final_Merged_Data!$B$2:$B$1000=$A287)*Final_Merged_Data!$I$2:$I$1000*Final_Merged_Data!$F$2:$F$1000)/F287</f>
        <v>78.15115583389067</v>
      </c>
      <c r="J287" t="str" cm="1">
        <f t="array" ref="J287">_xlfn.TEXTJOIN(", ",TRUE,_xlfn.UNIQUE(_xlfn._xlws.FILTER(Final_Merged_Data!$J$2:$J$1000,Final_Merged_Data!$B$2:$B$1000=$A287)))</f>
        <v>Sylhet Range</v>
      </c>
      <c r="K287" cm="1">
        <f t="array" ref="K287">SUMPRODUCT((Final_Merged_Data!$B$2:$B$1000=$A287)*Final_Merged_Data!$K$2:$K$1000*Final_Merged_Data!$F$2:$F$1000)/F287</f>
        <v>74.251724391082064</v>
      </c>
      <c r="L287" cm="1">
        <f t="array" ref="L287">SUMPRODUCT((Final_Merged_Data!$B$2:$B$1000=$A287)*Final_Merged_Data!$L$2:$L$1000*Final_Merged_Data!$F$2:$F$1000)/F287</f>
        <v>9.6171122896887518</v>
      </c>
      <c r="M287" t="str">
        <f>IF(COUNTIF(Master_Data!$C:$C,$A287)&gt;0,"Found","Missing")</f>
        <v>Found</v>
      </c>
      <c r="N287" t="str">
        <f>_xlfn.XLOOKUP($A287,Master_Data!$C:$C,Master_Data!$D:$D,"CHECK",0)</f>
        <v>Mohammad Abdul Malik</v>
      </c>
      <c r="O287" t="str">
        <f>_xlfn.XLOOKUP($A287,Master_Data!$C:$C,Master_Data!$E:$E,"CHECK",0)</f>
        <v>BNP</v>
      </c>
      <c r="P287">
        <f>_xlfn.XLOOKUP($A287,Master_Data!$C:$C,Master_Data!$F:$F,"CHECK",0)</f>
        <v>1</v>
      </c>
      <c r="Q287">
        <f>_xlfn.XLOOKUP($A287,Master_Data!$C:$C,Master_Data!$G:$G,"CHECK",0)</f>
        <v>114255</v>
      </c>
      <c r="R287">
        <f>IFERROR(_xlfn.XLOOKUP($A287,Master_Data!$C:$C,Master_Data!$H:$H,"CHECK",0),"")</f>
        <v>60.816313495041761</v>
      </c>
      <c r="S287" t="str">
        <f>_xlfn.XLOOKUP($A287,Master_Data!$C:$C,Master_Data!$I:$I,"CHECK",0)</f>
        <v>Musleh Uddin Raju</v>
      </c>
      <c r="T287">
        <f>_xlfn.XLOOKUP($A287,Master_Data!$C:$C,Master_Data!$K:$K,"CHECK",0)</f>
        <v>73614</v>
      </c>
      <c r="U287">
        <f>IFERROR(_xlfn.XLOOKUP($A287,Master_Data!$C:$C,Master_Data!$L:$L,"CHECK",0),"")</f>
        <v>39.183686504958246</v>
      </c>
      <c r="V287">
        <f>_xlfn.XLOOKUP($A287,Master_Data!$C:$C,Master_Data!$M:$M,"CHECK",0)</f>
        <v>40641</v>
      </c>
      <c r="W287">
        <f>IFERROR(_xlfn.XLOOKUP($A287,Master_Data!$C:$C,Master_Data!$N:$N,"CHECK",0),"")</f>
        <v>21.632626990083516</v>
      </c>
      <c r="X287" t="str">
        <f>IFERROR(_xlfn.XLOOKUP($A287,Master_Data!$C:$C,Master_Data!$O:$O,"CHECK",0),"No Result")</f>
        <v>Safe Seat</v>
      </c>
      <c r="Y287">
        <f>_xlfn.XLOOKUP($A287,Master_Data!$C:$C,Master_Data!$P:$P,"CHECK",0)</f>
        <v>1</v>
      </c>
      <c r="Z287">
        <f t="shared" si="9"/>
        <v>1</v>
      </c>
      <c r="AA287">
        <f>_xlfn.XLOOKUP(B287,Remittance_Data!A:A,Remittance_Data!B:B,"CHECK")</f>
        <v>149149</v>
      </c>
      <c r="AB287">
        <f>_xlfn.XLOOKUP(B287,Remittance_Data!A:A,Remittance_Data!C:C,"CHECK")</f>
        <v>116642</v>
      </c>
      <c r="AC287">
        <f>_xlfn.XLOOKUP(B287,Remittance_Data!A:A,Remittance_Data!D:D,"CHECK")</f>
        <v>32507</v>
      </c>
    </row>
    <row r="288" spans="1:29">
      <c r="A288" t="str">
        <v>Sylhet-4</v>
      </c>
      <c r="B288" t="str" cm="1">
        <f t="array" ref="B28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Nawabganj","Chapainawabganj"),Final_Merged_Data!$B$2:$B$1000=$A288)))</f>
        <v>Sylhet</v>
      </c>
      <c r="C288" t="str" cm="1">
        <f t="array" ref="C288">_xlfn.TEXTJOIN(", ",TRUE,_xlfn._xlws.FILTER(Final_Merged_Data!$C$2:$C$1000,Final_Merged_Data!$B$2:$B$1000=$A288))</f>
        <v>Gowainghat, Jaintapur, Companiganj</v>
      </c>
      <c r="D288" cm="1">
        <f t="array" ref="D288">COUNTA(_xlfn._xlws.FILTER(Final_Merged_Data!$C$2:$C$1000,Final_Merged_Data!$B$2:$B$1000=$A288))</f>
        <v>3</v>
      </c>
      <c r="E288">
        <f>SUMIFS(Final_Merged_Data!$E:$E,Final_Merged_Data!$B:$B,$A288)</f>
        <v>2176.7600000000002</v>
      </c>
      <c r="F288">
        <f>SUMIFS(Final_Merged_Data!$F:$F,Final_Merged_Data!$B:$B,$A288)</f>
        <v>857392</v>
      </c>
      <c r="G288">
        <f t="shared" si="8"/>
        <v>393.88448887337137</v>
      </c>
      <c r="H288" cm="1">
        <f t="array" ref="H288">SUMPRODUCT((Final_Merged_Data!$B$2:$B$1000=$A288)*Final_Merged_Data!$H$2:$H$1000*Final_Merged_Data!$F$2:$F$1000)/F288</f>
        <v>5.0918706029447431</v>
      </c>
      <c r="I288" cm="1">
        <f t="array" ref="I288">SUMPRODUCT((Final_Merged_Data!$B$2:$B$1000=$A288)*Final_Merged_Data!$I$2:$I$1000*Final_Merged_Data!$F$2:$F$1000)/F288</f>
        <v>70.637948837871136</v>
      </c>
      <c r="J288" t="str" cm="1">
        <f t="array" ref="J288">_xlfn.TEXTJOIN(", ",TRUE,_xlfn.UNIQUE(_xlfn._xlws.FILTER(Final_Merged_Data!$J$2:$J$1000,Final_Merged_Data!$B$2:$B$1000=$A288)))</f>
        <v>Sylhet Range</v>
      </c>
      <c r="K288" cm="1">
        <f t="array" ref="K288">SUMPRODUCT((Final_Merged_Data!$B$2:$B$1000=$A288)*Final_Merged_Data!$K$2:$K$1000*Final_Merged_Data!$F$2:$F$1000)/F288</f>
        <v>74.251724391082064</v>
      </c>
      <c r="L288" cm="1">
        <f t="array" ref="L288">SUMPRODUCT((Final_Merged_Data!$B$2:$B$1000=$A288)*Final_Merged_Data!$L$2:$L$1000*Final_Merged_Data!$F$2:$F$1000)/F288</f>
        <v>9.6171122896887518</v>
      </c>
      <c r="M288" t="str">
        <f>IF(COUNTIF(Master_Data!$C:$C,$A288)&gt;0,"Found","Missing")</f>
        <v>Found</v>
      </c>
      <c r="N288" t="str">
        <f>_xlfn.XLOOKUP($A288,Master_Data!$C:$C,Master_Data!$D:$D,"CHECK",0)</f>
        <v>Ariful Haque Chowdhury</v>
      </c>
      <c r="O288" t="str">
        <f>_xlfn.XLOOKUP($A288,Master_Data!$C:$C,Master_Data!$E:$E,"CHECK",0)</f>
        <v>BNP</v>
      </c>
      <c r="P288">
        <f>_xlfn.XLOOKUP($A288,Master_Data!$C:$C,Master_Data!$F:$F,"CHECK",0)</f>
        <v>1</v>
      </c>
      <c r="Q288">
        <f>_xlfn.XLOOKUP($A288,Master_Data!$C:$C,Master_Data!$G:$G,"CHECK",0)</f>
        <v>186846</v>
      </c>
      <c r="R288">
        <f>IFERROR(_xlfn.XLOOKUP($A288,Master_Data!$C:$C,Master_Data!$H:$H,"CHECK",0),"")</f>
        <v>72.354465084399209</v>
      </c>
      <c r="S288" t="str">
        <f>_xlfn.XLOOKUP($A288,Master_Data!$C:$C,Master_Data!$I:$I,"CHECK",0)</f>
        <v>Md Zainal Abedin</v>
      </c>
      <c r="T288">
        <f>_xlfn.XLOOKUP($A288,Master_Data!$C:$C,Master_Data!$K:$K,"CHECK",0)</f>
        <v>71391</v>
      </c>
      <c r="U288">
        <f>IFERROR(_xlfn.XLOOKUP($A288,Master_Data!$C:$C,Master_Data!$L:$L,"CHECK",0),"")</f>
        <v>27.645534915600784</v>
      </c>
      <c r="V288">
        <f>_xlfn.XLOOKUP($A288,Master_Data!$C:$C,Master_Data!$M:$M,"CHECK",0)</f>
        <v>115455</v>
      </c>
      <c r="W288">
        <f>IFERROR(_xlfn.XLOOKUP($A288,Master_Data!$C:$C,Master_Data!$N:$N,"CHECK",0),"")</f>
        <v>44.708930168798425</v>
      </c>
      <c r="X288" t="str">
        <f>IFERROR(_xlfn.XLOOKUP($A288,Master_Data!$C:$C,Master_Data!$O:$O,"CHECK",0),"No Result")</f>
        <v>Safe Seat</v>
      </c>
      <c r="Y288">
        <f>_xlfn.XLOOKUP($A288,Master_Data!$C:$C,Master_Data!$P:$P,"CHECK",0)</f>
        <v>0</v>
      </c>
      <c r="Z288">
        <f t="shared" si="9"/>
        <v>1</v>
      </c>
      <c r="AA288">
        <f>_xlfn.XLOOKUP(B288,Remittance_Data!A:A,Remittance_Data!B:B,"CHECK")</f>
        <v>149149</v>
      </c>
      <c r="AB288">
        <f>_xlfn.XLOOKUP(B288,Remittance_Data!A:A,Remittance_Data!C:C,"CHECK")</f>
        <v>116642</v>
      </c>
      <c r="AC288">
        <f>_xlfn.XLOOKUP(B288,Remittance_Data!A:A,Remittance_Data!D:D,"CHECK")</f>
        <v>32507</v>
      </c>
    </row>
    <row r="289" spans="1:29">
      <c r="A289" t="str">
        <v>Sylhet-5</v>
      </c>
      <c r="B289" t="str" cm="1">
        <f t="array" ref="B28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Nawabganj","Chapainawabganj"),Final_Merged_Data!$B$2:$B$1000=$A289)))</f>
        <v>Sylhet</v>
      </c>
      <c r="C289" t="str" cm="1">
        <f t="array" ref="C289">_xlfn.TEXTJOIN(", ",TRUE,_xlfn._xlws.FILTER(Final_Merged_Data!$C$2:$C$1000,Final_Merged_Data!$B$2:$B$1000=$A289))</f>
        <v>Kanaighat, Zakiganj</v>
      </c>
      <c r="D289" cm="1">
        <f t="array" ref="D289">COUNTA(_xlfn._xlws.FILTER(Final_Merged_Data!$C$2:$C$1000,Final_Merged_Data!$B$2:$B$1000=$A289))</f>
        <v>2</v>
      </c>
      <c r="E289">
        <f>SUMIFS(Final_Merged_Data!$E:$E,Final_Merged_Data!$B:$B,$A289)</f>
        <v>720.87999999999988</v>
      </c>
      <c r="F289">
        <f>SUMIFS(Final_Merged_Data!$F:$F,Final_Merged_Data!$B:$B,$A289)</f>
        <v>584883</v>
      </c>
      <c r="G289">
        <f t="shared" si="8"/>
        <v>811.34585506603059</v>
      </c>
      <c r="H289" cm="1">
        <f t="array" ref="H289">SUMPRODUCT((Final_Merged_Data!$B$2:$B$1000=$A289)*Final_Merged_Data!$H$2:$H$1000*Final_Merged_Data!$F$2:$F$1000)/F289</f>
        <v>5.2094138827765555</v>
      </c>
      <c r="I289" cm="1">
        <f t="array" ref="I289">SUMPRODUCT((Final_Merged_Data!$B$2:$B$1000=$A289)*Final_Merged_Data!$I$2:$I$1000*Final_Merged_Data!$F$2:$F$1000)/F289</f>
        <v>73.703470078631113</v>
      </c>
      <c r="J289" t="str" cm="1">
        <f t="array" ref="J289">_xlfn.TEXTJOIN(", ",TRUE,_xlfn.UNIQUE(_xlfn._xlws.FILTER(Final_Merged_Data!$J$2:$J$1000,Final_Merged_Data!$B$2:$B$1000=$A289)))</f>
        <v>Sylhet Range</v>
      </c>
      <c r="K289" cm="1">
        <f t="array" ref="K289">SUMPRODUCT((Final_Merged_Data!$B$2:$B$1000=$A289)*Final_Merged_Data!$K$2:$K$1000*Final_Merged_Data!$F$2:$F$1000)/F289</f>
        <v>74.251724391082064</v>
      </c>
      <c r="L289" cm="1">
        <f t="array" ref="L289">SUMPRODUCT((Final_Merged_Data!$B$2:$B$1000=$A289)*Final_Merged_Data!$L$2:$L$1000*Final_Merged_Data!$F$2:$F$1000)/F289</f>
        <v>9.6171122896887518</v>
      </c>
      <c r="M289" t="str">
        <f>IF(COUNTIF(Master_Data!$C:$C,$A289)&gt;0,"Found","Missing")</f>
        <v>Found</v>
      </c>
      <c r="N289" t="str">
        <f>_xlfn.XLOOKUP($A289,Master_Data!$C:$C,Master_Data!$D:$D,"CHECK",0)</f>
        <v>Mohammad Abul Hasan</v>
      </c>
      <c r="O289" t="str">
        <f>_xlfn.XLOOKUP($A289,Master_Data!$C:$C,Master_Data!$E:$E,"CHECK",0)</f>
        <v>KM</v>
      </c>
      <c r="P289">
        <f>_xlfn.XLOOKUP($A289,Master_Data!$C:$C,Master_Data!$F:$F,"CHECK",0)</f>
        <v>0</v>
      </c>
      <c r="Q289">
        <f>_xlfn.XLOOKUP($A289,Master_Data!$C:$C,Master_Data!$G:$G,"CHECK",0)</f>
        <v>79355</v>
      </c>
      <c r="R289">
        <f>IFERROR(_xlfn.XLOOKUP($A289,Master_Data!$C:$C,Master_Data!$H:$H,"CHECK",0),"")</f>
        <v>53.212319535435761</v>
      </c>
      <c r="S289" t="str">
        <f>_xlfn.XLOOKUP($A289,Master_Data!$C:$C,Master_Data!$I:$I,"CHECK",0)</f>
        <v>Ubaidullah Faruk</v>
      </c>
      <c r="T289">
        <f>_xlfn.XLOOKUP($A289,Master_Data!$C:$C,Master_Data!$K:$K,"CHECK",0)</f>
        <v>69774</v>
      </c>
      <c r="U289">
        <f>IFERROR(_xlfn.XLOOKUP($A289,Master_Data!$C:$C,Master_Data!$L:$L,"CHECK",0),"")</f>
        <v>46.787680464564232</v>
      </c>
      <c r="V289">
        <f>_xlfn.XLOOKUP($A289,Master_Data!$C:$C,Master_Data!$M:$M,"CHECK",0)</f>
        <v>9581</v>
      </c>
      <c r="W289">
        <f>IFERROR(_xlfn.XLOOKUP($A289,Master_Data!$C:$C,Master_Data!$N:$N,"CHECK",0),"")</f>
        <v>6.4246390708715264</v>
      </c>
      <c r="X289" t="str">
        <f>IFERROR(_xlfn.XLOOKUP($A289,Master_Data!$C:$C,Master_Data!$O:$O,"CHECK",0),"No Result")</f>
        <v>Safe Seat</v>
      </c>
      <c r="Y289">
        <f>_xlfn.XLOOKUP($A289,Master_Data!$C:$C,Master_Data!$P:$P,"CHECK",0)</f>
        <v>0</v>
      </c>
      <c r="Z289">
        <f t="shared" si="9"/>
        <v>1</v>
      </c>
      <c r="AA289">
        <f>_xlfn.XLOOKUP(B289,Remittance_Data!A:A,Remittance_Data!B:B,"CHECK")</f>
        <v>149149</v>
      </c>
      <c r="AB289">
        <f>_xlfn.XLOOKUP(B289,Remittance_Data!A:A,Remittance_Data!C:C,"CHECK")</f>
        <v>116642</v>
      </c>
      <c r="AC289">
        <f>_xlfn.XLOOKUP(B289,Remittance_Data!A:A,Remittance_Data!D:D,"CHECK")</f>
        <v>32507</v>
      </c>
    </row>
    <row r="290" spans="1:29">
      <c r="A290" t="str">
        <v>Sylhet-6</v>
      </c>
      <c r="B290" t="str" cm="1">
        <f t="array" ref="B29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Nawabganj","Chapainawabganj"),Final_Merged_Data!$B$2:$B$1000=$A290)))</f>
        <v>Sylhet</v>
      </c>
      <c r="C290" t="str" cm="1">
        <f t="array" ref="C290">_xlfn.TEXTJOIN(", ",TRUE,_xlfn._xlws.FILTER(Final_Merged_Data!$C$2:$C$1000,Final_Merged_Data!$B$2:$B$1000=$A290))</f>
        <v>Beanibazar</v>
      </c>
      <c r="D290" cm="1">
        <f t="array" ref="D290">COUNTA(_xlfn._xlws.FILTER(Final_Merged_Data!$C$2:$C$1000,Final_Merged_Data!$B$2:$B$1000=$A290))</f>
        <v>1</v>
      </c>
      <c r="E290">
        <f>SUMIFS(Final_Merged_Data!$E:$E,Final_Merged_Data!$B:$B,$A290)</f>
        <v>253.22</v>
      </c>
      <c r="F290">
        <f>SUMIFS(Final_Merged_Data!$F:$F,Final_Merged_Data!$B:$B,$A290)</f>
        <v>260597</v>
      </c>
      <c r="G290">
        <f t="shared" si="8"/>
        <v>1029.1327699233868</v>
      </c>
      <c r="H290" cm="1">
        <f t="array" ref="H290">SUMPRODUCT((Final_Merged_Data!$B$2:$B$1000=$A290)*Final_Merged_Data!$H$2:$H$1000*Final_Merged_Data!$F$2:$F$1000)/F290</f>
        <v>5.17</v>
      </c>
      <c r="I290" cm="1">
        <f t="array" ref="I290">SUMPRODUCT((Final_Merged_Data!$B$2:$B$1000=$A290)*Final_Merged_Data!$I$2:$I$1000*Final_Merged_Data!$F$2:$F$1000)/F290</f>
        <v>80.58</v>
      </c>
      <c r="J290" t="str" cm="1">
        <f t="array" ref="J290">_xlfn.TEXTJOIN(", ",TRUE,_xlfn.UNIQUE(_xlfn._xlws.FILTER(Final_Merged_Data!$J$2:$J$1000,Final_Merged_Data!$B$2:$B$1000=$A290)))</f>
        <v>Sylhet Range</v>
      </c>
      <c r="K290" cm="1">
        <f t="array" ref="K290">SUMPRODUCT((Final_Merged_Data!$B$2:$B$1000=$A290)*Final_Merged_Data!$K$2:$K$1000*Final_Merged_Data!$F$2:$F$1000)/F290</f>
        <v>74.251724391082064</v>
      </c>
      <c r="L290" cm="1">
        <f t="array" ref="L290">SUMPRODUCT((Final_Merged_Data!$B$2:$B$1000=$A290)*Final_Merged_Data!$L$2:$L$1000*Final_Merged_Data!$F$2:$F$1000)/F290</f>
        <v>9.6171122896887518</v>
      </c>
      <c r="M290" t="str">
        <f>IF(COUNTIF(Master_Data!$C:$C,$A290)&gt;0,"Found","Missing")</f>
        <v>Found</v>
      </c>
      <c r="N290" t="str">
        <f>_xlfn.XLOOKUP($A290,Master_Data!$C:$C,Master_Data!$D:$D,"CHECK",0)</f>
        <v>Emran Ahmed Chowdhury</v>
      </c>
      <c r="O290" t="str">
        <f>_xlfn.XLOOKUP($A290,Master_Data!$C:$C,Master_Data!$E:$E,"CHECK",0)</f>
        <v>BNP</v>
      </c>
      <c r="P290">
        <f>_xlfn.XLOOKUP($A290,Master_Data!$C:$C,Master_Data!$F:$F,"CHECK",0)</f>
        <v>1</v>
      </c>
      <c r="Q290">
        <f>_xlfn.XLOOKUP($A290,Master_Data!$C:$C,Master_Data!$G:$G,"CHECK",0)</f>
        <v>70794</v>
      </c>
      <c r="R290">
        <f>IFERROR(_xlfn.XLOOKUP($A290,Master_Data!$C:$C,Master_Data!$H:$H,"CHECK",0),"")</f>
        <v>55.867799900565828</v>
      </c>
      <c r="S290" t="str">
        <f>_xlfn.XLOOKUP($A290,Master_Data!$C:$C,Master_Data!$I:$I,"CHECK",0)</f>
        <v>Mohammad Selim Uddin</v>
      </c>
      <c r="T290">
        <f>_xlfn.XLOOKUP($A290,Master_Data!$C:$C,Master_Data!$K:$K,"CHECK",0)</f>
        <v>55923</v>
      </c>
      <c r="U290">
        <f>IFERROR(_xlfn.XLOOKUP($A290,Master_Data!$C:$C,Master_Data!$L:$L,"CHECK",0),"")</f>
        <v>44.132200099434172</v>
      </c>
      <c r="V290">
        <f>_xlfn.XLOOKUP($A290,Master_Data!$C:$C,Master_Data!$M:$M,"CHECK",0)</f>
        <v>14871</v>
      </c>
      <c r="W290">
        <f>IFERROR(_xlfn.XLOOKUP($A290,Master_Data!$C:$C,Master_Data!$N:$N,"CHECK",0),"")</f>
        <v>11.735599801131656</v>
      </c>
      <c r="X290" t="str">
        <f>IFERROR(_xlfn.XLOOKUP($A290,Master_Data!$C:$C,Master_Data!$O:$O,"CHECK",0),"No Result")</f>
        <v>Safe Seat</v>
      </c>
      <c r="Y290">
        <f>_xlfn.XLOOKUP($A290,Master_Data!$C:$C,Master_Data!$P:$P,"CHECK",0)</f>
        <v>0</v>
      </c>
      <c r="Z290">
        <f t="shared" si="9"/>
        <v>1</v>
      </c>
      <c r="AA290">
        <f>_xlfn.XLOOKUP(B290,Remittance_Data!A:A,Remittance_Data!B:B,"CHECK")</f>
        <v>149149</v>
      </c>
      <c r="AB290">
        <f>_xlfn.XLOOKUP(B290,Remittance_Data!A:A,Remittance_Data!C:C,"CHECK")</f>
        <v>116642</v>
      </c>
      <c r="AC290">
        <f>_xlfn.XLOOKUP(B290,Remittance_Data!A:A,Remittance_Data!D:D,"CHECK")</f>
        <v>32507</v>
      </c>
    </row>
    <row r="291" spans="1:29">
      <c r="A291" t="str">
        <v>Tangail-1</v>
      </c>
      <c r="B291" t="str" cm="1">
        <f t="array" ref="B29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Nawabganj","Chapainawabganj"),Final_Merged_Data!$B$2:$B$1000=$A291)))</f>
        <v>Tangail</v>
      </c>
      <c r="C291" t="str" cm="1">
        <f t="array" ref="C291">_xlfn.TEXTJOIN(", ",TRUE,_xlfn._xlws.FILTER(Final_Merged_Data!$C$2:$C$1000,Final_Merged_Data!$B$2:$B$1000=$A291))</f>
        <v>Madhupur, Dhanbari</v>
      </c>
      <c r="D291" cm="1">
        <f t="array" ref="D291">COUNTA(_xlfn._xlws.FILTER(Final_Merged_Data!$C$2:$C$1000,Final_Merged_Data!$B$2:$B$1000=$A291))</f>
        <v>2</v>
      </c>
      <c r="E291">
        <f>SUMIFS(Final_Merged_Data!$E:$E,Final_Merged_Data!$B:$B,$A291)</f>
        <v>651.57999999999993</v>
      </c>
      <c r="F291">
        <f>SUMIFS(Final_Merged_Data!$F:$F,Final_Merged_Data!$B:$B,$A291)</f>
        <v>526477</v>
      </c>
      <c r="G291">
        <f t="shared" si="8"/>
        <v>808.00055250314631</v>
      </c>
      <c r="H291" cm="1">
        <f t="array" ref="H291">SUMPRODUCT((Final_Merged_Data!$B$2:$B$1000=$A291)*Final_Merged_Data!$H$2:$H$1000*Final_Merged_Data!$F$2:$F$1000)/F291</f>
        <v>3.7017525551923449</v>
      </c>
      <c r="I291" cm="1">
        <f t="array" ref="I291">SUMPRODUCT((Final_Merged_Data!$B$2:$B$1000=$A291)*Final_Merged_Data!$I$2:$I$1000*Final_Merged_Data!$F$2:$F$1000)/F291</f>
        <v>66.608882477297215</v>
      </c>
      <c r="J291" t="str" cm="1">
        <f t="array" ref="J291">_xlfn.TEXTJOIN(", ",TRUE,_xlfn.UNIQUE(_xlfn._xlws.FILTER(Final_Merged_Data!$J$2:$J$1000,Final_Merged_Data!$B$2:$B$1000=$A291)))</f>
        <v>Dhaka Range</v>
      </c>
      <c r="K291" cm="1">
        <f t="array" ref="K291">SUMPRODUCT((Final_Merged_Data!$B$2:$B$1000=$A291)*Final_Merged_Data!$K$2:$K$1000*Final_Merged_Data!$F$2:$F$1000)/F291</f>
        <v>87.055167395391194</v>
      </c>
      <c r="L291" cm="1">
        <f t="array" ref="L291">SUMPRODUCT((Final_Merged_Data!$B$2:$B$1000=$A291)*Final_Merged_Data!$L$2:$L$1000*Final_Merged_Data!$F$2:$F$1000)/F291</f>
        <v>14.083489099923572</v>
      </c>
      <c r="M291" t="str">
        <f>IF(COUNTIF(Master_Data!$C:$C,$A291)&gt;0,"Found","Missing")</f>
        <v>Found</v>
      </c>
      <c r="N291" t="str">
        <f>_xlfn.XLOOKUP($A291,Master_Data!$C:$C,Master_Data!$D:$D,"CHECK",0)</f>
        <v>Fakir Mahbub Anam</v>
      </c>
      <c r="O291" t="str">
        <f>_xlfn.XLOOKUP($A291,Master_Data!$C:$C,Master_Data!$E:$E,"CHECK",0)</f>
        <v>BNP</v>
      </c>
      <c r="P291">
        <f>_xlfn.XLOOKUP($A291,Master_Data!$C:$C,Master_Data!$F:$F,"CHECK",0)</f>
        <v>1</v>
      </c>
      <c r="Q291">
        <f>_xlfn.XLOOKUP($A291,Master_Data!$C:$C,Master_Data!$G:$G,"CHECK",0)</f>
        <v>153932</v>
      </c>
      <c r="R291">
        <f>IFERROR(_xlfn.XLOOKUP($A291,Master_Data!$C:$C,Master_Data!$H:$H,"CHECK",0),"")</f>
        <v>61.97090106846381</v>
      </c>
      <c r="S291" t="str">
        <f>_xlfn.XLOOKUP($A291,Master_Data!$C:$C,Master_Data!$I:$I,"CHECK",0)</f>
        <v>Muhammad Abdullah Kafi</v>
      </c>
      <c r="T291">
        <f>_xlfn.XLOOKUP($A291,Master_Data!$C:$C,Master_Data!$K:$K,"CHECK",0)</f>
        <v>94462</v>
      </c>
      <c r="U291">
        <f>IFERROR(_xlfn.XLOOKUP($A291,Master_Data!$C:$C,Master_Data!$L:$L,"CHECK",0),"")</f>
        <v>38.02909893153619</v>
      </c>
      <c r="V291">
        <f>_xlfn.XLOOKUP($A291,Master_Data!$C:$C,Master_Data!$M:$M,"CHECK",0)</f>
        <v>59470</v>
      </c>
      <c r="W291">
        <f>IFERROR(_xlfn.XLOOKUP($A291,Master_Data!$C:$C,Master_Data!$N:$N,"CHECK",0),"")</f>
        <v>23.941802136927624</v>
      </c>
      <c r="X291" t="str">
        <f>IFERROR(_xlfn.XLOOKUP($A291,Master_Data!$C:$C,Master_Data!$O:$O,"CHECK",0),"No Result")</f>
        <v>Safe Seat</v>
      </c>
      <c r="Y291">
        <f>_xlfn.XLOOKUP($A291,Master_Data!$C:$C,Master_Data!$P:$P,"CHECK",0)</f>
        <v>0</v>
      </c>
      <c r="Z291">
        <f t="shared" si="9"/>
        <v>1</v>
      </c>
      <c r="AA291">
        <f>_xlfn.XLOOKUP(B291,Remittance_Data!A:A,Remittance_Data!B:B,"CHECK")</f>
        <v>158130</v>
      </c>
      <c r="AB291">
        <f>_xlfn.XLOOKUP(B291,Remittance_Data!A:A,Remittance_Data!C:C,"CHECK")</f>
        <v>131034</v>
      </c>
      <c r="AC291">
        <f>_xlfn.XLOOKUP(B291,Remittance_Data!A:A,Remittance_Data!D:D,"CHECK")</f>
        <v>27096</v>
      </c>
    </row>
    <row r="292" spans="1:29">
      <c r="A292" t="str">
        <v>Tangail-2</v>
      </c>
      <c r="B292" t="str" cm="1">
        <f t="array" ref="B292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Nawabganj","Chapainawabganj"),Final_Merged_Data!$B$2:$B$1000=$A292)))</f>
        <v>Tangail</v>
      </c>
      <c r="C292" t="str" cm="1">
        <f t="array" ref="C292">_xlfn.TEXTJOIN(", ",TRUE,_xlfn._xlws.FILTER(Final_Merged_Data!$C$2:$C$1000,Final_Merged_Data!$B$2:$B$1000=$A292))</f>
        <v>Gopalpur, Bhuapur</v>
      </c>
      <c r="D292" cm="1">
        <f t="array" ref="D292">COUNTA(_xlfn._xlws.FILTER(Final_Merged_Data!$C$2:$C$1000,Final_Merged_Data!$B$2:$B$1000=$A292))</f>
        <v>2</v>
      </c>
      <c r="E292">
        <f>SUMIFS(Final_Merged_Data!$E:$E,Final_Merged_Data!$B:$B,$A292)</f>
        <v>553.41999999999996</v>
      </c>
      <c r="F292">
        <f>SUMIFS(Final_Merged_Data!$F:$F,Final_Merged_Data!$B:$B,$A292)</f>
        <v>487642</v>
      </c>
      <c r="G292">
        <f t="shared" si="8"/>
        <v>881.1427125871852</v>
      </c>
      <c r="H292" cm="1">
        <f t="array" ref="H292">SUMPRODUCT((Final_Merged_Data!$B$2:$B$1000=$A292)*Final_Merged_Data!$H$2:$H$1000*Final_Merged_Data!$F$2:$F$1000)/F292</f>
        <v>3.6957616653200502</v>
      </c>
      <c r="I292" cm="1">
        <f t="array" ref="I292">SUMPRODUCT((Final_Merged_Data!$B$2:$B$1000=$A292)*Final_Merged_Data!$I$2:$I$1000*Final_Merged_Data!$F$2:$F$1000)/F292</f>
        <v>67.860344576554112</v>
      </c>
      <c r="J292" t="str" cm="1">
        <f t="array" ref="J292">_xlfn.TEXTJOIN(", ",TRUE,_xlfn.UNIQUE(_xlfn._xlws.FILTER(Final_Merged_Data!$J$2:$J$1000,Final_Merged_Data!$B$2:$B$1000=$A292)))</f>
        <v>Dhaka Range</v>
      </c>
      <c r="K292" cm="1">
        <f t="array" ref="K292">SUMPRODUCT((Final_Merged_Data!$B$2:$B$1000=$A292)*Final_Merged_Data!$K$2:$K$1000*Final_Merged_Data!$F$2:$F$1000)/F292</f>
        <v>87.055167395391194</v>
      </c>
      <c r="L292" cm="1">
        <f t="array" ref="L292">SUMPRODUCT((Final_Merged_Data!$B$2:$B$1000=$A292)*Final_Merged_Data!$L$2:$L$1000*Final_Merged_Data!$F$2:$F$1000)/F292</f>
        <v>14.083489099923572</v>
      </c>
      <c r="M292" t="str">
        <f>IF(COUNTIF(Master_Data!$C:$C,$A292)&gt;0,"Found","Missing")</f>
        <v>Found</v>
      </c>
      <c r="N292" t="str">
        <f>_xlfn.XLOOKUP($A292,Master_Data!$C:$C,Master_Data!$D:$D,"CHECK",0)</f>
        <v>Abdus Salam Pintu</v>
      </c>
      <c r="O292" t="str">
        <f>_xlfn.XLOOKUP($A292,Master_Data!$C:$C,Master_Data!$E:$E,"CHECK",0)</f>
        <v>BNP</v>
      </c>
      <c r="P292">
        <f>_xlfn.XLOOKUP($A292,Master_Data!$C:$C,Master_Data!$F:$F,"CHECK",0)</f>
        <v>1</v>
      </c>
      <c r="Q292">
        <f>_xlfn.XLOOKUP($A292,Master_Data!$C:$C,Master_Data!$G:$G,"CHECK",0)</f>
        <v>198213</v>
      </c>
      <c r="R292">
        <f>IFERROR(_xlfn.XLOOKUP($A292,Master_Data!$C:$C,Master_Data!$H:$H,"CHECK",0),"")</f>
        <v>76.505303299316054</v>
      </c>
      <c r="S292" t="str">
        <f>_xlfn.XLOOKUP($A292,Master_Data!$C:$C,Master_Data!$I:$I,"CHECK",0)</f>
        <v>Md. Humayun Kabir</v>
      </c>
      <c r="T292">
        <f>_xlfn.XLOOKUP($A292,Master_Data!$C:$C,Master_Data!$K:$K,"CHECK",0)</f>
        <v>60871</v>
      </c>
      <c r="U292">
        <f>IFERROR(_xlfn.XLOOKUP($A292,Master_Data!$C:$C,Master_Data!$L:$L,"CHECK",0),"")</f>
        <v>23.494696700683949</v>
      </c>
      <c r="V292">
        <f>_xlfn.XLOOKUP($A292,Master_Data!$C:$C,Master_Data!$M:$M,"CHECK",0)</f>
        <v>137342</v>
      </c>
      <c r="W292">
        <f>IFERROR(_xlfn.XLOOKUP($A292,Master_Data!$C:$C,Master_Data!$N:$N,"CHECK",0),"")</f>
        <v>53.010606598632101</v>
      </c>
      <c r="X292" t="str">
        <f>IFERROR(_xlfn.XLOOKUP($A292,Master_Data!$C:$C,Master_Data!$O:$O,"CHECK",0),"No Result")</f>
        <v>Safe Seat</v>
      </c>
      <c r="Y292">
        <f>_xlfn.XLOOKUP($A292,Master_Data!$C:$C,Master_Data!$P:$P,"CHECK",0)</f>
        <v>0</v>
      </c>
      <c r="Z292">
        <f t="shared" si="9"/>
        <v>1</v>
      </c>
      <c r="AA292">
        <f>_xlfn.XLOOKUP(B292,Remittance_Data!A:A,Remittance_Data!B:B,"CHECK")</f>
        <v>158130</v>
      </c>
      <c r="AB292">
        <f>_xlfn.XLOOKUP(B292,Remittance_Data!A:A,Remittance_Data!C:C,"CHECK")</f>
        <v>131034</v>
      </c>
      <c r="AC292">
        <f>_xlfn.XLOOKUP(B292,Remittance_Data!A:A,Remittance_Data!D:D,"CHECK")</f>
        <v>27096</v>
      </c>
    </row>
    <row r="293" spans="1:29">
      <c r="A293" t="str">
        <v>Tangail-3</v>
      </c>
      <c r="B293" t="str" cm="1">
        <f t="array" ref="B293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Nawabganj","Chapainawabganj"),Final_Merged_Data!$B$2:$B$1000=$A293)))</f>
        <v>Tangail</v>
      </c>
      <c r="C293" t="str" cm="1">
        <f t="array" ref="C293">_xlfn.TEXTJOIN(", ",TRUE,_xlfn._xlws.FILTER(Final_Merged_Data!$C$2:$C$1000,Final_Merged_Data!$B$2:$B$1000=$A293))</f>
        <v>Ghatail</v>
      </c>
      <c r="D293" cm="1">
        <f t="array" ref="D293">COUNTA(_xlfn._xlws.FILTER(Final_Merged_Data!$C$2:$C$1000,Final_Merged_Data!$B$2:$B$1000=$A293))</f>
        <v>1</v>
      </c>
      <c r="E293">
        <f>SUMIFS(Final_Merged_Data!$E:$E,Final_Merged_Data!$B:$B,$A293)</f>
        <v>451.63</v>
      </c>
      <c r="F293">
        <f>SUMIFS(Final_Merged_Data!$F:$F,Final_Merged_Data!$B:$B,$A293)</f>
        <v>448724</v>
      </c>
      <c r="G293">
        <f t="shared" si="8"/>
        <v>993.56552930496207</v>
      </c>
      <c r="H293" cm="1">
        <f t="array" ref="H293">SUMPRODUCT((Final_Merged_Data!$B$2:$B$1000=$A293)*Final_Merged_Data!$H$2:$H$1000*Final_Merged_Data!$F$2:$F$1000)/F293</f>
        <v>3.6700000000000004</v>
      </c>
      <c r="I293" cm="1">
        <f t="array" ref="I293">SUMPRODUCT((Final_Merged_Data!$B$2:$B$1000=$A293)*Final_Merged_Data!$I$2:$I$1000*Final_Merged_Data!$F$2:$F$1000)/F293</f>
        <v>66.89</v>
      </c>
      <c r="J293" t="str" cm="1">
        <f t="array" ref="J293">_xlfn.TEXTJOIN(", ",TRUE,_xlfn.UNIQUE(_xlfn._xlws.FILTER(Final_Merged_Data!$J$2:$J$1000,Final_Merged_Data!$B$2:$B$1000=$A293)))</f>
        <v>Dhaka Range</v>
      </c>
      <c r="K293" cm="1">
        <f t="array" ref="K293">SUMPRODUCT((Final_Merged_Data!$B$2:$B$1000=$A293)*Final_Merged_Data!$K$2:$K$1000*Final_Merged_Data!$F$2:$F$1000)/F293</f>
        <v>87.055167395391194</v>
      </c>
      <c r="L293" cm="1">
        <f t="array" ref="L293">SUMPRODUCT((Final_Merged_Data!$B$2:$B$1000=$A293)*Final_Merged_Data!$L$2:$L$1000*Final_Merged_Data!$F$2:$F$1000)/F293</f>
        <v>14.083489099923572</v>
      </c>
      <c r="M293" t="str">
        <f>IF(COUNTIF(Master_Data!$C:$C,$A293)&gt;0,"Found","Missing")</f>
        <v>Found</v>
      </c>
      <c r="N293" t="str">
        <f>_xlfn.XLOOKUP($A293,Master_Data!$C:$C,Master_Data!$D:$D,"CHECK",0)</f>
        <v>Md. Lutfar Rahman Khan Azad</v>
      </c>
      <c r="O293" t="str">
        <f>_xlfn.XLOOKUP($A293,Master_Data!$C:$C,Master_Data!$E:$E,"CHECK",0)</f>
        <v>IND</v>
      </c>
      <c r="P293">
        <f>_xlfn.XLOOKUP($A293,Master_Data!$C:$C,Master_Data!$F:$F,"CHECK",0)</f>
        <v>5</v>
      </c>
      <c r="Q293">
        <f>_xlfn.XLOOKUP($A293,Master_Data!$C:$C,Master_Data!$G:$G,"CHECK",0)</f>
        <v>107901</v>
      </c>
      <c r="R293">
        <f>IFERROR(_xlfn.XLOOKUP($A293,Master_Data!$C:$C,Master_Data!$H:$H,"CHECK",0),"")</f>
        <v>56.59044422300309</v>
      </c>
      <c r="S293" t="str">
        <f>_xlfn.XLOOKUP($A293,Master_Data!$C:$C,Master_Data!$I:$I,"CHECK",0)</f>
        <v>SM Obaidul Haque</v>
      </c>
      <c r="T293">
        <f>_xlfn.XLOOKUP($A293,Master_Data!$C:$C,Master_Data!$K:$K,"CHECK",0)</f>
        <v>82769</v>
      </c>
      <c r="U293">
        <f>IFERROR(_xlfn.XLOOKUP($A293,Master_Data!$C:$C,Master_Data!$L:$L,"CHECK",0),"")</f>
        <v>43.409555776996903</v>
      </c>
      <c r="V293">
        <f>_xlfn.XLOOKUP($A293,Master_Data!$C:$C,Master_Data!$M:$M,"CHECK",0)</f>
        <v>25132</v>
      </c>
      <c r="W293">
        <f>IFERROR(_xlfn.XLOOKUP($A293,Master_Data!$C:$C,Master_Data!$N:$N,"CHECK",0),"")</f>
        <v>13.18088844600619</v>
      </c>
      <c r="X293" t="str">
        <f>IFERROR(_xlfn.XLOOKUP($A293,Master_Data!$C:$C,Master_Data!$O:$O,"CHECK",0),"No Result")</f>
        <v>Safe Seat</v>
      </c>
      <c r="Y293">
        <f>_xlfn.XLOOKUP($A293,Master_Data!$C:$C,Master_Data!$P:$P,"CHECK",0)</f>
        <v>0</v>
      </c>
      <c r="Z293">
        <f t="shared" si="9"/>
        <v>1</v>
      </c>
      <c r="AA293">
        <f>_xlfn.XLOOKUP(B293,Remittance_Data!A:A,Remittance_Data!B:B,"CHECK")</f>
        <v>158130</v>
      </c>
      <c r="AB293">
        <f>_xlfn.XLOOKUP(B293,Remittance_Data!A:A,Remittance_Data!C:C,"CHECK")</f>
        <v>131034</v>
      </c>
      <c r="AC293">
        <f>_xlfn.XLOOKUP(B293,Remittance_Data!A:A,Remittance_Data!D:D,"CHECK")</f>
        <v>27096</v>
      </c>
    </row>
    <row r="294" spans="1:29">
      <c r="A294" t="str">
        <v>Tangail-4</v>
      </c>
      <c r="B294" t="str" cm="1">
        <f t="array" ref="B294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Nawabganj","Chapainawabganj"),Final_Merged_Data!$B$2:$B$1000=$A294)))</f>
        <v>Tangail</v>
      </c>
      <c r="C294" t="str" cm="1">
        <f t="array" ref="C294">_xlfn.TEXTJOIN(", ",TRUE,_xlfn._xlws.FILTER(Final_Merged_Data!$C$2:$C$1000,Final_Merged_Data!$B$2:$B$1000=$A294))</f>
        <v>Kalihati</v>
      </c>
      <c r="D294" cm="1">
        <f t="array" ref="D294">COUNTA(_xlfn._xlws.FILTER(Final_Merged_Data!$C$2:$C$1000,Final_Merged_Data!$B$2:$B$1000=$A294))</f>
        <v>1</v>
      </c>
      <c r="E294">
        <f>SUMIFS(Final_Merged_Data!$E:$E,Final_Merged_Data!$B:$B,$A294)</f>
        <v>301.22000000000003</v>
      </c>
      <c r="F294">
        <f>SUMIFS(Final_Merged_Data!$F:$F,Final_Merged_Data!$B:$B,$A294)</f>
        <v>449451</v>
      </c>
      <c r="G294">
        <f t="shared" si="8"/>
        <v>1492.10211805325</v>
      </c>
      <c r="H294" cm="1">
        <f t="array" ref="H294">SUMPRODUCT((Final_Merged_Data!$B$2:$B$1000=$A294)*Final_Merged_Data!$H$2:$H$1000*Final_Merged_Data!$F$2:$F$1000)/F294</f>
        <v>3.79</v>
      </c>
      <c r="I294" cm="1">
        <f t="array" ref="I294">SUMPRODUCT((Final_Merged_Data!$B$2:$B$1000=$A294)*Final_Merged_Data!$I$2:$I$1000*Final_Merged_Data!$F$2:$F$1000)/F294</f>
        <v>67.930000000000007</v>
      </c>
      <c r="J294" t="str" cm="1">
        <f t="array" ref="J294">_xlfn.TEXTJOIN(", ",TRUE,_xlfn.UNIQUE(_xlfn._xlws.FILTER(Final_Merged_Data!$J$2:$J$1000,Final_Merged_Data!$B$2:$B$1000=$A294)))</f>
        <v>Dhaka Range</v>
      </c>
      <c r="K294" cm="1">
        <f t="array" ref="K294">SUMPRODUCT((Final_Merged_Data!$B$2:$B$1000=$A294)*Final_Merged_Data!$K$2:$K$1000*Final_Merged_Data!$F$2:$F$1000)/F294</f>
        <v>87.055167395391194</v>
      </c>
      <c r="L294" cm="1">
        <f t="array" ref="L294">SUMPRODUCT((Final_Merged_Data!$B$2:$B$1000=$A294)*Final_Merged_Data!$L$2:$L$1000*Final_Merged_Data!$F$2:$F$1000)/F294</f>
        <v>14.083489099923572</v>
      </c>
      <c r="M294" t="str">
        <f>IF(COUNTIF(Master_Data!$C:$C,$A294)&gt;0,"Found","Missing")</f>
        <v>Found</v>
      </c>
      <c r="N294" t="str">
        <f>_xlfn.XLOOKUP($A294,Master_Data!$C:$C,Master_Data!$D:$D,"CHECK",0)</f>
        <v>Md. Lutfar Rahman</v>
      </c>
      <c r="O294" t="str">
        <f>_xlfn.XLOOKUP($A294,Master_Data!$C:$C,Master_Data!$E:$E,"CHECK",0)</f>
        <v>BNP</v>
      </c>
      <c r="P294">
        <f>_xlfn.XLOOKUP($A294,Master_Data!$C:$C,Master_Data!$F:$F,"CHECK",0)</f>
        <v>1</v>
      </c>
      <c r="Q294">
        <f>_xlfn.XLOOKUP($A294,Master_Data!$C:$C,Master_Data!$G:$G,"CHECK",0)</f>
        <v>105342</v>
      </c>
      <c r="R294">
        <f>IFERROR(_xlfn.XLOOKUP($A294,Master_Data!$C:$C,Master_Data!$H:$H,"CHECK",0),"")</f>
        <v>62.75923289107601</v>
      </c>
      <c r="S294" t="str">
        <f>_xlfn.XLOOKUP($A294,Master_Data!$C:$C,Master_Data!$I:$I,"CHECK",0)</f>
        <v>Abdul Latif Siddiqui</v>
      </c>
      <c r="T294">
        <f>_xlfn.XLOOKUP($A294,Master_Data!$C:$C,Master_Data!$K:$K,"CHECK",0)</f>
        <v>62509</v>
      </c>
      <c r="U294">
        <f>IFERROR(_xlfn.XLOOKUP($A294,Master_Data!$C:$C,Master_Data!$L:$L,"CHECK",0),"")</f>
        <v>37.24076710892399</v>
      </c>
      <c r="V294">
        <f>_xlfn.XLOOKUP($A294,Master_Data!$C:$C,Master_Data!$M:$M,"CHECK",0)</f>
        <v>42833</v>
      </c>
      <c r="W294">
        <f>IFERROR(_xlfn.XLOOKUP($A294,Master_Data!$C:$C,Master_Data!$N:$N,"CHECK",0),"")</f>
        <v>25.518465782152028</v>
      </c>
      <c r="X294" t="str">
        <f>IFERROR(_xlfn.XLOOKUP($A294,Master_Data!$C:$C,Master_Data!$O:$O,"CHECK",0),"No Result")</f>
        <v>Safe Seat</v>
      </c>
      <c r="Y294">
        <f>_xlfn.XLOOKUP($A294,Master_Data!$C:$C,Master_Data!$P:$P,"CHECK",0)</f>
        <v>0</v>
      </c>
      <c r="Z294">
        <f t="shared" si="9"/>
        <v>1</v>
      </c>
      <c r="AA294">
        <f>_xlfn.XLOOKUP(B294,Remittance_Data!A:A,Remittance_Data!B:B,"CHECK")</f>
        <v>158130</v>
      </c>
      <c r="AB294">
        <f>_xlfn.XLOOKUP(B294,Remittance_Data!A:A,Remittance_Data!C:C,"CHECK")</f>
        <v>131034</v>
      </c>
      <c r="AC294">
        <f>_xlfn.XLOOKUP(B294,Remittance_Data!A:A,Remittance_Data!D:D,"CHECK")</f>
        <v>27096</v>
      </c>
    </row>
    <row r="295" spans="1:29">
      <c r="A295" t="str">
        <v>Tangail-5</v>
      </c>
      <c r="B295" t="str" cm="1">
        <f t="array" ref="B295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Nawabganj","Chapainawabganj"),Final_Merged_Data!$B$2:$B$1000=$A295)))</f>
        <v>Tangail</v>
      </c>
      <c r="C295" t="str" cm="1">
        <f t="array" ref="C295">_xlfn.TEXTJOIN(", ",TRUE,_xlfn._xlws.FILTER(Final_Merged_Data!$C$2:$C$1000,Final_Merged_Data!$B$2:$B$1000=$A295))</f>
        <v>Tangail Sadar</v>
      </c>
      <c r="D295" cm="1">
        <f t="array" ref="D295">COUNTA(_xlfn._xlws.FILTER(Final_Merged_Data!$C$2:$C$1000,Final_Merged_Data!$B$2:$B$1000=$A295))</f>
        <v>1</v>
      </c>
      <c r="E295">
        <f>SUMIFS(Final_Merged_Data!$E:$E,Final_Merged_Data!$B:$B,$A295)</f>
        <v>497.01</v>
      </c>
      <c r="F295">
        <f>SUMIFS(Final_Merged_Data!$F:$F,Final_Merged_Data!$B:$B,$A295)</f>
        <v>601185</v>
      </c>
      <c r="G295">
        <f t="shared" si="8"/>
        <v>1209.6034285024446</v>
      </c>
      <c r="H295" cm="1">
        <f t="array" ref="H295">SUMPRODUCT((Final_Merged_Data!$B$2:$B$1000=$A295)*Final_Merged_Data!$H$2:$H$1000*Final_Merged_Data!$F$2:$F$1000)/F295</f>
        <v>3.9799999999999995</v>
      </c>
      <c r="I295" cm="1">
        <f t="array" ref="I295">SUMPRODUCT((Final_Merged_Data!$B$2:$B$1000=$A295)*Final_Merged_Data!$I$2:$I$1000*Final_Merged_Data!$F$2:$F$1000)/F295</f>
        <v>74.430000000000007</v>
      </c>
      <c r="J295" t="str" cm="1">
        <f t="array" ref="J295">_xlfn.TEXTJOIN(", ",TRUE,_xlfn.UNIQUE(_xlfn._xlws.FILTER(Final_Merged_Data!$J$2:$J$1000,Final_Merged_Data!$B$2:$B$1000=$A295)))</f>
        <v>Dhaka Range</v>
      </c>
      <c r="K295" cm="1">
        <f t="array" ref="K295">SUMPRODUCT((Final_Merged_Data!$B$2:$B$1000=$A295)*Final_Merged_Data!$K$2:$K$1000*Final_Merged_Data!$F$2:$F$1000)/F295</f>
        <v>87.055167395391194</v>
      </c>
      <c r="L295" cm="1">
        <f t="array" ref="L295">SUMPRODUCT((Final_Merged_Data!$B$2:$B$1000=$A295)*Final_Merged_Data!$L$2:$L$1000*Final_Merged_Data!$F$2:$F$1000)/F295</f>
        <v>14.083489099923574</v>
      </c>
      <c r="M295" t="str">
        <f>IF(COUNTIF(Master_Data!$C:$C,$A295)&gt;0,"Found","Missing")</f>
        <v>Found</v>
      </c>
      <c r="N295" t="str">
        <f>_xlfn.XLOOKUP($A295,Master_Data!$C:$C,Master_Data!$D:$D,"CHECK",0)</f>
        <v>Sultan Saladin Tuku</v>
      </c>
      <c r="O295" t="str">
        <f>_xlfn.XLOOKUP($A295,Master_Data!$C:$C,Master_Data!$E:$E,"CHECK",0)</f>
        <v>BNP</v>
      </c>
      <c r="P295">
        <f>_xlfn.XLOOKUP($A295,Master_Data!$C:$C,Master_Data!$F:$F,"CHECK",0)</f>
        <v>1</v>
      </c>
      <c r="Q295">
        <f>_xlfn.XLOOKUP($A295,Master_Data!$C:$C,Master_Data!$G:$G,"CHECK",0)</f>
        <v>131279</v>
      </c>
      <c r="R295">
        <f>IFERROR(_xlfn.XLOOKUP($A295,Master_Data!$C:$C,Master_Data!$H:$H,"CHECK",0),"")</f>
        <v>62.052258912281033</v>
      </c>
      <c r="S295" t="str">
        <f>_xlfn.XLOOKUP($A295,Master_Data!$C:$C,Master_Data!$I:$I,"CHECK",0)</f>
        <v>Ahsan Habib</v>
      </c>
      <c r="T295">
        <f>_xlfn.XLOOKUP($A295,Master_Data!$C:$C,Master_Data!$K:$K,"CHECK",0)</f>
        <v>80283</v>
      </c>
      <c r="U295">
        <f>IFERROR(_xlfn.XLOOKUP($A295,Master_Data!$C:$C,Master_Data!$L:$L,"CHECK",0),"")</f>
        <v>37.947741087718967</v>
      </c>
      <c r="V295">
        <f>_xlfn.XLOOKUP($A295,Master_Data!$C:$C,Master_Data!$M:$M,"CHECK",0)</f>
        <v>50996</v>
      </c>
      <c r="W295">
        <f>IFERROR(_xlfn.XLOOKUP($A295,Master_Data!$C:$C,Master_Data!$N:$N,"CHECK",0),"")</f>
        <v>24.104517824562066</v>
      </c>
      <c r="X295" t="str">
        <f>IFERROR(_xlfn.XLOOKUP($A295,Master_Data!$C:$C,Master_Data!$O:$O,"CHECK",0),"No Result")</f>
        <v>Safe Seat</v>
      </c>
      <c r="Y295">
        <f>_xlfn.XLOOKUP($A295,Master_Data!$C:$C,Master_Data!$P:$P,"CHECK",0)</f>
        <v>0</v>
      </c>
      <c r="Z295">
        <f t="shared" si="9"/>
        <v>1</v>
      </c>
      <c r="AA295">
        <f>_xlfn.XLOOKUP(B295,Remittance_Data!A:A,Remittance_Data!B:B,"CHECK")</f>
        <v>158130</v>
      </c>
      <c r="AB295">
        <f>_xlfn.XLOOKUP(B295,Remittance_Data!A:A,Remittance_Data!C:C,"CHECK")</f>
        <v>131034</v>
      </c>
      <c r="AC295">
        <f>_xlfn.XLOOKUP(B295,Remittance_Data!A:A,Remittance_Data!D:D,"CHECK")</f>
        <v>27096</v>
      </c>
    </row>
    <row r="296" spans="1:29">
      <c r="A296" t="str">
        <v>Tangail-6</v>
      </c>
      <c r="B296" t="str" cm="1">
        <f t="array" ref="B296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Nawabganj","Chapainawabganj"),Final_Merged_Data!$B$2:$B$1000=$A296)))</f>
        <v>Tangail</v>
      </c>
      <c r="C296" t="str" cm="1">
        <f t="array" ref="C296">_xlfn.TEXTJOIN(", ",TRUE,_xlfn._xlws.FILTER(Final_Merged_Data!$C$2:$C$1000,Final_Merged_Data!$B$2:$B$1000=$A296))</f>
        <v>Delduar, Nagarpur</v>
      </c>
      <c r="D296" cm="1">
        <f t="array" ref="D296">COUNTA(_xlfn._xlws.FILTER(Final_Merged_Data!$C$2:$C$1000,Final_Merged_Data!$B$2:$B$1000=$A296))</f>
        <v>2</v>
      </c>
      <c r="E296">
        <f>SUMIFS(Final_Merged_Data!$E:$E,Final_Merged_Data!$B:$B,$A296)</f>
        <v>610.91999999999996</v>
      </c>
      <c r="F296">
        <f>SUMIFS(Final_Merged_Data!$F:$F,Final_Merged_Data!$B:$B,$A296)</f>
        <v>537980</v>
      </c>
      <c r="G296">
        <f t="shared" si="8"/>
        <v>880.60629869704712</v>
      </c>
      <c r="H296" cm="1">
        <f t="array" ref="H296">SUMPRODUCT((Final_Merged_Data!$B$2:$B$1000=$A296)*Final_Merged_Data!$H$2:$H$1000*Final_Merged_Data!$F$2:$F$1000)/F296</f>
        <v>3.7940653927655306</v>
      </c>
      <c r="I296" cm="1">
        <f t="array" ref="I296">SUMPRODUCT((Final_Merged_Data!$B$2:$B$1000=$A296)*Final_Merged_Data!$I$2:$I$1000*Final_Merged_Data!$F$2:$F$1000)/F296</f>
        <v>68.711481095951513</v>
      </c>
      <c r="J296" t="str" cm="1">
        <f t="array" ref="J296">_xlfn.TEXTJOIN(", ",TRUE,_xlfn.UNIQUE(_xlfn._xlws.FILTER(Final_Merged_Data!$J$2:$J$1000,Final_Merged_Data!$B$2:$B$1000=$A296)))</f>
        <v>Dhaka Range</v>
      </c>
      <c r="K296" cm="1">
        <f t="array" ref="K296">SUMPRODUCT((Final_Merged_Data!$B$2:$B$1000=$A296)*Final_Merged_Data!$K$2:$K$1000*Final_Merged_Data!$F$2:$F$1000)/F296</f>
        <v>87.055167395391194</v>
      </c>
      <c r="L296" cm="1">
        <f t="array" ref="L296">SUMPRODUCT((Final_Merged_Data!$B$2:$B$1000=$A296)*Final_Merged_Data!$L$2:$L$1000*Final_Merged_Data!$F$2:$F$1000)/F296</f>
        <v>14.083489099923572</v>
      </c>
      <c r="M296" t="str">
        <f>IF(COUNTIF(Master_Data!$C:$C,$A296)&gt;0,"Found","Missing")</f>
        <v>Found</v>
      </c>
      <c r="N296" t="str">
        <f>_xlfn.XLOOKUP($A296,Master_Data!$C:$C,Master_Data!$D:$D,"CHECK",0)</f>
        <v>Md Rabiul Awal</v>
      </c>
      <c r="O296" t="str">
        <f>_xlfn.XLOOKUP($A296,Master_Data!$C:$C,Master_Data!$E:$E,"CHECK",0)</f>
        <v>BNP</v>
      </c>
      <c r="P296">
        <f>_xlfn.XLOOKUP($A296,Master_Data!$C:$C,Master_Data!$F:$F,"CHECK",0)</f>
        <v>1</v>
      </c>
      <c r="Q296">
        <f>_xlfn.XLOOKUP($A296,Master_Data!$C:$C,Master_Data!$G:$G,"CHECK",0)</f>
        <v>150952</v>
      </c>
      <c r="R296">
        <f>IFERROR(_xlfn.XLOOKUP($A296,Master_Data!$C:$C,Master_Data!$H:$H,"CHECK",0),"")</f>
        <v>62.154439073398507</v>
      </c>
      <c r="S296" t="str">
        <f>_xlfn.XLOOKUP($A296,Master_Data!$C:$C,Master_Data!$I:$I,"CHECK",0)</f>
        <v>AKM Abdul Hamid</v>
      </c>
      <c r="T296">
        <f>_xlfn.XLOOKUP($A296,Master_Data!$C:$C,Master_Data!$K:$K,"CHECK",0)</f>
        <v>91914</v>
      </c>
      <c r="U296">
        <f>IFERROR(_xlfn.XLOOKUP($A296,Master_Data!$C:$C,Master_Data!$L:$L,"CHECK",0),"")</f>
        <v>37.8455609266015</v>
      </c>
      <c r="V296">
        <f>_xlfn.XLOOKUP($A296,Master_Data!$C:$C,Master_Data!$M:$M,"CHECK",0)</f>
        <v>59038</v>
      </c>
      <c r="W296">
        <f>IFERROR(_xlfn.XLOOKUP($A296,Master_Data!$C:$C,Master_Data!$N:$N,"CHECK",0),"")</f>
        <v>24.308878146796999</v>
      </c>
      <c r="X296" t="str">
        <f>IFERROR(_xlfn.XLOOKUP($A296,Master_Data!$C:$C,Master_Data!$O:$O,"CHECK",0),"No Result")</f>
        <v>Safe Seat</v>
      </c>
      <c r="Y296">
        <f>_xlfn.XLOOKUP($A296,Master_Data!$C:$C,Master_Data!$P:$P,"CHECK",0)</f>
        <v>0</v>
      </c>
      <c r="Z296">
        <f t="shared" si="9"/>
        <v>1</v>
      </c>
      <c r="AA296">
        <f>_xlfn.XLOOKUP(B296,Remittance_Data!A:A,Remittance_Data!B:B,"CHECK")</f>
        <v>158130</v>
      </c>
      <c r="AB296">
        <f>_xlfn.XLOOKUP(B296,Remittance_Data!A:A,Remittance_Data!C:C,"CHECK")</f>
        <v>131034</v>
      </c>
      <c r="AC296">
        <f>_xlfn.XLOOKUP(B296,Remittance_Data!A:A,Remittance_Data!D:D,"CHECK")</f>
        <v>27096</v>
      </c>
    </row>
    <row r="297" spans="1:29">
      <c r="A297" t="str">
        <v>Tangail-7</v>
      </c>
      <c r="B297" t="str" cm="1">
        <f t="array" ref="B297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Nawabganj","Chapainawabganj"),Final_Merged_Data!$B$2:$B$1000=$A297)))</f>
        <v>Tangail</v>
      </c>
      <c r="C297" t="str" cm="1">
        <f t="array" ref="C297">_xlfn.TEXTJOIN(", ",TRUE,_xlfn._xlws.FILTER(Final_Merged_Data!$C$2:$C$1000,Final_Merged_Data!$B$2:$B$1000=$A297))</f>
        <v>Mirzapur</v>
      </c>
      <c r="D297" cm="1">
        <f t="array" ref="D297">COUNTA(_xlfn._xlws.FILTER(Final_Merged_Data!$C$2:$C$1000,Final_Merged_Data!$B$2:$B$1000=$A297))</f>
        <v>1</v>
      </c>
      <c r="E297">
        <f>SUMIFS(Final_Merged_Data!$E:$E,Final_Merged_Data!$B:$B,$A297)</f>
        <v>489.1</v>
      </c>
      <c r="F297">
        <f>SUMIFS(Final_Merged_Data!$F:$F,Final_Merged_Data!$B:$B,$A297)</f>
        <v>474634</v>
      </c>
      <c r="G297">
        <f t="shared" si="8"/>
        <v>970.42322633408298</v>
      </c>
      <c r="H297" cm="1">
        <f t="array" ref="H297">SUMPRODUCT((Final_Merged_Data!$B$2:$B$1000=$A297)*Final_Merged_Data!$H$2:$H$1000*Final_Merged_Data!$F$2:$F$1000)/F297</f>
        <v>3.73</v>
      </c>
      <c r="I297" cm="1">
        <f t="array" ref="I297">SUMPRODUCT((Final_Merged_Data!$B$2:$B$1000=$A297)*Final_Merged_Data!$I$2:$I$1000*Final_Merged_Data!$F$2:$F$1000)/F297</f>
        <v>74.98</v>
      </c>
      <c r="J297" t="str" cm="1">
        <f t="array" ref="J297">_xlfn.TEXTJOIN(", ",TRUE,_xlfn.UNIQUE(_xlfn._xlws.FILTER(Final_Merged_Data!$J$2:$J$1000,Final_Merged_Data!$B$2:$B$1000=$A297)))</f>
        <v>Dhaka Range</v>
      </c>
      <c r="K297" cm="1">
        <f t="array" ref="K297">SUMPRODUCT((Final_Merged_Data!$B$2:$B$1000=$A297)*Final_Merged_Data!$K$2:$K$1000*Final_Merged_Data!$F$2:$F$1000)/F297</f>
        <v>87.055167395391194</v>
      </c>
      <c r="L297" cm="1">
        <f t="array" ref="L297">SUMPRODUCT((Final_Merged_Data!$B$2:$B$1000=$A297)*Final_Merged_Data!$L$2:$L$1000*Final_Merged_Data!$F$2:$F$1000)/F297</f>
        <v>14.083489099923572</v>
      </c>
      <c r="M297" t="str">
        <f>IF(COUNTIF(Master_Data!$C:$C,$A297)&gt;0,"Found","Missing")</f>
        <v>Found</v>
      </c>
      <c r="N297" t="str">
        <f>_xlfn.XLOOKUP($A297,Master_Data!$C:$C,Master_Data!$D:$D,"CHECK",0)</f>
        <v>Abul Kalam Azad Siddiqui</v>
      </c>
      <c r="O297" t="str">
        <f>_xlfn.XLOOKUP($A297,Master_Data!$C:$C,Master_Data!$E:$E,"CHECK",0)</f>
        <v>BNP</v>
      </c>
      <c r="P297">
        <f>_xlfn.XLOOKUP($A297,Master_Data!$C:$C,Master_Data!$F:$F,"CHECK",0)</f>
        <v>1</v>
      </c>
      <c r="Q297">
        <f>_xlfn.XLOOKUP($A297,Master_Data!$C:$C,Master_Data!$G:$G,"CHECK",0)</f>
        <v>141253</v>
      </c>
      <c r="R297">
        <f>IFERROR(_xlfn.XLOOKUP($A297,Master_Data!$C:$C,Master_Data!$H:$H,"CHECK",0),"")</f>
        <v>66.536814685364092</v>
      </c>
      <c r="S297" t="str">
        <f>_xlfn.XLOOKUP($A297,Master_Data!$C:$C,Master_Data!$I:$I,"CHECK",0)</f>
        <v>Md Abdullah ibn Abul Hossain</v>
      </c>
      <c r="T297">
        <f>_xlfn.XLOOKUP($A297,Master_Data!$C:$C,Master_Data!$K:$K,"CHECK",0)</f>
        <v>71040</v>
      </c>
      <c r="U297">
        <f>IFERROR(_xlfn.XLOOKUP($A297,Master_Data!$C:$C,Master_Data!$L:$L,"CHECK",0),"")</f>
        <v>33.463185314635901</v>
      </c>
      <c r="V297">
        <f>_xlfn.XLOOKUP($A297,Master_Data!$C:$C,Master_Data!$M:$M,"CHECK",0)</f>
        <v>70213</v>
      </c>
      <c r="W297">
        <f>IFERROR(_xlfn.XLOOKUP($A297,Master_Data!$C:$C,Master_Data!$N:$N,"CHECK",0),"")</f>
        <v>33.073629370728192</v>
      </c>
      <c r="X297" t="str">
        <f>IFERROR(_xlfn.XLOOKUP($A297,Master_Data!$C:$C,Master_Data!$O:$O,"CHECK",0),"No Result")</f>
        <v>Safe Seat</v>
      </c>
      <c r="Y297">
        <f>_xlfn.XLOOKUP($A297,Master_Data!$C:$C,Master_Data!$P:$P,"CHECK",0)</f>
        <v>0</v>
      </c>
      <c r="Z297">
        <f t="shared" si="9"/>
        <v>1</v>
      </c>
      <c r="AA297">
        <f>_xlfn.XLOOKUP(B297,Remittance_Data!A:A,Remittance_Data!B:B,"CHECK")</f>
        <v>158130</v>
      </c>
      <c r="AB297">
        <f>_xlfn.XLOOKUP(B297,Remittance_Data!A:A,Remittance_Data!C:C,"CHECK")</f>
        <v>131034</v>
      </c>
      <c r="AC297">
        <f>_xlfn.XLOOKUP(B297,Remittance_Data!A:A,Remittance_Data!D:D,"CHECK")</f>
        <v>27096</v>
      </c>
    </row>
    <row r="298" spans="1:29">
      <c r="A298" t="str">
        <v>Tangail-8</v>
      </c>
      <c r="B298" t="str" cm="1">
        <f t="array" ref="B298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Nawabganj","Chapainawabganj"),Final_Merged_Data!$B$2:$B$1000=$A298)))</f>
        <v>Tangail</v>
      </c>
      <c r="C298" t="str" cm="1">
        <f t="array" ref="C298">_xlfn.TEXTJOIN(", ",TRUE,_xlfn._xlws.FILTER(Final_Merged_Data!$C$2:$C$1000,Final_Merged_Data!$B$2:$B$1000=$A298))</f>
        <v>Sakhipur</v>
      </c>
      <c r="D298" cm="1">
        <f t="array" ref="D298">COUNTA(_xlfn._xlws.FILTER(Final_Merged_Data!$C$2:$C$1000,Final_Merged_Data!$B$2:$B$1000=$A298))</f>
        <v>1</v>
      </c>
      <c r="E298">
        <f>SUMIFS(Final_Merged_Data!$E:$E,Final_Merged_Data!$B:$B,$A298)</f>
        <v>266.83999999999997</v>
      </c>
      <c r="F298">
        <f>SUMIFS(Final_Merged_Data!$F:$F,Final_Merged_Data!$B:$B,$A298)</f>
        <v>322307</v>
      </c>
      <c r="G298">
        <f t="shared" si="8"/>
        <v>1207.866137010943</v>
      </c>
      <c r="H298" cm="1">
        <f t="array" ref="H298">SUMPRODUCT((Final_Merged_Data!$B$2:$B$1000=$A298)*Final_Merged_Data!$H$2:$H$1000*Final_Merged_Data!$F$2:$F$1000)/F298</f>
        <v>3.57</v>
      </c>
      <c r="I298" cm="1">
        <f t="array" ref="I298">SUMPRODUCT((Final_Merged_Data!$B$2:$B$1000=$A298)*Final_Merged_Data!$I$2:$I$1000*Final_Merged_Data!$F$2:$F$1000)/F298</f>
        <v>66.87</v>
      </c>
      <c r="J298" t="str" cm="1">
        <f t="array" ref="J298">_xlfn.TEXTJOIN(", ",TRUE,_xlfn.UNIQUE(_xlfn._xlws.FILTER(Final_Merged_Data!$J$2:$J$1000,Final_Merged_Data!$B$2:$B$1000=$A298)))</f>
        <v>Dhaka Range</v>
      </c>
      <c r="K298" cm="1">
        <f t="array" ref="K298">SUMPRODUCT((Final_Merged_Data!$B$2:$B$1000=$A298)*Final_Merged_Data!$K$2:$K$1000*Final_Merged_Data!$F$2:$F$1000)/F298</f>
        <v>87.055167395391194</v>
      </c>
      <c r="L298" cm="1">
        <f t="array" ref="L298">SUMPRODUCT((Final_Merged_Data!$B$2:$B$1000=$A298)*Final_Merged_Data!$L$2:$L$1000*Final_Merged_Data!$F$2:$F$1000)/F298</f>
        <v>14.08348909992357</v>
      </c>
      <c r="M298" t="str">
        <f>IF(COUNTIF(Master_Data!$C:$C,$A298)&gt;0,"Found","Missing")</f>
        <v>Found</v>
      </c>
      <c r="N298" t="str">
        <f>_xlfn.XLOOKUP($A298,Master_Data!$C:$C,Master_Data!$D:$D,"CHECK",0)</f>
        <v>Ahmed Azam Khan</v>
      </c>
      <c r="O298" t="str">
        <f>_xlfn.XLOOKUP($A298,Master_Data!$C:$C,Master_Data!$E:$E,"CHECK",0)</f>
        <v>BNP</v>
      </c>
      <c r="P298">
        <f>_xlfn.XLOOKUP($A298,Master_Data!$C:$C,Master_Data!$F:$F,"CHECK",0)</f>
        <v>1</v>
      </c>
      <c r="Q298">
        <f>_xlfn.XLOOKUP($A298,Master_Data!$C:$C,Master_Data!$G:$G,"CHECK",0)</f>
        <v>114217</v>
      </c>
      <c r="R298">
        <f>IFERROR(_xlfn.XLOOKUP($A298,Master_Data!$C:$C,Master_Data!$H:$H,"CHECK",0),"")</f>
        <v>59.691032522067246</v>
      </c>
      <c r="S298" t="str">
        <f>_xlfn.XLOOKUP($A298,Master_Data!$C:$C,Master_Data!$I:$I,"CHECK",0)</f>
        <v>Salahuddin Alamgir</v>
      </c>
      <c r="T298">
        <f>_xlfn.XLOOKUP($A298,Master_Data!$C:$C,Master_Data!$K:$K,"CHECK",0)</f>
        <v>77130</v>
      </c>
      <c r="U298">
        <f>IFERROR(_xlfn.XLOOKUP($A298,Master_Data!$C:$C,Master_Data!$L:$L,"CHECK",0),"")</f>
        <v>40.308967477932761</v>
      </c>
      <c r="V298">
        <f>_xlfn.XLOOKUP($A298,Master_Data!$C:$C,Master_Data!$M:$M,"CHECK",0)</f>
        <v>37087</v>
      </c>
      <c r="W298">
        <f>IFERROR(_xlfn.XLOOKUP($A298,Master_Data!$C:$C,Master_Data!$N:$N,"CHECK",0),"")</f>
        <v>19.382065044134478</v>
      </c>
      <c r="X298" t="str">
        <f>IFERROR(_xlfn.XLOOKUP($A298,Master_Data!$C:$C,Master_Data!$O:$O,"CHECK",0),"No Result")</f>
        <v>Safe Seat</v>
      </c>
      <c r="Y298">
        <f>_xlfn.XLOOKUP($A298,Master_Data!$C:$C,Master_Data!$P:$P,"CHECK",0)</f>
        <v>0</v>
      </c>
      <c r="Z298">
        <f t="shared" si="9"/>
        <v>1</v>
      </c>
      <c r="AA298">
        <f>_xlfn.XLOOKUP(B298,Remittance_Data!A:A,Remittance_Data!B:B,"CHECK")</f>
        <v>158130</v>
      </c>
      <c r="AB298">
        <f>_xlfn.XLOOKUP(B298,Remittance_Data!A:A,Remittance_Data!C:C,"CHECK")</f>
        <v>131034</v>
      </c>
      <c r="AC298">
        <f>_xlfn.XLOOKUP(B298,Remittance_Data!A:A,Remittance_Data!D:D,"CHECK")</f>
        <v>27096</v>
      </c>
    </row>
    <row r="299" spans="1:29">
      <c r="A299" t="str">
        <v>Thakurgaon-1</v>
      </c>
      <c r="B299" t="str" cm="1">
        <f t="array" ref="B299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Nawabganj","Chapainawabganj"),Final_Merged_Data!$B$2:$B$1000=$A299)))</f>
        <v>Thakurgaon</v>
      </c>
      <c r="C299" t="str" cm="1">
        <f t="array" ref="C299">_xlfn.TEXTJOIN(", ",TRUE,_xlfn._xlws.FILTER(Final_Merged_Data!$C$2:$C$1000,Final_Merged_Data!$B$2:$B$1000=$A299))</f>
        <v>Thakurgaon Sadar</v>
      </c>
      <c r="D299" cm="1">
        <f t="array" ref="D299">COUNTA(_xlfn._xlws.FILTER(Final_Merged_Data!$C$2:$C$1000,Final_Merged_Data!$B$2:$B$1000=$A299))</f>
        <v>1</v>
      </c>
      <c r="E299">
        <f>SUMIFS(Final_Merged_Data!$E:$E,Final_Merged_Data!$B:$B,$A299)</f>
        <v>172.65</v>
      </c>
      <c r="F299">
        <f>SUMIFS(Final_Merged_Data!$F:$F,Final_Merged_Data!$B:$B,$A299)</f>
        <v>656770</v>
      </c>
      <c r="G299">
        <f t="shared" si="8"/>
        <v>3804.0544454097885</v>
      </c>
      <c r="H299" cm="1">
        <f t="array" ref="H299">SUMPRODUCT((Final_Merged_Data!$B$2:$B$1000=$A299)*Final_Merged_Data!$H$2:$H$1000*Final_Merged_Data!$F$2:$F$1000)/F299</f>
        <v>3.99</v>
      </c>
      <c r="I299" cm="1">
        <f t="array" ref="I299">SUMPRODUCT((Final_Merged_Data!$B$2:$B$1000=$A299)*Final_Merged_Data!$I$2:$I$1000*Final_Merged_Data!$F$2:$F$1000)/F299</f>
        <v>76.849999999999994</v>
      </c>
      <c r="J299" t="str" cm="1">
        <f t="array" ref="J299">_xlfn.TEXTJOIN(", ",TRUE,_xlfn.UNIQUE(_xlfn._xlws.FILTER(Final_Merged_Data!$J$2:$J$1000,Final_Merged_Data!$B$2:$B$1000=$A299)))</f>
        <v>Rangpur Range</v>
      </c>
      <c r="K299" cm="1">
        <f t="array" ref="K299">SUMPRODUCT((Final_Merged_Data!$B$2:$B$1000=$A299)*Final_Merged_Data!$K$2:$K$1000*Final_Merged_Data!$F$2:$F$1000)/F299</f>
        <v>101.90869513385242</v>
      </c>
      <c r="L299" cm="1">
        <f t="array" ref="L299">SUMPRODUCT((Final_Merged_Data!$B$2:$B$1000=$A299)*Final_Merged_Data!$L$2:$L$1000*Final_Merged_Data!$F$2:$F$1000)/F299</f>
        <v>15.175373179583827</v>
      </c>
      <c r="M299" t="str">
        <f>IF(COUNTIF(Master_Data!$C:$C,$A299)&gt;0,"Found","Missing")</f>
        <v>Found</v>
      </c>
      <c r="N299" t="str">
        <f>_xlfn.XLOOKUP($A299,Master_Data!$C:$C,Master_Data!$D:$D,"CHECK",0)</f>
        <v>Mirza Fakhrul Islam Alamgir</v>
      </c>
      <c r="O299" t="str">
        <f>_xlfn.XLOOKUP($A299,Master_Data!$C:$C,Master_Data!$E:$E,"CHECK",0)</f>
        <v>BNP</v>
      </c>
      <c r="P299">
        <f>_xlfn.XLOOKUP($A299,Master_Data!$C:$C,Master_Data!$F:$F,"CHECK",0)</f>
        <v>1</v>
      </c>
      <c r="Q299">
        <f>_xlfn.XLOOKUP($A299,Master_Data!$C:$C,Master_Data!$G:$G,"CHECK",0)</f>
        <v>238836</v>
      </c>
      <c r="R299">
        <f>IFERROR(_xlfn.XLOOKUP($A299,Master_Data!$C:$C,Master_Data!$H:$H,"CHECK",0),"")</f>
        <v>62.87590199366597</v>
      </c>
      <c r="S299" t="str">
        <f>_xlfn.XLOOKUP($A299,Master_Data!$C:$C,Master_Data!$I:$I,"CHECK",0)</f>
        <v>Delawar Hossain</v>
      </c>
      <c r="T299">
        <f>_xlfn.XLOOKUP($A299,Master_Data!$C:$C,Master_Data!$K:$K,"CHECK",0)</f>
        <v>141017</v>
      </c>
      <c r="U299">
        <f>IFERROR(_xlfn.XLOOKUP($A299,Master_Data!$C:$C,Master_Data!$L:$L,"CHECK",0),"")</f>
        <v>37.12409800633403</v>
      </c>
      <c r="V299">
        <f>_xlfn.XLOOKUP($A299,Master_Data!$C:$C,Master_Data!$M:$M,"CHECK",0)</f>
        <v>97819</v>
      </c>
      <c r="W299">
        <f>IFERROR(_xlfn.XLOOKUP($A299,Master_Data!$C:$C,Master_Data!$N:$N,"CHECK",0),"")</f>
        <v>25.75180398733194</v>
      </c>
      <c r="X299" t="str">
        <f>IFERROR(_xlfn.XLOOKUP($A299,Master_Data!$C:$C,Master_Data!$O:$O,"CHECK",0),"No Result")</f>
        <v>Safe Seat</v>
      </c>
      <c r="Y299">
        <f>_xlfn.XLOOKUP($A299,Master_Data!$C:$C,Master_Data!$P:$P,"CHECK",0)</f>
        <v>0</v>
      </c>
      <c r="Z299">
        <f t="shared" si="9"/>
        <v>1</v>
      </c>
      <c r="AA299">
        <f>_xlfn.XLOOKUP(B299,Remittance_Data!A:A,Remittance_Data!B:B,"CHECK")</f>
        <v>4683</v>
      </c>
      <c r="AB299">
        <f>_xlfn.XLOOKUP(B299,Remittance_Data!A:A,Remittance_Data!C:C,"CHECK")</f>
        <v>3733</v>
      </c>
      <c r="AC299">
        <f>_xlfn.XLOOKUP(B299,Remittance_Data!A:A,Remittance_Data!D:D,"CHECK")</f>
        <v>950</v>
      </c>
    </row>
    <row r="300" spans="1:29">
      <c r="A300" t="str">
        <v>Thakurgaon-2</v>
      </c>
      <c r="B300" t="str" cm="1">
        <f t="array" ref="B300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Nawabganj","Chapainawabganj"),Final_Merged_Data!$B$2:$B$1000=$A300)))</f>
        <v>Thakurgaon</v>
      </c>
      <c r="C300" t="str" cm="1">
        <f t="array" ref="C300">_xlfn.TEXTJOIN(", ",TRUE,_xlfn._xlws.FILTER(Final_Merged_Data!$C$2:$C$1000,Final_Merged_Data!$B$2:$B$1000=$A300))</f>
        <v>Baliadangi, Haripur, Ranishankail</v>
      </c>
      <c r="D300" cm="1">
        <f t="array" ref="D300">COUNTA(_xlfn._xlws.FILTER(Final_Merged_Data!$C$2:$C$1000,Final_Merged_Data!$B$2:$B$1000=$A300))</f>
        <v>3</v>
      </c>
      <c r="E300">
        <f>SUMIFS(Final_Merged_Data!$E:$E,Final_Merged_Data!$B:$B,$A300)</f>
        <v>851.31</v>
      </c>
      <c r="F300">
        <f>SUMIFS(Final_Merged_Data!$F:$F,Final_Merged_Data!$B:$B,$A300)</f>
        <v>611930</v>
      </c>
      <c r="G300">
        <f t="shared" si="8"/>
        <v>718.80983425544161</v>
      </c>
      <c r="H300" cm="1">
        <f t="array" ref="H300">SUMPRODUCT((Final_Merged_Data!$B$2:$B$1000=$A300)*Final_Merged_Data!$H$2:$H$1000*Final_Merged_Data!$F$2:$F$1000)/F300</f>
        <v>3.9606961907407707</v>
      </c>
      <c r="I300" cm="1">
        <f t="array" ref="I300">SUMPRODUCT((Final_Merged_Data!$B$2:$B$1000=$A300)*Final_Merged_Data!$I$2:$I$1000*Final_Merged_Data!$F$2:$F$1000)/F300</f>
        <v>71.533349075874682</v>
      </c>
      <c r="J300" t="str" cm="1">
        <f t="array" ref="J300">_xlfn.TEXTJOIN(", ",TRUE,_xlfn.UNIQUE(_xlfn._xlws.FILTER(Final_Merged_Data!$J$2:$J$1000,Final_Merged_Data!$B$2:$B$1000=$A300)))</f>
        <v>Rangpur Range</v>
      </c>
      <c r="K300" cm="1">
        <f t="array" ref="K300">SUMPRODUCT((Final_Merged_Data!$B$2:$B$1000=$A300)*Final_Merged_Data!$K$2:$K$1000*Final_Merged_Data!$F$2:$F$1000)/F300</f>
        <v>101.90869513385242</v>
      </c>
      <c r="L300" cm="1">
        <f t="array" ref="L300">SUMPRODUCT((Final_Merged_Data!$B$2:$B$1000=$A300)*Final_Merged_Data!$L$2:$L$1000*Final_Merged_Data!$F$2:$F$1000)/F300</f>
        <v>15.175373179583827</v>
      </c>
      <c r="M300" t="str">
        <f>IF(COUNTIF(Master_Data!$C:$C,$A300)&gt;0,"Found","Missing")</f>
        <v>Found</v>
      </c>
      <c r="N300" t="str">
        <f>_xlfn.XLOOKUP($A300,Master_Data!$C:$C,Master_Data!$D:$D,"CHECK",0)</f>
        <v>Abdus Salam</v>
      </c>
      <c r="O300" t="str">
        <f>_xlfn.XLOOKUP($A300,Master_Data!$C:$C,Master_Data!$E:$E,"CHECK",0)</f>
        <v>BNP</v>
      </c>
      <c r="P300">
        <f>_xlfn.XLOOKUP($A300,Master_Data!$C:$C,Master_Data!$F:$F,"CHECK",0)</f>
        <v>1</v>
      </c>
      <c r="Q300">
        <f>_xlfn.XLOOKUP($A300,Master_Data!$C:$C,Master_Data!$G:$G,"CHECK",0)</f>
        <v>121017</v>
      </c>
      <c r="R300">
        <f>IFERROR(_xlfn.XLOOKUP($A300,Master_Data!$C:$C,Master_Data!$H:$H,"CHECK",0),"")</f>
        <v>51.121559284229733</v>
      </c>
      <c r="S300" t="str">
        <f>_xlfn.XLOOKUP($A300,Master_Data!$C:$C,Master_Data!$I:$I,"CHECK",0)</f>
        <v>Md. Abdul Hakim</v>
      </c>
      <c r="T300">
        <f>_xlfn.XLOOKUP($A300,Master_Data!$C:$C,Master_Data!$K:$K,"CHECK",0)</f>
        <v>115707</v>
      </c>
      <c r="U300">
        <f>IFERROR(_xlfn.XLOOKUP($A300,Master_Data!$C:$C,Master_Data!$L:$L,"CHECK",0),"")</f>
        <v>48.878440715770267</v>
      </c>
      <c r="V300">
        <f>_xlfn.XLOOKUP($A300,Master_Data!$C:$C,Master_Data!$M:$M,"CHECK",0)</f>
        <v>5310</v>
      </c>
      <c r="W300">
        <f>IFERROR(_xlfn.XLOOKUP($A300,Master_Data!$C:$C,Master_Data!$N:$N,"CHECK",0),"")</f>
        <v>2.2431185684594719</v>
      </c>
      <c r="X300" t="str">
        <f>IFERROR(_xlfn.XLOOKUP($A300,Master_Data!$C:$C,Master_Data!$O:$O,"CHECK",0),"No Result")</f>
        <v>Highly Competitive</v>
      </c>
      <c r="Y300">
        <f>_xlfn.XLOOKUP($A300,Master_Data!$C:$C,Master_Data!$P:$P,"CHECK",0)</f>
        <v>0</v>
      </c>
      <c r="Z300">
        <f t="shared" si="9"/>
        <v>1</v>
      </c>
      <c r="AA300">
        <f>_xlfn.XLOOKUP(B300,Remittance_Data!A:A,Remittance_Data!B:B,"CHECK")</f>
        <v>4683</v>
      </c>
      <c r="AB300">
        <f>_xlfn.XLOOKUP(B300,Remittance_Data!A:A,Remittance_Data!C:C,"CHECK")</f>
        <v>3733</v>
      </c>
      <c r="AC300">
        <f>_xlfn.XLOOKUP(B300,Remittance_Data!A:A,Remittance_Data!D:D,"CHECK")</f>
        <v>950</v>
      </c>
    </row>
    <row r="301" spans="1:29">
      <c r="A301" t="str">
        <v>Thakurgaon-3</v>
      </c>
      <c r="B301" t="str" cm="1">
        <f t="array" ref="B301">_xlfn.TEXTJOIN(", ",TRUE,_xlfn.UNIQUE(_xlfn._xlws.FILTER(SUBSTITUTE(SUBSTITUTE(SUBSTITUTE(SUBSTITUTE(SUBSTITUTE(SUBSTITUTE(TRIM(Final_Merged_Data!$D$2:$D$1000),"Jessore","Jashore"),"Bogra","Bogura"),"Barisal","Barishal"),"Comilla","Comilla"),"Chittagong","Chittagong"),"Chapai Nawabganj","Chapainawabganj"),Final_Merged_Data!$B$2:$B$1000=$A301)))</f>
        <v>Thakurgaon</v>
      </c>
      <c r="C301" t="str" cm="1">
        <f t="array" ref="C301">_xlfn.TEXTJOIN(", ",TRUE,_xlfn._xlws.FILTER(Final_Merged_Data!$C$2:$C$1000,Final_Merged_Data!$B$2:$B$1000=$A301))</f>
        <v>Pirganj, Ranishankail</v>
      </c>
      <c r="D301" cm="1">
        <f t="array" ref="D301">COUNTA(_xlfn._xlws.FILTER(Final_Merged_Data!$C$2:$C$1000,Final_Merged_Data!$B$2:$B$1000=$A301))</f>
        <v>2</v>
      </c>
      <c r="E301">
        <f>SUMIFS(Final_Merged_Data!$E:$E,Final_Merged_Data!$B:$B,$A301)</f>
        <v>615.1</v>
      </c>
      <c r="F301">
        <f>SUMIFS(Final_Merged_Data!$F:$F,Final_Merged_Data!$B:$B,$A301)</f>
        <v>658907</v>
      </c>
      <c r="G301">
        <f t="shared" si="8"/>
        <v>1071.2193139326939</v>
      </c>
      <c r="H301" cm="1">
        <f t="array" ref="H301">SUMPRODUCT((Final_Merged_Data!$B$2:$B$1000=$A301)*Final_Merged_Data!$H$2:$H$1000*Final_Merged_Data!$F$2:$F$1000)/F301</f>
        <v>3.7059436612450622</v>
      </c>
      <c r="I301" cm="1">
        <f t="array" ref="I301">SUMPRODUCT((Final_Merged_Data!$B$2:$B$1000=$A301)*Final_Merged_Data!$I$2:$I$1000*Final_Merged_Data!$F$2:$F$1000)/F301</f>
        <v>69.551084492955752</v>
      </c>
      <c r="J301" t="str" cm="1">
        <f t="array" ref="J301">_xlfn.TEXTJOIN(", ",TRUE,_xlfn.UNIQUE(_xlfn._xlws.FILTER(Final_Merged_Data!$J$2:$J$1000,Final_Merged_Data!$B$2:$B$1000=$A301)))</f>
        <v>Rangpur Range</v>
      </c>
      <c r="K301" cm="1">
        <f t="array" ref="K301">SUMPRODUCT((Final_Merged_Data!$B$2:$B$1000=$A301)*Final_Merged_Data!$K$2:$K$1000*Final_Merged_Data!$F$2:$F$1000)/F301</f>
        <v>101.9086951338524</v>
      </c>
      <c r="L301" cm="1">
        <f t="array" ref="L301">SUMPRODUCT((Final_Merged_Data!$B$2:$B$1000=$A301)*Final_Merged_Data!$L$2:$L$1000*Final_Merged_Data!$F$2:$F$1000)/F301</f>
        <v>15.175373179583827</v>
      </c>
      <c r="M301" t="str">
        <f>IF(COUNTIF(Master_Data!$C:$C,$A301)&gt;0,"Found","Missing")</f>
        <v>Found</v>
      </c>
      <c r="N301" t="str">
        <f>_xlfn.XLOOKUP($A301,Master_Data!$C:$C,Master_Data!$D:$D,"CHECK",0)</f>
        <v>Jahidur Rahman</v>
      </c>
      <c r="O301" t="str">
        <f>_xlfn.XLOOKUP($A301,Master_Data!$C:$C,Master_Data!$E:$E,"CHECK",0)</f>
        <v>BNP</v>
      </c>
      <c r="P301">
        <f>_xlfn.XLOOKUP($A301,Master_Data!$C:$C,Master_Data!$F:$F,"CHECK",0)</f>
        <v>1</v>
      </c>
      <c r="Q301">
        <f>_xlfn.XLOOKUP($A301,Master_Data!$C:$C,Master_Data!$G:$G,"CHECK",0)</f>
        <v>132797</v>
      </c>
      <c r="R301">
        <f>IFERROR(_xlfn.XLOOKUP($A301,Master_Data!$C:$C,Master_Data!$H:$H,"CHECK",0),"")</f>
        <v>59.091536103163335</v>
      </c>
      <c r="S301" t="str">
        <f>_xlfn.XLOOKUP($A301,Master_Data!$C:$C,Master_Data!$I:$I,"CHECK",0)</f>
        <v>Md. Mizanur Rahman</v>
      </c>
      <c r="T301">
        <f>_xlfn.XLOOKUP($A301,Master_Data!$C:$C,Master_Data!$K:$K,"CHECK",0)</f>
        <v>91934</v>
      </c>
      <c r="U301">
        <f>IFERROR(_xlfn.XLOOKUP($A301,Master_Data!$C:$C,Master_Data!$L:$L,"CHECK",0),"")</f>
        <v>40.908463896836658</v>
      </c>
      <c r="V301">
        <f>_xlfn.XLOOKUP($A301,Master_Data!$C:$C,Master_Data!$M:$M,"CHECK",0)</f>
        <v>40863</v>
      </c>
      <c r="W301">
        <f>IFERROR(_xlfn.XLOOKUP($A301,Master_Data!$C:$C,Master_Data!$N:$N,"CHECK",0),"")</f>
        <v>18.183072206326674</v>
      </c>
      <c r="X301" t="str">
        <f>IFERROR(_xlfn.XLOOKUP($A301,Master_Data!$C:$C,Master_Data!$O:$O,"CHECK",0),"No Result")</f>
        <v>Safe Seat</v>
      </c>
      <c r="Y301">
        <f>_xlfn.XLOOKUP($A301,Master_Data!$C:$C,Master_Data!$P:$P,"CHECK",0)</f>
        <v>0</v>
      </c>
      <c r="Z301">
        <f t="shared" si="9"/>
        <v>1</v>
      </c>
      <c r="AA301">
        <f>_xlfn.XLOOKUP(B301,Remittance_Data!A:A,Remittance_Data!B:B,"CHECK")</f>
        <v>4683</v>
      </c>
      <c r="AB301">
        <f>_xlfn.XLOOKUP(B301,Remittance_Data!A:A,Remittance_Data!C:C,"CHECK")</f>
        <v>3733</v>
      </c>
      <c r="AC301">
        <f>_xlfn.XLOOKUP(B301,Remittance_Data!A:A,Remittance_Data!D:D,"CHECK")</f>
        <v>950</v>
      </c>
    </row>
    <row r="302" spans="1:29">
      <c r="C302" t="str" cm="1">
        <f t="array" ref="C302">_xlfn.TEXTJOIN(", ",TRUE,_xlfn._xlws.FILTER(Final_Merged_Data!$C$2:$C$1000,Final_Merged_Data!$B$2:$B$1000=$A302))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2172-82E3-4605-865C-B4B78D9DA929}">
  <dimension ref="A1:E65"/>
  <sheetViews>
    <sheetView workbookViewId="0">
      <selection activeCell="A12" sqref="A12"/>
    </sheetView>
  </sheetViews>
  <sheetFormatPr defaultRowHeight="15"/>
  <cols>
    <col min="1" max="1" width="16.7109375" bestFit="1" customWidth="1"/>
    <col min="2" max="2" width="20.42578125" bestFit="1" customWidth="1"/>
    <col min="3" max="3" width="20.5703125" bestFit="1" customWidth="1"/>
    <col min="4" max="4" width="21.5703125" bestFit="1" customWidth="1"/>
  </cols>
  <sheetData>
    <row r="1" spans="1:5">
      <c r="A1" s="1" t="s">
        <v>914</v>
      </c>
      <c r="B1" s="1" t="s">
        <v>1619</v>
      </c>
      <c r="C1" s="1" t="s">
        <v>1620</v>
      </c>
      <c r="D1" s="1" t="s">
        <v>1621</v>
      </c>
      <c r="E1" s="1" t="s">
        <v>1622</v>
      </c>
    </row>
    <row r="2" spans="1:5">
      <c r="A2" t="s">
        <v>1131</v>
      </c>
      <c r="B2">
        <v>12017</v>
      </c>
      <c r="C2">
        <v>9197</v>
      </c>
      <c r="D2">
        <v>2820</v>
      </c>
      <c r="E2" t="str">
        <f>IF(ISNUMBER(MATCH(A2,Final_Merged_Data!B:B,0)),"OK","CHECK")</f>
        <v>CHECK</v>
      </c>
    </row>
    <row r="3" spans="1:5">
      <c r="A3" t="s">
        <v>334</v>
      </c>
      <c r="B3">
        <v>35831</v>
      </c>
      <c r="C3">
        <v>26117</v>
      </c>
      <c r="D3">
        <v>9714</v>
      </c>
      <c r="E3" t="str">
        <f>IF(ISNUMBER(MATCH(A3,Final_Merged_Data!B:B,0)),"OK","CHECK")</f>
        <v>CHECK</v>
      </c>
    </row>
    <row r="4" spans="1:5">
      <c r="A4" t="s">
        <v>1145</v>
      </c>
      <c r="B4">
        <v>24978</v>
      </c>
      <c r="C4">
        <v>16999</v>
      </c>
      <c r="D4">
        <v>7979</v>
      </c>
      <c r="E4" t="str">
        <f>IF(ISNUMBER(MATCH(A4,Final_Merged_Data!B:B,0)),"OK","CHECK")</f>
        <v>CHECK</v>
      </c>
    </row>
    <row r="5" spans="1:5">
      <c r="A5" t="s">
        <v>1167</v>
      </c>
      <c r="B5">
        <v>11423</v>
      </c>
      <c r="C5">
        <v>7841</v>
      </c>
      <c r="D5">
        <v>3582</v>
      </c>
      <c r="E5" t="str">
        <f>IF(ISNUMBER(MATCH(A5,Final_Merged_Data!B:B,0)),"OK","CHECK")</f>
        <v>CHECK</v>
      </c>
    </row>
    <row r="6" spans="1:5">
      <c r="A6" t="s">
        <v>1137</v>
      </c>
      <c r="B6">
        <v>9027</v>
      </c>
      <c r="C6">
        <v>7139</v>
      </c>
      <c r="D6">
        <v>1888</v>
      </c>
      <c r="E6" t="str">
        <f>IF(ISNUMBER(MATCH(A6,Final_Merged_Data!B:B,0)),"OK","CHECK")</f>
        <v>CHECK</v>
      </c>
    </row>
    <row r="7" spans="1:5">
      <c r="A7" t="s">
        <v>1172</v>
      </c>
      <c r="B7">
        <v>20674</v>
      </c>
      <c r="C7">
        <v>16336</v>
      </c>
      <c r="D7">
        <v>4338</v>
      </c>
      <c r="E7" t="str">
        <f>IF(ISNUMBER(MATCH(A7,Final_Merged_Data!B:B,0)),"OK","CHECK")</f>
        <v>CHECK</v>
      </c>
    </row>
    <row r="8" spans="1:5">
      <c r="A8" t="s">
        <v>909</v>
      </c>
      <c r="B8">
        <v>4106</v>
      </c>
      <c r="C8">
        <v>2100</v>
      </c>
      <c r="D8">
        <v>2006</v>
      </c>
      <c r="E8" t="str">
        <f>IF(ISNUMBER(MATCH(A8,Final_Merged_Data!B:B,0)),"OK","CHECK")</f>
        <v>CHECK</v>
      </c>
    </row>
    <row r="9" spans="1:5">
      <c r="A9" t="s">
        <v>1356</v>
      </c>
      <c r="B9">
        <v>236366</v>
      </c>
      <c r="C9">
        <v>192635</v>
      </c>
      <c r="D9">
        <v>43731</v>
      </c>
      <c r="E9" t="str">
        <f>IF(ISNUMBER(MATCH(A9,Final_Merged_Data!B:B,0)),"OK","CHECK")</f>
        <v>CHECK</v>
      </c>
    </row>
    <row r="10" spans="1:5">
      <c r="A10" t="s">
        <v>1378</v>
      </c>
      <c r="B10">
        <v>153319</v>
      </c>
      <c r="C10">
        <v>122150</v>
      </c>
      <c r="D10">
        <v>31169</v>
      </c>
      <c r="E10" t="str">
        <f>IF(ISNUMBER(MATCH(A10,Final_Merged_Data!B:B,0)),"OK","CHECK")</f>
        <v>CHECK</v>
      </c>
    </row>
    <row r="11" spans="1:5">
      <c r="A11" t="s">
        <v>742</v>
      </c>
      <c r="B11">
        <v>354531</v>
      </c>
      <c r="C11">
        <v>215856</v>
      </c>
      <c r="D11">
        <v>138675</v>
      </c>
      <c r="E11" t="str">
        <f>IF(ISNUMBER(MATCH(A11,Final_Merged_Data!B:B,0)),"OK","CHECK")</f>
        <v>CHECK</v>
      </c>
    </row>
    <row r="12" spans="1:5">
      <c r="A12" t="s">
        <v>1391</v>
      </c>
      <c r="B12">
        <v>441125</v>
      </c>
      <c r="C12">
        <v>375176</v>
      </c>
      <c r="D12">
        <v>65949</v>
      </c>
      <c r="E12" t="str">
        <f>IF(ISNUMBER(MATCH(A12,Final_Merged_Data!B:B,0)),"OK","CHECK")</f>
        <v>CHECK</v>
      </c>
    </row>
    <row r="13" spans="1:5">
      <c r="A13" t="s">
        <v>1425</v>
      </c>
      <c r="B13">
        <v>63899</v>
      </c>
      <c r="C13">
        <v>37277</v>
      </c>
      <c r="D13">
        <v>26622</v>
      </c>
      <c r="E13" t="str">
        <f>IF(ISNUMBER(MATCH(A13,Final_Merged_Data!B:B,0)),"OK","CHECK")</f>
        <v>CHECK</v>
      </c>
    </row>
    <row r="14" spans="1:5">
      <c r="A14" t="s">
        <v>1386</v>
      </c>
      <c r="B14">
        <v>125270</v>
      </c>
      <c r="C14">
        <v>96221</v>
      </c>
      <c r="D14">
        <v>29049</v>
      </c>
      <c r="E14" t="str">
        <f>IF(ISNUMBER(MATCH(A14,Final_Merged_Data!B:B,0)),"OK","CHECK")</f>
        <v>CHECK</v>
      </c>
    </row>
    <row r="15" spans="1:5">
      <c r="A15" t="s">
        <v>903</v>
      </c>
      <c r="B15">
        <v>5192</v>
      </c>
      <c r="C15">
        <v>2269</v>
      </c>
      <c r="D15">
        <v>2923</v>
      </c>
      <c r="E15" t="str">
        <f>IF(ISNUMBER(MATCH(A15,Final_Merged_Data!B:B,0)),"OK","CHECK")</f>
        <v>CHECK</v>
      </c>
    </row>
    <row r="16" spans="1:5">
      <c r="A16" t="s">
        <v>1403</v>
      </c>
      <c r="B16">
        <v>108389</v>
      </c>
      <c r="C16">
        <v>84404</v>
      </c>
      <c r="D16">
        <v>23985</v>
      </c>
      <c r="E16" t="str">
        <f>IF(ISNUMBER(MATCH(A16,Final_Merged_Data!B:B,0)),"OK","CHECK")</f>
        <v>CHECK</v>
      </c>
    </row>
    <row r="17" spans="1:5">
      <c r="A17" t="s">
        <v>1394</v>
      </c>
      <c r="B17">
        <v>179444</v>
      </c>
      <c r="C17">
        <v>150175</v>
      </c>
      <c r="D17">
        <v>29269</v>
      </c>
      <c r="E17" t="str">
        <f>IF(ISNUMBER(MATCH(A17,Final_Merged_Data!B:B,0)),"OK","CHECK")</f>
        <v>CHECK</v>
      </c>
    </row>
    <row r="18" spans="1:5">
      <c r="A18" t="s">
        <v>906</v>
      </c>
      <c r="B18">
        <v>4548</v>
      </c>
      <c r="C18">
        <v>2082</v>
      </c>
      <c r="D18">
        <v>2466</v>
      </c>
      <c r="E18" t="str">
        <f>IF(ISNUMBER(MATCH(A18,Final_Merged_Data!B:B,0)),"OK","CHECK")</f>
        <v>CHECK</v>
      </c>
    </row>
    <row r="19" spans="1:5">
      <c r="A19" t="s">
        <v>476</v>
      </c>
      <c r="B19">
        <v>224944</v>
      </c>
      <c r="C19">
        <v>83586</v>
      </c>
      <c r="D19">
        <v>141358</v>
      </c>
      <c r="E19" t="str">
        <f>IF(ISNUMBER(MATCH(A19,Final_Merged_Data!B:B,0)),"OK","CHECK")</f>
        <v>CHECK</v>
      </c>
    </row>
    <row r="20" spans="1:5">
      <c r="A20" t="s">
        <v>1058</v>
      </c>
      <c r="B20">
        <v>72310</v>
      </c>
      <c r="C20">
        <v>58209</v>
      </c>
      <c r="D20">
        <v>14101</v>
      </c>
      <c r="E20" t="str">
        <f>IF(ISNUMBER(MATCH(A20,Final_Merged_Data!B:B,0)),"OK","CHECK")</f>
        <v>CHECK</v>
      </c>
    </row>
    <row r="21" spans="1:5">
      <c r="A21" t="s">
        <v>1262</v>
      </c>
      <c r="B21">
        <v>70579</v>
      </c>
      <c r="C21">
        <v>48331</v>
      </c>
      <c r="D21">
        <v>22248</v>
      </c>
      <c r="E21" t="str">
        <f>IF(ISNUMBER(MATCH(A21,Final_Merged_Data!B:B,0)),"OK","CHECK")</f>
        <v>CHECK</v>
      </c>
    </row>
    <row r="22" spans="1:5">
      <c r="A22" t="s">
        <v>1295</v>
      </c>
      <c r="B22">
        <v>20294</v>
      </c>
      <c r="C22">
        <v>16827</v>
      </c>
      <c r="D22">
        <v>3467</v>
      </c>
      <c r="E22" t="str">
        <f>IF(ISNUMBER(MATCH(A22,Final_Merged_Data!B:B,0)),"OK","CHECK")</f>
        <v>CHECK</v>
      </c>
    </row>
    <row r="23" spans="1:5">
      <c r="A23" t="s">
        <v>945</v>
      </c>
      <c r="B23">
        <v>93532</v>
      </c>
      <c r="C23">
        <v>70016</v>
      </c>
      <c r="D23">
        <v>23516</v>
      </c>
      <c r="E23" t="str">
        <f>IF(ISNUMBER(MATCH(A23,Final_Merged_Data!B:B,0)),"OK","CHECK")</f>
        <v>CHECK</v>
      </c>
    </row>
    <row r="24" spans="1:5">
      <c r="A24" t="s">
        <v>1301</v>
      </c>
      <c r="B24">
        <v>66343</v>
      </c>
      <c r="C24">
        <v>49707</v>
      </c>
      <c r="D24">
        <v>16636</v>
      </c>
      <c r="E24" t="str">
        <f>IF(ISNUMBER(MATCH(A24,Final_Merged_Data!B:B,0)),"OK","CHECK")</f>
        <v>CHECK</v>
      </c>
    </row>
    <row r="25" spans="1:5">
      <c r="A25" t="s">
        <v>1231</v>
      </c>
      <c r="B25">
        <v>63218</v>
      </c>
      <c r="C25">
        <v>55717</v>
      </c>
      <c r="D25">
        <v>7501</v>
      </c>
      <c r="E25" t="str">
        <f>IF(ISNUMBER(MATCH(A25,Final_Merged_Data!B:B,0)),"OK","CHECK")</f>
        <v>CHECK</v>
      </c>
    </row>
    <row r="26" spans="1:5">
      <c r="A26" t="s">
        <v>1238</v>
      </c>
      <c r="B26">
        <v>108962</v>
      </c>
      <c r="C26">
        <v>93461</v>
      </c>
      <c r="D26">
        <v>15501</v>
      </c>
      <c r="E26" t="str">
        <f>IF(ISNUMBER(MATCH(A26,Final_Merged_Data!B:B,0)),"OK","CHECK")</f>
        <v>CHECK</v>
      </c>
    </row>
    <row r="27" spans="1:5">
      <c r="A27" t="s">
        <v>1274</v>
      </c>
      <c r="B27">
        <v>72484</v>
      </c>
      <c r="C27">
        <v>48581</v>
      </c>
      <c r="D27">
        <v>23903</v>
      </c>
      <c r="E27" t="str">
        <f>IF(ISNUMBER(MATCH(A27,Final_Merged_Data!B:B,0)),"OK","CHECK")</f>
        <v>CHECK</v>
      </c>
    </row>
    <row r="28" spans="1:5">
      <c r="A28" t="s">
        <v>1267</v>
      </c>
      <c r="B28">
        <v>117936</v>
      </c>
      <c r="C28">
        <v>94403</v>
      </c>
      <c r="D28">
        <v>23533</v>
      </c>
      <c r="E28" t="str">
        <f>IF(ISNUMBER(MATCH(A28,Final_Merged_Data!B:B,0)),"OK","CHECK")</f>
        <v>CHECK</v>
      </c>
    </row>
    <row r="29" spans="1:5">
      <c r="A29" t="s">
        <v>1280</v>
      </c>
      <c r="B29">
        <v>23972</v>
      </c>
      <c r="C29">
        <v>20840</v>
      </c>
      <c r="D29">
        <v>3132</v>
      </c>
      <c r="E29" t="str">
        <f>IF(ISNUMBER(MATCH(A29,Final_Merged_Data!B:B,0)),"OK","CHECK")</f>
        <v>CHECK</v>
      </c>
    </row>
    <row r="30" spans="1:5">
      <c r="A30" t="s">
        <v>1307</v>
      </c>
      <c r="B30">
        <v>60712</v>
      </c>
      <c r="C30">
        <v>47735</v>
      </c>
      <c r="D30">
        <v>12977</v>
      </c>
      <c r="E30" t="str">
        <f>IF(ISNUMBER(MATCH(A30,Final_Merged_Data!B:B,0)),"OK","CHECK")</f>
        <v>CHECK</v>
      </c>
    </row>
    <row r="31" spans="1:5">
      <c r="A31" t="s">
        <v>1208</v>
      </c>
      <c r="B31">
        <v>158130</v>
      </c>
      <c r="C31">
        <v>131034</v>
      </c>
      <c r="D31">
        <v>27096</v>
      </c>
      <c r="E31" t="str">
        <f>IF(ISNUMBER(MATCH(A31,Final_Merged_Data!B:B,0)),"OK","CHECK")</f>
        <v>CHECK</v>
      </c>
    </row>
    <row r="32" spans="1:5">
      <c r="A32" t="s">
        <v>1103</v>
      </c>
      <c r="B32">
        <v>13393</v>
      </c>
      <c r="C32">
        <v>9102</v>
      </c>
      <c r="D32">
        <v>4291</v>
      </c>
      <c r="E32" t="str">
        <f>IF(ISNUMBER(MATCH(A32,Final_Merged_Data!B:B,0)),"OK","CHECK")</f>
        <v>CHECK</v>
      </c>
    </row>
    <row r="33" spans="1:5">
      <c r="A33" t="s">
        <v>1074</v>
      </c>
      <c r="B33">
        <v>21607</v>
      </c>
      <c r="C33">
        <v>17420</v>
      </c>
      <c r="D33">
        <v>4187</v>
      </c>
      <c r="E33" t="str">
        <f>IF(ISNUMBER(MATCH(A33,Final_Merged_Data!B:B,0)),"OK","CHECK")</f>
        <v>CHECK</v>
      </c>
    </row>
    <row r="34" spans="1:5">
      <c r="A34" t="s">
        <v>1572</v>
      </c>
      <c r="B34">
        <v>57950</v>
      </c>
      <c r="C34">
        <v>49623</v>
      </c>
      <c r="D34">
        <v>8327</v>
      </c>
      <c r="E34" t="str">
        <f>IF(ISNUMBER(MATCH(A34,Final_Merged_Data!B:B,0)),"OK","CHECK")</f>
        <v>CHECK</v>
      </c>
    </row>
    <row r="35" spans="1:5">
      <c r="A35" t="s">
        <v>1079</v>
      </c>
      <c r="B35">
        <v>35955</v>
      </c>
      <c r="C35">
        <v>30344</v>
      </c>
      <c r="D35">
        <v>5611</v>
      </c>
      <c r="E35" t="str">
        <f>IF(ISNUMBER(MATCH(A35,Final_Merged_Data!B:B,0)),"OK","CHECK")</f>
        <v>CHECK</v>
      </c>
    </row>
    <row r="36" spans="1:5">
      <c r="A36" t="s">
        <v>224</v>
      </c>
      <c r="B36">
        <v>17169</v>
      </c>
      <c r="C36">
        <v>8309</v>
      </c>
      <c r="D36">
        <v>8860</v>
      </c>
      <c r="E36" t="str">
        <f>IF(ISNUMBER(MATCH(A36,Final_Merged_Data!B:B,0)),"OK","CHECK")</f>
        <v>CHECK</v>
      </c>
    </row>
    <row r="37" spans="1:5">
      <c r="A37" t="s">
        <v>1067</v>
      </c>
      <c r="B37">
        <v>34944</v>
      </c>
      <c r="C37">
        <v>29456</v>
      </c>
      <c r="D37">
        <v>5488</v>
      </c>
      <c r="E37" t="str">
        <f>IF(ISNUMBER(MATCH(A37,Final_Merged_Data!B:B,0)),"OK","CHECK")</f>
        <v>CHECK</v>
      </c>
    </row>
    <row r="38" spans="1:5">
      <c r="A38" t="s">
        <v>1094</v>
      </c>
      <c r="B38">
        <v>17913</v>
      </c>
      <c r="C38">
        <v>15506</v>
      </c>
      <c r="D38">
        <v>2407</v>
      </c>
      <c r="E38" t="str">
        <f>IF(ISNUMBER(MATCH(A38,Final_Merged_Data!B:B,0)),"OK","CHECK")</f>
        <v>CHECK</v>
      </c>
    </row>
    <row r="39" spans="1:5">
      <c r="A39" t="s">
        <v>1063</v>
      </c>
      <c r="B39">
        <v>25380</v>
      </c>
      <c r="C39">
        <v>21008</v>
      </c>
      <c r="D39">
        <v>4372</v>
      </c>
      <c r="E39" t="str">
        <f>IF(ISNUMBER(MATCH(A39,Final_Merged_Data!B:B,0)),"OK","CHECK")</f>
        <v>CHECK</v>
      </c>
    </row>
    <row r="40" spans="1:5">
      <c r="A40" t="s">
        <v>1099</v>
      </c>
      <c r="B40">
        <v>14435</v>
      </c>
      <c r="C40">
        <v>11105</v>
      </c>
      <c r="D40">
        <v>3330</v>
      </c>
      <c r="E40" t="str">
        <f>IF(ISNUMBER(MATCH(A40,Final_Merged_Data!B:B,0)),"OK","CHECK")</f>
        <v>CHECK</v>
      </c>
    </row>
    <row r="41" spans="1:5">
      <c r="A41" t="s">
        <v>1124</v>
      </c>
      <c r="B41">
        <v>20170</v>
      </c>
      <c r="C41">
        <v>16852</v>
      </c>
      <c r="D41">
        <v>3318</v>
      </c>
      <c r="E41" t="str">
        <f>IF(ISNUMBER(MATCH(A41,Final_Merged_Data!B:B,0)),"OK","CHECK")</f>
        <v>CHECK</v>
      </c>
    </row>
    <row r="42" spans="1:5">
      <c r="A42" t="s">
        <v>1179</v>
      </c>
      <c r="B42">
        <v>23323</v>
      </c>
      <c r="C42">
        <v>18815</v>
      </c>
      <c r="D42">
        <v>4508</v>
      </c>
      <c r="E42" t="str">
        <f>IF(ISNUMBER(MATCH(A42,Final_Merged_Data!B:B,0)),"OK","CHECK")</f>
        <v>CHECK</v>
      </c>
    </row>
    <row r="43" spans="1:5">
      <c r="A43" t="s">
        <v>403</v>
      </c>
      <c r="B43">
        <v>59469</v>
      </c>
      <c r="C43">
        <v>49659</v>
      </c>
      <c r="D43">
        <v>9810</v>
      </c>
      <c r="E43" t="str">
        <f>IF(ISNUMBER(MATCH(A43,Final_Merged_Data!B:B,0)),"OK","CHECK")</f>
        <v>CHECK</v>
      </c>
    </row>
    <row r="44" spans="1:5">
      <c r="A44" t="s">
        <v>1198</v>
      </c>
      <c r="B44">
        <v>12694</v>
      </c>
      <c r="C44">
        <v>10854</v>
      </c>
      <c r="D44">
        <v>1840</v>
      </c>
      <c r="E44" t="str">
        <f>IF(ISNUMBER(MATCH(A44,Final_Merged_Data!B:B,0)),"OK","CHECK")</f>
        <v>CHECK</v>
      </c>
    </row>
    <row r="45" spans="1:5">
      <c r="A45" t="s">
        <v>999</v>
      </c>
      <c r="B45">
        <v>5294</v>
      </c>
      <c r="C45">
        <v>3909</v>
      </c>
      <c r="D45">
        <v>1385</v>
      </c>
      <c r="E45" t="str">
        <f>IF(ISNUMBER(MATCH(A45,Final_Merged_Data!B:B,0)),"OK","CHECK")</f>
        <v>CHECK</v>
      </c>
    </row>
    <row r="46" spans="1:5">
      <c r="A46" t="s">
        <v>988</v>
      </c>
      <c r="B46">
        <v>55243</v>
      </c>
      <c r="C46">
        <v>45976</v>
      </c>
      <c r="D46">
        <v>9267</v>
      </c>
      <c r="E46" t="str">
        <f>IF(ISNUMBER(MATCH(A46,Final_Merged_Data!B:B,0)),"OK","CHECK")</f>
        <v>CHECK</v>
      </c>
    </row>
    <row r="47" spans="1:5">
      <c r="A47" t="s">
        <v>981</v>
      </c>
      <c r="B47">
        <v>9894</v>
      </c>
      <c r="C47">
        <v>8115</v>
      </c>
      <c r="D47">
        <v>1779</v>
      </c>
      <c r="E47" t="str">
        <f>IF(ISNUMBER(MATCH(A47,Final_Merged_Data!B:B,0)),"OK","CHECK")</f>
        <v>CHECK</v>
      </c>
    </row>
    <row r="48" spans="1:5">
      <c r="A48" t="s">
        <v>1013</v>
      </c>
      <c r="B48">
        <v>28428</v>
      </c>
      <c r="C48">
        <v>24822</v>
      </c>
      <c r="D48">
        <v>3606</v>
      </c>
      <c r="E48" t="str">
        <f>IF(ISNUMBER(MATCH(A48,Final_Merged_Data!B:B,0)),"OK","CHECK")</f>
        <v>CHECK</v>
      </c>
    </row>
    <row r="49" spans="1:5">
      <c r="A49" t="s">
        <v>1035</v>
      </c>
      <c r="B49">
        <v>15186</v>
      </c>
      <c r="C49">
        <v>12576</v>
      </c>
      <c r="D49">
        <v>2610</v>
      </c>
      <c r="E49" t="str">
        <f>IF(ISNUMBER(MATCH(A49,Final_Merged_Data!B:B,0)),"OK","CHECK")</f>
        <v>CHECK</v>
      </c>
    </row>
    <row r="50" spans="1:5">
      <c r="A50" t="s">
        <v>1005</v>
      </c>
      <c r="B50">
        <v>28493</v>
      </c>
      <c r="C50">
        <v>16072</v>
      </c>
      <c r="D50">
        <v>12421</v>
      </c>
      <c r="E50" t="str">
        <f>IF(ISNUMBER(MATCH(A50,Final_Merged_Data!B:B,0)),"OK","CHECK")</f>
        <v>CHECK</v>
      </c>
    </row>
    <row r="51" spans="1:5">
      <c r="A51" t="s">
        <v>1053</v>
      </c>
      <c r="B51">
        <v>36218</v>
      </c>
      <c r="C51">
        <v>29860</v>
      </c>
      <c r="D51">
        <v>6358</v>
      </c>
      <c r="E51" t="str">
        <f>IF(ISNUMBER(MATCH(A51,Final_Merged_Data!B:B,0)),"OK","CHECK")</f>
        <v>CHECK</v>
      </c>
    </row>
    <row r="52" spans="1:5">
      <c r="A52" t="s">
        <v>113</v>
      </c>
      <c r="B52">
        <v>17411</v>
      </c>
      <c r="C52">
        <v>12083</v>
      </c>
      <c r="D52">
        <v>5328</v>
      </c>
      <c r="E52" t="str">
        <f>IF(ISNUMBER(MATCH(A52,Final_Merged_Data!B:B,0)),"OK","CHECK")</f>
        <v>CHECK</v>
      </c>
    </row>
    <row r="53" spans="1:5">
      <c r="A53" t="s">
        <v>1042</v>
      </c>
      <c r="B53">
        <v>30007</v>
      </c>
      <c r="C53">
        <v>24382</v>
      </c>
      <c r="D53">
        <v>5625</v>
      </c>
      <c r="E53" t="str">
        <f>IF(ISNUMBER(MATCH(A53,Final_Merged_Data!B:B,0)),"OK","CHECK")</f>
        <v>CHECK</v>
      </c>
    </row>
    <row r="54" spans="1:5">
      <c r="A54" t="s">
        <v>929</v>
      </c>
      <c r="B54">
        <v>7999</v>
      </c>
      <c r="C54">
        <v>5848</v>
      </c>
      <c r="D54">
        <v>2151</v>
      </c>
      <c r="E54" t="str">
        <f>IF(ISNUMBER(MATCH(A54,Final_Merged_Data!B:B,0)),"OK","CHECK")</f>
        <v>CHECK</v>
      </c>
    </row>
    <row r="55" spans="1:5">
      <c r="A55" t="s">
        <v>973</v>
      </c>
      <c r="B55">
        <v>13007</v>
      </c>
      <c r="C55">
        <v>11426</v>
      </c>
      <c r="D55">
        <v>1581</v>
      </c>
      <c r="E55" t="str">
        <f>IF(ISNUMBER(MATCH(A55,Final_Merged_Data!B:B,0)),"OK","CHECK")</f>
        <v>CHECK</v>
      </c>
    </row>
    <row r="56" spans="1:5">
      <c r="A56" t="s">
        <v>963</v>
      </c>
      <c r="B56">
        <v>7399</v>
      </c>
      <c r="C56">
        <v>5958</v>
      </c>
      <c r="D56">
        <v>1441</v>
      </c>
      <c r="E56" t="str">
        <f>IF(ISNUMBER(MATCH(A56,Final_Merged_Data!B:B,0)),"OK","CHECK")</f>
        <v>CHECK</v>
      </c>
    </row>
    <row r="57" spans="1:5">
      <c r="A57" t="s">
        <v>949</v>
      </c>
      <c r="B57">
        <v>2418</v>
      </c>
      <c r="C57">
        <v>1846</v>
      </c>
      <c r="D57">
        <v>572</v>
      </c>
      <c r="E57" t="str">
        <f>IF(ISNUMBER(MATCH(A57,Final_Merged_Data!B:B,0)),"OK","CHECK")</f>
        <v>CHECK</v>
      </c>
    </row>
    <row r="58" spans="1:5">
      <c r="A58" t="s">
        <v>942</v>
      </c>
      <c r="B58">
        <v>4885</v>
      </c>
      <c r="C58">
        <v>3352</v>
      </c>
      <c r="D58">
        <v>1533</v>
      </c>
      <c r="E58" t="str">
        <f>IF(ISNUMBER(MATCH(A58,Final_Merged_Data!B:B,0)),"OK","CHECK")</f>
        <v>CHECK</v>
      </c>
    </row>
    <row r="59" spans="1:5">
      <c r="A59" t="s">
        <v>916</v>
      </c>
      <c r="B59">
        <v>2017</v>
      </c>
      <c r="C59">
        <v>1543</v>
      </c>
      <c r="D59">
        <v>474</v>
      </c>
      <c r="E59" t="str">
        <f>IF(ISNUMBER(MATCH(A59,Final_Merged_Data!B:B,0)),"OK","CHECK")</f>
        <v>CHECK</v>
      </c>
    </row>
    <row r="60" spans="1:5">
      <c r="A60" t="s">
        <v>11</v>
      </c>
      <c r="B60">
        <v>8897</v>
      </c>
      <c r="C60">
        <v>6286</v>
      </c>
      <c r="D60">
        <v>2611</v>
      </c>
      <c r="E60" t="str">
        <f>IF(ISNUMBER(MATCH(A60,Final_Merged_Data!B:B,0)),"OK","CHECK")</f>
        <v>CHECK</v>
      </c>
    </row>
    <row r="61" spans="1:5">
      <c r="A61" t="s">
        <v>922</v>
      </c>
      <c r="B61">
        <v>4683</v>
      </c>
      <c r="C61">
        <v>3733</v>
      </c>
      <c r="D61">
        <v>950</v>
      </c>
      <c r="E61" t="str">
        <f>IF(ISNUMBER(MATCH(A61,Final_Merged_Data!B:B,0)),"OK","CHECK")</f>
        <v>CHECK</v>
      </c>
    </row>
    <row r="62" spans="1:5">
      <c r="A62" t="s">
        <v>1344</v>
      </c>
      <c r="B62">
        <v>63766</v>
      </c>
      <c r="C62">
        <v>54519</v>
      </c>
      <c r="D62">
        <v>9247</v>
      </c>
      <c r="E62" t="str">
        <f>IF(ISNUMBER(MATCH(A62,Final_Merged_Data!B:B,0)),"OK","CHECK")</f>
        <v>CHECK</v>
      </c>
    </row>
    <row r="63" spans="1:5">
      <c r="A63" t="s">
        <v>1336</v>
      </c>
      <c r="B63">
        <v>98592</v>
      </c>
      <c r="C63">
        <v>85237</v>
      </c>
      <c r="D63">
        <v>13355</v>
      </c>
      <c r="E63" t="str">
        <f>IF(ISNUMBER(MATCH(A63,Final_Merged_Data!B:B,0)),"OK","CHECK")</f>
        <v>CHECK</v>
      </c>
    </row>
    <row r="64" spans="1:5">
      <c r="A64" t="s">
        <v>1313</v>
      </c>
      <c r="B64">
        <v>63212</v>
      </c>
      <c r="C64">
        <v>54941</v>
      </c>
      <c r="D64">
        <v>8271</v>
      </c>
      <c r="E64" t="str">
        <f>IF(ISNUMBER(MATCH(A64,Final_Merged_Data!B:B,0)),"OK","CHECK")</f>
        <v>CHECK</v>
      </c>
    </row>
    <row r="65" spans="1:5">
      <c r="A65" t="s">
        <v>684</v>
      </c>
      <c r="B65">
        <v>149149</v>
      </c>
      <c r="C65">
        <v>116642</v>
      </c>
      <c r="D65">
        <v>32507</v>
      </c>
      <c r="E65" t="str">
        <f>IF(ISNUMBER(MATCH(A65,Final_Merged_Data!B:B,0)),"OK","CHECK")</f>
        <v>CHECK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221B-2415-46AF-AC1A-2EA07AA151E6}">
  <dimension ref="A1:G10"/>
  <sheetViews>
    <sheetView workbookViewId="0">
      <selection activeCell="G15" sqref="G15"/>
    </sheetView>
  </sheetViews>
  <sheetFormatPr defaultRowHeight="15"/>
  <cols>
    <col min="1" max="1" width="23.28515625" bestFit="1" customWidth="1"/>
    <col min="2" max="2" width="19.42578125" bestFit="1" customWidth="1"/>
    <col min="3" max="5" width="15.7109375" bestFit="1" customWidth="1"/>
    <col min="6" max="6" width="16.7109375" bestFit="1" customWidth="1"/>
    <col min="7" max="7" width="18.140625" bestFit="1" customWidth="1"/>
  </cols>
  <sheetData>
    <row r="1" spans="1:7">
      <c r="A1" s="6"/>
      <c r="B1" s="6" t="s">
        <v>1606</v>
      </c>
      <c r="C1" s="6" t="s">
        <v>1601</v>
      </c>
      <c r="D1" s="6" t="s">
        <v>1602</v>
      </c>
      <c r="E1" s="6" t="s">
        <v>1603</v>
      </c>
      <c r="F1" s="6" t="s">
        <v>1604</v>
      </c>
      <c r="G1" s="6" t="s">
        <v>1605</v>
      </c>
    </row>
    <row r="2" spans="1:7">
      <c r="A2" s="6" t="s">
        <v>1464</v>
      </c>
      <c r="B2" s="7" cm="1">
        <f t="array" ref="B2">_xlfn.LET(_xlpm.headers,Analysis_Data!$A$1:$Z$1,_xlpm.data,Analysis_Data!$A$2:$Z$301,_xlpm.x,_xlfn._xlws.FILTER(INDEX(_xlpm.data,,MATCH($A2,_xlpm.headers,0)),INDEX(_xlpm.data,,MATCH("Use_For_Analysis",_xlpm.headers,0))=1),COUNT(_xlpm.x))</f>
        <v>297</v>
      </c>
      <c r="C2" s="7" cm="1">
        <f t="array" ref="C2">_xlfn.LET(_xlpm.headers,Analysis_Data!$A$1:$Z$1,_xlpm.data,Analysis_Data!$A$2:$Z$301,_xlpm.x,_xlfn._xlws.FILTER(INDEX(_xlpm.data,,MATCH($A2,_xlpm.headers,0)),INDEX(_xlpm.data,,MATCH("Use_For_Analysis",_xlpm.headers,0))=1),AVERAGE(_xlpm.x))</f>
        <v>521795.93939393939</v>
      </c>
      <c r="D2" s="7" cm="1">
        <f t="array" ref="D2">_xlfn.LET(_xlpm.headers,Analysis_Data!$A$1:$Z$1,_xlpm.data,Analysis_Data!$A$2:$Z$301,_xlpm.x,_xlfn._xlws.FILTER(INDEX(_xlpm.data,,MATCH($A2,_xlpm.headers,0)),INDEX(_xlpm.data,,MATCH("Use_For_Analysis",_xlpm.headers,0))=1),MEDIAN(_xlpm.x))</f>
        <v>517117</v>
      </c>
      <c r="E2" s="7" cm="1">
        <f t="array" ref="E2">_xlfn.LET(_xlpm.headers,Analysis_Data!$A$1:$Z$1,_xlpm.data,Analysis_Data!$A$2:$Z$301,_xlpm.x,_xlfn._xlws.FILTER(INDEX(_xlpm.data,,MATCH($A2,_xlpm.headers,0)),INDEX(_xlpm.data,,MATCH("Use_For_Analysis",_xlpm.headers,0))=1),MIN(_xlpm.x))</f>
        <v>105746</v>
      </c>
      <c r="F2" s="7" cm="1">
        <f t="array" ref="F2">_xlfn.LET(_xlpm.headers,Analysis_Data!$A$1:$Z$1,_xlpm.data,Analysis_Data!$A$2:$Z$301,_xlpm.x,_xlfn._xlws.FILTER(INDEX(_xlpm.data,,MATCH($A2,_xlpm.headers,0)),INDEX(_xlpm.data,,MATCH("Use_For_Analysis",_xlpm.headers,0))=1),MAX(_xlpm.x))</f>
        <v>2311612</v>
      </c>
      <c r="G2" s="7" cm="1">
        <f t="array" ref="G2">_xlfn.LET(_xlpm.headers,Analysis_Data!$A$1:$Z$1,_xlpm.data,Analysis_Data!$A$2:$Z$301,_xlpm.x,_xlfn._xlws.FILTER(INDEX(_xlpm.data,,MATCH($A2,_xlpm.headers,0)),INDEX(_xlpm.data,,MATCH("Use_For_Analysis",_xlpm.headers,0))=1),_xlfn.STDEV.S(_xlpm.x))</f>
        <v>203543.90205803222</v>
      </c>
    </row>
    <row r="3" spans="1:7">
      <c r="A3" s="6" t="s">
        <v>1569</v>
      </c>
      <c r="B3" s="7" cm="1">
        <f t="array" ref="B3">_xlfn.LET(_xlpm.headers,Analysis_Data!$A$1:$Z$1,_xlpm.data,Analysis_Data!$A$2:$Z$301,_xlpm.x,_xlfn._xlws.FILTER(INDEX(_xlpm.data,,MATCH($A3,_xlpm.headers,0)),INDEX(_xlpm.data,,MATCH("Use_For_Analysis",_xlpm.headers,0))=1),COUNT(_xlpm.x))</f>
        <v>297</v>
      </c>
      <c r="C3" s="7" cm="1">
        <f t="array" ref="C3">_xlfn.LET(_xlpm.headers,Analysis_Data!$A$1:$Z$1,_xlpm.data,Analysis_Data!$A$2:$Z$301,_xlpm.x,_xlfn._xlws.FILTER(INDEX(_xlpm.data,,MATCH($A3,_xlpm.headers,0)),INDEX(_xlpm.data,,MATCH("Use_For_Analysis",_xlpm.headers,0))=1),AVERAGE(_xlpm.x))</f>
        <v>3200.9383874263381</v>
      </c>
      <c r="D3" s="7" cm="1">
        <f t="array" ref="D3">_xlfn.LET(_xlpm.headers,Analysis_Data!$A$1:$Z$1,_xlpm.data,Analysis_Data!$A$2:$Z$301,_xlpm.x,_xlfn._xlws.FILTER(INDEX(_xlpm.data,,MATCH($A3,_xlpm.headers,0)),INDEX(_xlpm.data,,MATCH("Use_For_Analysis",_xlpm.headers,0))=1),MEDIAN(_xlpm.x))</f>
        <v>1118.3479448935443</v>
      </c>
      <c r="E3" s="7" cm="1">
        <f t="array" ref="E3">_xlfn.LET(_xlpm.headers,Analysis_Data!$A$1:$Z$1,_xlpm.data,Analysis_Data!$A$2:$Z$301,_xlpm.x,_xlfn._xlws.FILTER(INDEX(_xlpm.data,,MATCH($A3,_xlpm.headers,0)),INDEX(_xlpm.data,,MATCH("Use_For_Analysis",_xlpm.headers,0))=1),MIN(_xlpm.x))</f>
        <v>111.76694707545484</v>
      </c>
      <c r="F3" s="7" cm="1">
        <f t="array" ref="F3">_xlfn.LET(_xlpm.headers,Analysis_Data!$A$1:$Z$1,_xlpm.data,Analysis_Data!$A$2:$Z$301,_xlpm.x,_xlfn._xlws.FILTER(INDEX(_xlpm.data,,MATCH($A3,_xlpm.headers,0)),INDEX(_xlpm.data,,MATCH("Use_For_Analysis",_xlpm.headers,0))=1),MAX(_xlpm.x))</f>
        <v>33704.756604576549</v>
      </c>
      <c r="G3" s="7" cm="1">
        <f t="array" ref="G3">_xlfn.LET(_xlpm.headers,Analysis_Data!$A$1:$Z$1,_xlpm.data,Analysis_Data!$A$2:$Z$301,_xlpm.x,_xlfn._xlws.FILTER(INDEX(_xlpm.data,,MATCH($A3,_xlpm.headers,0)),INDEX(_xlpm.data,,MATCH("Use_For_Analysis",_xlpm.headers,0))=1),_xlfn.STDEV.S(_xlpm.x))</f>
        <v>7395.3528655031305</v>
      </c>
    </row>
    <row r="4" spans="1:7">
      <c r="A4" s="6" t="s">
        <v>1465</v>
      </c>
      <c r="B4" s="7" cm="1">
        <f t="array" ref="B4">_xlfn.LET(_xlpm.headers,Analysis_Data!$A$1:$Z$1,_xlpm.data,Analysis_Data!$A$2:$Z$301,_xlpm.x,_xlfn._xlws.FILTER(INDEX(_xlpm.data,,MATCH($A4,_xlpm.headers,0)),INDEX(_xlpm.data,,MATCH("Use_For_Analysis",_xlpm.headers,0))=1),COUNT(_xlpm.x))</f>
        <v>297</v>
      </c>
      <c r="C4" s="7" cm="1">
        <f t="array" ref="C4">_xlfn.LET(_xlpm.headers,Analysis_Data!$A$1:$Z$1,_xlpm.data,Analysis_Data!$A$2:$Z$301,_xlpm.x,_xlfn._xlws.FILTER(INDEX(_xlpm.data,,MATCH($A4,_xlpm.headers,0)),INDEX(_xlpm.data,,MATCH("Use_For_Analysis",_xlpm.headers,0))=1),AVERAGE(_xlpm.x))</f>
        <v>4.0373734177908061</v>
      </c>
      <c r="D4" s="7" cm="1">
        <f t="array" ref="D4">_xlfn.LET(_xlpm.headers,Analysis_Data!$A$1:$Z$1,_xlpm.data,Analysis_Data!$A$2:$Z$301,_xlpm.x,_xlfn._xlws.FILTER(INDEX(_xlpm.data,,MATCH($A4,_xlpm.headers,0)),INDEX(_xlpm.data,,MATCH("Use_For_Analysis",_xlpm.headers,0))=1),MEDIAN(_xlpm.x))</f>
        <v>3.9799999999999995</v>
      </c>
      <c r="E4" s="7" cm="1">
        <f t="array" ref="E4">_xlfn.LET(_xlpm.headers,Analysis_Data!$A$1:$Z$1,_xlpm.data,Analysis_Data!$A$2:$Z$301,_xlpm.x,_xlfn._xlws.FILTER(INDEX(_xlpm.data,,MATCH($A4,_xlpm.headers,0)),INDEX(_xlpm.data,,MATCH("Use_For_Analysis",_xlpm.headers,0))=1),MIN(_xlpm.x))</f>
        <v>3.08</v>
      </c>
      <c r="F4" s="7" cm="1">
        <f t="array" ref="F4">_xlfn.LET(_xlpm.headers,Analysis_Data!$A$1:$Z$1,_xlpm.data,Analysis_Data!$A$2:$Z$301,_xlpm.x,_xlfn._xlws.FILTER(INDEX(_xlpm.data,,MATCH($A4,_xlpm.headers,0)),INDEX(_xlpm.data,,MATCH("Use_For_Analysis",_xlpm.headers,0))=1),MAX(_xlpm.x))</f>
        <v>5.2945223364865592</v>
      </c>
      <c r="G4" s="7" cm="1">
        <f t="array" ref="G4">_xlfn.LET(_xlpm.headers,Analysis_Data!$A$1:$Z$1,_xlpm.data,Analysis_Data!$A$2:$Z$301,_xlpm.x,_xlfn._xlws.FILTER(INDEX(_xlpm.data,,MATCH($A4,_xlpm.headers,0)),INDEX(_xlpm.data,,MATCH("Use_For_Analysis",_xlpm.headers,0))=1),_xlfn.STDEV.S(_xlpm.x))</f>
        <v>0.38977530085513157</v>
      </c>
    </row>
    <row r="5" spans="1:7">
      <c r="A5" s="6" t="s">
        <v>1466</v>
      </c>
      <c r="B5" s="7" cm="1">
        <f t="array" ref="B5">_xlfn.LET(_xlpm.headers,Analysis_Data!$A$1:$Z$1,_xlpm.data,Analysis_Data!$A$2:$Z$301,_xlpm.x,_xlfn._xlws.FILTER(INDEX(_xlpm.data,,MATCH($A5,_xlpm.headers,0)),INDEX(_xlpm.data,,MATCH("Use_For_Analysis",_xlpm.headers,0))=1),COUNT(_xlpm.x))</f>
        <v>297</v>
      </c>
      <c r="C5" s="7" cm="1">
        <f t="array" ref="C5">_xlfn.LET(_xlpm.headers,Analysis_Data!$A$1:$Z$1,_xlpm.data,Analysis_Data!$A$2:$Z$301,_xlpm.x,_xlfn._xlws.FILTER(INDEX(_xlpm.data,,MATCH($A5,_xlpm.headers,0)),INDEX(_xlpm.data,,MATCH("Use_For_Analysis",_xlpm.headers,0))=1),AVERAGE(_xlpm.x))</f>
        <v>74.029923547535205</v>
      </c>
      <c r="D5" s="7" cm="1">
        <f t="array" ref="D5">_xlfn.LET(_xlpm.headers,Analysis_Data!$A$1:$Z$1,_xlpm.data,Analysis_Data!$A$2:$Z$301,_xlpm.x,_xlfn._xlws.FILTER(INDEX(_xlpm.data,,MATCH($A5,_xlpm.headers,0)),INDEX(_xlpm.data,,MATCH("Use_For_Analysis",_xlpm.headers,0))=1),MEDIAN(_xlpm.x))</f>
        <v>74.05</v>
      </c>
      <c r="E5" s="7" cm="1">
        <f t="array" ref="E5">_xlfn.LET(_xlpm.headers,Analysis_Data!$A$1:$Z$1,_xlpm.data,Analysis_Data!$A$2:$Z$301,_xlpm.x,_xlfn._xlws.FILTER(INDEX(_xlpm.data,,MATCH($A5,_xlpm.headers,0)),INDEX(_xlpm.data,,MATCH("Use_For_Analysis",_xlpm.headers,0))=1),MIN(_xlpm.x))</f>
        <v>54.66</v>
      </c>
      <c r="F5" s="7" cm="1">
        <f t="array" ref="F5">_xlfn.LET(_xlpm.headers,Analysis_Data!$A$1:$Z$1,_xlpm.data,Analysis_Data!$A$2:$Z$301,_xlpm.x,_xlfn._xlws.FILTER(INDEX(_xlpm.data,,MATCH($A5,_xlpm.headers,0)),INDEX(_xlpm.data,,MATCH("Use_For_Analysis",_xlpm.headers,0))=1),MAX(_xlpm.x))</f>
        <v>88.83</v>
      </c>
      <c r="G5" s="7" cm="1">
        <f t="array" ref="G5">_xlfn.LET(_xlpm.headers,Analysis_Data!$A$1:$Z$1,_xlpm.data,Analysis_Data!$A$2:$Z$301,_xlpm.x,_xlfn._xlws.FILTER(INDEX(_xlpm.data,,MATCH($A5,_xlpm.headers,0)),INDEX(_xlpm.data,,MATCH("Use_For_Analysis",_xlpm.headers,0))=1),_xlfn.STDEV.S(_xlpm.x))</f>
        <v>6.5952272574334856</v>
      </c>
    </row>
    <row r="6" spans="1:7">
      <c r="A6" s="6" t="s">
        <v>1565</v>
      </c>
      <c r="B6" s="7" cm="1">
        <f t="array" ref="B6">_xlfn.LET(_xlpm.headers,Analysis_Data!$A$1:$Z$1,_xlpm.data,Analysis_Data!$A$2:$Z$301,_xlpm.x,_xlfn._xlws.FILTER(INDEX(_xlpm.data,,MATCH($A6,_xlpm.headers,0)),INDEX(_xlpm.data,,MATCH("Use_For_Analysis",_xlpm.headers,0))=1),COUNT(_xlpm.x))</f>
        <v>297</v>
      </c>
      <c r="C6" s="7" cm="1">
        <f t="array" ref="C6">_xlfn.LET(_xlpm.headers,Analysis_Data!$A$1:$Z$1,_xlpm.data,Analysis_Data!$A$2:$Z$301,_xlpm.x,_xlfn._xlws.FILTER(INDEX(_xlpm.data,,MATCH($A6,_xlpm.headers,0)),INDEX(_xlpm.data,,MATCH("Use_For_Analysis",_xlpm.headers,0))=1),AVERAGE(_xlpm.x))</f>
        <v>94.295230224752274</v>
      </c>
      <c r="D6" s="7" cm="1">
        <f t="array" ref="D6">_xlfn.LET(_xlpm.headers,Analysis_Data!$A$1:$Z$1,_xlpm.data,Analysis_Data!$A$2:$Z$301,_xlpm.x,_xlfn._xlws.FILTER(INDEX(_xlpm.data,,MATCH($A6,_xlpm.headers,0)),INDEX(_xlpm.data,,MATCH("Use_For_Analysis",_xlpm.headers,0))=1),MEDIAN(_xlpm.x))</f>
        <v>87.055167395391194</v>
      </c>
      <c r="E6" s="7" cm="1">
        <f t="array" ref="E6">_xlfn.LET(_xlpm.headers,Analysis_Data!$A$1:$Z$1,_xlpm.data,Analysis_Data!$A$2:$Z$301,_xlpm.x,_xlfn._xlws.FILTER(INDEX(_xlpm.data,,MATCH($A6,_xlpm.headers,0)),INDEX(_xlpm.data,,MATCH("Use_For_Analysis",_xlpm.headers,0))=1),MIN(_xlpm.x))</f>
        <v>74.251724391082064</v>
      </c>
      <c r="F6" s="7" cm="1">
        <f t="array" ref="F6">_xlfn.LET(_xlpm.headers,Analysis_Data!$A$1:$Z$1,_xlpm.data,Analysis_Data!$A$2:$Z$301,_xlpm.x,_xlfn._xlws.FILTER(INDEX(_xlpm.data,,MATCH($A6,_xlpm.headers,0)),INDEX(_xlpm.data,,MATCH("Use_For_Analysis",_xlpm.headers,0))=1),MAX(_xlpm.x))</f>
        <v>112.81411131450234</v>
      </c>
      <c r="G6" s="7" cm="1">
        <f t="array" ref="G6">_xlfn.LET(_xlpm.headers,Analysis_Data!$A$1:$Z$1,_xlpm.data,Analysis_Data!$A$2:$Z$301,_xlpm.x,_xlfn._xlws.FILTER(INDEX(_xlpm.data,,MATCH($A6,_xlpm.headers,0)),INDEX(_xlpm.data,,MATCH("Use_For_Analysis",_xlpm.headers,0))=1),_xlfn.STDEV.S(_xlpm.x))</f>
        <v>11.992499211407278</v>
      </c>
    </row>
    <row r="7" spans="1:7">
      <c r="A7" s="6" t="s">
        <v>1566</v>
      </c>
      <c r="B7" s="7" cm="1">
        <f t="array" ref="B7">_xlfn.LET(_xlpm.headers,Analysis_Data!$A$1:$Z$1,_xlpm.data,Analysis_Data!$A$2:$Z$301,_xlpm.x,_xlfn._xlws.FILTER(INDEX(_xlpm.data,,MATCH($A7,_xlpm.headers,0)),INDEX(_xlpm.data,,MATCH("Use_For_Analysis",_xlpm.headers,0))=1),COUNT(_xlpm.x))</f>
        <v>297</v>
      </c>
      <c r="C7" s="7" cm="1">
        <f t="array" ref="C7">_xlfn.LET(_xlpm.headers,Analysis_Data!$A$1:$Z$1,_xlpm.data,Analysis_Data!$A$2:$Z$301,_xlpm.x,_xlfn._xlws.FILTER(INDEX(_xlpm.data,,MATCH($A7,_xlpm.headers,0)),INDEX(_xlpm.data,,MATCH("Use_For_Analysis",_xlpm.headers,0))=1),AVERAGE(_xlpm.x))</f>
        <v>13.55690781412769</v>
      </c>
      <c r="D7" s="7" cm="1">
        <f t="array" ref="D7">_xlfn.LET(_xlpm.headers,Analysis_Data!$A$1:$Z$1,_xlpm.data,Analysis_Data!$A$2:$Z$301,_xlpm.x,_xlfn._xlws.FILTER(INDEX(_xlpm.data,,MATCH($A7,_xlpm.headers,0)),INDEX(_xlpm.data,,MATCH("Use_For_Analysis",_xlpm.headers,0))=1),MEDIAN(_xlpm.x))</f>
        <v>14.083489099923572</v>
      </c>
      <c r="E7" s="7" cm="1">
        <f t="array" ref="E7">_xlfn.LET(_xlpm.headers,Analysis_Data!$A$1:$Z$1,_xlpm.data,Analysis_Data!$A$2:$Z$301,_xlpm.x,_xlfn._xlws.FILTER(INDEX(_xlpm.data,,MATCH($A7,_xlpm.headers,0)),INDEX(_xlpm.data,,MATCH("Use_For_Analysis",_xlpm.headers,0))=1),MIN(_xlpm.x))</f>
        <v>9.6171122896887518</v>
      </c>
      <c r="F7" s="7" cm="1">
        <f t="array" ref="F7">_xlfn.LET(_xlpm.headers,Analysis_Data!$A$1:$Z$1,_xlpm.data,Analysis_Data!$A$2:$Z$301,_xlpm.x,_xlfn._xlws.FILTER(INDEX(_xlpm.data,,MATCH($A7,_xlpm.headers,0)),INDEX(_xlpm.data,,MATCH("Use_For_Analysis",_xlpm.headers,0))=1),MAX(_xlpm.x))</f>
        <v>22.371673912692874</v>
      </c>
      <c r="G7" s="7" cm="1">
        <f t="array" ref="G7">_xlfn.LET(_xlpm.headers,Analysis_Data!$A$1:$Z$1,_xlpm.data,Analysis_Data!$A$2:$Z$301,_xlpm.x,_xlfn._xlws.FILTER(INDEX(_xlpm.data,,MATCH($A7,_xlpm.headers,0)),INDEX(_xlpm.data,,MATCH("Use_For_Analysis",_xlpm.headers,0))=1),_xlfn.STDEV.S(_xlpm.x))</f>
        <v>3.0247795650210771</v>
      </c>
    </row>
    <row r="8" spans="1:7">
      <c r="A8" s="6" t="s">
        <v>1458</v>
      </c>
      <c r="B8" s="7" cm="1">
        <f t="array" ref="B8">_xlfn.LET(_xlpm.headers,Analysis_Data!$A$1:$Z$1,_xlpm.data,Analysis_Data!$A$2:$Z$301,_xlpm.x,_xlfn._xlws.FILTER(INDEX(_xlpm.data,,MATCH($A8,_xlpm.headers,0)),INDEX(_xlpm.data,,MATCH("Use_For_Analysis",_xlpm.headers,0))=1),COUNT(_xlpm.x))</f>
        <v>297</v>
      </c>
      <c r="C8" s="7" cm="1">
        <f t="array" ref="C8">_xlfn.LET(_xlpm.headers,Analysis_Data!$A$1:$Z$1,_xlpm.data,Analysis_Data!$A$2:$Z$301,_xlpm.x,_xlfn._xlws.FILTER(INDEX(_xlpm.data,,MATCH($A8,_xlpm.headers,0)),INDEX(_xlpm.data,,MATCH("Use_For_Analysis",_xlpm.headers,0))=1),AVERAGE(_xlpm.x))</f>
        <v>60.070581443770855</v>
      </c>
      <c r="D8" s="7" cm="1">
        <f t="array" ref="D8">_xlfn.LET(_xlpm.headers,Analysis_Data!$A$1:$Z$1,_xlpm.data,Analysis_Data!$A$2:$Z$301,_xlpm.x,_xlfn._xlws.FILTER(INDEX(_xlpm.data,,MATCH($A8,_xlpm.headers,0)),INDEX(_xlpm.data,,MATCH("Use_For_Analysis",_xlpm.headers,0))=1),MEDIAN(_xlpm.x))</f>
        <v>58.368558281490635</v>
      </c>
      <c r="E8" s="7" cm="1">
        <f t="array" ref="E8">_xlfn.LET(_xlpm.headers,Analysis_Data!$A$1:$Z$1,_xlpm.data,Analysis_Data!$A$2:$Z$301,_xlpm.x,_xlfn._xlws.FILTER(INDEX(_xlpm.data,,MATCH($A8,_xlpm.headers,0)),INDEX(_xlpm.data,,MATCH("Use_For_Analysis",_xlpm.headers,0))=1),MIN(_xlpm.x))</f>
        <v>50.091907782763421</v>
      </c>
      <c r="F8" s="7" cm="1">
        <f t="array" ref="F8">_xlfn.LET(_xlpm.headers,Analysis_Data!$A$1:$Z$1,_xlpm.data,Analysis_Data!$A$2:$Z$301,_xlpm.x,_xlfn._xlws.FILTER(INDEX(_xlpm.data,,MATCH($A8,_xlpm.headers,0)),INDEX(_xlpm.data,,MATCH("Use_For_Analysis",_xlpm.headers,0))=1),MAX(_xlpm.x))</f>
        <v>86.58652896041518</v>
      </c>
      <c r="G8" s="7" cm="1">
        <f t="array" ref="G8">_xlfn.LET(_xlpm.headers,Analysis_Data!$A$1:$Z$1,_xlpm.data,Analysis_Data!$A$2:$Z$301,_xlpm.x,_xlfn._xlws.FILTER(INDEX(_xlpm.data,,MATCH($A8,_xlpm.headers,0)),INDEX(_xlpm.data,,MATCH("Use_For_Analysis",_xlpm.headers,0))=1),_xlfn.STDEV.S(_xlpm.x))</f>
        <v>7.7586579134373084</v>
      </c>
    </row>
    <row r="9" spans="1:7">
      <c r="A9" s="6" t="s">
        <v>1460</v>
      </c>
      <c r="B9" s="7" cm="1">
        <f t="array" ref="B9">_xlfn.LET(_xlpm.headers,Analysis_Data!$A$1:$Z$1,_xlpm.data,Analysis_Data!$A$2:$Z$301,_xlpm.x,_xlfn._xlws.FILTER(INDEX(_xlpm.data,,MATCH($A9,_xlpm.headers,0)),INDEX(_xlpm.data,,MATCH("Use_For_Analysis",_xlpm.headers,0))=1),COUNT(_xlpm.x))</f>
        <v>297</v>
      </c>
      <c r="C9" s="7" cm="1">
        <f t="array" ref="C9">_xlfn.LET(_xlpm.headers,Analysis_Data!$A$1:$Z$1,_xlpm.data,Analysis_Data!$A$2:$Z$301,_xlpm.x,_xlfn._xlws.FILTER(INDEX(_xlpm.data,,MATCH($A9,_xlpm.headers,0)),INDEX(_xlpm.data,,MATCH("Use_For_Analysis",_xlpm.headers,0))=1),AVERAGE(_xlpm.x))</f>
        <v>20.141162887541757</v>
      </c>
      <c r="D9" s="7" cm="1">
        <f t="array" ref="D9">_xlfn.LET(_xlpm.headers,Analysis_Data!$A$1:$Z$1,_xlpm.data,Analysis_Data!$A$2:$Z$301,_xlpm.x,_xlfn._xlws.FILTER(INDEX(_xlpm.data,,MATCH($A9,_xlpm.headers,0)),INDEX(_xlpm.data,,MATCH("Use_For_Analysis",_xlpm.headers,0))=1),MEDIAN(_xlpm.x))</f>
        <v>16.737116562981271</v>
      </c>
      <c r="E9" s="7" cm="1">
        <f t="array" ref="E9">_xlfn.LET(_xlpm.headers,Analysis_Data!$A$1:$Z$1,_xlpm.data,Analysis_Data!$A$2:$Z$301,_xlpm.x,_xlfn._xlws.FILTER(INDEX(_xlpm.data,,MATCH($A9,_xlpm.headers,0)),INDEX(_xlpm.data,,MATCH("Use_For_Analysis",_xlpm.headers,0))=1),MIN(_xlpm.x))</f>
        <v>0.18381556552684511</v>
      </c>
      <c r="F9" s="7" cm="1">
        <f t="array" ref="F9">_xlfn.LET(_xlpm.headers,Analysis_Data!$A$1:$Z$1,_xlpm.data,Analysis_Data!$A$2:$Z$301,_xlpm.x,_xlfn._xlws.FILTER(INDEX(_xlpm.data,,MATCH($A9,_xlpm.headers,0)),INDEX(_xlpm.data,,MATCH("Use_For_Analysis",_xlpm.headers,0))=1),MAX(_xlpm.x))</f>
        <v>73.17305792083036</v>
      </c>
      <c r="G9" s="7" cm="1">
        <f t="array" ref="G9">_xlfn.LET(_xlpm.headers,Analysis_Data!$A$1:$Z$1,_xlpm.data,Analysis_Data!$A$2:$Z$301,_xlpm.x,_xlfn._xlws.FILTER(INDEX(_xlpm.data,,MATCH($A9,_xlpm.headers,0)),INDEX(_xlpm.data,,MATCH("Use_For_Analysis",_xlpm.headers,0))=1),_xlfn.STDEV.S(_xlpm.x))</f>
        <v>15.51731582687432</v>
      </c>
    </row>
    <row r="10" spans="1:7">
      <c r="A10" s="6" t="s">
        <v>1599</v>
      </c>
      <c r="B10" s="7" cm="1">
        <f t="array" ref="B10">_xlfn.LET(_xlpm.headers,Analysis_Data!$A$1:$Z$1,_xlpm.data,Analysis_Data!$A$2:$Z$301,_xlpm.x,_xlfn._xlws.FILTER(INDEX(_xlpm.data,,MATCH($A10,_xlpm.headers,0)),INDEX(_xlpm.data,,MATCH("Use_For_Analysis",_xlpm.headers,0))=1),COUNT(_xlpm.x))</f>
        <v>297</v>
      </c>
      <c r="C10" s="7" cm="1">
        <f t="array" ref="C10">_xlfn.LET(_xlpm.headers,Analysis_Data!$A$1:$Z$1,_xlpm.data,Analysis_Data!$A$2:$Z$301,_xlpm.x,_xlfn._xlws.FILTER(INDEX(_xlpm.data,,MATCH($A10,_xlpm.headers,0)),INDEX(_xlpm.data,,MATCH("Use_For_Analysis",_xlpm.headers,0))=1),AVERAGE(_xlpm.x))</f>
        <v>0.11447811447811448</v>
      </c>
      <c r="D10" s="7" cm="1">
        <f t="array" ref="D10">_xlfn.LET(_xlpm.headers,Analysis_Data!$A$1:$Z$1,_xlpm.data,Analysis_Data!$A$2:$Z$301,_xlpm.x,_xlfn._xlws.FILTER(INDEX(_xlpm.data,,MATCH($A10,_xlpm.headers,0)),INDEX(_xlpm.data,,MATCH("Use_For_Analysis",_xlpm.headers,0))=1),MEDIAN(_xlpm.x))</f>
        <v>0</v>
      </c>
      <c r="E10" s="7" cm="1">
        <f t="array" ref="E10">_xlfn.LET(_xlpm.headers,Analysis_Data!$A$1:$Z$1,_xlpm.data,Analysis_Data!$A$2:$Z$301,_xlpm.x,_xlfn._xlws.FILTER(INDEX(_xlpm.data,,MATCH($A10,_xlpm.headers,0)),INDEX(_xlpm.data,,MATCH("Use_For_Analysis",_xlpm.headers,0))=1),MIN(_xlpm.x))</f>
        <v>0</v>
      </c>
      <c r="F10" s="7" cm="1">
        <f t="array" ref="F10">_xlfn.LET(_xlpm.headers,Analysis_Data!$A$1:$Z$1,_xlpm.data,Analysis_Data!$A$2:$Z$301,_xlpm.x,_xlfn._xlws.FILTER(INDEX(_xlpm.data,,MATCH($A10,_xlpm.headers,0)),INDEX(_xlpm.data,,MATCH("Use_For_Analysis",_xlpm.headers,0))=1),MAX(_xlpm.x))</f>
        <v>1</v>
      </c>
      <c r="G10" s="7" cm="1">
        <f t="array" ref="G10">_xlfn.LET(_xlpm.headers,Analysis_Data!$A$1:$Z$1,_xlpm.data,Analysis_Data!$A$2:$Z$301,_xlpm.x,_xlfn._xlws.FILTER(INDEX(_xlpm.data,,MATCH($A10,_xlpm.headers,0)),INDEX(_xlpm.data,,MATCH("Use_For_Analysis",_xlpm.headers,0))=1),_xlfn.STDEV.S(_xlpm.x))</f>
        <v>0.31892844293877542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CF22-73C0-4F21-9644-C184D655072F}">
  <dimension ref="A1:J10"/>
  <sheetViews>
    <sheetView zoomScale="85" zoomScaleNormal="85" workbookViewId="0">
      <selection activeCell="F14" sqref="F14"/>
    </sheetView>
  </sheetViews>
  <sheetFormatPr defaultRowHeight="15"/>
  <cols>
    <col min="1" max="1" width="23.28515625" bestFit="1" customWidth="1"/>
    <col min="2" max="2" width="17.5703125" bestFit="1" customWidth="1"/>
    <col min="3" max="3" width="19.42578125" bestFit="1" customWidth="1"/>
    <col min="4" max="5" width="17.5703125" bestFit="1" customWidth="1"/>
    <col min="6" max="6" width="21.7109375" bestFit="1" customWidth="1"/>
    <col min="7" max="7" width="24" bestFit="1" customWidth="1"/>
    <col min="8" max="8" width="19.85546875" bestFit="1" customWidth="1"/>
    <col min="9" max="9" width="19.140625" bestFit="1" customWidth="1"/>
    <col min="10" max="10" width="17.5703125" bestFit="1" customWidth="1"/>
  </cols>
  <sheetData>
    <row r="1" spans="1:10">
      <c r="A1" s="7"/>
      <c r="B1" s="6" t="s">
        <v>1464</v>
      </c>
      <c r="C1" s="6" t="s">
        <v>1569</v>
      </c>
      <c r="D1" s="6" t="s">
        <v>1465</v>
      </c>
      <c r="E1" s="6" t="s">
        <v>1466</v>
      </c>
      <c r="F1" s="6" t="s">
        <v>1565</v>
      </c>
      <c r="G1" s="6" t="s">
        <v>1566</v>
      </c>
      <c r="H1" s="6" t="s">
        <v>1458</v>
      </c>
      <c r="I1" s="6" t="s">
        <v>1460</v>
      </c>
      <c r="J1" s="6" t="s">
        <v>1599</v>
      </c>
    </row>
    <row r="2" spans="1:10">
      <c r="A2" s="6" t="s">
        <v>1464</v>
      </c>
      <c r="B2" s="7" cm="1">
        <f t="array" ref="B2">_xlfn.LET(_xlpm.headers,Analysis_Data!$A$1:$Z$1,_xlpm.data,Analysis_Data!$A$2:$Z$301,_xlpm.valid,INDEX(_xlpm.data,,MATCH("Use_For_Analysis",_xlpm.headers,0))=1,_xlpm.x,_xlfn._xlws.FILTER(INDEX(_xlpm.data,,MATCH($A2,_xlpm.headers,0)),_xlpm.valid),_xlpm.y,_xlfn._xlws.FILTER(INDEX(_xlpm.data,,MATCH(B$1,_xlpm.headers,0)),_xlpm.valid),CORREL(_xlpm.x,_xlpm.y))</f>
        <v>1</v>
      </c>
      <c r="C2" s="7" cm="1">
        <f t="array" ref="C2">_xlfn.LET(_xlpm.headers,Analysis_Data!$A$1:$Z$1,_xlpm.data,Analysis_Data!$A$2:$Z$301,_xlpm.valid,INDEX(_xlpm.data,,MATCH("Use_For_Analysis",_xlpm.headers,0))=1,_xlpm.x,_xlfn._xlws.FILTER(INDEX(_xlpm.data,,MATCH($A2,_xlpm.headers,0)),_xlpm.valid),_xlpm.y,_xlfn._xlws.FILTER(INDEX(_xlpm.data,,MATCH(C$1,_xlpm.headers,0)),_xlpm.valid),CORREL(_xlpm.x,_xlpm.y))</f>
        <v>0.17075835265313191</v>
      </c>
      <c r="D2" s="7" cm="1">
        <f t="array" ref="D2">_xlfn.LET(_xlpm.headers,Analysis_Data!$A$1:$Z$1,_xlpm.data,Analysis_Data!$A$2:$Z$301,_xlpm.valid,INDEX(_xlpm.data,,MATCH("Use_For_Analysis",_xlpm.headers,0))=1,_xlpm.x,_xlfn._xlws.FILTER(INDEX(_xlpm.data,,MATCH($A2,_xlpm.headers,0)),_xlpm.valid),_xlpm.y,_xlfn._xlws.FILTER(INDEX(_xlpm.data,,MATCH(D$1,_xlpm.headers,0)),_xlpm.valid),CORREL(_xlpm.x,_xlpm.y))</f>
        <v>-0.11478401293005473</v>
      </c>
      <c r="E2" s="7" cm="1">
        <f t="array" ref="E2">_xlfn.LET(_xlpm.headers,Analysis_Data!$A$1:$Z$1,_xlpm.data,Analysis_Data!$A$2:$Z$301,_xlpm.valid,INDEX(_xlpm.data,,MATCH("Use_For_Analysis",_xlpm.headers,0))=1,_xlpm.x,_xlfn._xlws.FILTER(INDEX(_xlpm.data,,MATCH($A2,_xlpm.headers,0)),_xlpm.valid),_xlpm.y,_xlfn._xlws.FILTER(INDEX(_xlpm.data,,MATCH(E$1,_xlpm.headers,0)),_xlpm.valid),CORREL(_xlpm.x,_xlpm.y))</f>
        <v>0.11062889708954969</v>
      </c>
      <c r="F2" s="7" cm="1">
        <f t="array" ref="F2">_xlfn.LET(_xlpm.headers,Analysis_Data!$A$1:$Z$1,_xlpm.data,Analysis_Data!$A$2:$Z$301,_xlpm.valid,INDEX(_xlpm.data,,MATCH("Use_For_Analysis",_xlpm.headers,0))=1,_xlpm.x,_xlfn._xlws.FILTER(INDEX(_xlpm.data,,MATCH($A2,_xlpm.headers,0)),_xlpm.valid),_xlpm.y,_xlfn._xlws.FILTER(INDEX(_xlpm.data,,MATCH(F$1,_xlpm.headers,0)),_xlpm.valid),CORREL(_xlpm.x,_xlpm.y))</f>
        <v>-0.10071948063080778</v>
      </c>
      <c r="G2" s="7" cm="1">
        <f t="array" ref="G2">_xlfn.LET(_xlpm.headers,Analysis_Data!$A$1:$Z$1,_xlpm.data,Analysis_Data!$A$2:$Z$301,_xlpm.valid,INDEX(_xlpm.data,,MATCH("Use_For_Analysis",_xlpm.headers,0))=1,_xlpm.x,_xlfn._xlws.FILTER(INDEX(_xlpm.data,,MATCH($A2,_xlpm.headers,0)),_xlpm.valid),_xlpm.y,_xlfn._xlws.FILTER(INDEX(_xlpm.data,,MATCH(G$1,_xlpm.headers,0)),_xlpm.valid),CORREL(_xlpm.x,_xlpm.y))</f>
        <v>-0.10451565382961618</v>
      </c>
      <c r="H2" s="7" cm="1">
        <f t="array" ref="H2">_xlfn.LET(_xlpm.headers,Analysis_Data!$A$1:$Z$1,_xlpm.data,Analysis_Data!$A$2:$Z$301,_xlpm.valid,INDEX(_xlpm.data,,MATCH("Use_For_Analysis",_xlpm.headers,0))=1,_xlpm.x,_xlfn._xlws.FILTER(INDEX(_xlpm.data,,MATCH($A2,_xlpm.headers,0)),_xlpm.valid),_xlpm.y,_xlfn._xlws.FILTER(INDEX(_xlpm.data,,MATCH(H$1,_xlpm.headers,0)),_xlpm.valid),CORREL(_xlpm.x,_xlpm.y))</f>
        <v>-2.0234233084296838E-2</v>
      </c>
      <c r="I2" s="7" cm="1">
        <f t="array" ref="I2">_xlfn.LET(_xlpm.headers,Analysis_Data!$A$1:$Z$1,_xlpm.data,Analysis_Data!$A$2:$Z$301,_xlpm.valid,INDEX(_xlpm.data,,MATCH("Use_For_Analysis",_xlpm.headers,0))=1,_xlpm.x,_xlfn._xlws.FILTER(INDEX(_xlpm.data,,MATCH($A2,_xlpm.headers,0)),_xlpm.valid),_xlpm.y,_xlfn._xlws.FILTER(INDEX(_xlpm.data,,MATCH(I$1,_xlpm.headers,0)),_xlpm.valid),CORREL(_xlpm.x,_xlpm.y))</f>
        <v>-2.0234233084296831E-2</v>
      </c>
      <c r="J2" s="7" cm="1">
        <f t="array" ref="J2">_xlfn.LET(_xlpm.headers,Analysis_Data!$A$1:$Z$1,_xlpm.data,Analysis_Data!$A$2:$Z$301,_xlpm.valid,INDEX(_xlpm.data,,MATCH("Use_For_Analysis",_xlpm.headers,0))=1,_xlpm.x,_xlfn._xlws.FILTER(INDEX(_xlpm.data,,MATCH($A2,_xlpm.headers,0)),_xlpm.valid),_xlpm.y,_xlfn._xlws.FILTER(INDEX(_xlpm.data,,MATCH(J$1,_xlpm.headers,0)),_xlpm.valid),CORREL(_xlpm.x,_xlpm.y))</f>
        <v>8.8565682803726481E-2</v>
      </c>
    </row>
    <row r="3" spans="1:10">
      <c r="A3" s="6" t="s">
        <v>1569</v>
      </c>
      <c r="B3" s="7" cm="1">
        <f t="array" ref="B3">_xlfn.LET(_xlpm.headers,Analysis_Data!$A$1:$Z$1,_xlpm.data,Analysis_Data!$A$2:$Z$301,_xlpm.valid,INDEX(_xlpm.data,,MATCH("Use_For_Analysis",_xlpm.headers,0))=1,_xlpm.x,_xlfn._xlws.FILTER(INDEX(_xlpm.data,,MATCH($A3,_xlpm.headers,0)),_xlpm.valid),_xlpm.y,_xlfn._xlws.FILTER(INDEX(_xlpm.data,,MATCH(B$1,_xlpm.headers,0)),_xlpm.valid),CORREL(_xlpm.x,_xlpm.y))</f>
        <v>0.17075835265313191</v>
      </c>
      <c r="C3" s="7" cm="1">
        <f t="array" ref="C3">_xlfn.LET(_xlpm.headers,Analysis_Data!$A$1:$Z$1,_xlpm.data,Analysis_Data!$A$2:$Z$301,_xlpm.valid,INDEX(_xlpm.data,,MATCH("Use_For_Analysis",_xlpm.headers,0))=1,_xlpm.x,_xlfn._xlws.FILTER(INDEX(_xlpm.data,,MATCH($A3,_xlpm.headers,0)),_xlpm.valid),_xlpm.y,_xlfn._xlws.FILTER(INDEX(_xlpm.data,,MATCH(C$1,_xlpm.headers,0)),_xlpm.valid),CORREL(_xlpm.x,_xlpm.y))</f>
        <v>1</v>
      </c>
      <c r="D3" s="7" cm="1">
        <f t="array" ref="D3">_xlfn.LET(_xlpm.headers,Analysis_Data!$A$1:$Z$1,_xlpm.data,Analysis_Data!$A$2:$Z$301,_xlpm.valid,INDEX(_xlpm.data,,MATCH("Use_For_Analysis",_xlpm.headers,0))=1,_xlpm.x,_xlfn._xlws.FILTER(INDEX(_xlpm.data,,MATCH($A3,_xlpm.headers,0)),_xlpm.valid),_xlpm.y,_xlfn._xlws.FILTER(INDEX(_xlpm.data,,MATCH(D$1,_xlpm.headers,0)),_xlpm.valid),CORREL(_xlpm.x,_xlpm.y))</f>
        <v>-0.20482702248191431</v>
      </c>
      <c r="E3" s="7" cm="1">
        <f t="array" ref="E3">_xlfn.LET(_xlpm.headers,Analysis_Data!$A$1:$Z$1,_xlpm.data,Analysis_Data!$A$2:$Z$301,_xlpm.valid,INDEX(_xlpm.data,,MATCH("Use_For_Analysis",_xlpm.headers,0))=1,_xlpm.x,_xlfn._xlws.FILTER(INDEX(_xlpm.data,,MATCH($A3,_xlpm.headers,0)),_xlpm.valid),_xlpm.y,_xlfn._xlws.FILTER(INDEX(_xlpm.data,,MATCH(E$1,_xlpm.headers,0)),_xlpm.valid),CORREL(_xlpm.x,_xlpm.y))</f>
        <v>0.50446574559650792</v>
      </c>
      <c r="F3" s="7" cm="1">
        <f t="array" ref="F3">_xlfn.LET(_xlpm.headers,Analysis_Data!$A$1:$Z$1,_xlpm.data,Analysis_Data!$A$2:$Z$301,_xlpm.valid,INDEX(_xlpm.data,,MATCH("Use_For_Analysis",_xlpm.headers,0))=1,_xlpm.x,_xlfn._xlws.FILTER(INDEX(_xlpm.data,,MATCH($A3,_xlpm.headers,0)),_xlpm.valid),_xlpm.y,_xlfn._xlws.FILTER(INDEX(_xlpm.data,,MATCH(F$1,_xlpm.headers,0)),_xlpm.valid),CORREL(_xlpm.x,_xlpm.y))</f>
        <v>-0.15214177831437767</v>
      </c>
      <c r="G3" s="7" cm="1">
        <f t="array" ref="G3">_xlfn.LET(_xlpm.headers,Analysis_Data!$A$1:$Z$1,_xlpm.data,Analysis_Data!$A$2:$Z$301,_xlpm.valid,INDEX(_xlpm.data,,MATCH("Use_For_Analysis",_xlpm.headers,0))=1,_xlpm.x,_xlfn._xlws.FILTER(INDEX(_xlpm.data,,MATCH($A3,_xlpm.headers,0)),_xlpm.valid),_xlpm.y,_xlfn._xlws.FILTER(INDEX(_xlpm.data,,MATCH(G$1,_xlpm.headers,0)),_xlpm.valid),CORREL(_xlpm.x,_xlpm.y))</f>
        <v>8.8930362690671765E-3</v>
      </c>
      <c r="H3" s="7" cm="1">
        <f t="array" ref="H3">_xlfn.LET(_xlpm.headers,Analysis_Data!$A$1:$Z$1,_xlpm.data,Analysis_Data!$A$2:$Z$301,_xlpm.valid,INDEX(_xlpm.data,,MATCH("Use_For_Analysis",_xlpm.headers,0))=1,_xlpm.x,_xlfn._xlws.FILTER(INDEX(_xlpm.data,,MATCH($A3,_xlpm.headers,0)),_xlpm.valid),_xlpm.y,_xlfn._xlws.FILTER(INDEX(_xlpm.data,,MATCH(H$1,_xlpm.headers,0)),_xlpm.valid),CORREL(_xlpm.x,_xlpm.y))</f>
        <v>-0.16106584764915552</v>
      </c>
      <c r="I3" s="7" cm="1">
        <f t="array" ref="I3">_xlfn.LET(_xlpm.headers,Analysis_Data!$A$1:$Z$1,_xlpm.data,Analysis_Data!$A$2:$Z$301,_xlpm.valid,INDEX(_xlpm.data,,MATCH("Use_For_Analysis",_xlpm.headers,0))=1,_xlpm.x,_xlfn._xlws.FILTER(INDEX(_xlpm.data,,MATCH($A3,_xlpm.headers,0)),_xlpm.valid),_xlpm.y,_xlfn._xlws.FILTER(INDEX(_xlpm.data,,MATCH(I$1,_xlpm.headers,0)),_xlpm.valid),CORREL(_xlpm.x,_xlpm.y))</f>
        <v>-0.16106584764915549</v>
      </c>
      <c r="J3" s="7" cm="1">
        <f t="array" ref="J3">_xlfn.LET(_xlpm.headers,Analysis_Data!$A$1:$Z$1,_xlpm.data,Analysis_Data!$A$2:$Z$301,_xlpm.valid,INDEX(_xlpm.data,,MATCH("Use_For_Analysis",_xlpm.headers,0))=1,_xlpm.x,_xlfn._xlws.FILTER(INDEX(_xlpm.data,,MATCH($A3,_xlpm.headers,0)),_xlpm.valid),_xlpm.y,_xlfn._xlws.FILTER(INDEX(_xlpm.data,,MATCH(J$1,_xlpm.headers,0)),_xlpm.valid),CORREL(_xlpm.x,_xlpm.y))</f>
        <v>0.7429607756070602</v>
      </c>
    </row>
    <row r="4" spans="1:10">
      <c r="A4" s="6" t="s">
        <v>1465</v>
      </c>
      <c r="B4" s="7" cm="1">
        <f t="array" ref="B4">_xlfn.LET(_xlpm.headers,Analysis_Data!$A$1:$Z$1,_xlpm.data,Analysis_Data!$A$2:$Z$301,_xlpm.valid,INDEX(_xlpm.data,,MATCH("Use_For_Analysis",_xlpm.headers,0))=1,_xlpm.x,_xlfn._xlws.FILTER(INDEX(_xlpm.data,,MATCH($A4,_xlpm.headers,0)),_xlpm.valid),_xlpm.y,_xlfn._xlws.FILTER(INDEX(_xlpm.data,,MATCH(B$1,_xlpm.headers,0)),_xlpm.valid),CORREL(_xlpm.x,_xlpm.y))</f>
        <v>-0.11478401293005473</v>
      </c>
      <c r="C4" s="7" cm="1">
        <f t="array" ref="C4">_xlfn.LET(_xlpm.headers,Analysis_Data!$A$1:$Z$1,_xlpm.data,Analysis_Data!$A$2:$Z$301,_xlpm.valid,INDEX(_xlpm.data,,MATCH("Use_For_Analysis",_xlpm.headers,0))=1,_xlpm.x,_xlfn._xlws.FILTER(INDEX(_xlpm.data,,MATCH($A4,_xlpm.headers,0)),_xlpm.valid),_xlpm.y,_xlfn._xlws.FILTER(INDEX(_xlpm.data,,MATCH(C$1,_xlpm.headers,0)),_xlpm.valid),CORREL(_xlpm.x,_xlpm.y))</f>
        <v>-0.20482702248191431</v>
      </c>
      <c r="D4" s="7" cm="1">
        <f t="array" ref="D4">_xlfn.LET(_xlpm.headers,Analysis_Data!$A$1:$Z$1,_xlpm.data,Analysis_Data!$A$2:$Z$301,_xlpm.valid,INDEX(_xlpm.data,,MATCH("Use_For_Analysis",_xlpm.headers,0))=1,_xlpm.x,_xlfn._xlws.FILTER(INDEX(_xlpm.data,,MATCH($A4,_xlpm.headers,0)),_xlpm.valid),_xlpm.y,_xlfn._xlws.FILTER(INDEX(_xlpm.data,,MATCH(D$1,_xlpm.headers,0)),_xlpm.valid),CORREL(_xlpm.x,_xlpm.y))</f>
        <v>0.99999999999999978</v>
      </c>
      <c r="E4" s="7" cm="1">
        <f t="array" ref="E4">_xlfn.LET(_xlpm.headers,Analysis_Data!$A$1:$Z$1,_xlpm.data,Analysis_Data!$A$2:$Z$301,_xlpm.valid,INDEX(_xlpm.data,,MATCH("Use_For_Analysis",_xlpm.headers,0))=1,_xlpm.x,_xlfn._xlws.FILTER(INDEX(_xlpm.data,,MATCH($A4,_xlpm.headers,0)),_xlpm.valid),_xlpm.y,_xlfn._xlws.FILTER(INDEX(_xlpm.data,,MATCH(E$1,_xlpm.headers,0)),_xlpm.valid),CORREL(_xlpm.x,_xlpm.y))</f>
        <v>-0.1007753781482422</v>
      </c>
      <c r="F4" s="7" cm="1">
        <f t="array" ref="F4">_xlfn.LET(_xlpm.headers,Analysis_Data!$A$1:$Z$1,_xlpm.data,Analysis_Data!$A$2:$Z$301,_xlpm.valid,INDEX(_xlpm.data,,MATCH("Use_For_Analysis",_xlpm.headers,0))=1,_xlpm.x,_xlfn._xlws.FILTER(INDEX(_xlpm.data,,MATCH($A4,_xlpm.headers,0)),_xlpm.valid),_xlpm.y,_xlfn._xlws.FILTER(INDEX(_xlpm.data,,MATCH(F$1,_xlpm.headers,0)),_xlpm.valid),CORREL(_xlpm.x,_xlpm.y))</f>
        <v>-0.54609046344293033</v>
      </c>
      <c r="G4" s="7" cm="1">
        <f t="array" ref="G4">_xlfn.LET(_xlpm.headers,Analysis_Data!$A$1:$Z$1,_xlpm.data,Analysis_Data!$A$2:$Z$301,_xlpm.valid,INDEX(_xlpm.data,,MATCH("Use_For_Analysis",_xlpm.headers,0))=1,_xlpm.x,_xlfn._xlws.FILTER(INDEX(_xlpm.data,,MATCH($A4,_xlpm.headers,0)),_xlpm.valid),_xlpm.y,_xlfn._xlws.FILTER(INDEX(_xlpm.data,,MATCH(G$1,_xlpm.headers,0)),_xlpm.valid),CORREL(_xlpm.x,_xlpm.y))</f>
        <v>-0.40950362542416341</v>
      </c>
      <c r="H4" s="7" cm="1">
        <f t="array" ref="H4">_xlfn.LET(_xlpm.headers,Analysis_Data!$A$1:$Z$1,_xlpm.data,Analysis_Data!$A$2:$Z$301,_xlpm.valid,INDEX(_xlpm.data,,MATCH("Use_For_Analysis",_xlpm.headers,0))=1,_xlpm.x,_xlfn._xlws.FILTER(INDEX(_xlpm.data,,MATCH($A4,_xlpm.headers,0)),_xlpm.valid),_xlpm.y,_xlfn._xlws.FILTER(INDEX(_xlpm.data,,MATCH(H$1,_xlpm.headers,0)),_xlpm.valid),CORREL(_xlpm.x,_xlpm.y))</f>
        <v>0.20804907524582925</v>
      </c>
      <c r="I4" s="7" cm="1">
        <f t="array" ref="I4">_xlfn.LET(_xlpm.headers,Analysis_Data!$A$1:$Z$1,_xlpm.data,Analysis_Data!$A$2:$Z$301,_xlpm.valid,INDEX(_xlpm.data,,MATCH("Use_For_Analysis",_xlpm.headers,0))=1,_xlpm.x,_xlfn._xlws.FILTER(INDEX(_xlpm.data,,MATCH($A4,_xlpm.headers,0)),_xlpm.valid),_xlpm.y,_xlfn._xlws.FILTER(INDEX(_xlpm.data,,MATCH(I$1,_xlpm.headers,0)),_xlpm.valid),CORREL(_xlpm.x,_xlpm.y))</f>
        <v>0.20804907524582933</v>
      </c>
      <c r="J4" s="7" cm="1">
        <f t="array" ref="J4">_xlfn.LET(_xlpm.headers,Analysis_Data!$A$1:$Z$1,_xlpm.data,Analysis_Data!$A$2:$Z$301,_xlpm.valid,INDEX(_xlpm.data,,MATCH("Use_For_Analysis",_xlpm.headers,0))=1,_xlpm.x,_xlfn._xlws.FILTER(INDEX(_xlpm.data,,MATCH($A4,_xlpm.headers,0)),_xlpm.valid),_xlpm.y,_xlfn._xlws.FILTER(INDEX(_xlpm.data,,MATCH(J$1,_xlpm.headers,0)),_xlpm.valid),CORREL(_xlpm.x,_xlpm.y))</f>
        <v>-0.16436833127676326</v>
      </c>
    </row>
    <row r="5" spans="1:10">
      <c r="A5" s="6" t="s">
        <v>1466</v>
      </c>
      <c r="B5" s="7" cm="1">
        <f t="array" ref="B5">_xlfn.LET(_xlpm.headers,Analysis_Data!$A$1:$Z$1,_xlpm.data,Analysis_Data!$A$2:$Z$301,_xlpm.valid,INDEX(_xlpm.data,,MATCH("Use_For_Analysis",_xlpm.headers,0))=1,_xlpm.x,_xlfn._xlws.FILTER(INDEX(_xlpm.data,,MATCH($A5,_xlpm.headers,0)),_xlpm.valid),_xlpm.y,_xlfn._xlws.FILTER(INDEX(_xlpm.data,,MATCH(B$1,_xlpm.headers,0)),_xlpm.valid),CORREL(_xlpm.x,_xlpm.y))</f>
        <v>0.11062889708954969</v>
      </c>
      <c r="C5" s="7" cm="1">
        <f t="array" ref="C5">_xlfn.LET(_xlpm.headers,Analysis_Data!$A$1:$Z$1,_xlpm.data,Analysis_Data!$A$2:$Z$301,_xlpm.valid,INDEX(_xlpm.data,,MATCH("Use_For_Analysis",_xlpm.headers,0))=1,_xlpm.x,_xlfn._xlws.FILTER(INDEX(_xlpm.data,,MATCH($A5,_xlpm.headers,0)),_xlpm.valid),_xlpm.y,_xlfn._xlws.FILTER(INDEX(_xlpm.data,,MATCH(C$1,_xlpm.headers,0)),_xlpm.valid),CORREL(_xlpm.x,_xlpm.y))</f>
        <v>0.50446574559650792</v>
      </c>
      <c r="D5" s="7" cm="1">
        <f t="array" ref="D5">_xlfn.LET(_xlpm.headers,Analysis_Data!$A$1:$Z$1,_xlpm.data,Analysis_Data!$A$2:$Z$301,_xlpm.valid,INDEX(_xlpm.data,,MATCH("Use_For_Analysis",_xlpm.headers,0))=1,_xlpm.x,_xlfn._xlws.FILTER(INDEX(_xlpm.data,,MATCH($A5,_xlpm.headers,0)),_xlpm.valid),_xlpm.y,_xlfn._xlws.FILTER(INDEX(_xlpm.data,,MATCH(D$1,_xlpm.headers,0)),_xlpm.valid),CORREL(_xlpm.x,_xlpm.y))</f>
        <v>-0.1007753781482422</v>
      </c>
      <c r="E5" s="7" cm="1">
        <f t="array" ref="E5">_xlfn.LET(_xlpm.headers,Analysis_Data!$A$1:$Z$1,_xlpm.data,Analysis_Data!$A$2:$Z$301,_xlpm.valid,INDEX(_xlpm.data,,MATCH("Use_For_Analysis",_xlpm.headers,0))=1,_xlpm.x,_xlfn._xlws.FILTER(INDEX(_xlpm.data,,MATCH($A5,_xlpm.headers,0)),_xlpm.valid),_xlpm.y,_xlfn._xlws.FILTER(INDEX(_xlpm.data,,MATCH(E$1,_xlpm.headers,0)),_xlpm.valid),CORREL(_xlpm.x,_xlpm.y))</f>
        <v>0.99999999999999989</v>
      </c>
      <c r="F5" s="7" cm="1">
        <f t="array" ref="F5">_xlfn.LET(_xlpm.headers,Analysis_Data!$A$1:$Z$1,_xlpm.data,Analysis_Data!$A$2:$Z$301,_xlpm.valid,INDEX(_xlpm.data,,MATCH("Use_For_Analysis",_xlpm.headers,0))=1,_xlpm.x,_xlfn._xlws.FILTER(INDEX(_xlpm.data,,MATCH($A5,_xlpm.headers,0)),_xlpm.valid),_xlpm.y,_xlfn._xlws.FILTER(INDEX(_xlpm.data,,MATCH(F$1,_xlpm.headers,0)),_xlpm.valid),CORREL(_xlpm.x,_xlpm.y))</f>
        <v>-3.0022631199577831E-2</v>
      </c>
      <c r="G5" s="7" cm="1">
        <f t="array" ref="G5">_xlfn.LET(_xlpm.headers,Analysis_Data!$A$1:$Z$1,_xlpm.data,Analysis_Data!$A$2:$Z$301,_xlpm.valid,INDEX(_xlpm.data,,MATCH("Use_For_Analysis",_xlpm.headers,0))=1,_xlpm.x,_xlfn._xlws.FILTER(INDEX(_xlpm.data,,MATCH($A5,_xlpm.headers,0)),_xlpm.valid),_xlpm.y,_xlfn._xlws.FILTER(INDEX(_xlpm.data,,MATCH(G$1,_xlpm.headers,0)),_xlpm.valid),CORREL(_xlpm.x,_xlpm.y))</f>
        <v>2.581644111372159E-2</v>
      </c>
      <c r="H5" s="7" cm="1">
        <f t="array" ref="H5">_xlfn.LET(_xlpm.headers,Analysis_Data!$A$1:$Z$1,_xlpm.data,Analysis_Data!$A$2:$Z$301,_xlpm.valid,INDEX(_xlpm.data,,MATCH("Use_For_Analysis",_xlpm.headers,0))=1,_xlpm.x,_xlfn._xlws.FILTER(INDEX(_xlpm.data,,MATCH($A5,_xlpm.headers,0)),_xlpm.valid),_xlpm.y,_xlfn._xlws.FILTER(INDEX(_xlpm.data,,MATCH(H$1,_xlpm.headers,0)),_xlpm.valid),CORREL(_xlpm.x,_xlpm.y))</f>
        <v>-0.11727974976993827</v>
      </c>
      <c r="I5" s="7" cm="1">
        <f t="array" ref="I5">_xlfn.LET(_xlpm.headers,Analysis_Data!$A$1:$Z$1,_xlpm.data,Analysis_Data!$A$2:$Z$301,_xlpm.valid,INDEX(_xlpm.data,,MATCH("Use_For_Analysis",_xlpm.headers,0))=1,_xlpm.x,_xlfn._xlws.FILTER(INDEX(_xlpm.data,,MATCH($A5,_xlpm.headers,0)),_xlpm.valid),_xlpm.y,_xlfn._xlws.FILTER(INDEX(_xlpm.data,,MATCH(I$1,_xlpm.headers,0)),_xlpm.valid),CORREL(_xlpm.x,_xlpm.y))</f>
        <v>-0.11727974976993849</v>
      </c>
      <c r="J5" s="7" cm="1">
        <f t="array" ref="J5">_xlfn.LET(_xlpm.headers,Analysis_Data!$A$1:$Z$1,_xlpm.data,Analysis_Data!$A$2:$Z$301,_xlpm.valid,INDEX(_xlpm.data,,MATCH("Use_For_Analysis",_xlpm.headers,0))=1,_xlpm.x,_xlfn._xlws.FILTER(INDEX(_xlpm.data,,MATCH($A5,_xlpm.headers,0)),_xlpm.valid),_xlpm.y,_xlfn._xlws.FILTER(INDEX(_xlpm.data,,MATCH(J$1,_xlpm.headers,0)),_xlpm.valid),CORREL(_xlpm.x,_xlpm.y))</f>
        <v>0.50179938390087198</v>
      </c>
    </row>
    <row r="6" spans="1:10">
      <c r="A6" s="6" t="s">
        <v>1565</v>
      </c>
      <c r="B6" s="7" cm="1">
        <f t="array" ref="B6">_xlfn.LET(_xlpm.headers,Analysis_Data!$A$1:$Z$1,_xlpm.data,Analysis_Data!$A$2:$Z$301,_xlpm.valid,INDEX(_xlpm.data,,MATCH("Use_For_Analysis",_xlpm.headers,0))=1,_xlpm.x,_xlfn._xlws.FILTER(INDEX(_xlpm.data,,MATCH($A6,_xlpm.headers,0)),_xlpm.valid),_xlpm.y,_xlfn._xlws.FILTER(INDEX(_xlpm.data,,MATCH(B$1,_xlpm.headers,0)),_xlpm.valid),CORREL(_xlpm.x,_xlpm.y))</f>
        <v>-0.10071948063080778</v>
      </c>
      <c r="C6" s="7" cm="1">
        <f t="array" ref="C6">_xlfn.LET(_xlpm.headers,Analysis_Data!$A$1:$Z$1,_xlpm.data,Analysis_Data!$A$2:$Z$301,_xlpm.valid,INDEX(_xlpm.data,,MATCH("Use_For_Analysis",_xlpm.headers,0))=1,_xlpm.x,_xlfn._xlws.FILTER(INDEX(_xlpm.data,,MATCH($A6,_xlpm.headers,0)),_xlpm.valid),_xlpm.y,_xlfn._xlws.FILTER(INDEX(_xlpm.data,,MATCH(C$1,_xlpm.headers,0)),_xlpm.valid),CORREL(_xlpm.x,_xlpm.y))</f>
        <v>-0.15214177831437767</v>
      </c>
      <c r="D6" s="7" cm="1">
        <f t="array" ref="D6">_xlfn.LET(_xlpm.headers,Analysis_Data!$A$1:$Z$1,_xlpm.data,Analysis_Data!$A$2:$Z$301,_xlpm.valid,INDEX(_xlpm.data,,MATCH("Use_For_Analysis",_xlpm.headers,0))=1,_xlpm.x,_xlfn._xlws.FILTER(INDEX(_xlpm.data,,MATCH($A6,_xlpm.headers,0)),_xlpm.valid),_xlpm.y,_xlfn._xlws.FILTER(INDEX(_xlpm.data,,MATCH(D$1,_xlpm.headers,0)),_xlpm.valid),CORREL(_xlpm.x,_xlpm.y))</f>
        <v>-0.54609046344293033</v>
      </c>
      <c r="E6" s="7" cm="1">
        <f t="array" ref="E6">_xlfn.LET(_xlpm.headers,Analysis_Data!$A$1:$Z$1,_xlpm.data,Analysis_Data!$A$2:$Z$301,_xlpm.valid,INDEX(_xlpm.data,,MATCH("Use_For_Analysis",_xlpm.headers,0))=1,_xlpm.x,_xlfn._xlws.FILTER(INDEX(_xlpm.data,,MATCH($A6,_xlpm.headers,0)),_xlpm.valid),_xlpm.y,_xlfn._xlws.FILTER(INDEX(_xlpm.data,,MATCH(E$1,_xlpm.headers,0)),_xlpm.valid),CORREL(_xlpm.x,_xlpm.y))</f>
        <v>-3.0022631199577831E-2</v>
      </c>
      <c r="F6" s="7" cm="1">
        <f t="array" ref="F6">_xlfn.LET(_xlpm.headers,Analysis_Data!$A$1:$Z$1,_xlpm.data,Analysis_Data!$A$2:$Z$301,_xlpm.valid,INDEX(_xlpm.data,,MATCH("Use_For_Analysis",_xlpm.headers,0))=1,_xlpm.x,_xlfn._xlws.FILTER(INDEX(_xlpm.data,,MATCH($A6,_xlpm.headers,0)),_xlpm.valid),_xlpm.y,_xlfn._xlws.FILTER(INDEX(_xlpm.data,,MATCH(F$1,_xlpm.headers,0)),_xlpm.valid),CORREL(_xlpm.x,_xlpm.y))</f>
        <v>1</v>
      </c>
      <c r="G6" s="7" cm="1">
        <f t="array" ref="G6">_xlfn.LET(_xlpm.headers,Analysis_Data!$A$1:$Z$1,_xlpm.data,Analysis_Data!$A$2:$Z$301,_xlpm.valid,INDEX(_xlpm.data,,MATCH("Use_For_Analysis",_xlpm.headers,0))=1,_xlpm.x,_xlfn._xlws.FILTER(INDEX(_xlpm.data,,MATCH($A6,_xlpm.headers,0)),_xlpm.valid),_xlpm.y,_xlfn._xlws.FILTER(INDEX(_xlpm.data,,MATCH(G$1,_xlpm.headers,0)),_xlpm.valid),CORREL(_xlpm.x,_xlpm.y))</f>
        <v>0.62814200972057554</v>
      </c>
      <c r="H6" s="7" cm="1">
        <f t="array" ref="H6">_xlfn.LET(_xlpm.headers,Analysis_Data!$A$1:$Z$1,_xlpm.data,Analysis_Data!$A$2:$Z$301,_xlpm.valid,INDEX(_xlpm.data,,MATCH("Use_For_Analysis",_xlpm.headers,0))=1,_xlpm.x,_xlfn._xlws.FILTER(INDEX(_xlpm.data,,MATCH($A6,_xlpm.headers,0)),_xlpm.valid),_xlpm.y,_xlfn._xlws.FILTER(INDEX(_xlpm.data,,MATCH(H$1,_xlpm.headers,0)),_xlpm.valid),CORREL(_xlpm.x,_xlpm.y))</f>
        <v>-0.23605629774864142</v>
      </c>
      <c r="I6" s="7" cm="1">
        <f t="array" ref="I6">_xlfn.LET(_xlpm.headers,Analysis_Data!$A$1:$Z$1,_xlpm.data,Analysis_Data!$A$2:$Z$301,_xlpm.valid,INDEX(_xlpm.data,,MATCH("Use_For_Analysis",_xlpm.headers,0))=1,_xlpm.x,_xlfn._xlws.FILTER(INDEX(_xlpm.data,,MATCH($A6,_xlpm.headers,0)),_xlpm.valid),_xlpm.y,_xlfn._xlws.FILTER(INDEX(_xlpm.data,,MATCH(I$1,_xlpm.headers,0)),_xlpm.valid),CORREL(_xlpm.x,_xlpm.y))</f>
        <v>-0.23605629774864148</v>
      </c>
      <c r="J6" s="7" cm="1">
        <f t="array" ref="J6">_xlfn.LET(_xlpm.headers,Analysis_Data!$A$1:$Z$1,_xlpm.data,Analysis_Data!$A$2:$Z$301,_xlpm.valid,INDEX(_xlpm.data,,MATCH("Use_For_Analysis",_xlpm.headers,0))=1,_xlpm.x,_xlfn._xlws.FILTER(INDEX(_xlpm.data,,MATCH($A6,_xlpm.headers,0)),_xlpm.valid),_xlpm.y,_xlfn._xlws.FILTER(INDEX(_xlpm.data,,MATCH(J$1,_xlpm.headers,0)),_xlpm.valid),CORREL(_xlpm.x,_xlpm.y))</f>
        <v>-0.16681062067965113</v>
      </c>
    </row>
    <row r="7" spans="1:10">
      <c r="A7" s="6" t="s">
        <v>1566</v>
      </c>
      <c r="B7" s="7" cm="1">
        <f t="array" ref="B7">_xlfn.LET(_xlpm.headers,Analysis_Data!$A$1:$Z$1,_xlpm.data,Analysis_Data!$A$2:$Z$301,_xlpm.valid,INDEX(_xlpm.data,,MATCH("Use_For_Analysis",_xlpm.headers,0))=1,_xlpm.x,_xlfn._xlws.FILTER(INDEX(_xlpm.data,,MATCH($A7,_xlpm.headers,0)),_xlpm.valid),_xlpm.y,_xlfn._xlws.FILTER(INDEX(_xlpm.data,,MATCH(B$1,_xlpm.headers,0)),_xlpm.valid),CORREL(_xlpm.x,_xlpm.y))</f>
        <v>-0.10451565382961618</v>
      </c>
      <c r="C7" s="7" cm="1">
        <f t="array" ref="C7">_xlfn.LET(_xlpm.headers,Analysis_Data!$A$1:$Z$1,_xlpm.data,Analysis_Data!$A$2:$Z$301,_xlpm.valid,INDEX(_xlpm.data,,MATCH("Use_For_Analysis",_xlpm.headers,0))=1,_xlpm.x,_xlfn._xlws.FILTER(INDEX(_xlpm.data,,MATCH($A7,_xlpm.headers,0)),_xlpm.valid),_xlpm.y,_xlfn._xlws.FILTER(INDEX(_xlpm.data,,MATCH(C$1,_xlpm.headers,0)),_xlpm.valid),CORREL(_xlpm.x,_xlpm.y))</f>
        <v>8.8930362690671765E-3</v>
      </c>
      <c r="D7" s="7" cm="1">
        <f t="array" ref="D7">_xlfn.LET(_xlpm.headers,Analysis_Data!$A$1:$Z$1,_xlpm.data,Analysis_Data!$A$2:$Z$301,_xlpm.valid,INDEX(_xlpm.data,,MATCH("Use_For_Analysis",_xlpm.headers,0))=1,_xlpm.x,_xlfn._xlws.FILTER(INDEX(_xlpm.data,,MATCH($A7,_xlpm.headers,0)),_xlpm.valid),_xlpm.y,_xlfn._xlws.FILTER(INDEX(_xlpm.data,,MATCH(D$1,_xlpm.headers,0)),_xlpm.valid),CORREL(_xlpm.x,_xlpm.y))</f>
        <v>-0.40950362542416341</v>
      </c>
      <c r="E7" s="7" cm="1">
        <f t="array" ref="E7">_xlfn.LET(_xlpm.headers,Analysis_Data!$A$1:$Z$1,_xlpm.data,Analysis_Data!$A$2:$Z$301,_xlpm.valid,INDEX(_xlpm.data,,MATCH("Use_For_Analysis",_xlpm.headers,0))=1,_xlpm.x,_xlfn._xlws.FILTER(INDEX(_xlpm.data,,MATCH($A7,_xlpm.headers,0)),_xlpm.valid),_xlpm.y,_xlfn._xlws.FILTER(INDEX(_xlpm.data,,MATCH(E$1,_xlpm.headers,0)),_xlpm.valid),CORREL(_xlpm.x,_xlpm.y))</f>
        <v>2.581644111372159E-2</v>
      </c>
      <c r="F7" s="7" cm="1">
        <f t="array" ref="F7">_xlfn.LET(_xlpm.headers,Analysis_Data!$A$1:$Z$1,_xlpm.data,Analysis_Data!$A$2:$Z$301,_xlpm.valid,INDEX(_xlpm.data,,MATCH("Use_For_Analysis",_xlpm.headers,0))=1,_xlpm.x,_xlfn._xlws.FILTER(INDEX(_xlpm.data,,MATCH($A7,_xlpm.headers,0)),_xlpm.valid),_xlpm.y,_xlfn._xlws.FILTER(INDEX(_xlpm.data,,MATCH(F$1,_xlpm.headers,0)),_xlpm.valid),CORREL(_xlpm.x,_xlpm.y))</f>
        <v>0.62814200972057554</v>
      </c>
      <c r="G7" s="7" cm="1">
        <f t="array" ref="G7">_xlfn.LET(_xlpm.headers,Analysis_Data!$A$1:$Z$1,_xlpm.data,Analysis_Data!$A$2:$Z$301,_xlpm.valid,INDEX(_xlpm.data,,MATCH("Use_For_Analysis",_xlpm.headers,0))=1,_xlpm.x,_xlfn._xlws.FILTER(INDEX(_xlpm.data,,MATCH($A7,_xlpm.headers,0)),_xlpm.valid),_xlpm.y,_xlfn._xlws.FILTER(INDEX(_xlpm.data,,MATCH(G$1,_xlpm.headers,0)),_xlpm.valid),CORREL(_xlpm.x,_xlpm.y))</f>
        <v>1</v>
      </c>
      <c r="H7" s="7" cm="1">
        <f t="array" ref="H7">_xlfn.LET(_xlpm.headers,Analysis_Data!$A$1:$Z$1,_xlpm.data,Analysis_Data!$A$2:$Z$301,_xlpm.valid,INDEX(_xlpm.data,,MATCH("Use_For_Analysis",_xlpm.headers,0))=1,_xlpm.x,_xlfn._xlws.FILTER(INDEX(_xlpm.data,,MATCH($A7,_xlpm.headers,0)),_xlpm.valid),_xlpm.y,_xlfn._xlws.FILTER(INDEX(_xlpm.data,,MATCH(H$1,_xlpm.headers,0)),_xlpm.valid),CORREL(_xlpm.x,_xlpm.y))</f>
        <v>-0.13089428168314896</v>
      </c>
      <c r="I7" s="7" cm="1">
        <f t="array" ref="I7">_xlfn.LET(_xlpm.headers,Analysis_Data!$A$1:$Z$1,_xlpm.data,Analysis_Data!$A$2:$Z$301,_xlpm.valid,INDEX(_xlpm.data,,MATCH("Use_For_Analysis",_xlpm.headers,0))=1,_xlpm.x,_xlfn._xlws.FILTER(INDEX(_xlpm.data,,MATCH($A7,_xlpm.headers,0)),_xlpm.valid),_xlpm.y,_xlfn._xlws.FILTER(INDEX(_xlpm.data,,MATCH(I$1,_xlpm.headers,0)),_xlpm.valid),CORREL(_xlpm.x,_xlpm.y))</f>
        <v>-0.13089428168314898</v>
      </c>
      <c r="J7" s="7" cm="1">
        <f t="array" ref="J7">_xlfn.LET(_xlpm.headers,Analysis_Data!$A$1:$Z$1,_xlpm.data,Analysis_Data!$A$2:$Z$301,_xlpm.valid,INDEX(_xlpm.data,,MATCH("Use_For_Analysis",_xlpm.headers,0))=1,_xlpm.x,_xlfn._xlws.FILTER(INDEX(_xlpm.data,,MATCH($A7,_xlpm.headers,0)),_xlpm.valid),_xlpm.y,_xlfn._xlws.FILTER(INDEX(_xlpm.data,,MATCH(J$1,_xlpm.headers,0)),_xlpm.valid),CORREL(_xlpm.x,_xlpm.y))</f>
        <v>-1.582620241214798E-2</v>
      </c>
    </row>
    <row r="8" spans="1:10">
      <c r="A8" s="6" t="s">
        <v>1458</v>
      </c>
      <c r="B8" s="7" cm="1">
        <f t="array" ref="B8">_xlfn.LET(_xlpm.headers,Analysis_Data!$A$1:$Z$1,_xlpm.data,Analysis_Data!$A$2:$Z$301,_xlpm.valid,INDEX(_xlpm.data,,MATCH("Use_For_Analysis",_xlpm.headers,0))=1,_xlpm.x,_xlfn._xlws.FILTER(INDEX(_xlpm.data,,MATCH($A8,_xlpm.headers,0)),_xlpm.valid),_xlpm.y,_xlfn._xlws.FILTER(INDEX(_xlpm.data,,MATCH(B$1,_xlpm.headers,0)),_xlpm.valid),CORREL(_xlpm.x,_xlpm.y))</f>
        <v>-2.0234233084296838E-2</v>
      </c>
      <c r="C8" s="7" cm="1">
        <f t="array" ref="C8">_xlfn.LET(_xlpm.headers,Analysis_Data!$A$1:$Z$1,_xlpm.data,Analysis_Data!$A$2:$Z$301,_xlpm.valid,INDEX(_xlpm.data,,MATCH("Use_For_Analysis",_xlpm.headers,0))=1,_xlpm.x,_xlfn._xlws.FILTER(INDEX(_xlpm.data,,MATCH($A8,_xlpm.headers,0)),_xlpm.valid),_xlpm.y,_xlfn._xlws.FILTER(INDEX(_xlpm.data,,MATCH(C$1,_xlpm.headers,0)),_xlpm.valid),CORREL(_xlpm.x,_xlpm.y))</f>
        <v>-0.16106584764915552</v>
      </c>
      <c r="D8" s="7" cm="1">
        <f t="array" ref="D8">_xlfn.LET(_xlpm.headers,Analysis_Data!$A$1:$Z$1,_xlpm.data,Analysis_Data!$A$2:$Z$301,_xlpm.valid,INDEX(_xlpm.data,,MATCH("Use_For_Analysis",_xlpm.headers,0))=1,_xlpm.x,_xlfn._xlws.FILTER(INDEX(_xlpm.data,,MATCH($A8,_xlpm.headers,0)),_xlpm.valid),_xlpm.y,_xlfn._xlws.FILTER(INDEX(_xlpm.data,,MATCH(D$1,_xlpm.headers,0)),_xlpm.valid),CORREL(_xlpm.x,_xlpm.y))</f>
        <v>0.20804907524582925</v>
      </c>
      <c r="E8" s="7" cm="1">
        <f t="array" ref="E8">_xlfn.LET(_xlpm.headers,Analysis_Data!$A$1:$Z$1,_xlpm.data,Analysis_Data!$A$2:$Z$301,_xlpm.valid,INDEX(_xlpm.data,,MATCH("Use_For_Analysis",_xlpm.headers,0))=1,_xlpm.x,_xlfn._xlws.FILTER(INDEX(_xlpm.data,,MATCH($A8,_xlpm.headers,0)),_xlpm.valid),_xlpm.y,_xlfn._xlws.FILTER(INDEX(_xlpm.data,,MATCH(E$1,_xlpm.headers,0)),_xlpm.valid),CORREL(_xlpm.x,_xlpm.y))</f>
        <v>-0.11727974976993827</v>
      </c>
      <c r="F8" s="7" cm="1">
        <f t="array" ref="F8">_xlfn.LET(_xlpm.headers,Analysis_Data!$A$1:$Z$1,_xlpm.data,Analysis_Data!$A$2:$Z$301,_xlpm.valid,INDEX(_xlpm.data,,MATCH("Use_For_Analysis",_xlpm.headers,0))=1,_xlpm.x,_xlfn._xlws.FILTER(INDEX(_xlpm.data,,MATCH($A8,_xlpm.headers,0)),_xlpm.valid),_xlpm.y,_xlfn._xlws.FILTER(INDEX(_xlpm.data,,MATCH(F$1,_xlpm.headers,0)),_xlpm.valid),CORREL(_xlpm.x,_xlpm.y))</f>
        <v>-0.23605629774864142</v>
      </c>
      <c r="G8" s="7" cm="1">
        <f t="array" ref="G8">_xlfn.LET(_xlpm.headers,Analysis_Data!$A$1:$Z$1,_xlpm.data,Analysis_Data!$A$2:$Z$301,_xlpm.valid,INDEX(_xlpm.data,,MATCH("Use_For_Analysis",_xlpm.headers,0))=1,_xlpm.x,_xlfn._xlws.FILTER(INDEX(_xlpm.data,,MATCH($A8,_xlpm.headers,0)),_xlpm.valid),_xlpm.y,_xlfn._xlws.FILTER(INDEX(_xlpm.data,,MATCH(G$1,_xlpm.headers,0)),_xlpm.valid),CORREL(_xlpm.x,_xlpm.y))</f>
        <v>-0.13089428168314896</v>
      </c>
      <c r="H8" s="7" cm="1">
        <f t="array" ref="H8">_xlfn.LET(_xlpm.headers,Analysis_Data!$A$1:$Z$1,_xlpm.data,Analysis_Data!$A$2:$Z$301,_xlpm.valid,INDEX(_xlpm.data,,MATCH("Use_For_Analysis",_xlpm.headers,0))=1,_xlpm.x,_xlfn._xlws.FILTER(INDEX(_xlpm.data,,MATCH($A8,_xlpm.headers,0)),_xlpm.valid),_xlpm.y,_xlfn._xlws.FILTER(INDEX(_xlpm.data,,MATCH(H$1,_xlpm.headers,0)),_xlpm.valid),CORREL(_xlpm.x,_xlpm.y))</f>
        <v>1</v>
      </c>
      <c r="I8" s="7" cm="1">
        <f t="array" ref="I8">_xlfn.LET(_xlpm.headers,Analysis_Data!$A$1:$Z$1,_xlpm.data,Analysis_Data!$A$2:$Z$301,_xlpm.valid,INDEX(_xlpm.data,,MATCH("Use_For_Analysis",_xlpm.headers,0))=1,_xlpm.x,_xlfn._xlws.FILTER(INDEX(_xlpm.data,,MATCH($A8,_xlpm.headers,0)),_xlpm.valid),_xlpm.y,_xlfn._xlws.FILTER(INDEX(_xlpm.data,,MATCH(I$1,_xlpm.headers,0)),_xlpm.valid),CORREL(_xlpm.x,_xlpm.y))</f>
        <v>0.99999999999999967</v>
      </c>
      <c r="J8" s="7" cm="1">
        <f t="array" ref="J8">_xlfn.LET(_xlpm.headers,Analysis_Data!$A$1:$Z$1,_xlpm.data,Analysis_Data!$A$2:$Z$301,_xlpm.valid,INDEX(_xlpm.data,,MATCH("Use_For_Analysis",_xlpm.headers,0))=1,_xlpm.x,_xlfn._xlws.FILTER(INDEX(_xlpm.data,,MATCH($A8,_xlpm.headers,0)),_xlpm.valid),_xlpm.y,_xlfn._xlws.FILTER(INDEX(_xlpm.data,,MATCH(J$1,_xlpm.headers,0)),_xlpm.valid),CORREL(_xlpm.x,_xlpm.y))</f>
        <v>-0.13593697643613128</v>
      </c>
    </row>
    <row r="9" spans="1:10">
      <c r="A9" s="6" t="s">
        <v>1460</v>
      </c>
      <c r="B9" s="7" cm="1">
        <f t="array" ref="B9">_xlfn.LET(_xlpm.headers,Analysis_Data!$A$1:$Z$1,_xlpm.data,Analysis_Data!$A$2:$Z$301,_xlpm.valid,INDEX(_xlpm.data,,MATCH("Use_For_Analysis",_xlpm.headers,0))=1,_xlpm.x,_xlfn._xlws.FILTER(INDEX(_xlpm.data,,MATCH($A9,_xlpm.headers,0)),_xlpm.valid),_xlpm.y,_xlfn._xlws.FILTER(INDEX(_xlpm.data,,MATCH(B$1,_xlpm.headers,0)),_xlpm.valid),CORREL(_xlpm.x,_xlpm.y))</f>
        <v>-2.0234233084296831E-2</v>
      </c>
      <c r="C9" s="7" cm="1">
        <f t="array" ref="C9">_xlfn.LET(_xlpm.headers,Analysis_Data!$A$1:$Z$1,_xlpm.data,Analysis_Data!$A$2:$Z$301,_xlpm.valid,INDEX(_xlpm.data,,MATCH("Use_For_Analysis",_xlpm.headers,0))=1,_xlpm.x,_xlfn._xlws.FILTER(INDEX(_xlpm.data,,MATCH($A9,_xlpm.headers,0)),_xlpm.valid),_xlpm.y,_xlfn._xlws.FILTER(INDEX(_xlpm.data,,MATCH(C$1,_xlpm.headers,0)),_xlpm.valid),CORREL(_xlpm.x,_xlpm.y))</f>
        <v>-0.16106584764915549</v>
      </c>
      <c r="D9" s="7" cm="1">
        <f t="array" ref="D9">_xlfn.LET(_xlpm.headers,Analysis_Data!$A$1:$Z$1,_xlpm.data,Analysis_Data!$A$2:$Z$301,_xlpm.valid,INDEX(_xlpm.data,,MATCH("Use_For_Analysis",_xlpm.headers,0))=1,_xlpm.x,_xlfn._xlws.FILTER(INDEX(_xlpm.data,,MATCH($A9,_xlpm.headers,0)),_xlpm.valid),_xlpm.y,_xlfn._xlws.FILTER(INDEX(_xlpm.data,,MATCH(D$1,_xlpm.headers,0)),_xlpm.valid),CORREL(_xlpm.x,_xlpm.y))</f>
        <v>0.20804907524582933</v>
      </c>
      <c r="E9" s="7" cm="1">
        <f t="array" ref="E9">_xlfn.LET(_xlpm.headers,Analysis_Data!$A$1:$Z$1,_xlpm.data,Analysis_Data!$A$2:$Z$301,_xlpm.valid,INDEX(_xlpm.data,,MATCH("Use_For_Analysis",_xlpm.headers,0))=1,_xlpm.x,_xlfn._xlws.FILTER(INDEX(_xlpm.data,,MATCH($A9,_xlpm.headers,0)),_xlpm.valid),_xlpm.y,_xlfn._xlws.FILTER(INDEX(_xlpm.data,,MATCH(E$1,_xlpm.headers,0)),_xlpm.valid),CORREL(_xlpm.x,_xlpm.y))</f>
        <v>-0.11727974976993849</v>
      </c>
      <c r="F9" s="7" cm="1">
        <f t="array" ref="F9">_xlfn.LET(_xlpm.headers,Analysis_Data!$A$1:$Z$1,_xlpm.data,Analysis_Data!$A$2:$Z$301,_xlpm.valid,INDEX(_xlpm.data,,MATCH("Use_For_Analysis",_xlpm.headers,0))=1,_xlpm.x,_xlfn._xlws.FILTER(INDEX(_xlpm.data,,MATCH($A9,_xlpm.headers,0)),_xlpm.valid),_xlpm.y,_xlfn._xlws.FILTER(INDEX(_xlpm.data,,MATCH(F$1,_xlpm.headers,0)),_xlpm.valid),CORREL(_xlpm.x,_xlpm.y))</f>
        <v>-0.23605629774864148</v>
      </c>
      <c r="G9" s="7" cm="1">
        <f t="array" ref="G9">_xlfn.LET(_xlpm.headers,Analysis_Data!$A$1:$Z$1,_xlpm.data,Analysis_Data!$A$2:$Z$301,_xlpm.valid,INDEX(_xlpm.data,,MATCH("Use_For_Analysis",_xlpm.headers,0))=1,_xlpm.x,_xlfn._xlws.FILTER(INDEX(_xlpm.data,,MATCH($A9,_xlpm.headers,0)),_xlpm.valid),_xlpm.y,_xlfn._xlws.FILTER(INDEX(_xlpm.data,,MATCH(G$1,_xlpm.headers,0)),_xlpm.valid),CORREL(_xlpm.x,_xlpm.y))</f>
        <v>-0.13089428168314898</v>
      </c>
      <c r="H9" s="7" cm="1">
        <f t="array" ref="H9">_xlfn.LET(_xlpm.headers,Analysis_Data!$A$1:$Z$1,_xlpm.data,Analysis_Data!$A$2:$Z$301,_xlpm.valid,INDEX(_xlpm.data,,MATCH("Use_For_Analysis",_xlpm.headers,0))=1,_xlpm.x,_xlfn._xlws.FILTER(INDEX(_xlpm.data,,MATCH($A9,_xlpm.headers,0)),_xlpm.valid),_xlpm.y,_xlfn._xlws.FILTER(INDEX(_xlpm.data,,MATCH(H$1,_xlpm.headers,0)),_xlpm.valid),CORREL(_xlpm.x,_xlpm.y))</f>
        <v>0.99999999999999967</v>
      </c>
      <c r="I9" s="7" cm="1">
        <f t="array" ref="I9">_xlfn.LET(_xlpm.headers,Analysis_Data!$A$1:$Z$1,_xlpm.data,Analysis_Data!$A$2:$Z$301,_xlpm.valid,INDEX(_xlpm.data,,MATCH("Use_For_Analysis",_xlpm.headers,0))=1,_xlpm.x,_xlfn._xlws.FILTER(INDEX(_xlpm.data,,MATCH($A9,_xlpm.headers,0)),_xlpm.valid),_xlpm.y,_xlfn._xlws.FILTER(INDEX(_xlpm.data,,MATCH(I$1,_xlpm.headers,0)),_xlpm.valid),CORREL(_xlpm.x,_xlpm.y))</f>
        <v>1</v>
      </c>
      <c r="J9" s="7" cm="1">
        <f t="array" ref="J9">_xlfn.LET(_xlpm.headers,Analysis_Data!$A$1:$Z$1,_xlpm.data,Analysis_Data!$A$2:$Z$301,_xlpm.valid,INDEX(_xlpm.data,,MATCH("Use_For_Analysis",_xlpm.headers,0))=1,_xlpm.x,_xlfn._xlws.FILTER(INDEX(_xlpm.data,,MATCH($A9,_xlpm.headers,0)),_xlpm.valid),_xlpm.y,_xlfn._xlws.FILTER(INDEX(_xlpm.data,,MATCH(J$1,_xlpm.headers,0)),_xlpm.valid),CORREL(_xlpm.x,_xlpm.y))</f>
        <v>-0.13593697643613151</v>
      </c>
    </row>
    <row r="10" spans="1:10">
      <c r="A10" s="6" t="s">
        <v>1599</v>
      </c>
      <c r="B10" s="7" cm="1">
        <f t="array" ref="B10">_xlfn.LET(_xlpm.headers,Analysis_Data!$A$1:$Z$1,_xlpm.data,Analysis_Data!$A$2:$Z$301,_xlpm.valid,INDEX(_xlpm.data,,MATCH("Use_For_Analysis",_xlpm.headers,0))=1,_xlpm.x,_xlfn._xlws.FILTER(INDEX(_xlpm.data,,MATCH($A10,_xlpm.headers,0)),_xlpm.valid),_xlpm.y,_xlfn._xlws.FILTER(INDEX(_xlpm.data,,MATCH(B$1,_xlpm.headers,0)),_xlpm.valid),CORREL(_xlpm.x,_xlpm.y))</f>
        <v>8.8565682803726481E-2</v>
      </c>
      <c r="C10" s="7" cm="1">
        <f t="array" ref="C10">_xlfn.LET(_xlpm.headers,Analysis_Data!$A$1:$Z$1,_xlpm.data,Analysis_Data!$A$2:$Z$301,_xlpm.valid,INDEX(_xlpm.data,,MATCH("Use_For_Analysis",_xlpm.headers,0))=1,_xlpm.x,_xlfn._xlws.FILTER(INDEX(_xlpm.data,,MATCH($A10,_xlpm.headers,0)),_xlpm.valid),_xlpm.y,_xlfn._xlws.FILTER(INDEX(_xlpm.data,,MATCH(C$1,_xlpm.headers,0)),_xlpm.valid),CORREL(_xlpm.x,_xlpm.y))</f>
        <v>0.7429607756070602</v>
      </c>
      <c r="D10" s="7" cm="1">
        <f t="array" ref="D10">_xlfn.LET(_xlpm.headers,Analysis_Data!$A$1:$Z$1,_xlpm.data,Analysis_Data!$A$2:$Z$301,_xlpm.valid,INDEX(_xlpm.data,,MATCH("Use_For_Analysis",_xlpm.headers,0))=1,_xlpm.x,_xlfn._xlws.FILTER(INDEX(_xlpm.data,,MATCH($A10,_xlpm.headers,0)),_xlpm.valid),_xlpm.y,_xlfn._xlws.FILTER(INDEX(_xlpm.data,,MATCH(D$1,_xlpm.headers,0)),_xlpm.valid),CORREL(_xlpm.x,_xlpm.y))</f>
        <v>-0.16436833127676326</v>
      </c>
      <c r="E10" s="7" cm="1">
        <f t="array" ref="E10">_xlfn.LET(_xlpm.headers,Analysis_Data!$A$1:$Z$1,_xlpm.data,Analysis_Data!$A$2:$Z$301,_xlpm.valid,INDEX(_xlpm.data,,MATCH("Use_For_Analysis",_xlpm.headers,0))=1,_xlpm.x,_xlfn._xlws.FILTER(INDEX(_xlpm.data,,MATCH($A10,_xlpm.headers,0)),_xlpm.valid),_xlpm.y,_xlfn._xlws.FILTER(INDEX(_xlpm.data,,MATCH(E$1,_xlpm.headers,0)),_xlpm.valid),CORREL(_xlpm.x,_xlpm.y))</f>
        <v>0.50179938390087198</v>
      </c>
      <c r="F10" s="7" cm="1">
        <f t="array" ref="F10">_xlfn.LET(_xlpm.headers,Analysis_Data!$A$1:$Z$1,_xlpm.data,Analysis_Data!$A$2:$Z$301,_xlpm.valid,INDEX(_xlpm.data,,MATCH("Use_For_Analysis",_xlpm.headers,0))=1,_xlpm.x,_xlfn._xlws.FILTER(INDEX(_xlpm.data,,MATCH($A10,_xlpm.headers,0)),_xlpm.valid),_xlpm.y,_xlfn._xlws.FILTER(INDEX(_xlpm.data,,MATCH(F$1,_xlpm.headers,0)),_xlpm.valid),CORREL(_xlpm.x,_xlpm.y))</f>
        <v>-0.16681062067965113</v>
      </c>
      <c r="G10" s="7" cm="1">
        <f t="array" ref="G10">_xlfn.LET(_xlpm.headers,Analysis_Data!$A$1:$Z$1,_xlpm.data,Analysis_Data!$A$2:$Z$301,_xlpm.valid,INDEX(_xlpm.data,,MATCH("Use_For_Analysis",_xlpm.headers,0))=1,_xlpm.x,_xlfn._xlws.FILTER(INDEX(_xlpm.data,,MATCH($A10,_xlpm.headers,0)),_xlpm.valid),_xlpm.y,_xlfn._xlws.FILTER(INDEX(_xlpm.data,,MATCH(G$1,_xlpm.headers,0)),_xlpm.valid),CORREL(_xlpm.x,_xlpm.y))</f>
        <v>-1.582620241214798E-2</v>
      </c>
      <c r="H10" s="7" cm="1">
        <f t="array" ref="H10">_xlfn.LET(_xlpm.headers,Analysis_Data!$A$1:$Z$1,_xlpm.data,Analysis_Data!$A$2:$Z$301,_xlpm.valid,INDEX(_xlpm.data,,MATCH("Use_For_Analysis",_xlpm.headers,0))=1,_xlpm.x,_xlfn._xlws.FILTER(INDEX(_xlpm.data,,MATCH($A10,_xlpm.headers,0)),_xlpm.valid),_xlpm.y,_xlfn._xlws.FILTER(INDEX(_xlpm.data,,MATCH(H$1,_xlpm.headers,0)),_xlpm.valid),CORREL(_xlpm.x,_xlpm.y))</f>
        <v>-0.13593697643613128</v>
      </c>
      <c r="I10" s="7" cm="1">
        <f t="array" ref="I10">_xlfn.LET(_xlpm.headers,Analysis_Data!$A$1:$Z$1,_xlpm.data,Analysis_Data!$A$2:$Z$301,_xlpm.valid,INDEX(_xlpm.data,,MATCH("Use_For_Analysis",_xlpm.headers,0))=1,_xlpm.x,_xlfn._xlws.FILTER(INDEX(_xlpm.data,,MATCH($A10,_xlpm.headers,0)),_xlpm.valid),_xlpm.y,_xlfn._xlws.FILTER(INDEX(_xlpm.data,,MATCH(I$1,_xlpm.headers,0)),_xlpm.valid),CORREL(_xlpm.x,_xlpm.y))</f>
        <v>-0.13593697643613151</v>
      </c>
      <c r="J10" s="7" cm="1">
        <f t="array" ref="J10">_xlfn.LET(_xlpm.headers,Analysis_Data!$A$1:$Z$1,_xlpm.data,Analysis_Data!$A$2:$Z$301,_xlpm.valid,INDEX(_xlpm.data,,MATCH("Use_For_Analysis",_xlpm.headers,0))=1,_xlpm.x,_xlfn._xlws.FILTER(INDEX(_xlpm.data,,MATCH($A10,_xlpm.headers,0)),_xlpm.valid),_xlpm.y,_xlfn._xlws.FILTER(INDEX(_xlpm.data,,MATCH(J$1,_xlpm.headers,0)),_xlpm.valid),CORREL(_xlpm.x,_xlpm.y))</f>
        <v>1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9871-AD95-47C7-8C81-A3FA1DA68697}">
  <dimension ref="A1:B11"/>
  <sheetViews>
    <sheetView workbookViewId="0">
      <selection activeCell="L13" sqref="L13"/>
    </sheetView>
  </sheetViews>
  <sheetFormatPr defaultRowHeight="15"/>
  <cols>
    <col min="1" max="1" width="13.85546875" customWidth="1"/>
    <col min="2" max="2" width="18.7109375" customWidth="1"/>
  </cols>
  <sheetData>
    <row r="1" spans="1:2">
      <c r="A1" s="1" t="s">
        <v>1607</v>
      </c>
      <c r="B1" s="1" t="s">
        <v>1606</v>
      </c>
    </row>
    <row r="2" spans="1:2">
      <c r="A2" t="str" cm="1">
        <f t="array" ref="A2:A11">_xlfn.LET(_xlpm.headers,Analysis_Data!$A$1:$Z$1,_xlpm.data,Analysis_Data!$A$2:$Z$301,_xlpm.valid,INDEX(_xlpm.data,,MATCH("Use_For_Analysis",_xlpm.headers,0))=1,_xlpm.party,INDEX(_xlpm.data,,MATCH("Winning_Party",_xlpm.headers,0)),_xlfn._xlws.SORT(_xlfn.UNIQUE(_xlfn._xlws.FILTER(_xlpm.party,_xlpm.valid))))</f>
        <v>BJP</v>
      </c>
      <c r="B2" cm="1">
        <f t="array" ref="B2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2))))</f>
        <v>1</v>
      </c>
    </row>
    <row r="3" spans="1:2">
      <c r="A3" t="str">
        <v>BKM</v>
      </c>
      <c r="B3" cm="1">
        <f t="array" ref="B3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3))))</f>
        <v>2</v>
      </c>
    </row>
    <row r="4" spans="1:2">
      <c r="A4" t="str">
        <v>BNP</v>
      </c>
      <c r="B4" cm="1">
        <f t="array" ref="B4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4))))</f>
        <v>210</v>
      </c>
    </row>
    <row r="5" spans="1:2">
      <c r="A5" t="str">
        <v>GOP</v>
      </c>
      <c r="B5" cm="1">
        <f t="array" ref="B5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5))))</f>
        <v>1</v>
      </c>
    </row>
    <row r="6" spans="1:2">
      <c r="A6" t="str">
        <v>GSA</v>
      </c>
      <c r="B6" cm="1">
        <f t="array" ref="B6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6))))</f>
        <v>1</v>
      </c>
    </row>
    <row r="7" spans="1:2">
      <c r="A7" t="str">
        <v>IAB</v>
      </c>
      <c r="B7" cm="1">
        <f t="array" ref="B7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7))))</f>
        <v>1</v>
      </c>
    </row>
    <row r="8" spans="1:2">
      <c r="A8" t="str">
        <v>IND</v>
      </c>
      <c r="B8" cm="1">
        <f t="array" ref="B8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8))))</f>
        <v>6</v>
      </c>
    </row>
    <row r="9" spans="1:2">
      <c r="A9" t="str">
        <v>Jamaat</v>
      </c>
      <c r="B9" cm="1">
        <f t="array" ref="B9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9))))</f>
        <v>68</v>
      </c>
    </row>
    <row r="10" spans="1:2">
      <c r="A10" t="str">
        <v>KM</v>
      </c>
      <c r="B10" cm="1">
        <f t="array" ref="B10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10))))</f>
        <v>1</v>
      </c>
    </row>
    <row r="11" spans="1:2">
      <c r="A11" t="str">
        <v>NCP</v>
      </c>
      <c r="B11" cm="1">
        <f t="array" ref="B11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11))))</f>
        <v>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82E5-C1AB-4A51-A7DF-B2CCE55F1D11}">
  <dimension ref="A1:C11"/>
  <sheetViews>
    <sheetView workbookViewId="0">
      <selection activeCell="J19" sqref="J19"/>
    </sheetView>
  </sheetViews>
  <sheetFormatPr defaultRowHeight="15"/>
  <cols>
    <col min="1" max="1" width="13.42578125" bestFit="1" customWidth="1"/>
    <col min="2" max="2" width="19.42578125" bestFit="1" customWidth="1"/>
    <col min="3" max="3" width="22" style="9" bestFit="1" customWidth="1"/>
  </cols>
  <sheetData>
    <row r="1" spans="1:2">
      <c r="A1" s="1" t="s">
        <v>1607</v>
      </c>
      <c r="B1" s="8" t="s">
        <v>1608</v>
      </c>
    </row>
    <row r="2" spans="1:2">
      <c r="A2" t="str" cm="1">
        <f t="array" ref="A2:A11">_xlfn.LET(_xlpm.headers,Analysis_Data!$A$1:$Z$1,_xlpm.data,Analysis_Data!$A$2:$Z$301,_xlpm.valid,INDEX(_xlpm.data,,MATCH("Use_For_Analysis",_xlpm.headers,0))=1,_xlpm.party,INDEX(_xlpm.data,,MATCH("Winning_Party",_xlpm.headers,0)),_xlfn._xlws.SORT(_xlfn.UNIQUE(_xlfn._xlws.FILTER(_xlpm.party,_xlpm.valid))))</f>
        <v>BJP</v>
      </c>
      <c r="B2" s="9" cm="1">
        <f t="array" ref="B2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2))))</f>
        <v>58.349734630694385</v>
      </c>
    </row>
    <row r="3" spans="1:2">
      <c r="A3" t="str">
        <v>BKM</v>
      </c>
      <c r="B3" s="9" cm="1">
        <f t="array" ref="B3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3))))</f>
        <v>52.672688933917989</v>
      </c>
    </row>
    <row r="4" spans="1:2">
      <c r="A4" t="str">
        <v>BNP</v>
      </c>
      <c r="B4" s="9" cm="1">
        <f t="array" ref="B4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4))))</f>
        <v>61.572680146228578</v>
      </c>
    </row>
    <row r="5" spans="1:2">
      <c r="A5" t="str">
        <v>GOP</v>
      </c>
      <c r="B5" s="9" cm="1">
        <f t="array" ref="B5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5))))</f>
        <v>54.466544290479277</v>
      </c>
    </row>
    <row r="6" spans="1:2">
      <c r="A6" t="str">
        <v>GSA</v>
      </c>
      <c r="B6" s="9" cm="1">
        <f t="array" ref="B6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6))))</f>
        <v>70.457736590845272</v>
      </c>
    </row>
    <row r="7" spans="1:2">
      <c r="A7" t="str">
        <v>IAB</v>
      </c>
      <c r="B7" s="9" cm="1">
        <f t="array" ref="B7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7))))</f>
        <v>50.749902328206161</v>
      </c>
    </row>
    <row r="8" spans="1:2">
      <c r="A8" t="str">
        <v>IND</v>
      </c>
      <c r="B8" s="9" cm="1">
        <f t="array" ref="B8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8))))</f>
        <v>55.980444483866187</v>
      </c>
    </row>
    <row r="9" spans="1:2">
      <c r="A9" t="str">
        <v>Jamaat</v>
      </c>
      <c r="B9" s="9" cm="1">
        <f t="array" ref="B9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9))))</f>
        <v>56.415904147871608</v>
      </c>
    </row>
    <row r="10" spans="1:2">
      <c r="A10" t="str">
        <v>KM</v>
      </c>
      <c r="B10" s="9" cm="1">
        <f t="array" ref="B10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10))))</f>
        <v>53.212319535435761</v>
      </c>
    </row>
    <row r="11" spans="1:2">
      <c r="A11" t="str">
        <v>NCP</v>
      </c>
      <c r="B11" s="9" cm="1">
        <f t="array" ref="B11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11))))</f>
        <v>57.659015648329898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FF79-C9BD-4EE1-BA30-2AD6EFD1436A}">
  <dimension ref="A1:B11"/>
  <sheetViews>
    <sheetView workbookViewId="0">
      <selection activeCell="N8" sqref="N8"/>
    </sheetView>
  </sheetViews>
  <sheetFormatPr defaultRowHeight="15"/>
  <cols>
    <col min="1" max="1" width="13.42578125" bestFit="1" customWidth="1"/>
    <col min="2" max="2" width="12" style="9" bestFit="1" customWidth="1"/>
  </cols>
  <sheetData>
    <row r="1" spans="1:2">
      <c r="A1" s="1" t="s">
        <v>1607</v>
      </c>
      <c r="B1" s="8" t="s">
        <v>1609</v>
      </c>
    </row>
    <row r="2" spans="1:2">
      <c r="A2" t="str" cm="1">
        <f t="array" ref="A2:A11">_xlfn.LET(_xlpm.headers,Analysis_Data!$A$1:$Z$1,_xlpm.data,Analysis_Data!$A$2:$Z$301,_xlpm.valid,INDEX(_xlpm.data,,MATCH("Use_For_Analysis",_xlpm.headers,0))=1,_xlpm.party,INDEX(_xlpm.data,,MATCH("Winning_Party",_xlpm.headers,0)),_xlfn._xlws.SORT(_xlfn.UNIQUE(_xlfn._xlws.FILTER(_xlpm.party,_xlpm.valid))))</f>
        <v>BJP</v>
      </c>
      <c r="B2" s="9" cm="1">
        <f t="array" ref="B2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2))))</f>
        <v>16.699469261388767</v>
      </c>
    </row>
    <row r="3" spans="1:2">
      <c r="A3" t="str">
        <v>BKM</v>
      </c>
      <c r="B3" s="9" cm="1">
        <f t="array" ref="B3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3))))</f>
        <v>5.3453778678359702</v>
      </c>
    </row>
    <row r="4" spans="1:2">
      <c r="A4" t="str">
        <v>BNP</v>
      </c>
      <c r="B4" s="9" cm="1">
        <f t="array" ref="B4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4))))</f>
        <v>23.14536029245723</v>
      </c>
    </row>
    <row r="5" spans="1:2">
      <c r="A5" t="str">
        <v>GOP</v>
      </c>
      <c r="B5" s="9" cm="1">
        <f t="array" ref="B5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5))))</f>
        <v>8.9330885809585627</v>
      </c>
    </row>
    <row r="6" spans="1:2">
      <c r="A6" t="str">
        <v>GSA</v>
      </c>
      <c r="B6" s="9" cm="1">
        <f t="array" ref="B6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6))))</f>
        <v>40.915473181690537</v>
      </c>
    </row>
    <row r="7" spans="1:2">
      <c r="A7" t="str">
        <v>IAB</v>
      </c>
      <c r="B7" s="9" cm="1">
        <f t="array" ref="B7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7))))</f>
        <v>1.4998046564123342</v>
      </c>
    </row>
    <row r="8" spans="1:2">
      <c r="A8" t="str">
        <v>IND</v>
      </c>
      <c r="B8" s="9" cm="1">
        <f t="array" ref="B8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8))))</f>
        <v>11.960888967732368</v>
      </c>
    </row>
    <row r="9" spans="1:2">
      <c r="A9" t="str">
        <v>Jamaat</v>
      </c>
      <c r="B9" s="9" cm="1">
        <f t="array" ref="B9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9))))</f>
        <v>12.831808295743206</v>
      </c>
    </row>
    <row r="10" spans="1:2">
      <c r="A10" t="str">
        <v>KM</v>
      </c>
      <c r="B10" s="9" cm="1">
        <f t="array" ref="B10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10))))</f>
        <v>6.4246390708715264</v>
      </c>
    </row>
    <row r="11" spans="1:2">
      <c r="A11" t="str">
        <v>NCP</v>
      </c>
      <c r="B11" s="9" cm="1">
        <f t="array" ref="B11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11))))</f>
        <v>15.318031296659816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0BE5-B768-4A18-9741-C59ED8E9A1E8}">
  <dimension ref="A1:B11"/>
  <sheetViews>
    <sheetView workbookViewId="0">
      <selection activeCell="N9" sqref="N9"/>
    </sheetView>
  </sheetViews>
  <sheetFormatPr defaultRowHeight="15"/>
  <cols>
    <col min="1" max="1" width="13.42578125" bestFit="1" customWidth="1"/>
    <col min="2" max="2" width="16.140625" bestFit="1" customWidth="1"/>
  </cols>
  <sheetData>
    <row r="1" spans="1:2">
      <c r="A1" s="8" t="s">
        <v>1607</v>
      </c>
      <c r="B1" s="8" t="s">
        <v>1612</v>
      </c>
    </row>
    <row r="2" spans="1:2">
      <c r="A2" s="9" t="str" cm="1">
        <f t="array" ref="A2:A11">_xlfn.LET(_xlpm.headers,Analysis_Data!$A$1:$Z$1,_xlpm.data,Analysis_Data!$A$2:$Z$301,_xlpm.valid,INDEX(_xlpm.data,,MATCH("Use_For_Analysis",_xlpm.headers,0))=1,_xlpm.party,INDEX(_xlpm.data,,MATCH("Winning_Party",_xlpm.headers,0)),_xlfn._xlws.SORT(_xlfn.UNIQUE(_xlfn._xlws.FILTER(_xlpm.party,_xlpm.valid))))</f>
        <v>BJP</v>
      </c>
      <c r="B2" s="9" cm="1">
        <f t="array" ref="B2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2))))</f>
        <v>70.41</v>
      </c>
    </row>
    <row r="3" spans="1:2">
      <c r="A3" s="9" t="str">
        <v>BKM</v>
      </c>
      <c r="B3" s="9" cm="1">
        <f t="array" ref="B3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3))))</f>
        <v>69.984999999999999</v>
      </c>
    </row>
    <row r="4" spans="1:2">
      <c r="A4" s="9" t="str">
        <v>BNP</v>
      </c>
      <c r="B4" s="9" cm="1">
        <f t="array" ref="B4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4))))</f>
        <v>74.178529330133301</v>
      </c>
    </row>
    <row r="5" spans="1:2">
      <c r="A5" s="9" t="str">
        <v>GOP</v>
      </c>
      <c r="B5" s="9" cm="1">
        <f t="array" ref="B5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5))))</f>
        <v>72.560125447903829</v>
      </c>
    </row>
    <row r="6" spans="1:2">
      <c r="A6" s="9" t="str">
        <v>GSA</v>
      </c>
      <c r="B6" s="9" cm="1">
        <f t="array" ref="B6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6))))</f>
        <v>61.97</v>
      </c>
    </row>
    <row r="7" spans="1:2">
      <c r="A7" s="9" t="str">
        <v>IAB</v>
      </c>
      <c r="B7" s="9" cm="1">
        <f t="array" ref="B7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7))))</f>
        <v>78.903689483905879</v>
      </c>
    </row>
    <row r="8" spans="1:2">
      <c r="A8" s="9" t="str">
        <v>IND</v>
      </c>
      <c r="B8" s="9" cm="1">
        <f t="array" ref="B8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8))))</f>
        <v>71.935001528931096</v>
      </c>
    </row>
    <row r="9" spans="1:2">
      <c r="A9" s="9" t="str">
        <v>Jamaat</v>
      </c>
      <c r="B9" s="9" cm="1">
        <f t="array" ref="B9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9))))</f>
        <v>73.777828746873183</v>
      </c>
    </row>
    <row r="10" spans="1:2">
      <c r="A10" s="9" t="str">
        <v>KM</v>
      </c>
      <c r="B10" s="9" cm="1">
        <f t="array" ref="B10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10))))</f>
        <v>73.703470078631113</v>
      </c>
    </row>
    <row r="11" spans="1:2">
      <c r="A11" s="9" t="str">
        <v>NCP</v>
      </c>
      <c r="B11" s="9" cm="1">
        <f t="array" ref="B11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11))))</f>
        <v>77.229414219763257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0C7F-2198-40AE-9185-43D5514A9357}">
  <dimension ref="A1:B11"/>
  <sheetViews>
    <sheetView workbookViewId="0">
      <selection activeCell="M21" sqref="M21"/>
    </sheetView>
  </sheetViews>
  <sheetFormatPr defaultRowHeight="15"/>
  <cols>
    <col min="1" max="1" width="13.42578125" bestFit="1" customWidth="1"/>
    <col min="2" max="2" width="22" bestFit="1" customWidth="1"/>
  </cols>
  <sheetData>
    <row r="1" spans="1:2">
      <c r="A1" s="8" t="s">
        <v>1607</v>
      </c>
      <c r="B1" s="8" t="s">
        <v>1611</v>
      </c>
    </row>
    <row r="2" spans="1:2">
      <c r="A2" s="9" t="str" cm="1">
        <f t="array" ref="A2:A11">_xlfn.LET(_xlpm.headers,Analysis_Data!$A$1:$Z$1,_xlpm.data,Analysis_Data!$A$2:$Z$301,_xlpm.valid,INDEX(_xlpm.data,,MATCH("Use_For_Analysis",_xlpm.headers,0))=1,_xlpm.party,INDEX(_xlpm.data,,MATCH("Winning_Party",_xlpm.headers,0)),_xlfn._xlws.SORT(_xlfn.UNIQUE(_xlfn._xlws.FILTER(_xlpm.party,_xlpm.valid))))</f>
        <v>BJP</v>
      </c>
      <c r="B2" s="9" cm="1">
        <f t="array" ref="B2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2))))</f>
        <v>1264.1827947821639</v>
      </c>
    </row>
    <row r="3" spans="1:2">
      <c r="A3" s="9" t="str">
        <v>BKM</v>
      </c>
      <c r="B3" s="9" cm="1">
        <f t="array" ref="B3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3))))</f>
        <v>1190.1208319168541</v>
      </c>
    </row>
    <row r="4" spans="1:2">
      <c r="A4" s="9" t="str">
        <v>BNP</v>
      </c>
      <c r="B4" s="9" cm="1">
        <f t="array" ref="B4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4))))</f>
        <v>2863.6660178374464</v>
      </c>
    </row>
    <row r="5" spans="1:2">
      <c r="A5" s="9" t="str">
        <v>GOP</v>
      </c>
      <c r="B5" s="9" cm="1">
        <f t="array" ref="B5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5))))</f>
        <v>481.21696373693914</v>
      </c>
    </row>
    <row r="6" spans="1:2">
      <c r="A6" s="9" t="str">
        <v>GSA</v>
      </c>
      <c r="B6" s="9" cm="1">
        <f t="array" ref="B6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6))))</f>
        <v>1045.6771508699978</v>
      </c>
    </row>
    <row r="7" spans="1:2">
      <c r="A7" s="9" t="str">
        <v>IAB</v>
      </c>
      <c r="B7" s="9" cm="1">
        <f t="array" ref="B7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7))))</f>
        <v>493.231783919598</v>
      </c>
    </row>
    <row r="8" spans="1:2">
      <c r="A8" s="9" t="str">
        <v>IND</v>
      </c>
      <c r="B8" s="9" cm="1">
        <f t="array" ref="B8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8))))</f>
        <v>1159.4096102316171</v>
      </c>
    </row>
    <row r="9" spans="1:2">
      <c r="A9" s="9" t="str">
        <v>Jamaat</v>
      </c>
      <c r="B9" s="9" cm="1">
        <f t="array" ref="B9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9))))</f>
        <v>4249.3186288944516</v>
      </c>
    </row>
    <row r="10" spans="1:2">
      <c r="A10" s="9" t="str">
        <v>KM</v>
      </c>
      <c r="B10" s="9" cm="1">
        <f t="array" ref="B10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10))))</f>
        <v>811.34585506603059</v>
      </c>
    </row>
    <row r="11" spans="1:2">
      <c r="A11" s="9" t="str">
        <v>NCP</v>
      </c>
      <c r="B11" s="9" cm="1">
        <f t="array" ref="B11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11))))</f>
        <v>7820.4694468897687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A45A-C86E-44EA-8FEB-594A886B8413}">
  <dimension ref="A1:B11"/>
  <sheetViews>
    <sheetView workbookViewId="0">
      <selection activeCell="O23" sqref="O23"/>
    </sheetView>
  </sheetViews>
  <sheetFormatPr defaultRowHeight="15"/>
  <cols>
    <col min="1" max="1" width="13.42578125" bestFit="1" customWidth="1"/>
    <col min="2" max="2" width="15" bestFit="1" customWidth="1"/>
  </cols>
  <sheetData>
    <row r="1" spans="1:2">
      <c r="A1" s="1" t="s">
        <v>1607</v>
      </c>
      <c r="B1" s="8" t="s">
        <v>1613</v>
      </c>
    </row>
    <row r="2" spans="1:2">
      <c r="A2" t="str" cm="1">
        <f t="array" ref="A2:A11">_xlfn.LET(_xlpm.headers,Analysis_Data!$A$1:$Z$1,_xlpm.data,Analysis_Data!$A$2:$Z$301,_xlpm.valid,INDEX(_xlpm.data,,MATCH("Use_For_Analysis",_xlpm.headers,0))=1,_xlpm.party,INDEX(_xlpm.data,,MATCH("Winning_Party",_xlpm.headers,0)),_xlfn._xlws.SORT(_xlfn.UNIQUE(_xlfn._xlws.FILTER(_xlpm.party,_xlpm.valid))))</f>
        <v>BJP</v>
      </c>
      <c r="B2" s="9" cm="1">
        <f t="array" ref="B2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2))))</f>
        <v>112.01964836613054</v>
      </c>
    </row>
    <row r="3" spans="1:2">
      <c r="A3" t="str">
        <v>BKM</v>
      </c>
      <c r="B3" s="9" cm="1">
        <f t="array" ref="B3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3))))</f>
        <v>85.898215647491469</v>
      </c>
    </row>
    <row r="4" spans="1:2">
      <c r="A4" t="str">
        <v>BNP</v>
      </c>
      <c r="B4" s="9" cm="1">
        <f t="array" ref="B4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4))))</f>
        <v>92.398982489649015</v>
      </c>
    </row>
    <row r="5" spans="1:2">
      <c r="A5" t="str">
        <v>GOP</v>
      </c>
      <c r="B5" s="9" cm="1">
        <f t="array" ref="B5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5))))</f>
        <v>112.01964836613053</v>
      </c>
    </row>
    <row r="6" spans="1:2">
      <c r="A6" t="str">
        <v>GSA</v>
      </c>
      <c r="B6" s="9" cm="1">
        <f t="array" ref="B6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6))))</f>
        <v>84.879645400600893</v>
      </c>
    </row>
    <row r="7" spans="1:2">
      <c r="A7" t="str">
        <v>IAB</v>
      </c>
      <c r="B7" s="9" cm="1">
        <f t="array" ref="B7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7))))</f>
        <v>112.01964836613054</v>
      </c>
    </row>
    <row r="8" spans="1:2">
      <c r="A8" t="str">
        <v>IND</v>
      </c>
      <c r="B8" s="9" cm="1">
        <f t="array" ref="B8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8))))</f>
        <v>88.057343771773006</v>
      </c>
    </row>
    <row r="9" spans="1:2">
      <c r="A9" t="str">
        <v>Jamaat</v>
      </c>
      <c r="B9" s="9" cm="1">
        <f t="array" ref="B9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9))))</f>
        <v>100.86587101837797</v>
      </c>
    </row>
    <row r="10" spans="1:2">
      <c r="A10" t="str">
        <v>KM</v>
      </c>
      <c r="B10" s="9" cm="1">
        <f t="array" ref="B10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10))))</f>
        <v>74.251724391082064</v>
      </c>
    </row>
    <row r="11" spans="1:2">
      <c r="A11" t="str">
        <v>NCP</v>
      </c>
      <c r="B11" s="9" cm="1">
        <f t="array" ref="B11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11))))</f>
        <v>91.281169309948169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A332-9EF1-4526-8BDE-5010EAB083B3}">
  <dimension ref="A1:B11"/>
  <sheetViews>
    <sheetView workbookViewId="0">
      <selection activeCell="M14" sqref="M14"/>
    </sheetView>
  </sheetViews>
  <sheetFormatPr defaultRowHeight="15"/>
  <cols>
    <col min="1" max="1" width="13.42578125" bestFit="1" customWidth="1"/>
    <col min="2" max="2" width="17.28515625" bestFit="1" customWidth="1"/>
  </cols>
  <sheetData>
    <row r="1" spans="1:2">
      <c r="A1" s="6" t="s">
        <v>1607</v>
      </c>
      <c r="B1" s="6" t="s">
        <v>1614</v>
      </c>
    </row>
    <row r="2" spans="1:2">
      <c r="A2" s="7" t="str" cm="1">
        <f t="array" ref="A2:A11">_xlfn.LET(_xlpm.headers,Analysis_Data!$A$1:$Z$1,_xlpm.data,Analysis_Data!$A$2:$Z$301,_xlpm.valid,INDEX(_xlpm.data,,MATCH("Use_For_Analysis",_xlpm.headers,0))=1,_xlpm.party,INDEX(_xlpm.data,,MATCH("Winning_Party",_xlpm.headers,0)),_xlfn._xlws.SORT(_xlfn.UNIQUE(_xlfn._xlws.FILTER(_xlpm.party,_xlpm.valid))))</f>
        <v>BJP</v>
      </c>
      <c r="B2" s="7" cm="1">
        <f t="array" ref="B2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2))))</f>
        <v>22.37167391269287</v>
      </c>
    </row>
    <row r="3" spans="1:2">
      <c r="A3" s="7" t="str">
        <v>BKM</v>
      </c>
      <c r="B3" s="7" cm="1">
        <f t="array" ref="B3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3))))</f>
        <v>13.859490057713691</v>
      </c>
    </row>
    <row r="4" spans="1:2">
      <c r="A4" s="7" t="str">
        <v>BNP</v>
      </c>
      <c r="B4" s="7" cm="1">
        <f t="array" ref="B4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4))))</f>
        <v>13.449144554745546</v>
      </c>
    </row>
    <row r="5" spans="1:2">
      <c r="A5" s="7" t="str">
        <v>GOP</v>
      </c>
      <c r="B5" s="7" cm="1">
        <f t="array" ref="B5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5))))</f>
        <v>22.37167391269287</v>
      </c>
    </row>
    <row r="6" spans="1:2">
      <c r="A6" s="7" t="str">
        <v>GSA</v>
      </c>
      <c r="B6" s="7" cm="1">
        <f t="array" ref="B6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6))))</f>
        <v>10.309673910686193</v>
      </c>
    </row>
    <row r="7" spans="1:2">
      <c r="A7" s="7" t="str">
        <v>IAB</v>
      </c>
      <c r="B7" s="7" cm="1">
        <f t="array" ref="B7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7))))</f>
        <v>22.37167391269287</v>
      </c>
    </row>
    <row r="8" spans="1:2">
      <c r="A8" s="7" t="str">
        <v>IND</v>
      </c>
      <c r="B8" s="7" cm="1">
        <f t="array" ref="B8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8))))</f>
        <v>12.303895837844964</v>
      </c>
    </row>
    <row r="9" spans="1:2">
      <c r="A9" s="7" t="str">
        <v>Jamaat</v>
      </c>
      <c r="B9" s="7" cm="1">
        <f t="array" ref="B9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9))))</f>
        <v>13.740588659382571</v>
      </c>
    </row>
    <row r="10" spans="1:2">
      <c r="A10" s="7" t="str">
        <v>KM</v>
      </c>
      <c r="B10" s="7" cm="1">
        <f t="array" ref="B10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10))))</f>
        <v>9.6171122896887518</v>
      </c>
    </row>
    <row r="11" spans="1:2">
      <c r="A11" s="7" t="str">
        <v>NCP</v>
      </c>
      <c r="B11" s="7" cm="1">
        <f t="array" ref="B11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11))))</f>
        <v>13.189512063397864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BDB4-9647-435C-A908-96A21BAE038E}">
  <dimension ref="A1:B11"/>
  <sheetViews>
    <sheetView workbookViewId="0">
      <selection activeCell="M13" sqref="M13"/>
    </sheetView>
  </sheetViews>
  <sheetFormatPr defaultRowHeight="15"/>
  <cols>
    <col min="1" max="1" width="13.42578125" bestFit="1" customWidth="1"/>
    <col min="2" max="2" width="18.5703125" bestFit="1" customWidth="1"/>
  </cols>
  <sheetData>
    <row r="1" spans="1:2">
      <c r="A1" s="1" t="s">
        <v>1607</v>
      </c>
      <c r="B1" s="1" t="s">
        <v>1616</v>
      </c>
    </row>
    <row r="2" spans="1:2">
      <c r="A2" t="str" cm="1">
        <f t="array" ref="A2:A11">_xlfn.LET(_xlpm.headers,Analysis_Data!$A$1:$Z$1,_xlpm.data,Analysis_Data!$A$2:$Z$301,_xlpm.valid,INDEX(_xlpm.data,,MATCH("Use_For_Analysis",_xlpm.headers,0))=1,_xlpm.party,INDEX(_xlpm.data,,MATCH("Winning_Party",_xlpm.headers,0)),_xlfn._xlws.SORT(_xlfn.UNIQUE(_xlfn._xlws.FILTER(_xlpm.party,_xlpm.valid))))</f>
        <v>BJP</v>
      </c>
      <c r="B2" s="7" cm="1">
        <f t="array" ref="B2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2))))</f>
        <v>4.29</v>
      </c>
    </row>
    <row r="3" spans="1:2">
      <c r="A3" t="str">
        <v>BKM</v>
      </c>
      <c r="B3" s="7" cm="1">
        <f t="array" ref="B3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3))))</f>
        <v>4.01</v>
      </c>
    </row>
    <row r="4" spans="1:2">
      <c r="A4" t="str">
        <v>BNP</v>
      </c>
      <c r="B4" s="7" cm="1">
        <f t="array" ref="B4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4))))</f>
        <v>4.0845922771323808</v>
      </c>
    </row>
    <row r="5" spans="1:2">
      <c r="A5" t="str">
        <v>GOP</v>
      </c>
      <c r="B5" s="7" cm="1">
        <f t="array" ref="B5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5))))</f>
        <v>3.947887147976044</v>
      </c>
    </row>
    <row r="6" spans="1:2">
      <c r="A6" t="str">
        <v>GSA</v>
      </c>
      <c r="B6" s="7" cm="1">
        <f t="array" ref="B6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6))))</f>
        <v>4.83</v>
      </c>
    </row>
    <row r="7" spans="1:2">
      <c r="A7" t="str">
        <v>IAB</v>
      </c>
      <c r="B7" s="7" cm="1">
        <f t="array" ref="B7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7))))</f>
        <v>3.972032283740329</v>
      </c>
    </row>
    <row r="8" spans="1:2">
      <c r="A8" t="str">
        <v>IND</v>
      </c>
      <c r="B8" s="7" cm="1">
        <f t="array" ref="B8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8))))</f>
        <v>4.0664952509409256</v>
      </c>
    </row>
    <row r="9" spans="1:2">
      <c r="A9" t="str">
        <v>Jamaat</v>
      </c>
      <c r="B9" s="7" cm="1">
        <f t="array" ref="B9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9))))</f>
        <v>3.8661651113325517</v>
      </c>
    </row>
    <row r="10" spans="1:2">
      <c r="A10" t="str">
        <v>KM</v>
      </c>
      <c r="B10" s="7" cm="1">
        <f t="array" ref="B10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10))))</f>
        <v>5.2094138827765555</v>
      </c>
    </row>
    <row r="11" spans="1:2">
      <c r="A11" t="str">
        <v>NCP</v>
      </c>
      <c r="B11" s="7" cm="1">
        <f t="array" ref="B11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11))))</f>
        <v>3.9613324158861953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741B-4B6E-4F73-856F-738AF6C81085}">
  <dimension ref="A1:I3"/>
  <sheetViews>
    <sheetView zoomScaleNormal="100" workbookViewId="0">
      <selection activeCell="H18" sqref="H18"/>
    </sheetView>
  </sheetViews>
  <sheetFormatPr defaultRowHeight="15"/>
  <cols>
    <col min="1" max="1" width="13.140625" bestFit="1" customWidth="1"/>
    <col min="2" max="2" width="19.5703125" bestFit="1" customWidth="1"/>
    <col min="3" max="3" width="22.140625" bestFit="1" customWidth="1"/>
    <col min="4" max="4" width="11.5703125" bestFit="1" customWidth="1"/>
    <col min="5" max="5" width="22.140625" bestFit="1" customWidth="1"/>
    <col min="6" max="6" width="16.28515625" bestFit="1" customWidth="1"/>
    <col min="7" max="7" width="15.140625" bestFit="1" customWidth="1"/>
    <col min="8" max="8" width="17.42578125" bestFit="1" customWidth="1"/>
    <col min="9" max="9" width="18.7109375" bestFit="1" customWidth="1"/>
    <col min="10" max="10" width="2" bestFit="1" customWidth="1"/>
  </cols>
  <sheetData>
    <row r="1" spans="1:9">
      <c r="A1" s="1" t="s">
        <v>1617</v>
      </c>
      <c r="B1" s="1" t="s">
        <v>1606</v>
      </c>
      <c r="C1" s="1" t="s">
        <v>1608</v>
      </c>
      <c r="D1" s="1" t="s">
        <v>1609</v>
      </c>
      <c r="E1" s="1" t="s">
        <v>1611</v>
      </c>
      <c r="F1" s="1" t="s">
        <v>1612</v>
      </c>
      <c r="G1" s="1" t="s">
        <v>1613</v>
      </c>
      <c r="H1" s="1" t="s">
        <v>1614</v>
      </c>
      <c r="I1" s="1" t="s">
        <v>1616</v>
      </c>
    </row>
    <row r="2" spans="1:9">
      <c r="A2" s="1" t="s">
        <v>1618</v>
      </c>
      <c r="B2" s="10" cm="1">
        <f t="array" ref="B2">_xlfn.LET(_xlpm.headers,Analysis_Data!$A$1:$Z$1,_xlpm.data,Analysis_Data!$A$2:$Z$301,_xlpm.valid,INDEX(_xlpm.data,,MATCH("Use_For_Analysis",_xlpm.headers,0))=1,_xlpm.metro,INDEX(_xlpm.data,,MATCH("Metro",_xlpm.headers,0)),_xlpm.m,IF($A2="Metro",1,0),COUNT(_xlfn._xlws.FILTER(_xlpm.metro,(_xlpm.valid)*(_xlpm.metro=_xlpm.m))))</f>
        <v>263</v>
      </c>
      <c r="C2" s="11" cm="1">
        <f t="array" ref="C2">_xlfn.LET(_xlpm.headers,Analysis_Data!$A$1:$Z$1,_xlpm.data,Analysis_Data!$A$2:$Z$301,_xlpm.valid,INDEX(_xlpm.data,,MATCH("Use_For_Analysis",_xlpm.headers,0))=1,_xlpm.metro,INDEX(_xlpm.data,,MATCH("Metro",_xlpm.headers,0)),_xlpm.m,IF($A2="Metro",1,0),_xlpm.x,INDEX(_xlpm.data,,MATCH("Winner_Vote_Share",_xlpm.headers,0)),AVERAGE(_xlfn._xlws.FILTER(_xlpm.x,(_xlpm.valid)*(_xlpm.metro=_xlpm.m))))</f>
        <v>60.449157746013064</v>
      </c>
      <c r="D2" s="7" cm="1">
        <f t="array" ref="D2">_xlfn.LET(_xlpm.headers,Analysis_Data!$A$1:$Z$1,_xlpm.data,Analysis_Data!$A$2:$Z$301,_xlpm.valid,INDEX(_xlpm.data,,MATCH("Use_For_Analysis",_xlpm.headers,0))=1,_xlpm.metro,INDEX(_xlpm.data,,MATCH("Metro",_xlpm.headers,0)),_xlpm.m,IF($A2="Metro",1,0),_xlpm.x,INDEX(_xlpm.data,,MATCH("Margin_Percentage",_xlpm.headers,0)),AVERAGE(_xlfn._xlws.FILTER(_xlpm.x,(_xlpm.valid)*(_xlpm.metro=_xlpm.m))))</f>
        <v>20.898315492026214</v>
      </c>
      <c r="E2" s="7" cm="1">
        <f t="array" ref="E2">_xlfn.LET(_xlpm.headers,Analysis_Data!$A$1:$Z$1,_xlpm.data,Analysis_Data!$A$2:$Z$301,_xlpm.valid,INDEX(_xlpm.data,,MATCH("Use_For_Analysis",_xlpm.headers,0))=1,_xlpm.metro,INDEX(_xlpm.data,,MATCH("Metro",_xlpm.headers,0)),_xlpm.m,IF($A2="Metro",1,0),_xlpm.x,INDEX(_xlpm.data,,MATCH("Population_Density",_xlpm.headers,0)),AVERAGE(_xlfn._xlws.FILTER(_xlpm.x,(_xlpm.valid)*(_xlpm.metro=_xlpm.m))))</f>
        <v>1228.724547891055</v>
      </c>
      <c r="F2" s="7" cm="1">
        <f t="array" ref="F2">_xlfn.LET(_xlpm.headers,Analysis_Data!$A$1:$Z$1,_xlpm.data,Analysis_Data!$A$2:$Z$301,_xlpm.valid,INDEX(_xlpm.data,,MATCH("Use_For_Analysis",_xlpm.headers,0))=1,_xlpm.metro,INDEX(_xlpm.data,,MATCH("Metro",_xlpm.headers,0)),_xlpm.m,IF($A2="Metro",1,0),_xlpm.x,INDEX(_xlpm.data,,MATCH("Literacy_Rate",_xlpm.headers,0)),AVERAGE(_xlfn._xlws.FILTER(_xlpm.x,(_xlpm.valid)*(_xlpm.metro=_xlpm.m))))</f>
        <v>72.841998324036652</v>
      </c>
      <c r="G2" s="7" cm="1">
        <f t="array" ref="G2">_xlfn.LET(_xlpm.headers,Analysis_Data!$A$1:$Z$1,_xlpm.data,Analysis_Data!$A$2:$Z$301,_xlpm.valid,INDEX(_xlpm.data,,MATCH("Use_For_Analysis",_xlpm.headers,0))=1,_xlpm.metro,INDEX(_xlpm.data,,MATCH("Metro",_xlpm.headers,0)),_xlpm.m,IF($A2="Metro",1,0),_xlpm.x,INDEX(_xlpm.data,,MATCH("Total_Crime_per_100k",_xlpm.headers,0)),AVERAGE(_xlfn._xlws.FILTER(_xlpm.x,(_xlpm.valid)*(_xlpm.metro=_xlpm.m))))</f>
        <v>95.013293328672106</v>
      </c>
      <c r="H2" s="7" cm="1">
        <f t="array" ref="H2">_xlfn.LET(_xlpm.headers,Analysis_Data!$A$1:$Z$1,_xlpm.data,Analysis_Data!$A$2:$Z$301,_xlpm.valid,INDEX(_xlpm.data,,MATCH("Use_For_Analysis",_xlpm.headers,0))=1,_xlpm.metro,INDEX(_xlpm.data,,MATCH("Metro",_xlpm.headers,0)),_xlpm.m,IF($A2="Metro",1,0),_xlpm.x,INDEX(_xlpm.data,,MATCH("Violent_Crime_per_100k",_xlpm.headers,0)),AVERAGE(_xlfn._xlws.FILTER(_xlpm.x,(_xlpm.valid)*(_xlpm.metro=_xlpm.m))))</f>
        <v>13.574090840687969</v>
      </c>
      <c r="I2" s="7" cm="1">
        <f t="array" ref="I2">_xlfn.LET(_xlpm.headers,Analysis_Data!$A$1:$Z$1,_xlpm.data,Analysis_Data!$A$2:$Z$301,_xlpm.valid,INDEX(_xlpm.data,,MATCH("Use_For_Analysis",_xlpm.headers,0))=1,_xlpm.metro,INDEX(_xlpm.data,,MATCH("Metro",_xlpm.headers,0)),_xlpm.m,IF($A2="Metro",1,0),_xlpm.x,INDEX(_xlpm.data,,MATCH("Household_Size",_xlpm.headers,0)),AVERAGE(_xlfn._xlws.FILTER(_xlpm.x,(_xlpm.valid)*(_xlpm.metro=_xlpm.m))))</f>
        <v>4.0603699142935419</v>
      </c>
    </row>
    <row r="3" spans="1:9">
      <c r="A3" s="1" t="s">
        <v>1599</v>
      </c>
      <c r="B3" s="10" cm="1">
        <f t="array" ref="B3">_xlfn.LET(_xlpm.headers,Analysis_Data!$A$1:$Z$1,_xlpm.data,Analysis_Data!$A$2:$Z$301,_xlpm.valid,INDEX(_xlpm.data,,MATCH("Use_For_Analysis",_xlpm.headers,0))=1,_xlpm.metro,INDEX(_xlpm.data,,MATCH("Metro",_xlpm.headers,0)),_xlpm.m,IF($A3="Metro",1,0),COUNT(_xlfn._xlws.FILTER(_xlpm.metro,(_xlpm.valid)*(_xlpm.metro=_xlpm.m))))</f>
        <v>34</v>
      </c>
      <c r="C3" s="11" cm="1">
        <f t="array" ref="C3">_xlfn.LET(_xlpm.headers,Analysis_Data!$A$1:$Z$1,_xlpm.data,Analysis_Data!$A$2:$Z$301,_xlpm.valid,INDEX(_xlpm.data,,MATCH("Use_For_Analysis",_xlpm.headers,0))=1,_xlpm.metro,INDEX(_xlpm.data,,MATCH("Metro",_xlpm.headers,0)),_xlpm.m,IF($A3="Metro",1,0),_xlpm.x,INDEX(_xlpm.data,,MATCH("Winner_Vote_Share",_xlpm.headers,0)),AVERAGE(_xlfn._xlws.FILTER(_xlpm.x,(_xlpm.valid)*(_xlpm.metro=_xlpm.m))))</f>
        <v>57.142182399956013</v>
      </c>
      <c r="D3" s="7" cm="1">
        <f t="array" ref="D3">_xlfn.LET(_xlpm.headers,Analysis_Data!$A$1:$Z$1,_xlpm.data,Analysis_Data!$A$2:$Z$301,_xlpm.valid,INDEX(_xlpm.data,,MATCH("Use_For_Analysis",_xlpm.headers,0))=1,_xlpm.metro,INDEX(_xlpm.data,,MATCH("Metro",_xlpm.headers,0)),_xlpm.m,IF($A3="Metro",1,0),_xlpm.x,INDEX(_xlpm.data,,MATCH("Margin_Percentage",_xlpm.headers,0)),AVERAGE(_xlfn._xlws.FILTER(_xlpm.x,(_xlpm.valid)*(_xlpm.metro=_xlpm.m))))</f>
        <v>14.284364799912012</v>
      </c>
      <c r="E3" s="7" cm="1">
        <f t="array" ref="E3">_xlfn.LET(_xlpm.headers,Analysis_Data!$A$1:$Z$1,_xlpm.data,Analysis_Data!$A$2:$Z$301,_xlpm.valid,INDEX(_xlpm.data,,MATCH("Use_For_Analysis",_xlpm.headers,0))=1,_xlpm.metro,INDEX(_xlpm.data,,MATCH("Metro",_xlpm.headers,0)),_xlpm.m,IF($A3="Metro",1,0),_xlpm.x,INDEX(_xlpm.data,,MATCH("Population_Density",_xlpm.headers,0)),AVERAGE(_xlfn._xlws.FILTER(_xlpm.x,(_xlpm.valid)*(_xlpm.metro=_xlpm.m))))</f>
        <v>18456.592499125745</v>
      </c>
      <c r="F3" s="7" cm="1">
        <f t="array" ref="F3">_xlfn.LET(_xlpm.headers,Analysis_Data!$A$1:$Z$1,_xlpm.data,Analysis_Data!$A$2:$Z$301,_xlpm.valid,INDEX(_xlpm.data,,MATCH("Use_For_Analysis",_xlpm.headers,0))=1,_xlpm.metro,INDEX(_xlpm.data,,MATCH("Metro",_xlpm.headers,0)),_xlpm.m,IF($A3="Metro",1,0),_xlpm.x,INDEX(_xlpm.data,,MATCH("Literacy_Rate",_xlpm.headers,0)),AVERAGE(_xlfn._xlws.FILTER(_xlpm.x,(_xlpm.valid)*(_xlpm.metro=_xlpm.m))))</f>
        <v>83.218874541068502</v>
      </c>
      <c r="G3" s="7" cm="1">
        <f t="array" ref="G3">_xlfn.LET(_xlpm.headers,Analysis_Data!$A$1:$Z$1,_xlpm.data,Analysis_Data!$A$2:$Z$301,_xlpm.valid,INDEX(_xlpm.data,,MATCH("Use_For_Analysis",_xlpm.headers,0))=1,_xlpm.metro,INDEX(_xlpm.data,,MATCH("Metro",_xlpm.headers,0)),_xlpm.m,IF($A3="Metro",1,0),_xlpm.x,INDEX(_xlpm.data,,MATCH("Total_Crime_per_100k",_xlpm.headers,0)),AVERAGE(_xlfn._xlws.FILTER(_xlpm.x,(_xlpm.valid)*(_xlpm.metro=_xlpm.m))))</f>
        <v>88.740800920901947</v>
      </c>
      <c r="H3" s="7" cm="1">
        <f t="array" ref="H3">_xlfn.LET(_xlpm.headers,Analysis_Data!$A$1:$Z$1,_xlpm.data,Analysis_Data!$A$2:$Z$301,_xlpm.valid,INDEX(_xlpm.data,,MATCH("Use_For_Analysis",_xlpm.headers,0))=1,_xlpm.metro,INDEX(_xlpm.data,,MATCH("Metro",_xlpm.headers,0)),_xlpm.m,IF($A3="Metro",1,0),_xlpm.x,INDEX(_xlpm.data,,MATCH("Violent_Crime_per_100k",_xlpm.headers,0)),AVERAGE(_xlfn._xlws.FILTER(_xlpm.x,(_xlpm.valid)*(_xlpm.metro=_xlpm.m))))</f>
        <v>13.42399204985246</v>
      </c>
      <c r="I3" s="7" cm="1">
        <f t="array" ref="I3">_xlfn.LET(_xlpm.headers,Analysis_Data!$A$1:$Z$1,_xlpm.data,Analysis_Data!$A$2:$Z$301,_xlpm.valid,INDEX(_xlpm.data,,MATCH("Use_For_Analysis",_xlpm.headers,0))=1,_xlpm.metro,INDEX(_xlpm.data,,MATCH("Metro",_xlpm.headers,0)),_xlpm.m,IF($A3="Metro",1,0),_xlpm.x,INDEX(_xlpm.data,,MATCH("Household_Size",_xlpm.headers,0)),AVERAGE(_xlfn._xlws.FILTER(_xlpm.x,(_xlpm.valid)*(_xlpm.metro=_xlpm.m))))</f>
        <v>3.8594887536666902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33AF-7EDC-43B4-8B65-584BCBFD7076}">
  <dimension ref="A1:B298"/>
  <sheetViews>
    <sheetView zoomScaleNormal="100" workbookViewId="0">
      <selection activeCell="O15" sqref="O15"/>
    </sheetView>
  </sheetViews>
  <sheetFormatPr defaultRowHeight="15"/>
  <cols>
    <col min="1" max="1" width="12.85546875" bestFit="1" customWidth="1"/>
    <col min="2" max="2" width="19.42578125" bestFit="1" customWidth="1"/>
  </cols>
  <sheetData>
    <row r="1" spans="1:2">
      <c r="A1" s="1" t="s">
        <v>1466</v>
      </c>
      <c r="B1" s="12" t="s">
        <v>1458</v>
      </c>
    </row>
    <row r="2" spans="1:2">
      <c r="A2" s="7" cm="1">
        <f t="array" ref="A2:B298">_xlfn.LET(_xlpm.headers,Analysis_Data!$A$1:$Z$1,_xlpm.data,Analysis_Data!$A$2:$Z$301,_xlpm.valid,INDEX(_xlpm.data,,MATCH("Use_For_Analysis",_xlpm.headers,0))=1,_xlfn.HSTACK(_xlfn._xlws.FILTER(INDEX(_xlpm.data,,MATCH("Literacy_Rate",_xlpm.headers,0)),_xlpm.valid),_xlfn._xlws.FILTER(INDEX(_xlpm.data,,MATCH("Winner_Vote_Share",_xlpm.headers,0)),_xlpm.valid)))</f>
        <v>79.89585147779853</v>
      </c>
      <c r="B2" s="7">
        <v>50.690963985335344</v>
      </c>
    </row>
    <row r="3" spans="1:2">
      <c r="A3" s="7">
        <v>78.17207974852046</v>
      </c>
      <c r="B3" s="7">
        <v>63.931283198818143</v>
      </c>
    </row>
    <row r="4" spans="1:2">
      <c r="A4" s="7">
        <v>81.073164767359827</v>
      </c>
      <c r="B4" s="7">
        <v>55.131544323375095</v>
      </c>
    </row>
    <row r="5" spans="1:2">
      <c r="A5" s="7">
        <v>82.420112032581045</v>
      </c>
      <c r="B5" s="7">
        <v>54.137495160756174</v>
      </c>
    </row>
    <row r="6" spans="1:2">
      <c r="A6" s="7">
        <v>63.630035585635206</v>
      </c>
      <c r="B6" s="7">
        <v>84.391797967986534</v>
      </c>
    </row>
    <row r="7" spans="1:2">
      <c r="A7" s="7">
        <v>78.903689483905879</v>
      </c>
      <c r="B7" s="7">
        <v>50.749902328206161</v>
      </c>
    </row>
    <row r="8" spans="1:2">
      <c r="A8" s="7">
        <v>84.006045822511751</v>
      </c>
      <c r="B8" s="7">
        <v>51.533913241230309</v>
      </c>
    </row>
    <row r="9" spans="1:2">
      <c r="A9" s="7">
        <v>79.912193512949528</v>
      </c>
      <c r="B9" s="7">
        <v>68.488914620440681</v>
      </c>
    </row>
    <row r="10" spans="1:2">
      <c r="A10" s="7">
        <v>81.441161231640734</v>
      </c>
      <c r="B10" s="7">
        <v>65.655713385009079</v>
      </c>
    </row>
    <row r="11" spans="1:2">
      <c r="A11" s="7">
        <v>80.010000000000005</v>
      </c>
      <c r="B11" s="7">
        <v>56.944033998958645</v>
      </c>
    </row>
    <row r="12" spans="1:2">
      <c r="A12" s="7">
        <v>71.23</v>
      </c>
      <c r="B12" s="7">
        <v>63.210939578140547</v>
      </c>
    </row>
    <row r="13" spans="1:2">
      <c r="A13" s="7">
        <v>79.930000000000007</v>
      </c>
      <c r="B13" s="7">
        <v>58.710630348842265</v>
      </c>
    </row>
    <row r="14" spans="1:2">
      <c r="A14" s="7">
        <v>72.296926837628433</v>
      </c>
      <c r="B14" s="7">
        <v>59.489164646720447</v>
      </c>
    </row>
    <row r="15" spans="1:2">
      <c r="A15" s="7">
        <v>70.41</v>
      </c>
      <c r="B15" s="7">
        <v>58.349734630694385</v>
      </c>
    </row>
    <row r="16" spans="1:2">
      <c r="A16" s="7">
        <v>68.242737395441807</v>
      </c>
      <c r="B16" s="7">
        <v>55.964152113841003</v>
      </c>
    </row>
    <row r="17" spans="1:2">
      <c r="A17" s="7">
        <v>63.946461576224635</v>
      </c>
      <c r="B17" s="7">
        <v>71.795653606503365</v>
      </c>
    </row>
    <row r="18" spans="1:2">
      <c r="A18" s="7">
        <v>67.62</v>
      </c>
      <c r="B18" s="7">
        <v>69.925919907824579</v>
      </c>
    </row>
    <row r="19" spans="1:2">
      <c r="A19" s="7">
        <v>65.642543915681884</v>
      </c>
      <c r="B19" s="7">
        <v>74.734414709741543</v>
      </c>
    </row>
    <row r="20" spans="1:2">
      <c r="A20" s="7">
        <v>67.760000000000005</v>
      </c>
      <c r="B20" s="7">
        <v>60.788357393155948</v>
      </c>
    </row>
    <row r="21" spans="1:2">
      <c r="A21" s="7">
        <v>83.63</v>
      </c>
      <c r="B21" s="7">
        <v>53.434941618574683</v>
      </c>
    </row>
    <row r="22" spans="1:2">
      <c r="A22" s="7">
        <v>73.605869812687573</v>
      </c>
      <c r="B22" s="7">
        <v>58.76996182614058</v>
      </c>
    </row>
    <row r="23" spans="1:2">
      <c r="A23" s="7">
        <v>65.565731246174124</v>
      </c>
      <c r="B23" s="7">
        <v>63.452329346966877</v>
      </c>
    </row>
    <row r="24" spans="1:2">
      <c r="A24" s="7">
        <v>78.849999999999994</v>
      </c>
      <c r="B24" s="7">
        <v>68.90000318562646</v>
      </c>
    </row>
    <row r="25" spans="1:2">
      <c r="A25" s="7">
        <v>74.087461667472326</v>
      </c>
      <c r="B25" s="7">
        <v>69.369376465368077</v>
      </c>
    </row>
    <row r="26" spans="1:2">
      <c r="A26" s="7">
        <v>70.87</v>
      </c>
      <c r="B26" s="7">
        <v>65.909090909090907</v>
      </c>
    </row>
    <row r="27" spans="1:2">
      <c r="A27" s="7">
        <v>70.091238056791468</v>
      </c>
      <c r="B27" s="7">
        <v>59.577045044501745</v>
      </c>
    </row>
    <row r="28" spans="1:2">
      <c r="A28" s="7">
        <v>76.171140220971296</v>
      </c>
      <c r="B28" s="7">
        <v>77.020240059077906</v>
      </c>
    </row>
    <row r="29" spans="1:2">
      <c r="A29" s="7">
        <v>76.933598617034406</v>
      </c>
      <c r="B29" s="7">
        <v>60.370923596301132</v>
      </c>
    </row>
    <row r="30" spans="1:2">
      <c r="A30" s="7">
        <v>68.55</v>
      </c>
      <c r="B30" s="7">
        <v>50.311185673140656</v>
      </c>
    </row>
    <row r="31" spans="1:2">
      <c r="A31" s="7">
        <v>61.97</v>
      </c>
      <c r="B31" s="7">
        <v>70.457736590845272</v>
      </c>
    </row>
    <row r="32" spans="1:2">
      <c r="A32" s="7">
        <v>75.02</v>
      </c>
      <c r="B32" s="7">
        <v>65.404129793510322</v>
      </c>
    </row>
    <row r="33" spans="1:2">
      <c r="A33" s="7">
        <v>76.471034003659099</v>
      </c>
      <c r="B33" s="7">
        <v>75.009457385239514</v>
      </c>
    </row>
    <row r="34" spans="1:2">
      <c r="A34" s="7">
        <v>79.03</v>
      </c>
      <c r="B34" s="7">
        <v>62.119135160307806</v>
      </c>
    </row>
    <row r="35" spans="1:2">
      <c r="A35" s="7">
        <v>79.890000000000015</v>
      </c>
      <c r="B35" s="7">
        <v>51.751203516360846</v>
      </c>
    </row>
    <row r="36" spans="1:2">
      <c r="A36" s="7">
        <v>81.234312007011383</v>
      </c>
      <c r="B36" s="7">
        <v>71.018600802868264</v>
      </c>
    </row>
    <row r="37" spans="1:2">
      <c r="A37" s="7">
        <v>67.760000000000005</v>
      </c>
      <c r="B37" s="7">
        <v>56.00663764726265</v>
      </c>
    </row>
    <row r="38" spans="1:2">
      <c r="A38" s="7">
        <v>72.07763162212045</v>
      </c>
      <c r="B38" s="7">
        <v>52.46793280751104</v>
      </c>
    </row>
    <row r="39" spans="1:2">
      <c r="A39" s="7">
        <v>74.23</v>
      </c>
      <c r="B39" s="7">
        <v>59.884361668198196</v>
      </c>
    </row>
    <row r="40" spans="1:2">
      <c r="A40" s="7">
        <v>79.61</v>
      </c>
      <c r="B40" s="7">
        <v>60.373493580579087</v>
      </c>
    </row>
    <row r="41" spans="1:2">
      <c r="A41" s="7">
        <v>84.57</v>
      </c>
      <c r="B41" s="7">
        <v>61.520683151823185</v>
      </c>
    </row>
    <row r="42" spans="1:2">
      <c r="A42" s="7">
        <v>78.5</v>
      </c>
      <c r="B42" s="7">
        <v>60.202927133070375</v>
      </c>
    </row>
    <row r="43" spans="1:2">
      <c r="A43" s="7">
        <v>81.099999999999994</v>
      </c>
      <c r="B43" s="7">
        <v>82.32231792883573</v>
      </c>
    </row>
    <row r="44" spans="1:2">
      <c r="A44" s="7">
        <v>76.386680944762688</v>
      </c>
      <c r="B44" s="7">
        <v>71.037254703279629</v>
      </c>
    </row>
    <row r="45" spans="1:2">
      <c r="A45" s="7">
        <v>80.429298856417134</v>
      </c>
      <c r="B45" s="7">
        <v>50.337588839168198</v>
      </c>
    </row>
    <row r="46" spans="1:2">
      <c r="A46" s="7">
        <v>82.41</v>
      </c>
      <c r="B46" s="7">
        <v>57.528938164942524</v>
      </c>
    </row>
    <row r="47" spans="1:2">
      <c r="A47" s="7">
        <v>71.319999999999993</v>
      </c>
      <c r="B47" s="7">
        <v>52.854111827176183</v>
      </c>
    </row>
    <row r="48" spans="1:2">
      <c r="A48" s="7">
        <v>74.14</v>
      </c>
      <c r="B48" s="7">
        <v>64.807141145884174</v>
      </c>
    </row>
    <row r="49" spans="1:2">
      <c r="A49" s="7">
        <v>86.28</v>
      </c>
      <c r="B49" s="7">
        <v>75.94077761654178</v>
      </c>
    </row>
    <row r="50" spans="1:2">
      <c r="A50" s="7">
        <v>84.87</v>
      </c>
      <c r="B50" s="7">
        <v>80.640623073743441</v>
      </c>
    </row>
    <row r="51" spans="1:2">
      <c r="A51" s="7">
        <v>77.599999999999994</v>
      </c>
      <c r="B51" s="7">
        <v>70.85929423598111</v>
      </c>
    </row>
    <row r="52" spans="1:2">
      <c r="A52" s="7">
        <v>81.59368614617361</v>
      </c>
      <c r="B52" s="7">
        <v>74.065161499615073</v>
      </c>
    </row>
    <row r="53" spans="1:2">
      <c r="A53" s="7">
        <v>83.08</v>
      </c>
      <c r="B53" s="7">
        <v>67.02901436931279</v>
      </c>
    </row>
    <row r="54" spans="1:2">
      <c r="A54" s="7">
        <v>70.543566840693288</v>
      </c>
      <c r="B54" s="7">
        <v>57.941048886155599</v>
      </c>
    </row>
    <row r="55" spans="1:2">
      <c r="A55" s="7">
        <v>72.130598008643062</v>
      </c>
      <c r="B55" s="7">
        <v>55.933775760444007</v>
      </c>
    </row>
    <row r="56" spans="1:2">
      <c r="A56" s="7">
        <v>74.336697912204031</v>
      </c>
      <c r="B56" s="7">
        <v>59.859914933237398</v>
      </c>
    </row>
    <row r="57" spans="1:2">
      <c r="A57" s="7">
        <v>76.47</v>
      </c>
      <c r="B57" s="7">
        <v>56.947459986082116</v>
      </c>
    </row>
    <row r="58" spans="1:2">
      <c r="A58" s="7">
        <v>79.290000000000006</v>
      </c>
      <c r="B58" s="7">
        <v>63.496327627104108</v>
      </c>
    </row>
    <row r="59" spans="1:2">
      <c r="A59" s="7">
        <v>67.094775244571451</v>
      </c>
      <c r="B59" s="7">
        <v>54.99421767250611</v>
      </c>
    </row>
    <row r="60" spans="1:2">
      <c r="A60" s="7">
        <v>72.36</v>
      </c>
      <c r="B60" s="7">
        <v>59.24020975119938</v>
      </c>
    </row>
    <row r="61" spans="1:2">
      <c r="A61" s="7">
        <v>76.56</v>
      </c>
      <c r="B61" s="7">
        <v>76.955023375279481</v>
      </c>
    </row>
    <row r="62" spans="1:2">
      <c r="A62" s="7">
        <v>78.703098132430185</v>
      </c>
      <c r="B62" s="7">
        <v>51.910279767786562</v>
      </c>
    </row>
    <row r="63" spans="1:2">
      <c r="A63" s="7">
        <v>81.069999999999993</v>
      </c>
      <c r="B63" s="7">
        <v>62.727914491054463</v>
      </c>
    </row>
    <row r="64" spans="1:2">
      <c r="A64" s="7">
        <v>74.239999999999995</v>
      </c>
      <c r="B64" s="7">
        <v>65.399895862310004</v>
      </c>
    </row>
    <row r="65" spans="1:2">
      <c r="A65" s="7">
        <v>74.83</v>
      </c>
      <c r="B65" s="7">
        <v>78.955891892900979</v>
      </c>
    </row>
    <row r="66" spans="1:2">
      <c r="A66" s="7">
        <v>77.34</v>
      </c>
      <c r="B66" s="7">
        <v>58.832608342071289</v>
      </c>
    </row>
    <row r="67" spans="1:2">
      <c r="A67" s="7">
        <v>74.808444381083547</v>
      </c>
      <c r="B67" s="7">
        <v>63.118946288099117</v>
      </c>
    </row>
    <row r="68" spans="1:2">
      <c r="A68" s="7">
        <v>65.619726432050257</v>
      </c>
      <c r="B68" s="7">
        <v>57.738971264579277</v>
      </c>
    </row>
    <row r="69" spans="1:2">
      <c r="A69" s="7">
        <v>75.089246313468408</v>
      </c>
      <c r="B69" s="7">
        <v>52.946735170372442</v>
      </c>
    </row>
    <row r="70" spans="1:2">
      <c r="A70" s="7">
        <v>66.818413338403261</v>
      </c>
      <c r="B70" s="7">
        <v>50.189677772378502</v>
      </c>
    </row>
    <row r="71" spans="1:2">
      <c r="A71" s="7">
        <v>79.257471710022074</v>
      </c>
      <c r="B71" s="7">
        <v>60.677087879666068</v>
      </c>
    </row>
    <row r="72" spans="1:2">
      <c r="A72" s="7">
        <v>86.16</v>
      </c>
      <c r="B72" s="7">
        <v>51.047140354885393</v>
      </c>
    </row>
    <row r="73" spans="1:2">
      <c r="A73" s="7">
        <v>86.16</v>
      </c>
      <c r="B73" s="7">
        <v>50.548988987910938</v>
      </c>
    </row>
    <row r="74" spans="1:2">
      <c r="A74" s="7">
        <v>86.16</v>
      </c>
      <c r="B74" s="7">
        <v>63.459450528700913</v>
      </c>
    </row>
    <row r="75" spans="1:2">
      <c r="A75" s="7">
        <v>86.16</v>
      </c>
      <c r="B75" s="7">
        <v>50.664931729854288</v>
      </c>
    </row>
    <row r="76" spans="1:2">
      <c r="A76" s="7">
        <v>86.16</v>
      </c>
      <c r="B76" s="7">
        <v>54.822811164848503</v>
      </c>
    </row>
    <row r="77" spans="1:2">
      <c r="A77" s="7">
        <v>86.16</v>
      </c>
      <c r="B77" s="7">
        <v>57.271736497941397</v>
      </c>
    </row>
    <row r="78" spans="1:2">
      <c r="A78" s="7">
        <v>86.16</v>
      </c>
      <c r="B78" s="7">
        <v>50.964169941765405</v>
      </c>
    </row>
    <row r="79" spans="1:2">
      <c r="A79" s="7">
        <v>86.16</v>
      </c>
      <c r="B79" s="7">
        <v>51.559940141419446</v>
      </c>
    </row>
    <row r="80" spans="1:2">
      <c r="A80" s="7">
        <v>86.16</v>
      </c>
      <c r="B80" s="7">
        <v>56.526647188413051</v>
      </c>
    </row>
    <row r="81" spans="1:2">
      <c r="A81" s="7">
        <v>84.38</v>
      </c>
      <c r="B81" s="7">
        <v>60.385949490765476</v>
      </c>
    </row>
    <row r="82" spans="1:2">
      <c r="A82" s="7">
        <v>81.180000000000007</v>
      </c>
      <c r="B82" s="7">
        <v>67.454225716354614</v>
      </c>
    </row>
    <row r="83" spans="1:2">
      <c r="A83" s="7">
        <v>73.72</v>
      </c>
      <c r="B83" s="7">
        <v>74.008054582946983</v>
      </c>
    </row>
    <row r="84" spans="1:2">
      <c r="A84" s="7">
        <v>83.116892416264122</v>
      </c>
      <c r="B84" s="7">
        <v>54.357633464344644</v>
      </c>
    </row>
    <row r="85" spans="1:2">
      <c r="A85" s="7">
        <v>86.16</v>
      </c>
      <c r="B85" s="7">
        <v>50.961703136733107</v>
      </c>
    </row>
    <row r="86" spans="1:2">
      <c r="A86" s="7">
        <v>86.16</v>
      </c>
      <c r="B86" s="7">
        <v>52.484630591097691</v>
      </c>
    </row>
    <row r="87" spans="1:2">
      <c r="A87" s="7">
        <v>86.16</v>
      </c>
      <c r="B87" s="7">
        <v>58.60405657502583</v>
      </c>
    </row>
    <row r="88" spans="1:2">
      <c r="A88" s="7">
        <v>86.16</v>
      </c>
      <c r="B88" s="7">
        <v>51.52178942549557</v>
      </c>
    </row>
    <row r="89" spans="1:2">
      <c r="A89" s="7">
        <v>86.16</v>
      </c>
      <c r="B89" s="7">
        <v>52.308071863462949</v>
      </c>
    </row>
    <row r="90" spans="1:2">
      <c r="A90" s="7">
        <v>86.16</v>
      </c>
      <c r="B90" s="7">
        <v>67.535464438398748</v>
      </c>
    </row>
    <row r="91" spans="1:2">
      <c r="A91" s="7">
        <v>73.62443953894595</v>
      </c>
      <c r="B91" s="7">
        <v>60.416785997068679</v>
      </c>
    </row>
    <row r="92" spans="1:2">
      <c r="A92" s="7">
        <v>75.854574155459076</v>
      </c>
      <c r="B92" s="7">
        <v>58.630173716625769</v>
      </c>
    </row>
    <row r="93" spans="1:2">
      <c r="A93" s="7">
        <v>82.78</v>
      </c>
      <c r="B93" s="7">
        <v>50.837943942298914</v>
      </c>
    </row>
    <row r="94" spans="1:2">
      <c r="A94" s="7">
        <v>74.076872588872405</v>
      </c>
      <c r="B94" s="7">
        <v>56.464092919524077</v>
      </c>
    </row>
    <row r="95" spans="1:2">
      <c r="A95" s="7">
        <v>73.527278216125836</v>
      </c>
      <c r="B95" s="7">
        <v>51.056164026630967</v>
      </c>
    </row>
    <row r="96" spans="1:2">
      <c r="A96" s="7">
        <v>76.940162092360879</v>
      </c>
      <c r="B96" s="7">
        <v>51.93170761526823</v>
      </c>
    </row>
    <row r="97" spans="1:2">
      <c r="A97" s="7">
        <v>73.058440987825634</v>
      </c>
      <c r="B97" s="7">
        <v>54.929958912554653</v>
      </c>
    </row>
    <row r="98" spans="1:2">
      <c r="A98" s="7">
        <v>68.436555522695215</v>
      </c>
      <c r="B98" s="7">
        <v>57.675154858553832</v>
      </c>
    </row>
    <row r="99" spans="1:2">
      <c r="A99" s="7">
        <v>74.84</v>
      </c>
      <c r="B99" s="7">
        <v>54.479938384801585</v>
      </c>
    </row>
    <row r="100" spans="1:2">
      <c r="A100" s="7">
        <v>70.997587722009214</v>
      </c>
      <c r="B100" s="7">
        <v>62.703200031488628</v>
      </c>
    </row>
    <row r="101" spans="1:2">
      <c r="A101" s="7">
        <v>80.809548447291903</v>
      </c>
      <c r="B101" s="7">
        <v>58.342051099898306</v>
      </c>
    </row>
    <row r="102" spans="1:2">
      <c r="A102" s="7">
        <v>83.17</v>
      </c>
      <c r="B102" s="7">
        <v>62.105950735558622</v>
      </c>
    </row>
    <row r="103" spans="1:2">
      <c r="A103" s="7">
        <v>77.918368412706798</v>
      </c>
      <c r="B103" s="7">
        <v>59.274808441741811</v>
      </c>
    </row>
    <row r="104" spans="1:2">
      <c r="A104" s="7">
        <v>64.81</v>
      </c>
      <c r="B104" s="7">
        <v>78.739725720808167</v>
      </c>
    </row>
    <row r="105" spans="1:2">
      <c r="A105" s="7">
        <v>68.204753635659586</v>
      </c>
      <c r="B105" s="7">
        <v>56.899591685226426</v>
      </c>
    </row>
    <row r="106" spans="1:2">
      <c r="A106" s="7">
        <v>70.3</v>
      </c>
      <c r="B106" s="7">
        <v>53.736591239113395</v>
      </c>
    </row>
    <row r="107" spans="1:2">
      <c r="A107" s="7">
        <v>67.239999999999995</v>
      </c>
      <c r="B107" s="7">
        <v>50.536972142579032</v>
      </c>
    </row>
    <row r="108" spans="1:2">
      <c r="A108" s="7">
        <v>63.855448637725502</v>
      </c>
      <c r="B108" s="7">
        <v>54.851097034228943</v>
      </c>
    </row>
    <row r="109" spans="1:2">
      <c r="A109" s="7">
        <v>79.58</v>
      </c>
      <c r="B109" s="7">
        <v>58.253522070338128</v>
      </c>
    </row>
    <row r="110" spans="1:2">
      <c r="A110" s="7">
        <v>80.19</v>
      </c>
      <c r="B110" s="7">
        <v>57.230334146548692</v>
      </c>
    </row>
    <row r="111" spans="1:2">
      <c r="A111" s="7">
        <v>78.150000000000006</v>
      </c>
      <c r="B111" s="7">
        <v>61.755084030097152</v>
      </c>
    </row>
    <row r="112" spans="1:2">
      <c r="A112" s="7">
        <v>77.849999999999994</v>
      </c>
      <c r="B112" s="7">
        <v>52.963277115455668</v>
      </c>
    </row>
    <row r="113" spans="1:2">
      <c r="A113" s="7">
        <v>80.680000000000007</v>
      </c>
      <c r="B113" s="7">
        <v>63.148137665572293</v>
      </c>
    </row>
    <row r="114" spans="1:2">
      <c r="A114" s="7">
        <v>77.451296418677245</v>
      </c>
      <c r="B114" s="7">
        <v>56.112318343013627</v>
      </c>
    </row>
    <row r="115" spans="1:2">
      <c r="A115" s="7">
        <v>81.537658597177355</v>
      </c>
      <c r="B115" s="7">
        <v>54.794970377768962</v>
      </c>
    </row>
    <row r="116" spans="1:2">
      <c r="A116" s="7">
        <v>81.41</v>
      </c>
      <c r="B116" s="7">
        <v>63.983920538534342</v>
      </c>
    </row>
    <row r="117" spans="1:2">
      <c r="A117" s="7">
        <v>69.607813190259336</v>
      </c>
      <c r="B117" s="7">
        <v>66.614128269028313</v>
      </c>
    </row>
    <row r="118" spans="1:2">
      <c r="A118" s="7">
        <v>65.238299642444304</v>
      </c>
      <c r="B118" s="7">
        <v>65.810392783799941</v>
      </c>
    </row>
    <row r="119" spans="1:2">
      <c r="A119" s="7">
        <v>72.570976647246027</v>
      </c>
      <c r="B119" s="7">
        <v>75.750867408842254</v>
      </c>
    </row>
    <row r="120" spans="1:2">
      <c r="A120" s="7">
        <v>69.533054594307401</v>
      </c>
      <c r="B120" s="7">
        <v>69.043851759393533</v>
      </c>
    </row>
    <row r="121" spans="1:2">
      <c r="A121" s="7">
        <v>60.239458460303062</v>
      </c>
      <c r="B121" s="7">
        <v>64.745626185672549</v>
      </c>
    </row>
    <row r="122" spans="1:2">
      <c r="A122" s="7">
        <v>54.66</v>
      </c>
      <c r="B122" s="7">
        <v>60.558201826980174</v>
      </c>
    </row>
    <row r="123" spans="1:2">
      <c r="A123" s="7">
        <v>67.41</v>
      </c>
      <c r="B123" s="7">
        <v>71.808116548147424</v>
      </c>
    </row>
    <row r="124" spans="1:2">
      <c r="A124" s="7">
        <v>64.42</v>
      </c>
      <c r="B124" s="7">
        <v>76.633065249827141</v>
      </c>
    </row>
    <row r="125" spans="1:2">
      <c r="A125" s="7">
        <v>58.861536873824157</v>
      </c>
      <c r="B125" s="7">
        <v>63.780895551040651</v>
      </c>
    </row>
    <row r="126" spans="1:2">
      <c r="A126" s="7">
        <v>75.747317215445179</v>
      </c>
      <c r="B126" s="7">
        <v>56.008183036659062</v>
      </c>
    </row>
    <row r="127" spans="1:2">
      <c r="A127" s="7">
        <v>75.100196228768723</v>
      </c>
      <c r="B127" s="7">
        <v>55.271340085274822</v>
      </c>
    </row>
    <row r="128" spans="1:2">
      <c r="A128" s="7">
        <v>81.739999999999995</v>
      </c>
      <c r="B128" s="7">
        <v>51.784455841276532</v>
      </c>
    </row>
    <row r="129" spans="1:2">
      <c r="A129" s="7">
        <v>77.760000000000005</v>
      </c>
      <c r="B129" s="7">
        <v>57.284775717306346</v>
      </c>
    </row>
    <row r="130" spans="1:2">
      <c r="A130" s="7">
        <v>74.19</v>
      </c>
      <c r="B130" s="7">
        <v>60.974389801808911</v>
      </c>
    </row>
    <row r="131" spans="1:2">
      <c r="A131" s="7">
        <v>74.05</v>
      </c>
      <c r="B131" s="7">
        <v>53.507759245830314</v>
      </c>
    </row>
    <row r="132" spans="1:2">
      <c r="A132" s="7">
        <v>83.499949307924723</v>
      </c>
      <c r="B132" s="7">
        <v>52.941176470588239</v>
      </c>
    </row>
    <row r="133" spans="1:2">
      <c r="A133" s="7">
        <v>82.739813680588597</v>
      </c>
      <c r="B133" s="7">
        <v>61.649137111020522</v>
      </c>
    </row>
    <row r="134" spans="1:2">
      <c r="A134" s="7">
        <v>71.63</v>
      </c>
      <c r="B134" s="7">
        <v>75.240413824228852</v>
      </c>
    </row>
    <row r="135" spans="1:2">
      <c r="A135" s="7">
        <v>73.214548377115477</v>
      </c>
      <c r="B135" s="7">
        <v>52.652507761928078</v>
      </c>
    </row>
    <row r="136" spans="1:2">
      <c r="A136" s="7">
        <v>71.961167467777173</v>
      </c>
      <c r="B136" s="7">
        <v>53.997199688035423</v>
      </c>
    </row>
    <row r="137" spans="1:2">
      <c r="A137" s="7">
        <v>79.58</v>
      </c>
      <c r="B137" s="7">
        <v>57.890367716531131</v>
      </c>
    </row>
    <row r="138" spans="1:2">
      <c r="A138" s="7">
        <v>75.27551609461014</v>
      </c>
      <c r="B138" s="7">
        <v>51.54180486176331</v>
      </c>
    </row>
    <row r="139" spans="1:2">
      <c r="A139" s="7">
        <v>71.599053043131789</v>
      </c>
      <c r="B139" s="7">
        <v>63.079151734761474</v>
      </c>
    </row>
    <row r="140" spans="1:2">
      <c r="A140" s="7">
        <v>72.231419883207309</v>
      </c>
      <c r="B140" s="7">
        <v>68.856419958514735</v>
      </c>
    </row>
    <row r="141" spans="1:2">
      <c r="A141" s="7">
        <v>78.040000000000006</v>
      </c>
      <c r="B141" s="7">
        <v>63.303738171498921</v>
      </c>
    </row>
    <row r="142" spans="1:2">
      <c r="A142" s="7">
        <v>88.07</v>
      </c>
      <c r="B142" s="7">
        <v>51.536381919488313</v>
      </c>
    </row>
    <row r="143" spans="1:2">
      <c r="A143" s="7">
        <v>88.07</v>
      </c>
      <c r="B143" s="7">
        <v>53.136203897625222</v>
      </c>
    </row>
    <row r="144" spans="1:2">
      <c r="A144" s="7">
        <v>78.828064788861283</v>
      </c>
      <c r="B144" s="7">
        <v>52.929193955958951</v>
      </c>
    </row>
    <row r="145" spans="1:2">
      <c r="A145" s="7">
        <v>77.758464886359718</v>
      </c>
      <c r="B145" s="7">
        <v>50.441884107082345</v>
      </c>
    </row>
    <row r="146" spans="1:2">
      <c r="A146" s="7">
        <v>75.569942798903384</v>
      </c>
      <c r="B146" s="7">
        <v>54.722365430556863</v>
      </c>
    </row>
    <row r="147" spans="1:2">
      <c r="A147" s="7">
        <v>59.092143537381354</v>
      </c>
      <c r="B147" s="7">
        <v>55.085780776046221</v>
      </c>
    </row>
    <row r="148" spans="1:2">
      <c r="A148" s="7">
        <v>67.09</v>
      </c>
      <c r="B148" s="7">
        <v>54.287646800985478</v>
      </c>
    </row>
    <row r="149" spans="1:2">
      <c r="A149" s="7">
        <v>62.527866413040854</v>
      </c>
      <c r="B149" s="7">
        <v>52.323882721850545</v>
      </c>
    </row>
    <row r="150" spans="1:2">
      <c r="A150" s="7">
        <v>71.967697945165853</v>
      </c>
      <c r="B150" s="7">
        <v>69.611825476481997</v>
      </c>
    </row>
    <row r="151" spans="1:2">
      <c r="A151" s="7">
        <v>65.237811606756168</v>
      </c>
      <c r="B151" s="7">
        <v>54.985519238725686</v>
      </c>
    </row>
    <row r="152" spans="1:2">
      <c r="A152" s="7">
        <v>71.819999999999993</v>
      </c>
      <c r="B152" s="7">
        <v>81.36560288656905</v>
      </c>
    </row>
    <row r="153" spans="1:2">
      <c r="A153" s="7">
        <v>62.863130620434575</v>
      </c>
      <c r="B153" s="7">
        <v>53.419911780853035</v>
      </c>
    </row>
    <row r="154" spans="1:2">
      <c r="A154" s="7">
        <v>71.961055184089687</v>
      </c>
      <c r="B154" s="7">
        <v>51.221921856565224</v>
      </c>
    </row>
    <row r="155" spans="1:2">
      <c r="A155" s="7">
        <v>63.573069558926562</v>
      </c>
      <c r="B155" s="7">
        <v>57.629670763874799</v>
      </c>
    </row>
    <row r="156" spans="1:2">
      <c r="A156" s="7">
        <v>68.22947963173938</v>
      </c>
      <c r="B156" s="7">
        <v>56.174175764277145</v>
      </c>
    </row>
    <row r="157" spans="1:2">
      <c r="A157" s="7">
        <v>64.305666729500459</v>
      </c>
      <c r="B157" s="7">
        <v>65.682862809838824</v>
      </c>
    </row>
    <row r="158" spans="1:2">
      <c r="A158" s="7">
        <v>69.330057133313844</v>
      </c>
      <c r="B158" s="7">
        <v>57.183897780318183</v>
      </c>
    </row>
    <row r="159" spans="1:2">
      <c r="A159" s="7">
        <v>74.48</v>
      </c>
      <c r="B159" s="7">
        <v>58.742063530765712</v>
      </c>
    </row>
    <row r="160" spans="1:2">
      <c r="A160" s="7">
        <v>68.180000000000007</v>
      </c>
      <c r="B160" s="7">
        <v>51.493724896109846</v>
      </c>
    </row>
    <row r="161" spans="1:2">
      <c r="A161" s="7">
        <v>82.9</v>
      </c>
      <c r="B161" s="7">
        <v>59.428653577589749</v>
      </c>
    </row>
    <row r="162" spans="1:2">
      <c r="A162" s="7">
        <v>76.319999999999993</v>
      </c>
      <c r="B162" s="7">
        <v>52.253954195965271</v>
      </c>
    </row>
    <row r="163" spans="1:2">
      <c r="A163" s="7">
        <v>75.459999999999994</v>
      </c>
      <c r="B163" s="7">
        <v>52.478580881840763</v>
      </c>
    </row>
    <row r="164" spans="1:2">
      <c r="A164" s="7">
        <v>64.229543342093379</v>
      </c>
      <c r="B164" s="7">
        <v>60.966367653674155</v>
      </c>
    </row>
    <row r="165" spans="1:2">
      <c r="A165" s="7">
        <v>72.682784907465958</v>
      </c>
      <c r="B165" s="7">
        <v>51.698737782284219</v>
      </c>
    </row>
    <row r="166" spans="1:2">
      <c r="A166" s="7">
        <v>73.866786483461567</v>
      </c>
      <c r="B166" s="7">
        <v>64.944197013361276</v>
      </c>
    </row>
    <row r="167" spans="1:2">
      <c r="A167" s="7">
        <v>70.34</v>
      </c>
      <c r="B167" s="7">
        <v>71.289579940888515</v>
      </c>
    </row>
    <row r="168" spans="1:2">
      <c r="A168" s="7">
        <v>73.31</v>
      </c>
      <c r="B168" s="7">
        <v>50.148725595481835</v>
      </c>
    </row>
    <row r="169" spans="1:2">
      <c r="A169" s="7">
        <v>75.764385312670356</v>
      </c>
      <c r="B169" s="7">
        <v>57.054148955830719</v>
      </c>
    </row>
    <row r="170" spans="1:2">
      <c r="A170" s="7">
        <v>75.061171698518223</v>
      </c>
      <c r="B170" s="7">
        <v>53.191324640277827</v>
      </c>
    </row>
    <row r="171" spans="1:2">
      <c r="A171" s="7">
        <v>76.66284843486288</v>
      </c>
      <c r="B171" s="7">
        <v>67.388529936843028</v>
      </c>
    </row>
    <row r="172" spans="1:2">
      <c r="A172" s="7">
        <v>72.399073039559141</v>
      </c>
      <c r="B172" s="7">
        <v>55.827929063771641</v>
      </c>
    </row>
    <row r="173" spans="1:2">
      <c r="A173" s="7">
        <v>67.921536131594976</v>
      </c>
      <c r="B173" s="7">
        <v>63.904801220830187</v>
      </c>
    </row>
    <row r="174" spans="1:2">
      <c r="A174" s="7">
        <v>70.981633410605681</v>
      </c>
      <c r="B174" s="7">
        <v>68.313726404645038</v>
      </c>
    </row>
    <row r="175" spans="1:2">
      <c r="A175" s="7">
        <v>74.269214180689431</v>
      </c>
      <c r="B175" s="7">
        <v>72.260100955580413</v>
      </c>
    </row>
    <row r="176" spans="1:2">
      <c r="A176" s="7">
        <v>67.847558674013982</v>
      </c>
      <c r="B176" s="7">
        <v>53.897915282101508</v>
      </c>
    </row>
    <row r="177" spans="1:2">
      <c r="A177" s="7">
        <v>69.75</v>
      </c>
      <c r="B177" s="7">
        <v>52.83004377543967</v>
      </c>
    </row>
    <row r="178" spans="1:2">
      <c r="A178" s="7">
        <v>77.660870297005232</v>
      </c>
      <c r="B178" s="7">
        <v>54.211092418434049</v>
      </c>
    </row>
    <row r="179" spans="1:2">
      <c r="A179" s="7">
        <v>75.53</v>
      </c>
      <c r="B179" s="7">
        <v>62.310788993154212</v>
      </c>
    </row>
    <row r="180" spans="1:2">
      <c r="A180" s="7">
        <v>76.646478964638078</v>
      </c>
      <c r="B180" s="7">
        <v>66.87785044775228</v>
      </c>
    </row>
    <row r="181" spans="1:2">
      <c r="A181" s="7">
        <v>74.041967917260465</v>
      </c>
      <c r="B181" s="7">
        <v>77.291580913782738</v>
      </c>
    </row>
    <row r="182" spans="1:2">
      <c r="A182" s="7">
        <v>78.627187762150683</v>
      </c>
      <c r="B182" s="7">
        <v>62.260617545424147</v>
      </c>
    </row>
    <row r="183" spans="1:2">
      <c r="A183" s="7">
        <v>78.034844903162892</v>
      </c>
      <c r="B183" s="7">
        <v>67.410016302503237</v>
      </c>
    </row>
    <row r="184" spans="1:2">
      <c r="A184" s="7">
        <v>77.093885095547137</v>
      </c>
      <c r="B184" s="7">
        <v>58.368558281490635</v>
      </c>
    </row>
    <row r="185" spans="1:2">
      <c r="A185" s="7">
        <v>66.971492900669304</v>
      </c>
      <c r="B185" s="7">
        <v>51.507914230390448</v>
      </c>
    </row>
    <row r="186" spans="1:2">
      <c r="A186" s="7">
        <v>72.98</v>
      </c>
      <c r="B186" s="7">
        <v>53.005652253187286</v>
      </c>
    </row>
    <row r="187" spans="1:2">
      <c r="A187" s="7">
        <v>74.98</v>
      </c>
      <c r="B187" s="7">
        <v>62.754589666339434</v>
      </c>
    </row>
    <row r="188" spans="1:2">
      <c r="A188" s="7">
        <v>66.66</v>
      </c>
      <c r="B188" s="7">
        <v>55.196652272354143</v>
      </c>
    </row>
    <row r="189" spans="1:2">
      <c r="A189" s="7">
        <v>68.209999999999994</v>
      </c>
      <c r="B189" s="7">
        <v>53.299366663128467</v>
      </c>
    </row>
    <row r="190" spans="1:2">
      <c r="A190" s="7">
        <v>67.540000000000006</v>
      </c>
      <c r="B190" s="7">
        <v>51.195927142121214</v>
      </c>
    </row>
    <row r="191" spans="1:2">
      <c r="A191" s="7">
        <v>71.91</v>
      </c>
      <c r="B191" s="7">
        <v>55.769197487063224</v>
      </c>
    </row>
    <row r="192" spans="1:2">
      <c r="A192" s="7">
        <v>68.05</v>
      </c>
      <c r="B192" s="7">
        <v>59.049100027213001</v>
      </c>
    </row>
    <row r="193" spans="1:2">
      <c r="A193" s="7">
        <v>71.44</v>
      </c>
      <c r="B193" s="7">
        <v>53.860250135943446</v>
      </c>
    </row>
    <row r="194" spans="1:2">
      <c r="A194" s="7">
        <v>66.819999999999993</v>
      </c>
      <c r="B194" s="7">
        <v>70.143054613739494</v>
      </c>
    </row>
    <row r="195" spans="1:2">
      <c r="A195" s="7">
        <v>66.03</v>
      </c>
      <c r="B195" s="7">
        <v>54.649554894251537</v>
      </c>
    </row>
    <row r="196" spans="1:2">
      <c r="A196" s="7">
        <v>73.111721668468235</v>
      </c>
      <c r="B196" s="7">
        <v>53.059082031250007</v>
      </c>
    </row>
    <row r="197" spans="1:2">
      <c r="A197" s="7">
        <v>74.770252802927459</v>
      </c>
      <c r="B197" s="7">
        <v>51.26657707229252</v>
      </c>
    </row>
    <row r="198" spans="1:2">
      <c r="A198" s="7">
        <v>71.79701387028777</v>
      </c>
      <c r="B198" s="7">
        <v>58.289616150326573</v>
      </c>
    </row>
    <row r="199" spans="1:2">
      <c r="A199" s="7">
        <v>68.3</v>
      </c>
      <c r="B199" s="7">
        <v>57.848290995166494</v>
      </c>
    </row>
    <row r="200" spans="1:2">
      <c r="A200" s="7">
        <v>75.36</v>
      </c>
      <c r="B200" s="7">
        <v>55.261561853996888</v>
      </c>
    </row>
    <row r="201" spans="1:2">
      <c r="A201" s="7">
        <v>68.920152108640323</v>
      </c>
      <c r="B201" s="7">
        <v>52.720889125644689</v>
      </c>
    </row>
    <row r="202" spans="1:2">
      <c r="A202" s="7">
        <v>74.6987185078506</v>
      </c>
      <c r="B202" s="7">
        <v>57.063356164383563</v>
      </c>
    </row>
    <row r="203" spans="1:2">
      <c r="A203" s="7">
        <v>82.41</v>
      </c>
      <c r="B203" s="7">
        <v>60.092879414442599</v>
      </c>
    </row>
    <row r="204" spans="1:2">
      <c r="A204" s="7">
        <v>78.7</v>
      </c>
      <c r="B204" s="7">
        <v>63.331040440235476</v>
      </c>
    </row>
    <row r="205" spans="1:2">
      <c r="A205" s="7">
        <v>69.34</v>
      </c>
      <c r="B205" s="7">
        <v>60.527892084053668</v>
      </c>
    </row>
    <row r="206" spans="1:2">
      <c r="A206" s="7">
        <v>78.040000000000006</v>
      </c>
      <c r="B206" s="7">
        <v>53.52751121184356</v>
      </c>
    </row>
    <row r="207" spans="1:2">
      <c r="A207" s="7">
        <v>80.59</v>
      </c>
      <c r="B207" s="7">
        <v>56.839766582793516</v>
      </c>
    </row>
    <row r="208" spans="1:2">
      <c r="A208" s="7">
        <v>80.59</v>
      </c>
      <c r="B208" s="7">
        <v>53.148915484154728</v>
      </c>
    </row>
    <row r="209" spans="1:2">
      <c r="A209" s="7">
        <v>75.61</v>
      </c>
      <c r="B209" s="7">
        <v>62.863674957352181</v>
      </c>
    </row>
    <row r="210" spans="1:2">
      <c r="A210" s="7">
        <v>79.349999999999994</v>
      </c>
      <c r="B210" s="7">
        <v>62.383710370714184</v>
      </c>
    </row>
    <row r="211" spans="1:2">
      <c r="A211" s="7">
        <v>76.959999999999994</v>
      </c>
      <c r="B211" s="7">
        <v>64.239136391035117</v>
      </c>
    </row>
    <row r="212" spans="1:2">
      <c r="A212" s="7">
        <v>74.54938675101036</v>
      </c>
      <c r="B212" s="7">
        <v>67.479433045891568</v>
      </c>
    </row>
    <row r="213" spans="1:2">
      <c r="A213" s="7">
        <v>70.67</v>
      </c>
      <c r="B213" s="7">
        <v>75.375949110696283</v>
      </c>
    </row>
    <row r="214" spans="1:2">
      <c r="A214" s="7">
        <v>73.434029380972831</v>
      </c>
      <c r="B214" s="7">
        <v>53.144950179519277</v>
      </c>
    </row>
    <row r="215" spans="1:2">
      <c r="A215" s="7">
        <v>75.2</v>
      </c>
      <c r="B215" s="7">
        <v>55.594779230267633</v>
      </c>
    </row>
    <row r="216" spans="1:2">
      <c r="A216" s="7">
        <v>67.718876319991423</v>
      </c>
      <c r="B216" s="7">
        <v>64.301514012670452</v>
      </c>
    </row>
    <row r="217" spans="1:2">
      <c r="A217" s="7">
        <v>72.38</v>
      </c>
      <c r="B217" s="7">
        <v>55.747098258791837</v>
      </c>
    </row>
    <row r="218" spans="1:2">
      <c r="A218" s="7">
        <v>64.644309294417681</v>
      </c>
      <c r="B218" s="7">
        <v>64.411323226118753</v>
      </c>
    </row>
    <row r="219" spans="1:2">
      <c r="A219" s="7">
        <v>68.987682111093264</v>
      </c>
      <c r="B219" s="7">
        <v>71.7853463223407</v>
      </c>
    </row>
    <row r="220" spans="1:2">
      <c r="A220" s="7">
        <v>64.890590684952869</v>
      </c>
      <c r="B220" s="7">
        <v>63.207063970549001</v>
      </c>
    </row>
    <row r="221" spans="1:2">
      <c r="A221" s="7">
        <v>62.241647649607863</v>
      </c>
      <c r="B221" s="7">
        <v>80.143639634969915</v>
      </c>
    </row>
    <row r="222" spans="1:2">
      <c r="A222" s="7">
        <v>69.64</v>
      </c>
      <c r="B222" s="7">
        <v>50.855565663504322</v>
      </c>
    </row>
    <row r="223" spans="1:2">
      <c r="A223" s="7">
        <v>66.996841541268978</v>
      </c>
      <c r="B223" s="7">
        <v>55.808874128594077</v>
      </c>
    </row>
    <row r="224" spans="1:2">
      <c r="A224" s="7">
        <v>69.790000000000006</v>
      </c>
      <c r="B224" s="7">
        <v>51.898449144152039</v>
      </c>
    </row>
    <row r="225" spans="1:2">
      <c r="A225" s="7">
        <v>69.329311191633309</v>
      </c>
      <c r="B225" s="7">
        <v>54.922038631603442</v>
      </c>
    </row>
    <row r="226" spans="1:2">
      <c r="A226" s="7">
        <v>74.069999999999993</v>
      </c>
      <c r="B226" s="7">
        <v>60.499246575674327</v>
      </c>
    </row>
    <row r="227" spans="1:2">
      <c r="A227" s="7">
        <v>80.062653919700892</v>
      </c>
      <c r="B227" s="7">
        <v>56.403061337934531</v>
      </c>
    </row>
    <row r="228" spans="1:2">
      <c r="A228" s="7">
        <v>81.106509528482462</v>
      </c>
      <c r="B228" s="7">
        <v>55.60396196933182</v>
      </c>
    </row>
    <row r="229" spans="1:2">
      <c r="A229" s="7">
        <v>75.099999999999994</v>
      </c>
      <c r="B229" s="7">
        <v>53.224869042766784</v>
      </c>
    </row>
    <row r="230" spans="1:2">
      <c r="A230" s="7">
        <v>63.63</v>
      </c>
      <c r="B230" s="7">
        <v>59.532662811573964</v>
      </c>
    </row>
    <row r="231" spans="1:2">
      <c r="A231" s="7">
        <v>67.894457948067739</v>
      </c>
      <c r="B231" s="7">
        <v>55.098579368599985</v>
      </c>
    </row>
    <row r="232" spans="1:2">
      <c r="A232" s="7">
        <v>81.459999999999994</v>
      </c>
      <c r="B232" s="7">
        <v>58.939840944073886</v>
      </c>
    </row>
    <row r="233" spans="1:2">
      <c r="A233" s="7">
        <v>67.154126665880412</v>
      </c>
      <c r="B233" s="7">
        <v>55.492509147421856</v>
      </c>
    </row>
    <row r="234" spans="1:2">
      <c r="A234" s="7">
        <v>71.009568267801384</v>
      </c>
      <c r="B234" s="7">
        <v>73.944915444619937</v>
      </c>
    </row>
    <row r="235" spans="1:2">
      <c r="A235" s="7">
        <v>69.038302560083508</v>
      </c>
      <c r="B235" s="7">
        <v>50.560372461696169</v>
      </c>
    </row>
    <row r="236" spans="1:2">
      <c r="A236" s="7">
        <v>75.205407754363151</v>
      </c>
      <c r="B236" s="7">
        <v>50.699873687621754</v>
      </c>
    </row>
    <row r="237" spans="1:2">
      <c r="A237" s="7">
        <v>65.3</v>
      </c>
      <c r="B237" s="7">
        <v>52.440194973466426</v>
      </c>
    </row>
    <row r="238" spans="1:2">
      <c r="A238" s="7">
        <v>74.76537125868812</v>
      </c>
      <c r="B238" s="7">
        <v>51.179485093748731</v>
      </c>
    </row>
    <row r="239" spans="1:2">
      <c r="A239" s="7">
        <v>72.373964284332402</v>
      </c>
      <c r="B239" s="7">
        <v>57.543029600147612</v>
      </c>
    </row>
    <row r="240" spans="1:2">
      <c r="A240" s="7">
        <v>79.784863307507152</v>
      </c>
      <c r="B240" s="7">
        <v>72.336954453787911</v>
      </c>
    </row>
    <row r="241" spans="1:2">
      <c r="A241" s="7">
        <v>76.209999999999994</v>
      </c>
      <c r="B241" s="7">
        <v>58.093942084808504</v>
      </c>
    </row>
    <row r="242" spans="1:2">
      <c r="A242" s="7">
        <v>72.560125447903829</v>
      </c>
      <c r="B242" s="7">
        <v>54.466544290479277</v>
      </c>
    </row>
    <row r="243" spans="1:2">
      <c r="A243" s="7">
        <v>77.214820543562183</v>
      </c>
      <c r="B243" s="7">
        <v>63.878129185124131</v>
      </c>
    </row>
    <row r="244" spans="1:2">
      <c r="A244" s="7">
        <v>84.657473574355436</v>
      </c>
      <c r="B244" s="7">
        <v>55.328990173670775</v>
      </c>
    </row>
    <row r="245" spans="1:2">
      <c r="A245" s="7">
        <v>85.237649778824292</v>
      </c>
      <c r="B245" s="7">
        <v>52.050652705337441</v>
      </c>
    </row>
    <row r="246" spans="1:2">
      <c r="A246" s="7">
        <v>84.95</v>
      </c>
      <c r="B246" s="7">
        <v>63.532423038234384</v>
      </c>
    </row>
    <row r="247" spans="1:2">
      <c r="A247" s="7">
        <v>68.031670653907497</v>
      </c>
      <c r="B247" s="7">
        <v>60.454244952725197</v>
      </c>
    </row>
    <row r="248" spans="1:2">
      <c r="A248" s="7">
        <v>70.546738702079097</v>
      </c>
      <c r="B248" s="7">
        <v>77.902368389081701</v>
      </c>
    </row>
    <row r="249" spans="1:2">
      <c r="A249" s="7">
        <v>73.069976244773841</v>
      </c>
      <c r="B249" s="7">
        <v>50.275690103252089</v>
      </c>
    </row>
    <row r="250" spans="1:2">
      <c r="A250" s="7">
        <v>88.83</v>
      </c>
      <c r="B250" s="7">
        <v>56.154222509566829</v>
      </c>
    </row>
    <row r="251" spans="1:2">
      <c r="A251" s="7">
        <v>74.437526685140526</v>
      </c>
      <c r="B251" s="7">
        <v>56.108450412894392</v>
      </c>
    </row>
    <row r="252" spans="1:2">
      <c r="A252" s="7">
        <v>69.209999999999994</v>
      </c>
      <c r="B252" s="7">
        <v>51.282895761659553</v>
      </c>
    </row>
    <row r="253" spans="1:2">
      <c r="A253" s="7">
        <v>69.051384190356984</v>
      </c>
      <c r="B253" s="7">
        <v>67.626834751179089</v>
      </c>
    </row>
    <row r="254" spans="1:2">
      <c r="A254" s="7">
        <v>70.55699369412838</v>
      </c>
      <c r="B254" s="7">
        <v>61.527001245670156</v>
      </c>
    </row>
    <row r="255" spans="1:2">
      <c r="A255" s="7">
        <v>73.844935948782407</v>
      </c>
      <c r="B255" s="7">
        <v>86.58652896041518</v>
      </c>
    </row>
    <row r="256" spans="1:2">
      <c r="A256" s="7">
        <v>67.266559431363532</v>
      </c>
      <c r="B256" s="7">
        <v>67.641669968996936</v>
      </c>
    </row>
    <row r="257" spans="1:2">
      <c r="A257" s="7">
        <v>68.235453440929604</v>
      </c>
      <c r="B257" s="7">
        <v>66.091812937277524</v>
      </c>
    </row>
    <row r="258" spans="1:2">
      <c r="A258" s="7">
        <v>68.239999999999995</v>
      </c>
      <c r="B258" s="7">
        <v>67.520592922562926</v>
      </c>
    </row>
    <row r="259" spans="1:2">
      <c r="A259" s="7">
        <v>66.645430134489871</v>
      </c>
      <c r="B259" s="7">
        <v>51.448552143356409</v>
      </c>
    </row>
    <row r="260" spans="1:2">
      <c r="A260" s="7">
        <v>69.33</v>
      </c>
      <c r="B260" s="7">
        <v>60.552481605258698</v>
      </c>
    </row>
    <row r="261" spans="1:2">
      <c r="A261" s="7">
        <v>67.11</v>
      </c>
      <c r="B261" s="7">
        <v>50.417922980038931</v>
      </c>
    </row>
    <row r="262" spans="1:2">
      <c r="A262" s="7">
        <v>73.617243364813135</v>
      </c>
      <c r="B262" s="7">
        <v>53.268163412294136</v>
      </c>
    </row>
    <row r="263" spans="1:2">
      <c r="A263" s="7">
        <v>78.06</v>
      </c>
      <c r="B263" s="7">
        <v>69.656257501591639</v>
      </c>
    </row>
    <row r="264" spans="1:2">
      <c r="A264" s="7">
        <v>74.464357318172816</v>
      </c>
      <c r="B264" s="7">
        <v>63.613731475215118</v>
      </c>
    </row>
    <row r="265" spans="1:2">
      <c r="A265" s="7">
        <v>77.006582104193242</v>
      </c>
      <c r="B265" s="7">
        <v>55.585710646306786</v>
      </c>
    </row>
    <row r="266" spans="1:2">
      <c r="A266" s="7">
        <v>72.643434673850294</v>
      </c>
      <c r="B266" s="7">
        <v>55.238910894622272</v>
      </c>
    </row>
    <row r="267" spans="1:2">
      <c r="A267" s="7">
        <v>70.921735941236349</v>
      </c>
      <c r="B267" s="7">
        <v>64.678684244616505</v>
      </c>
    </row>
    <row r="268" spans="1:2">
      <c r="A268" s="7">
        <v>72.180220055449155</v>
      </c>
      <c r="B268" s="7">
        <v>60.674943566591423</v>
      </c>
    </row>
    <row r="269" spans="1:2">
      <c r="A269" s="7">
        <v>63.890000000000008</v>
      </c>
      <c r="B269" s="7">
        <v>61.998127604255096</v>
      </c>
    </row>
    <row r="270" spans="1:2">
      <c r="A270" s="7">
        <v>64.603430256024026</v>
      </c>
      <c r="B270" s="7">
        <v>52.234719386967775</v>
      </c>
    </row>
    <row r="271" spans="1:2">
      <c r="A271" s="7">
        <v>63.95</v>
      </c>
      <c r="B271" s="7">
        <v>51.72959880760154</v>
      </c>
    </row>
    <row r="272" spans="1:2">
      <c r="A272" s="7">
        <v>73.539677562949763</v>
      </c>
      <c r="B272" s="7">
        <v>56.391887189408521</v>
      </c>
    </row>
    <row r="273" spans="1:2">
      <c r="A273" s="7">
        <v>69.818382983738758</v>
      </c>
      <c r="B273" s="7">
        <v>59.893830348313372</v>
      </c>
    </row>
    <row r="274" spans="1:2">
      <c r="A274" s="7">
        <v>70.010000000000005</v>
      </c>
      <c r="B274" s="7">
        <v>50.091907782763421</v>
      </c>
    </row>
    <row r="275" spans="1:2">
      <c r="A275" s="7">
        <v>70.129921106219143</v>
      </c>
      <c r="B275" s="7">
        <v>56.059068028489669</v>
      </c>
    </row>
    <row r="276" spans="1:2">
      <c r="A276" s="7">
        <v>65.3</v>
      </c>
      <c r="B276" s="7">
        <v>62.277771322333251</v>
      </c>
    </row>
    <row r="277" spans="1:2">
      <c r="A277" s="7">
        <v>58.983348985058555</v>
      </c>
      <c r="B277" s="7">
        <v>63.505535055350549</v>
      </c>
    </row>
    <row r="278" spans="1:2">
      <c r="A278" s="7">
        <v>66.464062609407577</v>
      </c>
      <c r="B278" s="7">
        <v>61.153236411006375</v>
      </c>
    </row>
    <row r="279" spans="1:2">
      <c r="A279" s="7">
        <v>66.559878126499811</v>
      </c>
      <c r="B279" s="7">
        <v>69.738926035015297</v>
      </c>
    </row>
    <row r="280" spans="1:2">
      <c r="A280" s="7">
        <v>66.869152641005854</v>
      </c>
      <c r="B280" s="7">
        <v>56.430819147773356</v>
      </c>
    </row>
    <row r="281" spans="1:2">
      <c r="A281" s="7">
        <v>67.135150707122392</v>
      </c>
      <c r="B281" s="7">
        <v>59.80057944543293</v>
      </c>
    </row>
    <row r="282" spans="1:2">
      <c r="A282" s="7">
        <v>84.57</v>
      </c>
      <c r="B282" s="7">
        <v>56.724983088558247</v>
      </c>
    </row>
    <row r="283" spans="1:2">
      <c r="A283" s="7">
        <v>76.700063574661968</v>
      </c>
      <c r="B283" s="7">
        <v>75.706973394834662</v>
      </c>
    </row>
    <row r="284" spans="1:2">
      <c r="A284" s="7">
        <v>78.15115583389067</v>
      </c>
      <c r="B284" s="7">
        <v>60.816313495041761</v>
      </c>
    </row>
    <row r="285" spans="1:2">
      <c r="A285" s="7">
        <v>70.637948837871136</v>
      </c>
      <c r="B285" s="7">
        <v>72.354465084399209</v>
      </c>
    </row>
    <row r="286" spans="1:2">
      <c r="A286" s="7">
        <v>73.703470078631113</v>
      </c>
      <c r="B286" s="7">
        <v>53.212319535435761</v>
      </c>
    </row>
    <row r="287" spans="1:2">
      <c r="A287" s="7">
        <v>80.58</v>
      </c>
      <c r="B287" s="7">
        <v>55.867799900565828</v>
      </c>
    </row>
    <row r="288" spans="1:2">
      <c r="A288" s="7">
        <v>66.608882477297215</v>
      </c>
      <c r="B288" s="7">
        <v>61.97090106846381</v>
      </c>
    </row>
    <row r="289" spans="1:2">
      <c r="A289" s="7">
        <v>67.860344576554112</v>
      </c>
      <c r="B289" s="7">
        <v>76.505303299316054</v>
      </c>
    </row>
    <row r="290" spans="1:2">
      <c r="A290" s="7">
        <v>66.89</v>
      </c>
      <c r="B290" s="7">
        <v>56.59044422300309</v>
      </c>
    </row>
    <row r="291" spans="1:2">
      <c r="A291" s="7">
        <v>67.930000000000007</v>
      </c>
      <c r="B291" s="7">
        <v>62.75923289107601</v>
      </c>
    </row>
    <row r="292" spans="1:2">
      <c r="A292" s="7">
        <v>74.430000000000007</v>
      </c>
      <c r="B292" s="7">
        <v>62.052258912281033</v>
      </c>
    </row>
    <row r="293" spans="1:2">
      <c r="A293" s="7">
        <v>68.711481095951513</v>
      </c>
      <c r="B293" s="7">
        <v>62.154439073398507</v>
      </c>
    </row>
    <row r="294" spans="1:2">
      <c r="A294" s="7">
        <v>74.98</v>
      </c>
      <c r="B294" s="7">
        <v>66.536814685364092</v>
      </c>
    </row>
    <row r="295" spans="1:2">
      <c r="A295" s="7">
        <v>66.87</v>
      </c>
      <c r="B295" s="7">
        <v>59.691032522067246</v>
      </c>
    </row>
    <row r="296" spans="1:2">
      <c r="A296" s="7">
        <v>76.849999999999994</v>
      </c>
      <c r="B296" s="7">
        <v>62.87590199366597</v>
      </c>
    </row>
    <row r="297" spans="1:2">
      <c r="A297" s="7">
        <v>71.533349075874682</v>
      </c>
      <c r="B297" s="7">
        <v>51.121559284229733</v>
      </c>
    </row>
    <row r="298" spans="1:2">
      <c r="A298" s="7">
        <v>69.551084492955752</v>
      </c>
      <c r="B298" s="7">
        <v>59.091536103163335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3923-9BFD-46FB-A2EB-A63508DFBDED}">
  <dimension ref="A1:B298"/>
  <sheetViews>
    <sheetView workbookViewId="0">
      <selection activeCell="O16" sqref="O16"/>
    </sheetView>
  </sheetViews>
  <sheetFormatPr defaultRowHeight="15"/>
  <cols>
    <col min="1" max="1" width="18.7109375" bestFit="1" customWidth="1"/>
    <col min="2" max="2" width="19.140625" bestFit="1" customWidth="1"/>
  </cols>
  <sheetData>
    <row r="1" spans="1:2">
      <c r="A1" s="1" t="s">
        <v>1569</v>
      </c>
      <c r="B1" s="1" t="s">
        <v>1458</v>
      </c>
    </row>
    <row r="2" spans="1:2">
      <c r="A2" s="7" cm="1">
        <f t="array" ref="A2:B298">_xlfn.LET(_xlpm.headers,Analysis_Data!$A$1:$Z$1,_xlpm.data,Analysis_Data!$A$2:$Z$301,_xlpm.valid,INDEX(_xlpm.data,,MATCH("Use_For_Analysis",_xlpm.headers,0))=1,_xlfn.HSTACK(_xlfn._xlws.FILTER(INDEX(_xlpm.data,,MATCH("Population_Density",_xlpm.headers,0)),_xlpm.valid),_xlfn._xlws.FILTER(INDEX(_xlpm.data,,MATCH("Winner_Vote_Share",_xlpm.headers,0)),_xlpm.valid)))</f>
        <v>561.3302521111699</v>
      </c>
      <c r="B2" s="7">
        <v>50.690963985335344</v>
      </c>
    </row>
    <row r="3" spans="1:2">
      <c r="A3" s="7">
        <v>1100.0507131537242</v>
      </c>
      <c r="B3" s="7">
        <v>63.931283198818143</v>
      </c>
    </row>
    <row r="4" spans="1:2">
      <c r="A4" s="7">
        <v>190.78330500644483</v>
      </c>
      <c r="B4" s="7">
        <v>55.131544323375095</v>
      </c>
    </row>
    <row r="5" spans="1:2">
      <c r="A5" s="7">
        <v>681.44846350832267</v>
      </c>
      <c r="B5" s="7">
        <v>54.137495160756174</v>
      </c>
    </row>
    <row r="6" spans="1:2">
      <c r="A6" s="7">
        <v>111.76694707545484</v>
      </c>
      <c r="B6" s="7">
        <v>84.391797967986534</v>
      </c>
    </row>
    <row r="7" spans="1:2">
      <c r="A7" s="7">
        <v>493.231783919598</v>
      </c>
      <c r="B7" s="7">
        <v>50.749902328206161</v>
      </c>
    </row>
    <row r="8" spans="1:2">
      <c r="A8" s="7">
        <v>526.96624602441773</v>
      </c>
      <c r="B8" s="7">
        <v>51.533913241230309</v>
      </c>
    </row>
    <row r="9" spans="1:2">
      <c r="A9" s="7">
        <v>882.77534113060437</v>
      </c>
      <c r="B9" s="7">
        <v>68.488914620440681</v>
      </c>
    </row>
    <row r="10" spans="1:2">
      <c r="A10" s="7">
        <v>1038.612334801762</v>
      </c>
      <c r="B10" s="7">
        <v>65.655713385009079</v>
      </c>
    </row>
    <row r="11" spans="1:2">
      <c r="A11" s="7">
        <v>4378.9366808196419</v>
      </c>
      <c r="B11" s="7">
        <v>56.944033998958645</v>
      </c>
    </row>
    <row r="12" spans="1:2">
      <c r="A12" s="7">
        <v>366.52937378954164</v>
      </c>
      <c r="B12" s="7">
        <v>63.210939578140547</v>
      </c>
    </row>
    <row r="13" spans="1:2">
      <c r="A13" s="7">
        <v>1371.5980890738172</v>
      </c>
      <c r="B13" s="7">
        <v>58.710630348842265</v>
      </c>
    </row>
    <row r="14" spans="1:2">
      <c r="A14" s="7">
        <v>890.34667380538087</v>
      </c>
      <c r="B14" s="7">
        <v>59.489164646720447</v>
      </c>
    </row>
    <row r="15" spans="1:2">
      <c r="A15" s="7">
        <v>1264.1827947821639</v>
      </c>
      <c r="B15" s="7">
        <v>58.349734630694385</v>
      </c>
    </row>
    <row r="16" spans="1:2">
      <c r="A16" s="7">
        <v>522.95198896190448</v>
      </c>
      <c r="B16" s="7">
        <v>55.964152113841003</v>
      </c>
    </row>
    <row r="17" spans="1:2">
      <c r="A17" s="7">
        <v>505.44488400945716</v>
      </c>
      <c r="B17" s="7">
        <v>71.795653606503365</v>
      </c>
    </row>
    <row r="18" spans="1:2">
      <c r="A18" s="7">
        <v>1678.9385113268609</v>
      </c>
      <c r="B18" s="7">
        <v>69.925919907824579</v>
      </c>
    </row>
    <row r="19" spans="1:2">
      <c r="A19" s="7">
        <v>846.13998738852365</v>
      </c>
      <c r="B19" s="7">
        <v>74.734414709741543</v>
      </c>
    </row>
    <row r="20" spans="1:2">
      <c r="A20" s="7">
        <v>774.93129475517696</v>
      </c>
      <c r="B20" s="7">
        <v>60.788357393155948</v>
      </c>
    </row>
    <row r="21" spans="1:2">
      <c r="A21" s="7">
        <v>2297.8408217455103</v>
      </c>
      <c r="B21" s="7">
        <v>53.434941618574683</v>
      </c>
    </row>
    <row r="22" spans="1:2">
      <c r="A22" s="7">
        <v>831.99716822286837</v>
      </c>
      <c r="B22" s="7">
        <v>58.76996182614058</v>
      </c>
    </row>
    <row r="23" spans="1:2">
      <c r="A23" s="7">
        <v>1188.4818464819498</v>
      </c>
      <c r="B23" s="7">
        <v>63.452329346966877</v>
      </c>
    </row>
    <row r="24" spans="1:2">
      <c r="A24" s="7">
        <v>1073.702333065165</v>
      </c>
      <c r="B24" s="7">
        <v>68.90000318562646</v>
      </c>
    </row>
    <row r="25" spans="1:2">
      <c r="A25" s="7">
        <v>1066.3774948923465</v>
      </c>
      <c r="B25" s="7">
        <v>69.369376465368077</v>
      </c>
    </row>
    <row r="26" spans="1:2">
      <c r="A26" s="7">
        <v>639.18923581162676</v>
      </c>
      <c r="B26" s="7">
        <v>65.909090909090907</v>
      </c>
    </row>
    <row r="27" spans="1:2">
      <c r="A27" s="7">
        <v>1949.4538670284937</v>
      </c>
      <c r="B27" s="7">
        <v>59.577045044501745</v>
      </c>
    </row>
    <row r="28" spans="1:2">
      <c r="A28" s="7">
        <v>1610.8221937374105</v>
      </c>
      <c r="B28" s="7">
        <v>77.020240059077906</v>
      </c>
    </row>
    <row r="29" spans="1:2">
      <c r="A29" s="7">
        <v>744.23520097269943</v>
      </c>
      <c r="B29" s="7">
        <v>60.370923596301132</v>
      </c>
    </row>
    <row r="30" spans="1:2">
      <c r="A30" s="7">
        <v>1538.0117495869285</v>
      </c>
      <c r="B30" s="7">
        <v>50.311185673140656</v>
      </c>
    </row>
    <row r="31" spans="1:2">
      <c r="A31" s="7">
        <v>1045.6771508699978</v>
      </c>
      <c r="B31" s="7">
        <v>70.457736590845272</v>
      </c>
    </row>
    <row r="32" spans="1:2">
      <c r="A32" s="7">
        <v>1719.4597574421168</v>
      </c>
      <c r="B32" s="7">
        <v>65.404129793510322</v>
      </c>
    </row>
    <row r="33" spans="1:2">
      <c r="A33" s="7">
        <v>884.59793465380051</v>
      </c>
      <c r="B33" s="7">
        <v>75.009457385239514</v>
      </c>
    </row>
    <row r="34" spans="1:2">
      <c r="A34" s="7">
        <v>1731.3113320594618</v>
      </c>
      <c r="B34" s="7">
        <v>62.119135160307806</v>
      </c>
    </row>
    <row r="35" spans="1:2">
      <c r="A35" s="7">
        <v>1012.7492461254353</v>
      </c>
      <c r="B35" s="7">
        <v>51.751203516360846</v>
      </c>
    </row>
    <row r="36" spans="1:2">
      <c r="A36" s="7">
        <v>1767.2385057471265</v>
      </c>
      <c r="B36" s="7">
        <v>71.018600802868264</v>
      </c>
    </row>
    <row r="37" spans="1:2">
      <c r="A37" s="7">
        <v>774.93129475517696</v>
      </c>
      <c r="B37" s="7">
        <v>56.00663764726265</v>
      </c>
    </row>
    <row r="38" spans="1:2">
      <c r="A38" s="7">
        <v>596.83407449716458</v>
      </c>
      <c r="B38" s="7">
        <v>52.46793280751104</v>
      </c>
    </row>
    <row r="39" spans="1:2">
      <c r="A39" s="7">
        <v>1235.7253298879546</v>
      </c>
      <c r="B39" s="7">
        <v>59.884361668198196</v>
      </c>
    </row>
    <row r="40" spans="1:2">
      <c r="A40" s="7">
        <v>1458.6030296485978</v>
      </c>
      <c r="B40" s="7">
        <v>60.373493580579087</v>
      </c>
    </row>
    <row r="41" spans="1:2">
      <c r="A41" s="7">
        <v>20794.578815679732</v>
      </c>
      <c r="B41" s="7">
        <v>61.520683151823185</v>
      </c>
    </row>
    <row r="42" spans="1:2">
      <c r="A42" s="7">
        <v>3667.048710601719</v>
      </c>
      <c r="B42" s="7">
        <v>60.202927133070375</v>
      </c>
    </row>
    <row r="43" spans="1:2">
      <c r="A43" s="7">
        <v>1950.137308748529</v>
      </c>
      <c r="B43" s="7">
        <v>82.32231792883573</v>
      </c>
    </row>
    <row r="44" spans="1:2">
      <c r="A44" s="7">
        <v>1981.7386363636363</v>
      </c>
      <c r="B44" s="7">
        <v>71.037254703279629</v>
      </c>
    </row>
    <row r="45" spans="1:2">
      <c r="A45" s="7">
        <v>958.55081904917017</v>
      </c>
      <c r="B45" s="7">
        <v>50.337588839168198</v>
      </c>
    </row>
    <row r="46" spans="1:2">
      <c r="A46" s="7">
        <v>1267.8410012747711</v>
      </c>
      <c r="B46" s="7">
        <v>57.528938164942524</v>
      </c>
    </row>
    <row r="47" spans="1:2">
      <c r="A47" s="7">
        <v>1376.5813060179257</v>
      </c>
      <c r="B47" s="7">
        <v>52.854111827176183</v>
      </c>
    </row>
    <row r="48" spans="1:2">
      <c r="A48" s="7">
        <v>429.62278009496083</v>
      </c>
      <c r="B48" s="7">
        <v>64.807141145884174</v>
      </c>
    </row>
    <row r="49" spans="1:2">
      <c r="A49" s="7">
        <v>1697.373083475298</v>
      </c>
      <c r="B49" s="7">
        <v>75.94077761654178</v>
      </c>
    </row>
    <row r="50" spans="1:2">
      <c r="A50" s="7">
        <v>1996.4237143001058</v>
      </c>
      <c r="B50" s="7">
        <v>80.640623073743441</v>
      </c>
    </row>
    <row r="51" spans="1:2">
      <c r="A51" s="7">
        <v>1118.3479448935443</v>
      </c>
      <c r="B51" s="7">
        <v>70.85929423598111</v>
      </c>
    </row>
    <row r="52" spans="1:2">
      <c r="A52" s="7">
        <v>1087.5117071094085</v>
      </c>
      <c r="B52" s="7">
        <v>74.065161499615073</v>
      </c>
    </row>
    <row r="53" spans="1:2">
      <c r="A53" s="7">
        <v>20794.594594594593</v>
      </c>
      <c r="B53" s="7">
        <v>67.02901436931279</v>
      </c>
    </row>
    <row r="54" spans="1:2">
      <c r="A54" s="7">
        <v>1046.6539475408881</v>
      </c>
      <c r="B54" s="7">
        <v>57.941048886155599</v>
      </c>
    </row>
    <row r="55" spans="1:2">
      <c r="A55" s="7">
        <v>1065.385569567914</v>
      </c>
      <c r="B55" s="7">
        <v>55.933775760444007</v>
      </c>
    </row>
    <row r="56" spans="1:2">
      <c r="A56" s="7">
        <v>931.60975609756099</v>
      </c>
      <c r="B56" s="7">
        <v>59.859914933237398</v>
      </c>
    </row>
    <row r="57" spans="1:2">
      <c r="A57" s="7">
        <v>1548.4239858140629</v>
      </c>
      <c r="B57" s="7">
        <v>56.947459986082116</v>
      </c>
    </row>
    <row r="58" spans="1:2">
      <c r="A58" s="7">
        <v>1845.4746055680187</v>
      </c>
      <c r="B58" s="7">
        <v>63.496327627104108</v>
      </c>
    </row>
    <row r="59" spans="1:2">
      <c r="A59" s="7">
        <v>828.79177871686511</v>
      </c>
      <c r="B59" s="7">
        <v>54.99421767250611</v>
      </c>
    </row>
    <row r="60" spans="1:2">
      <c r="A60" s="7">
        <v>1711.0895855348126</v>
      </c>
      <c r="B60" s="7">
        <v>59.24020975119938</v>
      </c>
    </row>
    <row r="61" spans="1:2">
      <c r="A61" s="7">
        <v>3179.8194191766056</v>
      </c>
      <c r="B61" s="7">
        <v>76.955023375279481</v>
      </c>
    </row>
    <row r="62" spans="1:2">
      <c r="A62" s="7">
        <v>1066.4578639852007</v>
      </c>
      <c r="B62" s="7">
        <v>51.910279767786562</v>
      </c>
    </row>
    <row r="63" spans="1:2">
      <c r="A63" s="7">
        <v>1071.6642754662842</v>
      </c>
      <c r="B63" s="7">
        <v>62.727914491054463</v>
      </c>
    </row>
    <row r="64" spans="1:2">
      <c r="A64" s="7">
        <v>953.90636324104946</v>
      </c>
      <c r="B64" s="7">
        <v>65.399895862310004</v>
      </c>
    </row>
    <row r="65" spans="1:2">
      <c r="A65" s="7">
        <v>1835.7389975058331</v>
      </c>
      <c r="B65" s="7">
        <v>78.955891892900979</v>
      </c>
    </row>
    <row r="66" spans="1:2">
      <c r="A66" s="7">
        <v>1351.5836371000405</v>
      </c>
      <c r="B66" s="7">
        <v>58.832608342071289</v>
      </c>
    </row>
    <row r="67" spans="1:2">
      <c r="A67" s="7">
        <v>1860.0350403674504</v>
      </c>
      <c r="B67" s="7">
        <v>63.118946288099117</v>
      </c>
    </row>
    <row r="68" spans="1:2">
      <c r="A68" s="7">
        <v>915.46247274992209</v>
      </c>
      <c r="B68" s="7">
        <v>57.738971264579277</v>
      </c>
    </row>
    <row r="69" spans="1:2">
      <c r="A69" s="7">
        <v>1227.1014189308896</v>
      </c>
      <c r="B69" s="7">
        <v>52.946735170372442</v>
      </c>
    </row>
    <row r="70" spans="1:2">
      <c r="A70" s="7">
        <v>917.60248389922992</v>
      </c>
      <c r="B70" s="7">
        <v>50.189677772378502</v>
      </c>
    </row>
    <row r="71" spans="1:2">
      <c r="A71" s="7">
        <v>971.79320752267677</v>
      </c>
      <c r="B71" s="7">
        <v>60.677087879666068</v>
      </c>
    </row>
    <row r="72" spans="1:2">
      <c r="A72" s="7">
        <v>33704.756604576549</v>
      </c>
      <c r="B72" s="7">
        <v>51.047140354885393</v>
      </c>
    </row>
    <row r="73" spans="1:2">
      <c r="A73" s="7">
        <v>33704.756604576549</v>
      </c>
      <c r="B73" s="7">
        <v>50.548988987910938</v>
      </c>
    </row>
    <row r="74" spans="1:2">
      <c r="A74" s="7">
        <v>33704.756604576549</v>
      </c>
      <c r="B74" s="7">
        <v>63.459450528700913</v>
      </c>
    </row>
    <row r="75" spans="1:2">
      <c r="A75" s="7">
        <v>33704.704226274262</v>
      </c>
      <c r="B75" s="7">
        <v>50.664931729854288</v>
      </c>
    </row>
    <row r="76" spans="1:2">
      <c r="A76" s="7">
        <v>33704.704226274262</v>
      </c>
      <c r="B76" s="7">
        <v>54.822811164848503</v>
      </c>
    </row>
    <row r="77" spans="1:2">
      <c r="A77" s="7">
        <v>33704.704226274262</v>
      </c>
      <c r="B77" s="7">
        <v>57.271736497941397</v>
      </c>
    </row>
    <row r="78" spans="1:2">
      <c r="A78" s="7">
        <v>33704.704226274262</v>
      </c>
      <c r="B78" s="7">
        <v>50.964169941765405</v>
      </c>
    </row>
    <row r="79" spans="1:2">
      <c r="A79" s="7">
        <v>33704.704226274262</v>
      </c>
      <c r="B79" s="7">
        <v>51.559940141419446</v>
      </c>
    </row>
    <row r="80" spans="1:2">
      <c r="A80" s="7">
        <v>33704.704226274262</v>
      </c>
      <c r="B80" s="7">
        <v>56.526647188413051</v>
      </c>
    </row>
    <row r="81" spans="1:2">
      <c r="A81" s="7">
        <v>9278.738008268776</v>
      </c>
      <c r="B81" s="7">
        <v>60.385949490765476</v>
      </c>
    </row>
    <row r="82" spans="1:2">
      <c r="A82" s="7">
        <v>6060.4304040282941</v>
      </c>
      <c r="B82" s="7">
        <v>67.454225716354614</v>
      </c>
    </row>
    <row r="83" spans="1:2">
      <c r="A83" s="7">
        <v>1679.8785043692949</v>
      </c>
      <c r="B83" s="7">
        <v>74.008054582946983</v>
      </c>
    </row>
    <row r="84" spans="1:2">
      <c r="A84" s="7">
        <v>8899.3131826571062</v>
      </c>
      <c r="B84" s="7">
        <v>54.357633464344644</v>
      </c>
    </row>
    <row r="85" spans="1:2">
      <c r="A85" s="7">
        <v>33704.756604576549</v>
      </c>
      <c r="B85" s="7">
        <v>50.961703136733107</v>
      </c>
    </row>
    <row r="86" spans="1:2">
      <c r="A86" s="7">
        <v>33704.756604576549</v>
      </c>
      <c r="B86" s="7">
        <v>52.484630591097691</v>
      </c>
    </row>
    <row r="87" spans="1:2">
      <c r="A87" s="7">
        <v>33704.756604576549</v>
      </c>
      <c r="B87" s="7">
        <v>58.60405657502583</v>
      </c>
    </row>
    <row r="88" spans="1:2">
      <c r="A88" s="7">
        <v>33704.756604576549</v>
      </c>
      <c r="B88" s="7">
        <v>51.52178942549557</v>
      </c>
    </row>
    <row r="89" spans="1:2">
      <c r="A89" s="7">
        <v>33704.756604576549</v>
      </c>
      <c r="B89" s="7">
        <v>52.308071863462949</v>
      </c>
    </row>
    <row r="90" spans="1:2">
      <c r="A90" s="7">
        <v>33704.756604576549</v>
      </c>
      <c r="B90" s="7">
        <v>67.535464438398748</v>
      </c>
    </row>
    <row r="91" spans="1:2">
      <c r="A91" s="7">
        <v>1330.0010024560172</v>
      </c>
      <c r="B91" s="7">
        <v>60.416785997068679</v>
      </c>
    </row>
    <row r="92" spans="1:2">
      <c r="A92" s="7">
        <v>666.55490360435874</v>
      </c>
      <c r="B92" s="7">
        <v>58.630173716625769</v>
      </c>
    </row>
    <row r="93" spans="1:2">
      <c r="A93" s="7">
        <v>1595.0043566656984</v>
      </c>
      <c r="B93" s="7">
        <v>50.837943942298914</v>
      </c>
    </row>
    <row r="94" spans="1:2">
      <c r="A94" s="7">
        <v>753.29624277456651</v>
      </c>
      <c r="B94" s="7">
        <v>56.464092919524077</v>
      </c>
    </row>
    <row r="95" spans="1:2">
      <c r="A95" s="7">
        <v>931.06422105613603</v>
      </c>
      <c r="B95" s="7">
        <v>51.056164026630967</v>
      </c>
    </row>
    <row r="96" spans="1:2">
      <c r="A96" s="7">
        <v>812.32975213602913</v>
      </c>
      <c r="B96" s="7">
        <v>51.93170761526823</v>
      </c>
    </row>
    <row r="97" spans="1:2">
      <c r="A97" s="7">
        <v>1198.0842097123416</v>
      </c>
      <c r="B97" s="7">
        <v>54.929958912554653</v>
      </c>
    </row>
    <row r="98" spans="1:2">
      <c r="A98" s="7">
        <v>778.6153348430928</v>
      </c>
      <c r="B98" s="7">
        <v>57.675154858553832</v>
      </c>
    </row>
    <row r="99" spans="1:2">
      <c r="A99" s="7">
        <v>2297.7816459539326</v>
      </c>
      <c r="B99" s="7">
        <v>54.479938384801585</v>
      </c>
    </row>
    <row r="100" spans="1:2">
      <c r="A100" s="7">
        <v>704.76314937893608</v>
      </c>
      <c r="B100" s="7">
        <v>62.703200031488628</v>
      </c>
    </row>
    <row r="101" spans="1:2">
      <c r="A101" s="7">
        <v>1117.1391842123548</v>
      </c>
      <c r="B101" s="7">
        <v>58.342051099898306</v>
      </c>
    </row>
    <row r="102" spans="1:2">
      <c r="A102" s="7">
        <v>1503.3726772847933</v>
      </c>
      <c r="B102" s="7">
        <v>62.105950735558622</v>
      </c>
    </row>
    <row r="103" spans="1:2">
      <c r="A103" s="7">
        <v>1403.7296267899981</v>
      </c>
      <c r="B103" s="7">
        <v>59.274808441741811</v>
      </c>
    </row>
    <row r="104" spans="1:2">
      <c r="A104" s="7">
        <v>1131.2834099221609</v>
      </c>
      <c r="B104" s="7">
        <v>78.739725720808167</v>
      </c>
    </row>
    <row r="105" spans="1:2">
      <c r="A105" s="7">
        <v>866.16579461264416</v>
      </c>
      <c r="B105" s="7">
        <v>56.899591685226426</v>
      </c>
    </row>
    <row r="106" spans="1:2">
      <c r="A106" s="7">
        <v>1407.3786900499056</v>
      </c>
      <c r="B106" s="7">
        <v>53.736591239113395</v>
      </c>
    </row>
    <row r="107" spans="1:2">
      <c r="A107" s="7">
        <v>1126.8123158637288</v>
      </c>
      <c r="B107" s="7">
        <v>50.536972142579032</v>
      </c>
    </row>
    <row r="108" spans="1:2">
      <c r="A108" s="7">
        <v>1202.992591030137</v>
      </c>
      <c r="B108" s="7">
        <v>54.851097034228943</v>
      </c>
    </row>
    <row r="109" spans="1:2">
      <c r="A109" s="7">
        <v>1313.8251573921495</v>
      </c>
      <c r="B109" s="7">
        <v>58.253522070338128</v>
      </c>
    </row>
    <row r="110" spans="1:2">
      <c r="A110" s="7">
        <v>3236.1459255462892</v>
      </c>
      <c r="B110" s="7">
        <v>57.230334146548692</v>
      </c>
    </row>
    <row r="111" spans="1:2">
      <c r="A111" s="7">
        <v>2418.0846551870386</v>
      </c>
      <c r="B111" s="7">
        <v>61.755084030097152</v>
      </c>
    </row>
    <row r="112" spans="1:2">
      <c r="A112" s="7">
        <v>1063.8817949653412</v>
      </c>
      <c r="B112" s="7">
        <v>52.963277115455668</v>
      </c>
    </row>
    <row r="113" spans="1:2">
      <c r="A113" s="7">
        <v>1986.0991441208571</v>
      </c>
      <c r="B113" s="7">
        <v>63.148137665572293</v>
      </c>
    </row>
    <row r="114" spans="1:2">
      <c r="A114" s="7">
        <v>999.80961979954088</v>
      </c>
      <c r="B114" s="7">
        <v>56.112318343013627</v>
      </c>
    </row>
    <row r="115" spans="1:2">
      <c r="A115" s="7">
        <v>1024.6722705099073</v>
      </c>
      <c r="B115" s="7">
        <v>54.794970377768962</v>
      </c>
    </row>
    <row r="116" spans="1:2">
      <c r="A116" s="7">
        <v>897.95278061024396</v>
      </c>
      <c r="B116" s="7">
        <v>63.983920538534342</v>
      </c>
    </row>
    <row r="117" spans="1:2">
      <c r="A117" s="7">
        <v>866.49141979502031</v>
      </c>
      <c r="B117" s="7">
        <v>66.614128269028313</v>
      </c>
    </row>
    <row r="118" spans="1:2">
      <c r="A118" s="7">
        <v>713.90626617566579</v>
      </c>
      <c r="B118" s="7">
        <v>65.810392783799941</v>
      </c>
    </row>
    <row r="119" spans="1:2">
      <c r="A119" s="7">
        <v>662.31597528684904</v>
      </c>
      <c r="B119" s="7">
        <v>75.750867408842254</v>
      </c>
    </row>
    <row r="120" spans="1:2">
      <c r="A120" s="7">
        <v>838.83057951435808</v>
      </c>
      <c r="B120" s="7">
        <v>69.043851759393533</v>
      </c>
    </row>
    <row r="121" spans="1:2">
      <c r="A121" s="7">
        <v>941.33388005419658</v>
      </c>
      <c r="B121" s="7">
        <v>64.745626185672549</v>
      </c>
    </row>
    <row r="122" spans="1:2">
      <c r="A122" s="7">
        <v>1304.4468015665796</v>
      </c>
      <c r="B122" s="7">
        <v>60.558201826980174</v>
      </c>
    </row>
    <row r="123" spans="1:2">
      <c r="A123" s="7">
        <v>1364.9236048696789</v>
      </c>
      <c r="B123" s="7">
        <v>71.808116548147424</v>
      </c>
    </row>
    <row r="124" spans="1:2">
      <c r="A124" s="7">
        <v>1302.3187855787476</v>
      </c>
      <c r="B124" s="7">
        <v>76.633065249827141</v>
      </c>
    </row>
    <row r="125" spans="1:2">
      <c r="A125" s="7">
        <v>955.26406061238799</v>
      </c>
      <c r="B125" s="7">
        <v>63.780895551040651</v>
      </c>
    </row>
    <row r="126" spans="1:2">
      <c r="A126" s="7">
        <v>970.76035186248203</v>
      </c>
      <c r="B126" s="7">
        <v>56.008183036659062</v>
      </c>
    </row>
    <row r="127" spans="1:2">
      <c r="A127" s="7">
        <v>1225.7011319479643</v>
      </c>
      <c r="B127" s="7">
        <v>55.271340085274822</v>
      </c>
    </row>
    <row r="128" spans="1:2">
      <c r="A128" s="7">
        <v>1898.549649217485</v>
      </c>
      <c r="B128" s="7">
        <v>51.784455841276532</v>
      </c>
    </row>
    <row r="129" spans="1:2">
      <c r="A129" s="7">
        <v>1343.2222222222222</v>
      </c>
      <c r="B129" s="7">
        <v>57.284775717306346</v>
      </c>
    </row>
    <row r="130" spans="1:2">
      <c r="A130" s="7">
        <v>1892.4761627180749</v>
      </c>
      <c r="B130" s="7">
        <v>60.974389801808911</v>
      </c>
    </row>
    <row r="131" spans="1:2">
      <c r="A131" s="7">
        <v>1085.9484324867601</v>
      </c>
      <c r="B131" s="7">
        <v>53.507759245830314</v>
      </c>
    </row>
    <row r="132" spans="1:2">
      <c r="A132" s="7">
        <v>541.66488251351495</v>
      </c>
      <c r="B132" s="7">
        <v>52.941176470588239</v>
      </c>
    </row>
    <row r="133" spans="1:2">
      <c r="A133" s="7">
        <v>625.90711530009287</v>
      </c>
      <c r="B133" s="7">
        <v>61.649137111020522</v>
      </c>
    </row>
    <row r="134" spans="1:2">
      <c r="A134" s="7">
        <v>1637.6832018038331</v>
      </c>
      <c r="B134" s="7">
        <v>75.240413824228852</v>
      </c>
    </row>
    <row r="135" spans="1:2">
      <c r="A135" s="7">
        <v>1201.5249137510043</v>
      </c>
      <c r="B135" s="7">
        <v>52.652507761928078</v>
      </c>
    </row>
    <row r="136" spans="1:2">
      <c r="A136" s="7">
        <v>695.8038915840541</v>
      </c>
      <c r="B136" s="7">
        <v>53.997199688035423</v>
      </c>
    </row>
    <row r="137" spans="1:2">
      <c r="A137" s="7">
        <v>1313.8251573921495</v>
      </c>
      <c r="B137" s="7">
        <v>57.890367716531131</v>
      </c>
    </row>
    <row r="138" spans="1:2">
      <c r="A138" s="7">
        <v>1057.0296275126227</v>
      </c>
      <c r="B138" s="7">
        <v>51.54180486176331</v>
      </c>
    </row>
    <row r="139" spans="1:2">
      <c r="A139" s="7">
        <v>894.68172804848155</v>
      </c>
      <c r="B139" s="7">
        <v>63.079151734761474</v>
      </c>
    </row>
    <row r="140" spans="1:2">
      <c r="A140" s="7">
        <v>179.85803596458521</v>
      </c>
      <c r="B140" s="7">
        <v>68.856419958514735</v>
      </c>
    </row>
    <row r="141" spans="1:2">
      <c r="A141" s="7">
        <v>350.83988287871784</v>
      </c>
      <c r="B141" s="7">
        <v>63.303738171498921</v>
      </c>
    </row>
    <row r="142" spans="1:2">
      <c r="A142" s="7">
        <v>15759.04511607534</v>
      </c>
      <c r="B142" s="7">
        <v>51.536381919488313</v>
      </c>
    </row>
    <row r="143" spans="1:2">
      <c r="A143" s="7">
        <v>15759.04511607534</v>
      </c>
      <c r="B143" s="7">
        <v>53.136203897625222</v>
      </c>
    </row>
    <row r="144" spans="1:2">
      <c r="A144" s="7">
        <v>1031.3691294445925</v>
      </c>
      <c r="B144" s="7">
        <v>52.929193955958951</v>
      </c>
    </row>
    <row r="145" spans="1:2">
      <c r="A145" s="7">
        <v>2056.7543859649127</v>
      </c>
      <c r="B145" s="7">
        <v>50.441884107082345</v>
      </c>
    </row>
    <row r="146" spans="1:2">
      <c r="A146" s="7">
        <v>231.47585954645206</v>
      </c>
      <c r="B146" s="7">
        <v>54.722365430556863</v>
      </c>
    </row>
    <row r="147" spans="1:2">
      <c r="A147" s="7">
        <v>483.66358145396083</v>
      </c>
      <c r="B147" s="7">
        <v>55.085780776046221</v>
      </c>
    </row>
    <row r="148" spans="1:2">
      <c r="A148" s="7">
        <v>1562.1682891052139</v>
      </c>
      <c r="B148" s="7">
        <v>54.287646800985478</v>
      </c>
    </row>
    <row r="149" spans="1:2">
      <c r="A149" s="7">
        <v>1071.3530246356249</v>
      </c>
      <c r="B149" s="7">
        <v>52.323882721850545</v>
      </c>
    </row>
    <row r="150" spans="1:2">
      <c r="A150" s="7">
        <v>1143.0767245689585</v>
      </c>
      <c r="B150" s="7">
        <v>69.611825476481997</v>
      </c>
    </row>
    <row r="151" spans="1:2">
      <c r="A151" s="7">
        <v>1072.8169123151183</v>
      </c>
      <c r="B151" s="7">
        <v>54.985519238725686</v>
      </c>
    </row>
    <row r="152" spans="1:2">
      <c r="A152" s="7">
        <v>1580.4462456966053</v>
      </c>
      <c r="B152" s="7">
        <v>81.36560288656905</v>
      </c>
    </row>
    <row r="153" spans="1:2">
      <c r="A153" s="7">
        <v>989.95532558599837</v>
      </c>
      <c r="B153" s="7">
        <v>53.419911780853035</v>
      </c>
    </row>
    <row r="154" spans="1:2">
      <c r="A154" s="7">
        <v>625.13280896100161</v>
      </c>
      <c r="B154" s="7">
        <v>51.221921856565224</v>
      </c>
    </row>
    <row r="155" spans="1:2">
      <c r="A155" s="7">
        <v>604.55337525570121</v>
      </c>
      <c r="B155" s="7">
        <v>57.629670763874799</v>
      </c>
    </row>
    <row r="156" spans="1:2">
      <c r="A156" s="7">
        <v>459.58018867924528</v>
      </c>
      <c r="B156" s="7">
        <v>56.174175764277145</v>
      </c>
    </row>
    <row r="157" spans="1:2">
      <c r="A157" s="7">
        <v>1058.2485537602233</v>
      </c>
      <c r="B157" s="7">
        <v>65.682862809838824</v>
      </c>
    </row>
    <row r="158" spans="1:2">
      <c r="A158" s="7">
        <v>1525.5025349672619</v>
      </c>
      <c r="B158" s="7">
        <v>57.183897780318183</v>
      </c>
    </row>
    <row r="159" spans="1:2">
      <c r="A159" s="7">
        <v>1668.9536163755913</v>
      </c>
      <c r="B159" s="7">
        <v>58.742063530765712</v>
      </c>
    </row>
    <row r="160" spans="1:2">
      <c r="A160" s="7">
        <v>1428.8396582555138</v>
      </c>
      <c r="B160" s="7">
        <v>51.493724896109846</v>
      </c>
    </row>
    <row r="161" spans="1:2">
      <c r="A161" s="7">
        <v>548.95977565506973</v>
      </c>
      <c r="B161" s="7">
        <v>59.428653577589749</v>
      </c>
    </row>
    <row r="162" spans="1:2">
      <c r="A162" s="7">
        <v>1852.5072352489517</v>
      </c>
      <c r="B162" s="7">
        <v>52.253954195965271</v>
      </c>
    </row>
    <row r="163" spans="1:2">
      <c r="A163" s="7">
        <v>1582.7450904217092</v>
      </c>
      <c r="B163" s="7">
        <v>52.478580881840763</v>
      </c>
    </row>
    <row r="164" spans="1:2">
      <c r="A164" s="7">
        <v>468.42383505777508</v>
      </c>
      <c r="B164" s="7">
        <v>60.966367653674155</v>
      </c>
    </row>
    <row r="165" spans="1:2">
      <c r="A165" s="7">
        <v>1207.8224974200207</v>
      </c>
      <c r="B165" s="7">
        <v>51.698737782284219</v>
      </c>
    </row>
    <row r="166" spans="1:2">
      <c r="A166" s="7">
        <v>1481.2379612596042</v>
      </c>
      <c r="B166" s="7">
        <v>64.944197013361276</v>
      </c>
    </row>
    <row r="167" spans="1:2">
      <c r="A167" s="7">
        <v>1326.2749445676275</v>
      </c>
      <c r="B167" s="7">
        <v>71.289579940888515</v>
      </c>
    </row>
    <row r="168" spans="1:2">
      <c r="A168" s="7">
        <v>1116.0879340494628</v>
      </c>
      <c r="B168" s="7">
        <v>50.148725595481835</v>
      </c>
    </row>
    <row r="169" spans="1:2">
      <c r="A169" s="7">
        <v>1349.0712724827704</v>
      </c>
      <c r="B169" s="7">
        <v>57.054148955830719</v>
      </c>
    </row>
    <row r="170" spans="1:2">
      <c r="A170" s="7">
        <v>872.38652914424995</v>
      </c>
      <c r="B170" s="7">
        <v>53.191324640277827</v>
      </c>
    </row>
    <row r="171" spans="1:2">
      <c r="A171" s="7">
        <v>1686.2020419977896</v>
      </c>
      <c r="B171" s="7">
        <v>67.388529936843028</v>
      </c>
    </row>
    <row r="172" spans="1:2">
      <c r="A172" s="7">
        <v>1019.2679807947499</v>
      </c>
      <c r="B172" s="7">
        <v>55.827929063771641</v>
      </c>
    </row>
    <row r="173" spans="1:2">
      <c r="A173" s="7">
        <v>1024.6281515517617</v>
      </c>
      <c r="B173" s="7">
        <v>63.904801220830187</v>
      </c>
    </row>
    <row r="174" spans="1:2">
      <c r="A174" s="7">
        <v>815.98832304005941</v>
      </c>
      <c r="B174" s="7">
        <v>68.313726404645038</v>
      </c>
    </row>
    <row r="175" spans="1:2">
      <c r="A175" s="7">
        <v>921.80683811604274</v>
      </c>
      <c r="B175" s="7">
        <v>72.260100955580413</v>
      </c>
    </row>
    <row r="176" spans="1:2">
      <c r="A176" s="7">
        <v>1203.5247596298602</v>
      </c>
      <c r="B176" s="7">
        <v>53.897915282101508</v>
      </c>
    </row>
    <row r="177" spans="1:2">
      <c r="A177" s="7">
        <v>304.1562401127506</v>
      </c>
      <c r="B177" s="7">
        <v>52.83004377543967</v>
      </c>
    </row>
    <row r="178" spans="1:2">
      <c r="A178" s="7">
        <v>953.31833761782354</v>
      </c>
      <c r="B178" s="7">
        <v>54.211092418434049</v>
      </c>
    </row>
    <row r="179" spans="1:2">
      <c r="A179" s="7">
        <v>585.30182182064345</v>
      </c>
      <c r="B179" s="7">
        <v>62.310788993154212</v>
      </c>
    </row>
    <row r="180" spans="1:2">
      <c r="A180" s="7">
        <v>1041.4215199098919</v>
      </c>
      <c r="B180" s="7">
        <v>66.87785044775228</v>
      </c>
    </row>
    <row r="181" spans="1:2">
      <c r="A181" s="7">
        <v>716.01788185672547</v>
      </c>
      <c r="B181" s="7">
        <v>77.291580913782738</v>
      </c>
    </row>
    <row r="182" spans="1:2">
      <c r="A182" s="7">
        <v>1178.9603816956092</v>
      </c>
      <c r="B182" s="7">
        <v>62.260617545424147</v>
      </c>
    </row>
    <row r="183" spans="1:2">
      <c r="A183" s="7">
        <v>914.51597918989228</v>
      </c>
      <c r="B183" s="7">
        <v>67.410016302503237</v>
      </c>
    </row>
    <row r="184" spans="1:2">
      <c r="A184" s="7">
        <v>1477.8980422009183</v>
      </c>
      <c r="B184" s="7">
        <v>58.368558281490635</v>
      </c>
    </row>
    <row r="185" spans="1:2">
      <c r="A185" s="7">
        <v>1115.7184346336264</v>
      </c>
      <c r="B185" s="7">
        <v>51.507914230390448</v>
      </c>
    </row>
    <row r="186" spans="1:2">
      <c r="A186" s="7">
        <v>1238.3992300906248</v>
      </c>
      <c r="B186" s="7">
        <v>53.005652253187286</v>
      </c>
    </row>
    <row r="187" spans="1:2">
      <c r="A187" s="7">
        <v>1315.0613669631798</v>
      </c>
      <c r="B187" s="7">
        <v>62.754589666339434</v>
      </c>
    </row>
    <row r="188" spans="1:2">
      <c r="A188" s="7">
        <v>1264.1537297842453</v>
      </c>
      <c r="B188" s="7">
        <v>55.196652272354143</v>
      </c>
    </row>
    <row r="189" spans="1:2">
      <c r="A189" s="7">
        <v>1076.8171407907425</v>
      </c>
      <c r="B189" s="7">
        <v>53.299366663128467</v>
      </c>
    </row>
    <row r="190" spans="1:2">
      <c r="A190" s="7">
        <v>1084.8577680525163</v>
      </c>
      <c r="B190" s="7">
        <v>51.195927142121214</v>
      </c>
    </row>
    <row r="191" spans="1:2">
      <c r="A191" s="7">
        <v>2005.580483554781</v>
      </c>
      <c r="B191" s="7">
        <v>55.769197487063224</v>
      </c>
    </row>
    <row r="192" spans="1:2">
      <c r="A192" s="7">
        <v>1232.3103302601824</v>
      </c>
      <c r="B192" s="7">
        <v>59.049100027213001</v>
      </c>
    </row>
    <row r="193" spans="1:2">
      <c r="A193" s="7">
        <v>1449.8406985662871</v>
      </c>
      <c r="B193" s="7">
        <v>53.860250135943446</v>
      </c>
    </row>
    <row r="194" spans="1:2">
      <c r="A194" s="7">
        <v>1413.7391243579441</v>
      </c>
      <c r="B194" s="7">
        <v>70.143054613739494</v>
      </c>
    </row>
    <row r="195" spans="1:2">
      <c r="A195" s="7">
        <v>1212.9711209006364</v>
      </c>
      <c r="B195" s="7">
        <v>54.649554894251537</v>
      </c>
    </row>
    <row r="196" spans="1:2">
      <c r="A196" s="7">
        <v>608.02927814235238</v>
      </c>
      <c r="B196" s="7">
        <v>53.059082031250007</v>
      </c>
    </row>
    <row r="197" spans="1:2">
      <c r="A197" s="7">
        <v>652.5448091759805</v>
      </c>
      <c r="B197" s="7">
        <v>51.26657707229252</v>
      </c>
    </row>
    <row r="198" spans="1:2">
      <c r="A198" s="7">
        <v>742.74057521804934</v>
      </c>
      <c r="B198" s="7">
        <v>58.289616150326573</v>
      </c>
    </row>
    <row r="199" spans="1:2">
      <c r="A199" s="7">
        <v>787.45887562333166</v>
      </c>
      <c r="B199" s="7">
        <v>57.848290995166494</v>
      </c>
    </row>
    <row r="200" spans="1:2">
      <c r="A200" s="7">
        <v>1624.3317738367243</v>
      </c>
      <c r="B200" s="7">
        <v>55.261561853996888</v>
      </c>
    </row>
    <row r="201" spans="1:2">
      <c r="A201" s="7">
        <v>725.05018878349745</v>
      </c>
      <c r="B201" s="7">
        <v>52.720889125644689</v>
      </c>
    </row>
    <row r="202" spans="1:2">
      <c r="A202" s="7">
        <v>1085.0721086249146</v>
      </c>
      <c r="B202" s="7">
        <v>57.063356164383563</v>
      </c>
    </row>
    <row r="203" spans="1:2">
      <c r="A203" s="7">
        <v>1267.8410012747711</v>
      </c>
      <c r="B203" s="7">
        <v>60.092879414442599</v>
      </c>
    </row>
    <row r="204" spans="1:2">
      <c r="A204" s="7">
        <v>2849.2864939159963</v>
      </c>
      <c r="B204" s="7">
        <v>63.331040440235476</v>
      </c>
    </row>
    <row r="205" spans="1:2">
      <c r="A205" s="7">
        <v>2552.7683739215904</v>
      </c>
      <c r="B205" s="7">
        <v>60.527892084053668</v>
      </c>
    </row>
    <row r="206" spans="1:2">
      <c r="A206" s="7">
        <v>3214.6161015961784</v>
      </c>
      <c r="B206" s="7">
        <v>53.52751121184356</v>
      </c>
    </row>
    <row r="207" spans="1:2">
      <c r="A207" s="7">
        <v>3899.0638363447242</v>
      </c>
      <c r="B207" s="7">
        <v>56.839766582793516</v>
      </c>
    </row>
    <row r="208" spans="1:2">
      <c r="A208" s="7">
        <v>3899.0638363447242</v>
      </c>
      <c r="B208" s="7">
        <v>53.148915484154728</v>
      </c>
    </row>
    <row r="209" spans="1:2">
      <c r="A209" s="7">
        <v>3986.8556459912061</v>
      </c>
      <c r="B209" s="7">
        <v>62.863674957352181</v>
      </c>
    </row>
    <row r="210" spans="1:2">
      <c r="A210" s="7">
        <v>2019.3791538336845</v>
      </c>
      <c r="B210" s="7">
        <v>62.383710370714184</v>
      </c>
    </row>
    <row r="211" spans="1:2">
      <c r="A211" s="7">
        <v>1456.4547439941762</v>
      </c>
      <c r="B211" s="7">
        <v>64.239136391035117</v>
      </c>
    </row>
    <row r="212" spans="1:2">
      <c r="A212" s="7">
        <v>1802.6607538802662</v>
      </c>
      <c r="B212" s="7">
        <v>67.479433045891568</v>
      </c>
    </row>
    <row r="213" spans="1:2">
      <c r="A213" s="7">
        <v>1952.1085781884453</v>
      </c>
      <c r="B213" s="7">
        <v>75.375949110696283</v>
      </c>
    </row>
    <row r="214" spans="1:2">
      <c r="A214" s="7">
        <v>663.15180465516482</v>
      </c>
      <c r="B214" s="7">
        <v>53.144950179519277</v>
      </c>
    </row>
    <row r="215" spans="1:2">
      <c r="A215" s="7">
        <v>1268.1600977257212</v>
      </c>
      <c r="B215" s="7">
        <v>55.594779230267633</v>
      </c>
    </row>
    <row r="216" spans="1:2">
      <c r="A216" s="7">
        <v>1014.1155734194315</v>
      </c>
      <c r="B216" s="7">
        <v>64.301514012670452</v>
      </c>
    </row>
    <row r="217" spans="1:2">
      <c r="A217" s="7">
        <v>1030.9948937022327</v>
      </c>
      <c r="B217" s="7">
        <v>55.747098258791837</v>
      </c>
    </row>
    <row r="218" spans="1:2">
      <c r="A218" s="7">
        <v>535.11925446217037</v>
      </c>
      <c r="B218" s="7">
        <v>64.411323226118753</v>
      </c>
    </row>
    <row r="219" spans="1:2">
      <c r="A219" s="7">
        <v>774.08000615037668</v>
      </c>
      <c r="B219" s="7">
        <v>71.7853463223407</v>
      </c>
    </row>
    <row r="220" spans="1:2">
      <c r="A220" s="7">
        <v>566.51126841775954</v>
      </c>
      <c r="B220" s="7">
        <v>63.207063970549001</v>
      </c>
    </row>
    <row r="221" spans="1:2">
      <c r="A221" s="7">
        <v>443.34465122276185</v>
      </c>
      <c r="B221" s="7">
        <v>80.143639634969915</v>
      </c>
    </row>
    <row r="222" spans="1:2">
      <c r="A222" s="7">
        <v>1078.7615214851357</v>
      </c>
      <c r="B222" s="7">
        <v>50.855565663504322</v>
      </c>
    </row>
    <row r="223" spans="1:2">
      <c r="A223" s="7">
        <v>1346.6306864940384</v>
      </c>
      <c r="B223" s="7">
        <v>55.808874128594077</v>
      </c>
    </row>
    <row r="224" spans="1:2">
      <c r="A224" s="7">
        <v>1665.8188408100978</v>
      </c>
      <c r="B224" s="7">
        <v>51.898449144152039</v>
      </c>
    </row>
    <row r="225" spans="1:2">
      <c r="A225" s="7">
        <v>1125.6282378411815</v>
      </c>
      <c r="B225" s="7">
        <v>54.922038631603442</v>
      </c>
    </row>
    <row r="226" spans="1:2">
      <c r="A226" s="7">
        <v>1493.1921186966269</v>
      </c>
      <c r="B226" s="7">
        <v>60.499246575674327</v>
      </c>
    </row>
    <row r="227" spans="1:2">
      <c r="A227" s="7">
        <v>308.3161765515419</v>
      </c>
      <c r="B227" s="7">
        <v>56.403061337934531</v>
      </c>
    </row>
    <row r="228" spans="1:2">
      <c r="A228" s="7">
        <v>1203.390460677738</v>
      </c>
      <c r="B228" s="7">
        <v>55.60396196933182</v>
      </c>
    </row>
    <row r="229" spans="1:2">
      <c r="A229" s="7">
        <v>598.84513212471461</v>
      </c>
      <c r="B229" s="7">
        <v>53.224869042766784</v>
      </c>
    </row>
    <row r="230" spans="1:2">
      <c r="A230" s="7">
        <v>617.73527267677991</v>
      </c>
      <c r="B230" s="7">
        <v>59.532662811573964</v>
      </c>
    </row>
    <row r="231" spans="1:2">
      <c r="A231" s="7">
        <v>1611.5453299555627</v>
      </c>
      <c r="B231" s="7">
        <v>55.098579368599985</v>
      </c>
    </row>
    <row r="232" spans="1:2">
      <c r="A232" s="7">
        <v>4544.7047449055481</v>
      </c>
      <c r="B232" s="7">
        <v>58.939840944073886</v>
      </c>
    </row>
    <row r="233" spans="1:2">
      <c r="A233" s="7">
        <v>2057.5935288169871</v>
      </c>
      <c r="B233" s="7">
        <v>55.492509147421856</v>
      </c>
    </row>
    <row r="234" spans="1:2">
      <c r="A234" s="7">
        <v>1540.9620483296721</v>
      </c>
      <c r="B234" s="7">
        <v>73.944915444619937</v>
      </c>
    </row>
    <row r="235" spans="1:2">
      <c r="A235" s="7">
        <v>634.72666472811864</v>
      </c>
      <c r="B235" s="7">
        <v>50.560372461696169</v>
      </c>
    </row>
    <row r="236" spans="1:2">
      <c r="A236" s="7">
        <v>815.33016164163701</v>
      </c>
      <c r="B236" s="7">
        <v>50.699873687621754</v>
      </c>
    </row>
    <row r="237" spans="1:2">
      <c r="A237" s="7">
        <v>1686.7496565452659</v>
      </c>
      <c r="B237" s="7">
        <v>52.440194973466426</v>
      </c>
    </row>
    <row r="238" spans="1:2">
      <c r="A238" s="7">
        <v>817.36140512938937</v>
      </c>
      <c r="B238" s="7">
        <v>51.179485093748731</v>
      </c>
    </row>
    <row r="239" spans="1:2">
      <c r="A239" s="7">
        <v>988.92330679105714</v>
      </c>
      <c r="B239" s="7">
        <v>57.543029600147612</v>
      </c>
    </row>
    <row r="240" spans="1:2">
      <c r="A240" s="7">
        <v>723.45991980647523</v>
      </c>
      <c r="B240" s="7">
        <v>72.336954453787911</v>
      </c>
    </row>
    <row r="241" spans="1:2">
      <c r="A241" s="7">
        <v>925.90048063330505</v>
      </c>
      <c r="B241" s="7">
        <v>58.093942084808504</v>
      </c>
    </row>
    <row r="242" spans="1:2">
      <c r="A242" s="7">
        <v>481.21696373693914</v>
      </c>
      <c r="B242" s="7">
        <v>54.466544290479277</v>
      </c>
    </row>
    <row r="243" spans="1:2">
      <c r="A243" s="7">
        <v>576.56136657800789</v>
      </c>
      <c r="B243" s="7">
        <v>63.878129185124131</v>
      </c>
    </row>
    <row r="244" spans="1:2">
      <c r="A244" s="7">
        <v>778.46477500128265</v>
      </c>
      <c r="B244" s="7">
        <v>55.328990173670775</v>
      </c>
    </row>
    <row r="245" spans="1:2">
      <c r="A245" s="7">
        <v>361.72849030983826</v>
      </c>
      <c r="B245" s="7">
        <v>52.050652705337441</v>
      </c>
    </row>
    <row r="246" spans="1:2">
      <c r="A246" s="7">
        <v>2153.3819422897923</v>
      </c>
      <c r="B246" s="7">
        <v>63.532423038234384</v>
      </c>
    </row>
    <row r="247" spans="1:2">
      <c r="A247" s="7">
        <v>1167.70053971416</v>
      </c>
      <c r="B247" s="7">
        <v>60.454244952725197</v>
      </c>
    </row>
    <row r="248" spans="1:2">
      <c r="A248" s="7">
        <v>1574.1459270823768</v>
      </c>
      <c r="B248" s="7">
        <v>77.902368389081701</v>
      </c>
    </row>
    <row r="249" spans="1:2">
      <c r="A249" s="7">
        <v>783.12936017540369</v>
      </c>
      <c r="B249" s="7">
        <v>50.275690103252089</v>
      </c>
    </row>
    <row r="250" spans="1:2">
      <c r="A250" s="7">
        <v>5692.7109181141441</v>
      </c>
      <c r="B250" s="7">
        <v>56.154222509566829</v>
      </c>
    </row>
    <row r="251" spans="1:2">
      <c r="A251" s="7">
        <v>1572.5968476753728</v>
      </c>
      <c r="B251" s="7">
        <v>56.108450412894392</v>
      </c>
    </row>
    <row r="252" spans="1:2">
      <c r="A252" s="7">
        <v>1028.5647485972054</v>
      </c>
      <c r="B252" s="7">
        <v>51.282895761659553</v>
      </c>
    </row>
    <row r="253" spans="1:2">
      <c r="A253" s="7">
        <v>884.06851599211768</v>
      </c>
      <c r="B253" s="7">
        <v>67.626834751179089</v>
      </c>
    </row>
    <row r="254" spans="1:2">
      <c r="A254" s="7">
        <v>1036.2792186999679</v>
      </c>
      <c r="B254" s="7">
        <v>61.527001245670156</v>
      </c>
    </row>
    <row r="255" spans="1:2">
      <c r="A255" s="7">
        <v>119.18344687898504</v>
      </c>
      <c r="B255" s="7">
        <v>86.58652896041518</v>
      </c>
    </row>
    <row r="256" spans="1:2">
      <c r="A256" s="7">
        <v>821.13379324946629</v>
      </c>
      <c r="B256" s="7">
        <v>67.641669968996936</v>
      </c>
    </row>
    <row r="257" spans="1:2">
      <c r="A257" s="7">
        <v>1192.8413820771275</v>
      </c>
      <c r="B257" s="7">
        <v>66.091812937277524</v>
      </c>
    </row>
    <row r="258" spans="1:2">
      <c r="A258" s="7">
        <v>755.64202334630352</v>
      </c>
      <c r="B258" s="7">
        <v>67.520592922562926</v>
      </c>
    </row>
    <row r="259" spans="1:2">
      <c r="A259" s="7">
        <v>969.33926737418699</v>
      </c>
      <c r="B259" s="7">
        <v>51.448552143356409</v>
      </c>
    </row>
    <row r="260" spans="1:2">
      <c r="A260" s="7">
        <v>1315.8902704155164</v>
      </c>
      <c r="B260" s="7">
        <v>60.552481605258698</v>
      </c>
    </row>
    <row r="261" spans="1:2">
      <c r="A261" s="7">
        <v>1479.2746853047106</v>
      </c>
      <c r="B261" s="7">
        <v>50.417922980038931</v>
      </c>
    </row>
    <row r="262" spans="1:2">
      <c r="A262" s="7">
        <v>1087.9473216270283</v>
      </c>
      <c r="B262" s="7">
        <v>53.268163412294136</v>
      </c>
    </row>
    <row r="263" spans="1:2">
      <c r="A263" s="7">
        <v>1301.2516485430613</v>
      </c>
      <c r="B263" s="7">
        <v>69.656257501591639</v>
      </c>
    </row>
    <row r="264" spans="1:2">
      <c r="A264" s="7">
        <v>789.24113259247986</v>
      </c>
      <c r="B264" s="7">
        <v>63.613731475215118</v>
      </c>
    </row>
    <row r="265" spans="1:2">
      <c r="A265" s="7">
        <v>1562.6566936768477</v>
      </c>
      <c r="B265" s="7">
        <v>55.585710646306786</v>
      </c>
    </row>
    <row r="266" spans="1:2">
      <c r="A266" s="7">
        <v>1066.6977655455521</v>
      </c>
      <c r="B266" s="7">
        <v>55.238910894622272</v>
      </c>
    </row>
    <row r="267" spans="1:2">
      <c r="A267" s="7">
        <v>1264.5429483144117</v>
      </c>
      <c r="B267" s="7">
        <v>64.678684244616505</v>
      </c>
    </row>
    <row r="268" spans="1:2">
      <c r="A268" s="7">
        <v>1354.9838936527381</v>
      </c>
      <c r="B268" s="7">
        <v>60.674943566591423</v>
      </c>
    </row>
    <row r="269" spans="1:2">
      <c r="A269" s="7">
        <v>1538.2980464913239</v>
      </c>
      <c r="B269" s="7">
        <v>61.998127604255096</v>
      </c>
    </row>
    <row r="270" spans="1:2">
      <c r="A270" s="7">
        <v>871.84705519580643</v>
      </c>
      <c r="B270" s="7">
        <v>52.234719386967775</v>
      </c>
    </row>
    <row r="271" spans="1:2">
      <c r="A271" s="7">
        <v>763.44573149228222</v>
      </c>
      <c r="B271" s="7">
        <v>51.72959880760154</v>
      </c>
    </row>
    <row r="272" spans="1:2">
      <c r="A272" s="7">
        <v>1392.772749012453</v>
      </c>
      <c r="B272" s="7">
        <v>56.391887189408521</v>
      </c>
    </row>
    <row r="273" spans="1:2">
      <c r="A273" s="7">
        <v>756.01728095045223</v>
      </c>
      <c r="B273" s="7">
        <v>59.893830348313372</v>
      </c>
    </row>
    <row r="274" spans="1:2">
      <c r="A274" s="7">
        <v>4610.7483951777049</v>
      </c>
      <c r="B274" s="7">
        <v>50.091907782763421</v>
      </c>
    </row>
    <row r="275" spans="1:2">
      <c r="A275" s="7">
        <v>1941.056193527485</v>
      </c>
      <c r="B275" s="7">
        <v>56.059068028489669</v>
      </c>
    </row>
    <row r="276" spans="1:2">
      <c r="A276" s="7">
        <v>1686.7496565452659</v>
      </c>
      <c r="B276" s="7">
        <v>62.277771322333251</v>
      </c>
    </row>
    <row r="277" spans="1:2">
      <c r="A277" s="7">
        <v>634.20899211790493</v>
      </c>
      <c r="B277" s="7">
        <v>63.505535055350549</v>
      </c>
    </row>
    <row r="278" spans="1:2">
      <c r="A278" s="7">
        <v>564.16731239649334</v>
      </c>
      <c r="B278" s="7">
        <v>61.153236411006375</v>
      </c>
    </row>
    <row r="279" spans="1:2">
      <c r="A279" s="7">
        <v>656.74055701958355</v>
      </c>
      <c r="B279" s="7">
        <v>69.738926035015297</v>
      </c>
    </row>
    <row r="280" spans="1:2">
      <c r="A280" s="7">
        <v>1257.034795763994</v>
      </c>
      <c r="B280" s="7">
        <v>56.430819147773356</v>
      </c>
    </row>
    <row r="281" spans="1:2">
      <c r="A281" s="7">
        <v>788.68137040648219</v>
      </c>
      <c r="B281" s="7">
        <v>59.80057944543293</v>
      </c>
    </row>
    <row r="282" spans="1:2">
      <c r="A282" s="7">
        <v>6702.3773584905657</v>
      </c>
      <c r="B282" s="7">
        <v>56.724983088558247</v>
      </c>
    </row>
    <row r="283" spans="1:2">
      <c r="A283" s="7">
        <v>599.00916784203093</v>
      </c>
      <c r="B283" s="7">
        <v>75.706973394834662</v>
      </c>
    </row>
    <row r="284" spans="1:2">
      <c r="A284" s="7">
        <v>1171.5860046092605</v>
      </c>
      <c r="B284" s="7">
        <v>60.816313495041761</v>
      </c>
    </row>
    <row r="285" spans="1:2">
      <c r="A285" s="7">
        <v>393.88448887337137</v>
      </c>
      <c r="B285" s="7">
        <v>72.354465084399209</v>
      </c>
    </row>
    <row r="286" spans="1:2">
      <c r="A286" s="7">
        <v>811.34585506603059</v>
      </c>
      <c r="B286" s="7">
        <v>53.212319535435761</v>
      </c>
    </row>
    <row r="287" spans="1:2">
      <c r="A287" s="7">
        <v>1029.1327699233868</v>
      </c>
      <c r="B287" s="7">
        <v>55.867799900565828</v>
      </c>
    </row>
    <row r="288" spans="1:2">
      <c r="A288" s="7">
        <v>808.00055250314631</v>
      </c>
      <c r="B288" s="7">
        <v>61.97090106846381</v>
      </c>
    </row>
    <row r="289" spans="1:2">
      <c r="A289" s="7">
        <v>881.1427125871852</v>
      </c>
      <c r="B289" s="7">
        <v>76.505303299316054</v>
      </c>
    </row>
    <row r="290" spans="1:2">
      <c r="A290" s="7">
        <v>993.56552930496207</v>
      </c>
      <c r="B290" s="7">
        <v>56.59044422300309</v>
      </c>
    </row>
    <row r="291" spans="1:2">
      <c r="A291" s="7">
        <v>1492.10211805325</v>
      </c>
      <c r="B291" s="7">
        <v>62.75923289107601</v>
      </c>
    </row>
    <row r="292" spans="1:2">
      <c r="A292" s="7">
        <v>1209.6034285024446</v>
      </c>
      <c r="B292" s="7">
        <v>62.052258912281033</v>
      </c>
    </row>
    <row r="293" spans="1:2">
      <c r="A293" s="7">
        <v>880.60629869704712</v>
      </c>
      <c r="B293" s="7">
        <v>62.154439073398507</v>
      </c>
    </row>
    <row r="294" spans="1:2">
      <c r="A294" s="7">
        <v>970.42322633408298</v>
      </c>
      <c r="B294" s="7">
        <v>66.536814685364092</v>
      </c>
    </row>
    <row r="295" spans="1:2">
      <c r="A295" s="7">
        <v>1207.866137010943</v>
      </c>
      <c r="B295" s="7">
        <v>59.691032522067246</v>
      </c>
    </row>
    <row r="296" spans="1:2">
      <c r="A296" s="7">
        <v>3804.0544454097885</v>
      </c>
      <c r="B296" s="7">
        <v>62.87590199366597</v>
      </c>
    </row>
    <row r="297" spans="1:2">
      <c r="A297" s="7">
        <v>718.80983425544161</v>
      </c>
      <c r="B297" s="7">
        <v>51.121559284229733</v>
      </c>
    </row>
    <row r="298" spans="1:2">
      <c r="A298" s="7">
        <v>1071.2193139326939</v>
      </c>
      <c r="B298" s="7">
        <v>59.091536103163335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71F4-7F4E-4B6A-8B05-71074D1B716F}">
  <dimension ref="A1:B298"/>
  <sheetViews>
    <sheetView workbookViewId="0">
      <selection activeCell="O19" sqref="O19"/>
    </sheetView>
  </sheetViews>
  <sheetFormatPr defaultRowHeight="15"/>
  <cols>
    <col min="1" max="1" width="21" bestFit="1" customWidth="1"/>
    <col min="2" max="2" width="19.140625" bestFit="1" customWidth="1"/>
  </cols>
  <sheetData>
    <row r="1" spans="1:2">
      <c r="A1" s="1" t="s">
        <v>1565</v>
      </c>
      <c r="B1" s="1" t="s">
        <v>1458</v>
      </c>
    </row>
    <row r="2" spans="1:2">
      <c r="A2" s="7" cm="1">
        <f t="array" ref="A2:B298">_xlfn.LET(_xlpm.headers,Analysis_Data!$A$1:$Z$1,_xlpm.data,Analysis_Data!$A$2:$Z$301,_xlpm.valid,INDEX(_xlpm.data,,MATCH("Use_For_Analysis",_xlpm.headers,0))=1,_xlfn.HSTACK(_xlfn._xlws.FILTER(INDEX(_xlpm.data,,MATCH("Total_Crime_per_100k",_xlpm.headers,0)),_xlpm.valid),_xlfn._xlws.FILTER(INDEX(_xlpm.data,,MATCH("Winner_Vote_Share",_xlpm.headers,0)),_xlpm.valid)))</f>
        <v>102.32166075410298</v>
      </c>
      <c r="B2" s="7">
        <v>50.690963985335344</v>
      </c>
    </row>
    <row r="3" spans="1:2">
      <c r="A3" s="7">
        <v>102.32166075410298</v>
      </c>
      <c r="B3" s="7">
        <v>63.931283198818143</v>
      </c>
    </row>
    <row r="4" spans="1:2">
      <c r="A4" s="7">
        <v>102.32166075410299</v>
      </c>
      <c r="B4" s="7">
        <v>55.131544323375095</v>
      </c>
    </row>
    <row r="5" spans="1:2">
      <c r="A5" s="7">
        <v>102.32166075410296</v>
      </c>
      <c r="B5" s="7">
        <v>54.137495160756174</v>
      </c>
    </row>
    <row r="6" spans="1:2">
      <c r="A6" s="7">
        <v>84.879645400600879</v>
      </c>
      <c r="B6" s="7">
        <v>84.391797967986534</v>
      </c>
    </row>
    <row r="7" spans="1:2">
      <c r="A7" s="7">
        <v>112.01964836613054</v>
      </c>
      <c r="B7" s="7">
        <v>50.749902328206161</v>
      </c>
    </row>
    <row r="8" spans="1:2">
      <c r="A8" s="7">
        <v>112.01964836613054</v>
      </c>
      <c r="B8" s="7">
        <v>51.533913241230309</v>
      </c>
    </row>
    <row r="9" spans="1:2">
      <c r="A9" s="7">
        <v>112.01964836613054</v>
      </c>
      <c r="B9" s="7">
        <v>68.488914620440681</v>
      </c>
    </row>
    <row r="10" spans="1:2">
      <c r="A10" s="7">
        <v>112.01964836613054</v>
      </c>
      <c r="B10" s="7">
        <v>65.655713385009079</v>
      </c>
    </row>
    <row r="11" spans="1:2">
      <c r="A11" s="7">
        <v>112.01964836613054</v>
      </c>
      <c r="B11" s="7">
        <v>56.944033998958645</v>
      </c>
    </row>
    <row r="12" spans="1:2">
      <c r="A12" s="7">
        <v>112.01964836613054</v>
      </c>
      <c r="B12" s="7">
        <v>63.210939578140547</v>
      </c>
    </row>
    <row r="13" spans="1:2">
      <c r="A13" s="7">
        <v>112.01964836613054</v>
      </c>
      <c r="B13" s="7">
        <v>58.710630348842265</v>
      </c>
    </row>
    <row r="14" spans="1:2">
      <c r="A14" s="7">
        <v>112.01964836613055</v>
      </c>
      <c r="B14" s="7">
        <v>59.489164646720447</v>
      </c>
    </row>
    <row r="15" spans="1:2">
      <c r="A15" s="7">
        <v>112.01964836613054</v>
      </c>
      <c r="B15" s="7">
        <v>58.349734630694385</v>
      </c>
    </row>
    <row r="16" spans="1:2">
      <c r="A16" s="7">
        <v>112.01964836613054</v>
      </c>
      <c r="B16" s="7">
        <v>55.964152113841003</v>
      </c>
    </row>
    <row r="17" spans="1:2">
      <c r="A17" s="7">
        <v>112.01964836613054</v>
      </c>
      <c r="B17" s="7">
        <v>71.795653606503365</v>
      </c>
    </row>
    <row r="18" spans="1:2">
      <c r="A18" s="7">
        <v>112.01964836613054</v>
      </c>
      <c r="B18" s="7">
        <v>69.925919907824579</v>
      </c>
    </row>
    <row r="19" spans="1:2">
      <c r="A19" s="7">
        <v>112.81411131450233</v>
      </c>
      <c r="B19" s="7">
        <v>74.734414709741543</v>
      </c>
    </row>
    <row r="20" spans="1:2">
      <c r="A20" s="7">
        <v>112.81411131450233</v>
      </c>
      <c r="B20" s="7">
        <v>60.788357393155948</v>
      </c>
    </row>
    <row r="21" spans="1:2">
      <c r="A21" s="7">
        <v>112.81411131450231</v>
      </c>
      <c r="B21" s="7">
        <v>53.434941618574683</v>
      </c>
    </row>
    <row r="22" spans="1:2">
      <c r="A22" s="7">
        <v>112.81411131450233</v>
      </c>
      <c r="B22" s="7">
        <v>58.76996182614058</v>
      </c>
    </row>
    <row r="23" spans="1:2">
      <c r="A23" s="7">
        <v>112.81411131450231</v>
      </c>
      <c r="B23" s="7">
        <v>63.452329346966877</v>
      </c>
    </row>
    <row r="24" spans="1:2">
      <c r="A24" s="7">
        <v>112.81411131450233</v>
      </c>
      <c r="B24" s="7">
        <v>68.90000318562646</v>
      </c>
    </row>
    <row r="25" spans="1:2">
      <c r="A25" s="7">
        <v>112.81411131450234</v>
      </c>
      <c r="B25" s="7">
        <v>69.369376465368077</v>
      </c>
    </row>
    <row r="26" spans="1:2">
      <c r="A26" s="7">
        <v>84.879645400600893</v>
      </c>
      <c r="B26" s="7">
        <v>65.909090909090907</v>
      </c>
    </row>
    <row r="27" spans="1:2">
      <c r="A27" s="7">
        <v>84.879645400600893</v>
      </c>
      <c r="B27" s="7">
        <v>59.577045044501745</v>
      </c>
    </row>
    <row r="28" spans="1:2">
      <c r="A28" s="7">
        <v>84.879645400600893</v>
      </c>
      <c r="B28" s="7">
        <v>77.020240059077906</v>
      </c>
    </row>
    <row r="29" spans="1:2">
      <c r="A29" s="7">
        <v>84.879645400600893</v>
      </c>
      <c r="B29" s="7">
        <v>60.370923596301132</v>
      </c>
    </row>
    <row r="30" spans="1:2">
      <c r="A30" s="7">
        <v>84.879645400600893</v>
      </c>
      <c r="B30" s="7">
        <v>50.311185673140656</v>
      </c>
    </row>
    <row r="31" spans="1:2">
      <c r="A31" s="7">
        <v>84.879645400600893</v>
      </c>
      <c r="B31" s="7">
        <v>70.457736590845272</v>
      </c>
    </row>
    <row r="32" spans="1:2">
      <c r="A32" s="7">
        <v>84.879645400600879</v>
      </c>
      <c r="B32" s="7">
        <v>65.404129793510322</v>
      </c>
    </row>
    <row r="33" spans="1:2">
      <c r="A33" s="7">
        <v>84.879645400600893</v>
      </c>
      <c r="B33" s="7">
        <v>75.009457385239514</v>
      </c>
    </row>
    <row r="34" spans="1:2">
      <c r="A34" s="7">
        <v>84.879645400600893</v>
      </c>
      <c r="B34" s="7">
        <v>62.119135160307806</v>
      </c>
    </row>
    <row r="35" spans="1:2">
      <c r="A35" s="7">
        <v>84.879645400600907</v>
      </c>
      <c r="B35" s="7">
        <v>51.751203516360846</v>
      </c>
    </row>
    <row r="36" spans="1:2">
      <c r="A36" s="7">
        <v>84.879645400600893</v>
      </c>
      <c r="B36" s="7">
        <v>71.018600802868264</v>
      </c>
    </row>
    <row r="37" spans="1:2">
      <c r="A37" s="7">
        <v>112.81411131450233</v>
      </c>
      <c r="B37" s="7">
        <v>56.00663764726265</v>
      </c>
    </row>
    <row r="38" spans="1:2">
      <c r="A38" s="7">
        <v>112.81411131450234</v>
      </c>
      <c r="B38" s="7">
        <v>52.46793280751104</v>
      </c>
    </row>
    <row r="39" spans="1:2">
      <c r="A39" s="7">
        <v>112.81411131450233</v>
      </c>
      <c r="B39" s="7">
        <v>59.884361668198196</v>
      </c>
    </row>
    <row r="40" spans="1:2">
      <c r="A40" s="7">
        <v>84.879645400600893</v>
      </c>
      <c r="B40" s="7">
        <v>60.373493580579087</v>
      </c>
    </row>
    <row r="41" spans="1:2">
      <c r="A41" s="7">
        <v>84.879645400600893</v>
      </c>
      <c r="B41" s="7">
        <v>61.520683151823185</v>
      </c>
    </row>
    <row r="42" spans="1:2">
      <c r="A42" s="7">
        <v>84.879645400600893</v>
      </c>
      <c r="B42" s="7">
        <v>60.202927133070375</v>
      </c>
    </row>
    <row r="43" spans="1:2">
      <c r="A43" s="7">
        <v>84.879645400600907</v>
      </c>
      <c r="B43" s="7">
        <v>82.32231792883573</v>
      </c>
    </row>
    <row r="44" spans="1:2">
      <c r="A44" s="7">
        <v>84.879645400600907</v>
      </c>
      <c r="B44" s="7">
        <v>71.037254703279629</v>
      </c>
    </row>
    <row r="45" spans="1:2">
      <c r="A45" s="7">
        <v>84.879645400600893</v>
      </c>
      <c r="B45" s="7">
        <v>50.337588839168198</v>
      </c>
    </row>
    <row r="46" spans="1:2">
      <c r="A46" s="7">
        <v>84.879645400600893</v>
      </c>
      <c r="B46" s="7">
        <v>57.528938164942524</v>
      </c>
    </row>
    <row r="47" spans="1:2">
      <c r="A47" s="7">
        <v>84.879645400600893</v>
      </c>
      <c r="B47" s="7">
        <v>52.854111827176183</v>
      </c>
    </row>
    <row r="48" spans="1:2">
      <c r="A48" s="7">
        <v>84.879645400600893</v>
      </c>
      <c r="B48" s="7">
        <v>64.807141145884174</v>
      </c>
    </row>
    <row r="49" spans="1:2">
      <c r="A49" s="7">
        <v>84.879645400600893</v>
      </c>
      <c r="B49" s="7">
        <v>75.94077761654178</v>
      </c>
    </row>
    <row r="50" spans="1:2">
      <c r="A50" s="7">
        <v>84.879645400600879</v>
      </c>
      <c r="B50" s="7">
        <v>80.640623073743441</v>
      </c>
    </row>
    <row r="51" spans="1:2">
      <c r="A51" s="7">
        <v>84.879645400600893</v>
      </c>
      <c r="B51" s="7">
        <v>70.85929423598111</v>
      </c>
    </row>
    <row r="52" spans="1:2">
      <c r="A52" s="7">
        <v>84.879645400600893</v>
      </c>
      <c r="B52" s="7">
        <v>74.065161499615073</v>
      </c>
    </row>
    <row r="53" spans="1:2">
      <c r="A53" s="7">
        <v>84.879645400600893</v>
      </c>
      <c r="B53" s="7">
        <v>67.02901436931279</v>
      </c>
    </row>
    <row r="54" spans="1:2">
      <c r="A54" s="7">
        <v>102.32166075410298</v>
      </c>
      <c r="B54" s="7">
        <v>57.941048886155599</v>
      </c>
    </row>
    <row r="55" spans="1:2">
      <c r="A55" s="7">
        <v>102.32166075410298</v>
      </c>
      <c r="B55" s="7">
        <v>55.933775760444007</v>
      </c>
    </row>
    <row r="56" spans="1:2">
      <c r="A56" s="7">
        <v>84.879645400600893</v>
      </c>
      <c r="B56" s="7">
        <v>59.859914933237398</v>
      </c>
    </row>
    <row r="57" spans="1:2">
      <c r="A57" s="7">
        <v>84.879645400600893</v>
      </c>
      <c r="B57" s="7">
        <v>56.947459986082116</v>
      </c>
    </row>
    <row r="58" spans="1:2">
      <c r="A58" s="7">
        <v>84.879645400600893</v>
      </c>
      <c r="B58" s="7">
        <v>63.496327627104108</v>
      </c>
    </row>
    <row r="59" spans="1:2">
      <c r="A59" s="7">
        <v>84.879645400600879</v>
      </c>
      <c r="B59" s="7">
        <v>54.99421767250611</v>
      </c>
    </row>
    <row r="60" spans="1:2">
      <c r="A60" s="7">
        <v>84.879645400600893</v>
      </c>
      <c r="B60" s="7">
        <v>59.24020975119938</v>
      </c>
    </row>
    <row r="61" spans="1:2">
      <c r="A61" s="7">
        <v>84.879645400600893</v>
      </c>
      <c r="B61" s="7">
        <v>76.955023375279481</v>
      </c>
    </row>
    <row r="62" spans="1:2">
      <c r="A62" s="7">
        <v>84.879645400600879</v>
      </c>
      <c r="B62" s="7">
        <v>51.910279767786562</v>
      </c>
    </row>
    <row r="63" spans="1:2">
      <c r="A63" s="7">
        <v>84.879645400600893</v>
      </c>
      <c r="B63" s="7">
        <v>62.727914491054463</v>
      </c>
    </row>
    <row r="64" spans="1:2">
      <c r="A64" s="7">
        <v>84.879645400600893</v>
      </c>
      <c r="B64" s="7">
        <v>65.399895862310004</v>
      </c>
    </row>
    <row r="65" spans="1:2">
      <c r="A65" s="7">
        <v>84.879645400600893</v>
      </c>
      <c r="B65" s="7">
        <v>78.955891892900979</v>
      </c>
    </row>
    <row r="66" spans="1:2">
      <c r="A66" s="7">
        <v>84.879645400600893</v>
      </c>
      <c r="B66" s="7">
        <v>58.832608342071289</v>
      </c>
    </row>
    <row r="67" spans="1:2">
      <c r="A67" s="7">
        <v>84.879645400600907</v>
      </c>
      <c r="B67" s="7">
        <v>63.118946288099117</v>
      </c>
    </row>
    <row r="68" spans="1:2">
      <c r="A68" s="7">
        <v>84.879645400600893</v>
      </c>
      <c r="B68" s="7">
        <v>57.738971264579277</v>
      </c>
    </row>
    <row r="69" spans="1:2">
      <c r="A69" s="7">
        <v>84.879645400600879</v>
      </c>
      <c r="B69" s="7">
        <v>52.946735170372442</v>
      </c>
    </row>
    <row r="70" spans="1:2">
      <c r="A70" s="7">
        <v>84.879645400600893</v>
      </c>
      <c r="B70" s="7">
        <v>50.189677772378502</v>
      </c>
    </row>
    <row r="71" spans="1:2">
      <c r="A71" s="7">
        <v>87.055167395391194</v>
      </c>
      <c r="B71" s="7">
        <v>60.677087879666068</v>
      </c>
    </row>
    <row r="72" spans="1:2">
      <c r="A72" s="7">
        <v>87.055167395391194</v>
      </c>
      <c r="B72" s="7">
        <v>51.047140354885393</v>
      </c>
    </row>
    <row r="73" spans="1:2">
      <c r="A73" s="7">
        <v>87.055167395391194</v>
      </c>
      <c r="B73" s="7">
        <v>50.548988987910938</v>
      </c>
    </row>
    <row r="74" spans="1:2">
      <c r="A74" s="7">
        <v>87.055167395391194</v>
      </c>
      <c r="B74" s="7">
        <v>63.459450528700913</v>
      </c>
    </row>
    <row r="75" spans="1:2">
      <c r="A75" s="7">
        <v>87.055167395391194</v>
      </c>
      <c r="B75" s="7">
        <v>50.664931729854288</v>
      </c>
    </row>
    <row r="76" spans="1:2">
      <c r="A76" s="7">
        <v>87.055167395391194</v>
      </c>
      <c r="B76" s="7">
        <v>54.822811164848503</v>
      </c>
    </row>
    <row r="77" spans="1:2">
      <c r="A77" s="7">
        <v>87.055167395391194</v>
      </c>
      <c r="B77" s="7">
        <v>57.271736497941397</v>
      </c>
    </row>
    <row r="78" spans="1:2">
      <c r="A78" s="7">
        <v>87.055167395391194</v>
      </c>
      <c r="B78" s="7">
        <v>50.964169941765405</v>
      </c>
    </row>
    <row r="79" spans="1:2">
      <c r="A79" s="7">
        <v>87.055167395391194</v>
      </c>
      <c r="B79" s="7">
        <v>51.559940141419446</v>
      </c>
    </row>
    <row r="80" spans="1:2">
      <c r="A80" s="7">
        <v>87.055167395391194</v>
      </c>
      <c r="B80" s="7">
        <v>56.526647188413051</v>
      </c>
    </row>
    <row r="81" spans="1:2">
      <c r="A81" s="7">
        <v>87.055167395391194</v>
      </c>
      <c r="B81" s="7">
        <v>60.385949490765476</v>
      </c>
    </row>
    <row r="82" spans="1:2">
      <c r="A82" s="7">
        <v>87.055167395391194</v>
      </c>
      <c r="B82" s="7">
        <v>67.454225716354614</v>
      </c>
    </row>
    <row r="83" spans="1:2">
      <c r="A83" s="7">
        <v>87.055167395391194</v>
      </c>
      <c r="B83" s="7">
        <v>74.008054582946983</v>
      </c>
    </row>
    <row r="84" spans="1:2">
      <c r="A84" s="7">
        <v>87.055167395391194</v>
      </c>
      <c r="B84" s="7">
        <v>54.357633464344644</v>
      </c>
    </row>
    <row r="85" spans="1:2">
      <c r="A85" s="7">
        <v>87.055167395391194</v>
      </c>
      <c r="B85" s="7">
        <v>50.961703136733107</v>
      </c>
    </row>
    <row r="86" spans="1:2">
      <c r="A86" s="7">
        <v>87.055167395391194</v>
      </c>
      <c r="B86" s="7">
        <v>52.484630591097691</v>
      </c>
    </row>
    <row r="87" spans="1:2">
      <c r="A87" s="7">
        <v>87.055167395391194</v>
      </c>
      <c r="B87" s="7">
        <v>58.60405657502583</v>
      </c>
    </row>
    <row r="88" spans="1:2">
      <c r="A88" s="7">
        <v>87.055167395391194</v>
      </c>
      <c r="B88" s="7">
        <v>51.52178942549557</v>
      </c>
    </row>
    <row r="89" spans="1:2">
      <c r="A89" s="7">
        <v>87.055167395391194</v>
      </c>
      <c r="B89" s="7">
        <v>52.308071863462949</v>
      </c>
    </row>
    <row r="90" spans="1:2">
      <c r="A90" s="7">
        <v>87.055167395391194</v>
      </c>
      <c r="B90" s="7">
        <v>67.535464438398748</v>
      </c>
    </row>
    <row r="91" spans="1:2">
      <c r="A91" s="7">
        <v>101.90869513385242</v>
      </c>
      <c r="B91" s="7">
        <v>60.416785997068679</v>
      </c>
    </row>
    <row r="92" spans="1:2">
      <c r="A92" s="7">
        <v>101.90869513385242</v>
      </c>
      <c r="B92" s="7">
        <v>58.630173716625769</v>
      </c>
    </row>
    <row r="93" spans="1:2">
      <c r="A93" s="7">
        <v>101.90869513385242</v>
      </c>
      <c r="B93" s="7">
        <v>50.837943942298914</v>
      </c>
    </row>
    <row r="94" spans="1:2">
      <c r="A94" s="7">
        <v>101.90869513385242</v>
      </c>
      <c r="B94" s="7">
        <v>56.464092919524077</v>
      </c>
    </row>
    <row r="95" spans="1:2">
      <c r="A95" s="7">
        <v>101.90869513385243</v>
      </c>
      <c r="B95" s="7">
        <v>51.056164026630967</v>
      </c>
    </row>
    <row r="96" spans="1:2">
      <c r="A96" s="7">
        <v>101.90869513385242</v>
      </c>
      <c r="B96" s="7">
        <v>51.93170761526823</v>
      </c>
    </row>
    <row r="97" spans="1:2">
      <c r="A97" s="7">
        <v>87.055167395391194</v>
      </c>
      <c r="B97" s="7">
        <v>54.929958912554653</v>
      </c>
    </row>
    <row r="98" spans="1:2">
      <c r="A98" s="7">
        <v>87.05516739539118</v>
      </c>
      <c r="B98" s="7">
        <v>57.675154858553832</v>
      </c>
    </row>
    <row r="99" spans="1:2">
      <c r="A99" s="7">
        <v>87.055167395391194</v>
      </c>
      <c r="B99" s="7">
        <v>54.479938384801585</v>
      </c>
    </row>
    <row r="100" spans="1:2">
      <c r="A100" s="7">
        <v>87.055167395391194</v>
      </c>
      <c r="B100" s="7">
        <v>62.703200031488628</v>
      </c>
    </row>
    <row r="101" spans="1:2">
      <c r="A101" s="7">
        <v>84.879645400600893</v>
      </c>
      <c r="B101" s="7">
        <v>58.342051099898306</v>
      </c>
    </row>
    <row r="102" spans="1:2">
      <c r="A102" s="7">
        <v>84.879645400600893</v>
      </c>
      <c r="B102" s="7">
        <v>62.105950735558622</v>
      </c>
    </row>
    <row r="103" spans="1:2">
      <c r="A103" s="7">
        <v>84.879645400600893</v>
      </c>
      <c r="B103" s="7">
        <v>59.274808441741811</v>
      </c>
    </row>
    <row r="104" spans="1:2">
      <c r="A104" s="7">
        <v>101.90869513385242</v>
      </c>
      <c r="B104" s="7">
        <v>78.739725720808167</v>
      </c>
    </row>
    <row r="105" spans="1:2">
      <c r="A105" s="7">
        <v>101.90869513385242</v>
      </c>
      <c r="B105" s="7">
        <v>56.899591685226426</v>
      </c>
    </row>
    <row r="106" spans="1:2">
      <c r="A106" s="7">
        <v>101.90869513385242</v>
      </c>
      <c r="B106" s="7">
        <v>53.736591239113395</v>
      </c>
    </row>
    <row r="107" spans="1:2">
      <c r="A107" s="7">
        <v>101.90869513385242</v>
      </c>
      <c r="B107" s="7">
        <v>50.536972142579032</v>
      </c>
    </row>
    <row r="108" spans="1:2">
      <c r="A108" s="7">
        <v>101.90869513385242</v>
      </c>
      <c r="B108" s="7">
        <v>54.851097034228943</v>
      </c>
    </row>
    <row r="109" spans="1:2">
      <c r="A109" s="7">
        <v>87.055167395391194</v>
      </c>
      <c r="B109" s="7">
        <v>58.253522070338128</v>
      </c>
    </row>
    <row r="110" spans="1:2">
      <c r="A110" s="7">
        <v>87.055167395391194</v>
      </c>
      <c r="B110" s="7">
        <v>57.230334146548692</v>
      </c>
    </row>
    <row r="111" spans="1:2">
      <c r="A111" s="7">
        <v>87.055167395391194</v>
      </c>
      <c r="B111" s="7">
        <v>61.755084030097152</v>
      </c>
    </row>
    <row r="112" spans="1:2">
      <c r="A112" s="7">
        <v>87.055167395391194</v>
      </c>
      <c r="B112" s="7">
        <v>52.963277115455668</v>
      </c>
    </row>
    <row r="113" spans="1:2">
      <c r="A113" s="7">
        <v>87.055167395391194</v>
      </c>
      <c r="B113" s="7">
        <v>63.148137665572293</v>
      </c>
    </row>
    <row r="114" spans="1:2">
      <c r="A114" s="7">
        <v>87.055167395391209</v>
      </c>
      <c r="B114" s="7">
        <v>56.112318343013627</v>
      </c>
    </row>
    <row r="115" spans="1:2">
      <c r="A115" s="7">
        <v>87.055167395391194</v>
      </c>
      <c r="B115" s="7">
        <v>54.794970377768962</v>
      </c>
    </row>
    <row r="116" spans="1:2">
      <c r="A116" s="7">
        <v>87.055167395391194</v>
      </c>
      <c r="B116" s="7">
        <v>63.983920538534342</v>
      </c>
    </row>
    <row r="117" spans="1:2">
      <c r="A117" s="7">
        <v>74.251724391082064</v>
      </c>
      <c r="B117" s="7">
        <v>66.614128269028313</v>
      </c>
    </row>
    <row r="118" spans="1:2">
      <c r="A118" s="7">
        <v>74.251724391082064</v>
      </c>
      <c r="B118" s="7">
        <v>65.810392783799941</v>
      </c>
    </row>
    <row r="119" spans="1:2">
      <c r="A119" s="7">
        <v>74.251724391082064</v>
      </c>
      <c r="B119" s="7">
        <v>75.750867408842254</v>
      </c>
    </row>
    <row r="120" spans="1:2">
      <c r="A120" s="7">
        <v>74.251724391082064</v>
      </c>
      <c r="B120" s="7">
        <v>69.043851759393533</v>
      </c>
    </row>
    <row r="121" spans="1:2">
      <c r="A121" s="7">
        <v>84.741263899591758</v>
      </c>
      <c r="B121" s="7">
        <v>64.745626185672549</v>
      </c>
    </row>
    <row r="122" spans="1:2">
      <c r="A122" s="7">
        <v>84.741263899591743</v>
      </c>
      <c r="B122" s="7">
        <v>60.558201826980174</v>
      </c>
    </row>
    <row r="123" spans="1:2">
      <c r="A123" s="7">
        <v>84.741263899591743</v>
      </c>
      <c r="B123" s="7">
        <v>71.808116548147424</v>
      </c>
    </row>
    <row r="124" spans="1:2">
      <c r="A124" s="7">
        <v>84.741263899591743</v>
      </c>
      <c r="B124" s="7">
        <v>76.633065249827141</v>
      </c>
    </row>
    <row r="125" spans="1:2">
      <c r="A125" s="7">
        <v>84.741263899591743</v>
      </c>
      <c r="B125" s="7">
        <v>63.780895551040651</v>
      </c>
    </row>
    <row r="126" spans="1:2">
      <c r="A126" s="7">
        <v>102.32166075410298</v>
      </c>
      <c r="B126" s="7">
        <v>56.008183036659062</v>
      </c>
    </row>
    <row r="127" spans="1:2">
      <c r="A127" s="7">
        <v>102.32166075410298</v>
      </c>
      <c r="B127" s="7">
        <v>55.271340085274822</v>
      </c>
    </row>
    <row r="128" spans="1:2">
      <c r="A128" s="7">
        <v>102.32166075410299</v>
      </c>
      <c r="B128" s="7">
        <v>51.784455841276532</v>
      </c>
    </row>
    <row r="129" spans="1:2">
      <c r="A129" s="7">
        <v>102.32166075410298</v>
      </c>
      <c r="B129" s="7">
        <v>57.284775717306346</v>
      </c>
    </row>
    <row r="130" spans="1:2">
      <c r="A130" s="7">
        <v>102.32166075410298</v>
      </c>
      <c r="B130" s="7">
        <v>60.974389801808911</v>
      </c>
    </row>
    <row r="131" spans="1:2">
      <c r="A131" s="7">
        <v>102.32166075410298</v>
      </c>
      <c r="B131" s="7">
        <v>53.507759245830314</v>
      </c>
    </row>
    <row r="132" spans="1:2">
      <c r="A132" s="7">
        <v>112.01964836613053</v>
      </c>
      <c r="B132" s="7">
        <v>52.941176470588239</v>
      </c>
    </row>
    <row r="133" spans="1:2">
      <c r="A133" s="7">
        <v>112.01964836613054</v>
      </c>
      <c r="B133" s="7">
        <v>61.649137111020522</v>
      </c>
    </row>
    <row r="134" spans="1:2">
      <c r="A134" s="7">
        <v>102.32166075410298</v>
      </c>
      <c r="B134" s="7">
        <v>75.240413824228852</v>
      </c>
    </row>
    <row r="135" spans="1:2">
      <c r="A135" s="7">
        <v>102.32166075410298</v>
      </c>
      <c r="B135" s="7">
        <v>52.652507761928078</v>
      </c>
    </row>
    <row r="136" spans="1:2">
      <c r="A136" s="7">
        <v>102.32166075410299</v>
      </c>
      <c r="B136" s="7">
        <v>53.997199688035423</v>
      </c>
    </row>
    <row r="137" spans="1:2">
      <c r="A137" s="7">
        <v>102.32166075410298</v>
      </c>
      <c r="B137" s="7">
        <v>57.890367716531131</v>
      </c>
    </row>
    <row r="138" spans="1:2">
      <c r="A138" s="7">
        <v>112.81411131450233</v>
      </c>
      <c r="B138" s="7">
        <v>51.54180486176331</v>
      </c>
    </row>
    <row r="139" spans="1:2">
      <c r="A139" s="7">
        <v>112.81411131450233</v>
      </c>
      <c r="B139" s="7">
        <v>63.079151734761474</v>
      </c>
    </row>
    <row r="140" spans="1:2">
      <c r="A140" s="7">
        <v>84.879645400600893</v>
      </c>
      <c r="B140" s="7">
        <v>68.856419958514735</v>
      </c>
    </row>
    <row r="141" spans="1:2">
      <c r="A141" s="7">
        <v>102.32166075410298</v>
      </c>
      <c r="B141" s="7">
        <v>63.303738171498921</v>
      </c>
    </row>
    <row r="142" spans="1:2">
      <c r="A142" s="7">
        <v>102.32166075410299</v>
      </c>
      <c r="B142" s="7">
        <v>51.536381919488313</v>
      </c>
    </row>
    <row r="143" spans="1:2">
      <c r="A143" s="7">
        <v>102.32166075410299</v>
      </c>
      <c r="B143" s="7">
        <v>53.136203897625222</v>
      </c>
    </row>
    <row r="144" spans="1:2">
      <c r="A144" s="7">
        <v>102.32166075410298</v>
      </c>
      <c r="B144" s="7">
        <v>52.929193955958951</v>
      </c>
    </row>
    <row r="145" spans="1:2">
      <c r="A145" s="7">
        <v>102.32166075410298</v>
      </c>
      <c r="B145" s="7">
        <v>50.441884107082345</v>
      </c>
    </row>
    <row r="146" spans="1:2">
      <c r="A146" s="7">
        <v>102.32166075410298</v>
      </c>
      <c r="B146" s="7">
        <v>54.722365430556863</v>
      </c>
    </row>
    <row r="147" spans="1:2">
      <c r="A147" s="7">
        <v>87.055167395391194</v>
      </c>
      <c r="B147" s="7">
        <v>55.085780776046221</v>
      </c>
    </row>
    <row r="148" spans="1:2">
      <c r="A148" s="7">
        <v>87.055167395391194</v>
      </c>
      <c r="B148" s="7">
        <v>54.287646800985478</v>
      </c>
    </row>
    <row r="149" spans="1:2">
      <c r="A149" s="7">
        <v>87.055167395391194</v>
      </c>
      <c r="B149" s="7">
        <v>52.323882721850545</v>
      </c>
    </row>
    <row r="150" spans="1:2">
      <c r="A150" s="7">
        <v>87.055167395391194</v>
      </c>
      <c r="B150" s="7">
        <v>69.611825476481997</v>
      </c>
    </row>
    <row r="151" spans="1:2">
      <c r="A151" s="7">
        <v>87.055167395391209</v>
      </c>
      <c r="B151" s="7">
        <v>54.985519238725686</v>
      </c>
    </row>
    <row r="152" spans="1:2">
      <c r="A152" s="7">
        <v>87.055167395391194</v>
      </c>
      <c r="B152" s="7">
        <v>81.36560288656905</v>
      </c>
    </row>
    <row r="153" spans="1:2">
      <c r="A153" s="7">
        <v>101.90869513385242</v>
      </c>
      <c r="B153" s="7">
        <v>53.419911780853035</v>
      </c>
    </row>
    <row r="154" spans="1:2">
      <c r="A154" s="7">
        <v>101.90869513385242</v>
      </c>
      <c r="B154" s="7">
        <v>51.221921856565224</v>
      </c>
    </row>
    <row r="155" spans="1:2">
      <c r="A155" s="7">
        <v>101.90869513385242</v>
      </c>
      <c r="B155" s="7">
        <v>57.629670763874799</v>
      </c>
    </row>
    <row r="156" spans="1:2">
      <c r="A156" s="7">
        <v>101.90869513385242</v>
      </c>
      <c r="B156" s="7">
        <v>56.174175764277145</v>
      </c>
    </row>
    <row r="157" spans="1:2">
      <c r="A157" s="7">
        <v>102.32166075410298</v>
      </c>
      <c r="B157" s="7">
        <v>65.682862809838824</v>
      </c>
    </row>
    <row r="158" spans="1:2">
      <c r="A158" s="7">
        <v>102.32166075410298</v>
      </c>
      <c r="B158" s="7">
        <v>57.183897780318183</v>
      </c>
    </row>
    <row r="159" spans="1:2">
      <c r="A159" s="7">
        <v>102.32166075410298</v>
      </c>
      <c r="B159" s="7">
        <v>58.742063530765712</v>
      </c>
    </row>
    <row r="160" spans="1:2">
      <c r="A160" s="7">
        <v>102.32166075410298</v>
      </c>
      <c r="B160" s="7">
        <v>51.493724896109846</v>
      </c>
    </row>
    <row r="161" spans="1:2">
      <c r="A161" s="7">
        <v>84.879645400600893</v>
      </c>
      <c r="B161" s="7">
        <v>59.428653577589749</v>
      </c>
    </row>
    <row r="162" spans="1:2">
      <c r="A162" s="7">
        <v>84.879645400600893</v>
      </c>
      <c r="B162" s="7">
        <v>52.253954195965271</v>
      </c>
    </row>
    <row r="163" spans="1:2">
      <c r="A163" s="7">
        <v>84.879645400600893</v>
      </c>
      <c r="B163" s="7">
        <v>52.478580881840763</v>
      </c>
    </row>
    <row r="164" spans="1:2">
      <c r="A164" s="7">
        <v>84.879645400600893</v>
      </c>
      <c r="B164" s="7">
        <v>60.966367653674155</v>
      </c>
    </row>
    <row r="165" spans="1:2">
      <c r="A165" s="7">
        <v>101.9086951338524</v>
      </c>
      <c r="B165" s="7">
        <v>51.698737782284219</v>
      </c>
    </row>
    <row r="166" spans="1:2">
      <c r="A166" s="7">
        <v>101.90869513385242</v>
      </c>
      <c r="B166" s="7">
        <v>64.944197013361276</v>
      </c>
    </row>
    <row r="167" spans="1:2">
      <c r="A167" s="7">
        <v>101.90869513385242</v>
      </c>
      <c r="B167" s="7">
        <v>71.289579940888515</v>
      </c>
    </row>
    <row r="168" spans="1:2">
      <c r="A168" s="7">
        <v>87.055167395391194</v>
      </c>
      <c r="B168" s="7">
        <v>50.148725595481835</v>
      </c>
    </row>
    <row r="169" spans="1:2">
      <c r="A169" s="7">
        <v>87.055167395391209</v>
      </c>
      <c r="B169" s="7">
        <v>57.054148955830719</v>
      </c>
    </row>
    <row r="170" spans="1:2">
      <c r="A170" s="7">
        <v>87.055167395391194</v>
      </c>
      <c r="B170" s="7">
        <v>53.191324640277827</v>
      </c>
    </row>
    <row r="171" spans="1:2">
      <c r="A171" s="7">
        <v>102.32166075410298</v>
      </c>
      <c r="B171" s="7">
        <v>67.388529936843028</v>
      </c>
    </row>
    <row r="172" spans="1:2">
      <c r="A172" s="7">
        <v>102.32166075410296</v>
      </c>
      <c r="B172" s="7">
        <v>55.827929063771641</v>
      </c>
    </row>
    <row r="173" spans="1:2">
      <c r="A173" s="7">
        <v>87.055167395391194</v>
      </c>
      <c r="B173" s="7">
        <v>63.904801220830187</v>
      </c>
    </row>
    <row r="174" spans="1:2">
      <c r="A174" s="7">
        <v>87.055167395391209</v>
      </c>
      <c r="B174" s="7">
        <v>68.313726404645038</v>
      </c>
    </row>
    <row r="175" spans="1:2">
      <c r="A175" s="7">
        <v>87.055167395391194</v>
      </c>
      <c r="B175" s="7">
        <v>72.260100955580413</v>
      </c>
    </row>
    <row r="176" spans="1:2">
      <c r="A176" s="7">
        <v>102.32166075410298</v>
      </c>
      <c r="B176" s="7">
        <v>53.897915282101508</v>
      </c>
    </row>
    <row r="177" spans="1:2">
      <c r="A177" s="7">
        <v>102.32166075410299</v>
      </c>
      <c r="B177" s="7">
        <v>52.83004377543967</v>
      </c>
    </row>
    <row r="178" spans="1:2">
      <c r="A178" s="7">
        <v>74.251724391082064</v>
      </c>
      <c r="B178" s="7">
        <v>54.211092418434049</v>
      </c>
    </row>
    <row r="179" spans="1:2">
      <c r="A179" s="7">
        <v>74.251724391082064</v>
      </c>
      <c r="B179" s="7">
        <v>62.310788993154212</v>
      </c>
    </row>
    <row r="180" spans="1:2">
      <c r="A180" s="7">
        <v>74.251724391082064</v>
      </c>
      <c r="B180" s="7">
        <v>66.87785044775228</v>
      </c>
    </row>
    <row r="181" spans="1:2">
      <c r="A181" s="7">
        <v>74.251724391082064</v>
      </c>
      <c r="B181" s="7">
        <v>77.291580913782738</v>
      </c>
    </row>
    <row r="182" spans="1:2">
      <c r="A182" s="7">
        <v>87.05516739539118</v>
      </c>
      <c r="B182" s="7">
        <v>62.260617545424147</v>
      </c>
    </row>
    <row r="183" spans="1:2">
      <c r="A183" s="7">
        <v>87.055167395391209</v>
      </c>
      <c r="B183" s="7">
        <v>67.410016302503237</v>
      </c>
    </row>
    <row r="184" spans="1:2">
      <c r="A184" s="7">
        <v>87.055167395391194</v>
      </c>
      <c r="B184" s="7">
        <v>58.368558281490635</v>
      </c>
    </row>
    <row r="185" spans="1:2">
      <c r="A185" s="7">
        <v>84.741263899591743</v>
      </c>
      <c r="B185" s="7">
        <v>51.507914230390448</v>
      </c>
    </row>
    <row r="186" spans="1:2">
      <c r="A186" s="7">
        <v>84.741263899591743</v>
      </c>
      <c r="B186" s="7">
        <v>53.005652253187286</v>
      </c>
    </row>
    <row r="187" spans="1:2">
      <c r="A187" s="7">
        <v>84.741263899591743</v>
      </c>
      <c r="B187" s="7">
        <v>62.754589666339434</v>
      </c>
    </row>
    <row r="188" spans="1:2">
      <c r="A188" s="7">
        <v>84.741263899591743</v>
      </c>
      <c r="B188" s="7">
        <v>55.196652272354143</v>
      </c>
    </row>
    <row r="189" spans="1:2">
      <c r="A189" s="7">
        <v>84.741263899591743</v>
      </c>
      <c r="B189" s="7">
        <v>53.299366663128467</v>
      </c>
    </row>
    <row r="190" spans="1:2">
      <c r="A190" s="7">
        <v>84.741263899591743</v>
      </c>
      <c r="B190" s="7">
        <v>51.195927142121214</v>
      </c>
    </row>
    <row r="191" spans="1:2">
      <c r="A191" s="7">
        <v>84.741263899591743</v>
      </c>
      <c r="B191" s="7">
        <v>55.769197487063224</v>
      </c>
    </row>
    <row r="192" spans="1:2">
      <c r="A192" s="7">
        <v>84.741263899591743</v>
      </c>
      <c r="B192" s="7">
        <v>59.049100027213001</v>
      </c>
    </row>
    <row r="193" spans="1:2">
      <c r="A193" s="7">
        <v>84.741263899591743</v>
      </c>
      <c r="B193" s="7">
        <v>53.860250135943446</v>
      </c>
    </row>
    <row r="194" spans="1:2">
      <c r="A194" s="7">
        <v>84.741263899591743</v>
      </c>
      <c r="B194" s="7">
        <v>70.143054613739494</v>
      </c>
    </row>
    <row r="195" spans="1:2">
      <c r="A195" s="7">
        <v>84.741263899591743</v>
      </c>
      <c r="B195" s="7">
        <v>54.649554894251537</v>
      </c>
    </row>
    <row r="196" spans="1:2">
      <c r="A196" s="7">
        <v>112.81411131450233</v>
      </c>
      <c r="B196" s="7">
        <v>53.059082031250007</v>
      </c>
    </row>
    <row r="197" spans="1:2">
      <c r="A197" s="7">
        <v>112.81411131450233</v>
      </c>
      <c r="B197" s="7">
        <v>51.26657707229252</v>
      </c>
    </row>
    <row r="198" spans="1:2">
      <c r="A198" s="7">
        <v>112.81411131450233</v>
      </c>
      <c r="B198" s="7">
        <v>58.289616150326573</v>
      </c>
    </row>
    <row r="199" spans="1:2">
      <c r="A199" s="7">
        <v>112.81411131450233</v>
      </c>
      <c r="B199" s="7">
        <v>57.848290995166494</v>
      </c>
    </row>
    <row r="200" spans="1:2">
      <c r="A200" s="7">
        <v>112.81411131450233</v>
      </c>
      <c r="B200" s="7">
        <v>55.261561853996888</v>
      </c>
    </row>
    <row r="201" spans="1:2">
      <c r="A201" s="7">
        <v>112.81411131450233</v>
      </c>
      <c r="B201" s="7">
        <v>52.720889125644689</v>
      </c>
    </row>
    <row r="202" spans="1:2">
      <c r="A202" s="7">
        <v>102.32166075410298</v>
      </c>
      <c r="B202" s="7">
        <v>57.063356164383563</v>
      </c>
    </row>
    <row r="203" spans="1:2">
      <c r="A203" s="7">
        <v>102.32166075410298</v>
      </c>
      <c r="B203" s="7">
        <v>60.092879414442599</v>
      </c>
    </row>
    <row r="204" spans="1:2">
      <c r="A204" s="7">
        <v>87.055167395391194</v>
      </c>
      <c r="B204" s="7">
        <v>63.331040440235476</v>
      </c>
    </row>
    <row r="205" spans="1:2">
      <c r="A205" s="7">
        <v>87.055167395391194</v>
      </c>
      <c r="B205" s="7">
        <v>60.527892084053668</v>
      </c>
    </row>
    <row r="206" spans="1:2">
      <c r="A206" s="7">
        <v>87.055167395391194</v>
      </c>
      <c r="B206" s="7">
        <v>53.52751121184356</v>
      </c>
    </row>
    <row r="207" spans="1:2">
      <c r="A207" s="7">
        <v>87.055167395391194</v>
      </c>
      <c r="B207" s="7">
        <v>56.839766582793516</v>
      </c>
    </row>
    <row r="208" spans="1:2">
      <c r="A208" s="7">
        <v>87.055167395391194</v>
      </c>
      <c r="B208" s="7">
        <v>53.148915484154728</v>
      </c>
    </row>
    <row r="209" spans="1:2">
      <c r="A209" s="7">
        <v>87.055167395391194</v>
      </c>
      <c r="B209" s="7">
        <v>62.863674957352181</v>
      </c>
    </row>
    <row r="210" spans="1:2">
      <c r="A210" s="7">
        <v>87.055167395391194</v>
      </c>
      <c r="B210" s="7">
        <v>62.383710370714184</v>
      </c>
    </row>
    <row r="211" spans="1:2">
      <c r="A211" s="7">
        <v>87.055167395391194</v>
      </c>
      <c r="B211" s="7">
        <v>64.239136391035117</v>
      </c>
    </row>
    <row r="212" spans="1:2">
      <c r="A212" s="7">
        <v>87.055167395391194</v>
      </c>
      <c r="B212" s="7">
        <v>67.479433045891568</v>
      </c>
    </row>
    <row r="213" spans="1:2">
      <c r="A213" s="7">
        <v>87.055167395391194</v>
      </c>
      <c r="B213" s="7">
        <v>75.375949110696283</v>
      </c>
    </row>
    <row r="214" spans="1:2">
      <c r="A214" s="7">
        <v>112.81411131450233</v>
      </c>
      <c r="B214" s="7">
        <v>53.144950179519277</v>
      </c>
    </row>
    <row r="215" spans="1:2">
      <c r="A215" s="7">
        <v>112.81411131450233</v>
      </c>
      <c r="B215" s="7">
        <v>55.594779230267633</v>
      </c>
    </row>
    <row r="216" spans="1:2">
      <c r="A216" s="7">
        <v>112.81411131450233</v>
      </c>
      <c r="B216" s="7">
        <v>64.301514012670452</v>
      </c>
    </row>
    <row r="217" spans="1:2">
      <c r="A217" s="7">
        <v>112.81411131450231</v>
      </c>
      <c r="B217" s="7">
        <v>55.747098258791837</v>
      </c>
    </row>
    <row r="218" spans="1:2">
      <c r="A218" s="7">
        <v>84.741263899591743</v>
      </c>
      <c r="B218" s="7">
        <v>64.411323226118753</v>
      </c>
    </row>
    <row r="219" spans="1:2">
      <c r="A219" s="7">
        <v>84.741263899591743</v>
      </c>
      <c r="B219" s="7">
        <v>71.7853463223407</v>
      </c>
    </row>
    <row r="220" spans="1:2">
      <c r="A220" s="7">
        <v>84.741263899591743</v>
      </c>
      <c r="B220" s="7">
        <v>63.207063970549001</v>
      </c>
    </row>
    <row r="221" spans="1:2">
      <c r="A221" s="7">
        <v>84.741263899591758</v>
      </c>
      <c r="B221" s="7">
        <v>80.143639634969915</v>
      </c>
    </row>
    <row r="222" spans="1:2">
      <c r="A222" s="7">
        <v>84.741263899591743</v>
      </c>
      <c r="B222" s="7">
        <v>50.855565663504322</v>
      </c>
    </row>
    <row r="223" spans="1:2">
      <c r="A223" s="7">
        <v>101.90869513385243</v>
      </c>
      <c r="B223" s="7">
        <v>55.808874128594077</v>
      </c>
    </row>
    <row r="224" spans="1:2">
      <c r="A224" s="7">
        <v>101.90869513385242</v>
      </c>
      <c r="B224" s="7">
        <v>51.898449144152039</v>
      </c>
    </row>
    <row r="225" spans="1:2">
      <c r="A225" s="7">
        <v>101.90869513385242</v>
      </c>
      <c r="B225" s="7">
        <v>54.922038631603442</v>
      </c>
    </row>
    <row r="226" spans="1:2">
      <c r="A226" s="7">
        <v>101.90869513385242</v>
      </c>
      <c r="B226" s="7">
        <v>60.499246575674327</v>
      </c>
    </row>
    <row r="227" spans="1:2">
      <c r="A227" s="7">
        <v>84.879645400600893</v>
      </c>
      <c r="B227" s="7">
        <v>56.403061337934531</v>
      </c>
    </row>
    <row r="228" spans="1:2">
      <c r="A228" s="7">
        <v>84.879645400600893</v>
      </c>
      <c r="B228" s="7">
        <v>55.60396196933182</v>
      </c>
    </row>
    <row r="229" spans="1:2">
      <c r="A229" s="7">
        <v>84.879645400600893</v>
      </c>
      <c r="B229" s="7">
        <v>53.224869042766784</v>
      </c>
    </row>
    <row r="230" spans="1:2">
      <c r="A230" s="7">
        <v>84.879645400600893</v>
      </c>
      <c r="B230" s="7">
        <v>59.532662811573964</v>
      </c>
    </row>
    <row r="231" spans="1:2">
      <c r="A231" s="7">
        <v>84.879645400600893</v>
      </c>
      <c r="B231" s="7">
        <v>55.098579368599985</v>
      </c>
    </row>
    <row r="232" spans="1:2">
      <c r="A232" s="7">
        <v>84.879645400600893</v>
      </c>
      <c r="B232" s="7">
        <v>58.939840944073886</v>
      </c>
    </row>
    <row r="233" spans="1:2">
      <c r="A233" s="7">
        <v>112.81411131450233</v>
      </c>
      <c r="B233" s="7">
        <v>55.492509147421856</v>
      </c>
    </row>
    <row r="234" spans="1:2">
      <c r="A234" s="7">
        <v>112.81411131450233</v>
      </c>
      <c r="B234" s="7">
        <v>73.944915444619937</v>
      </c>
    </row>
    <row r="235" spans="1:2">
      <c r="A235" s="7">
        <v>112.81411131450231</v>
      </c>
      <c r="B235" s="7">
        <v>50.560372461696169</v>
      </c>
    </row>
    <row r="236" spans="1:2">
      <c r="A236" s="7">
        <v>112.81411131450231</v>
      </c>
      <c r="B236" s="7">
        <v>50.699873687621754</v>
      </c>
    </row>
    <row r="237" spans="1:2">
      <c r="A237" s="7">
        <v>112.81411131450231</v>
      </c>
      <c r="B237" s="7">
        <v>52.440194973466426</v>
      </c>
    </row>
    <row r="238" spans="1:2">
      <c r="A238" s="7">
        <v>101.90869513385242</v>
      </c>
      <c r="B238" s="7">
        <v>51.179485093748731</v>
      </c>
    </row>
    <row r="239" spans="1:2">
      <c r="A239" s="7">
        <v>101.90869513385242</v>
      </c>
      <c r="B239" s="7">
        <v>57.543029600147612</v>
      </c>
    </row>
    <row r="240" spans="1:2">
      <c r="A240" s="7">
        <v>112.01964836613054</v>
      </c>
      <c r="B240" s="7">
        <v>72.336954453787911</v>
      </c>
    </row>
    <row r="241" spans="1:2">
      <c r="A241" s="7">
        <v>112.01964836613055</v>
      </c>
      <c r="B241" s="7">
        <v>58.093942084808504</v>
      </c>
    </row>
    <row r="242" spans="1:2">
      <c r="A242" s="7">
        <v>112.01964836613053</v>
      </c>
      <c r="B242" s="7">
        <v>54.466544290479277</v>
      </c>
    </row>
    <row r="243" spans="1:2">
      <c r="A243" s="7">
        <v>112.01964836613054</v>
      </c>
      <c r="B243" s="7">
        <v>63.878129185124131</v>
      </c>
    </row>
    <row r="244" spans="1:2">
      <c r="A244" s="7">
        <v>112.01964836613055</v>
      </c>
      <c r="B244" s="7">
        <v>55.328990173670775</v>
      </c>
    </row>
    <row r="245" spans="1:2">
      <c r="A245" s="7">
        <v>112.01964836613055</v>
      </c>
      <c r="B245" s="7">
        <v>52.050652705337441</v>
      </c>
    </row>
    <row r="246" spans="1:2">
      <c r="A246" s="7">
        <v>112.01964836613054</v>
      </c>
      <c r="B246" s="7">
        <v>63.532423038234384</v>
      </c>
    </row>
    <row r="247" spans="1:2">
      <c r="A247" s="7">
        <v>87.055167395391194</v>
      </c>
      <c r="B247" s="7">
        <v>60.454244952725197</v>
      </c>
    </row>
    <row r="248" spans="1:2">
      <c r="A248" s="7">
        <v>87.055167395391194</v>
      </c>
      <c r="B248" s="7">
        <v>77.902368389081701</v>
      </c>
    </row>
    <row r="249" spans="1:2">
      <c r="A249" s="7">
        <v>112.81411131450233</v>
      </c>
      <c r="B249" s="7">
        <v>50.275690103252089</v>
      </c>
    </row>
    <row r="250" spans="1:2">
      <c r="A250" s="7">
        <v>112.81411131450233</v>
      </c>
      <c r="B250" s="7">
        <v>56.154222509566829</v>
      </c>
    </row>
    <row r="251" spans="1:2">
      <c r="A251" s="7">
        <v>112.81411131450231</v>
      </c>
      <c r="B251" s="7">
        <v>56.108450412894392</v>
      </c>
    </row>
    <row r="252" spans="1:2">
      <c r="A252" s="7">
        <v>112.81411131450231</v>
      </c>
      <c r="B252" s="7">
        <v>51.282895761659553</v>
      </c>
    </row>
    <row r="253" spans="1:2">
      <c r="A253" s="7">
        <v>112.81411131450233</v>
      </c>
      <c r="B253" s="7">
        <v>67.626834751179089</v>
      </c>
    </row>
    <row r="254" spans="1:2">
      <c r="A254" s="7">
        <v>112.81411131450233</v>
      </c>
      <c r="B254" s="7">
        <v>61.527001245670156</v>
      </c>
    </row>
    <row r="255" spans="1:2">
      <c r="A255" s="7">
        <v>84.879645400600893</v>
      </c>
      <c r="B255" s="7">
        <v>86.58652896041518</v>
      </c>
    </row>
    <row r="256" spans="1:2">
      <c r="A256" s="7">
        <v>101.9086951338524</v>
      </c>
      <c r="B256" s="7">
        <v>67.641669968996936</v>
      </c>
    </row>
    <row r="257" spans="1:2">
      <c r="A257" s="7">
        <v>101.90869513385242</v>
      </c>
      <c r="B257" s="7">
        <v>66.091812937277524</v>
      </c>
    </row>
    <row r="258" spans="1:2">
      <c r="A258" s="7">
        <v>101.90869513385242</v>
      </c>
      <c r="B258" s="7">
        <v>67.520592922562926</v>
      </c>
    </row>
    <row r="259" spans="1:2">
      <c r="A259" s="7">
        <v>101.90869513385242</v>
      </c>
      <c r="B259" s="7">
        <v>51.448552143356409</v>
      </c>
    </row>
    <row r="260" spans="1:2">
      <c r="A260" s="7">
        <v>101.90869513385242</v>
      </c>
      <c r="B260" s="7">
        <v>60.552481605258698</v>
      </c>
    </row>
    <row r="261" spans="1:2">
      <c r="A261" s="7">
        <v>101.90869513385242</v>
      </c>
      <c r="B261" s="7">
        <v>50.417922980038931</v>
      </c>
    </row>
    <row r="262" spans="1:2">
      <c r="A262" s="7">
        <v>102.32166075410298</v>
      </c>
      <c r="B262" s="7">
        <v>53.268163412294136</v>
      </c>
    </row>
    <row r="263" spans="1:2">
      <c r="A263" s="7">
        <v>102.32166075410298</v>
      </c>
      <c r="B263" s="7">
        <v>69.656257501591639</v>
      </c>
    </row>
    <row r="264" spans="1:2">
      <c r="A264" s="7">
        <v>102.32166075410298</v>
      </c>
      <c r="B264" s="7">
        <v>63.613731475215118</v>
      </c>
    </row>
    <row r="265" spans="1:2">
      <c r="A265" s="7">
        <v>102.32166075410298</v>
      </c>
      <c r="B265" s="7">
        <v>55.585710646306786</v>
      </c>
    </row>
    <row r="266" spans="1:2">
      <c r="A266" s="7">
        <v>87.055167395391194</v>
      </c>
      <c r="B266" s="7">
        <v>55.238910894622272</v>
      </c>
    </row>
    <row r="267" spans="1:2">
      <c r="A267" s="7">
        <v>87.05516739539118</v>
      </c>
      <c r="B267" s="7">
        <v>64.678684244616505</v>
      </c>
    </row>
    <row r="268" spans="1:2">
      <c r="A268" s="7">
        <v>87.055167395391194</v>
      </c>
      <c r="B268" s="7">
        <v>60.674943566591423</v>
      </c>
    </row>
    <row r="269" spans="1:2">
      <c r="A269" s="7">
        <v>84.741263899591743</v>
      </c>
      <c r="B269" s="7">
        <v>61.998127604255096</v>
      </c>
    </row>
    <row r="270" spans="1:2">
      <c r="A270" s="7">
        <v>84.741263899591743</v>
      </c>
      <c r="B270" s="7">
        <v>52.234719386967775</v>
      </c>
    </row>
    <row r="271" spans="1:2">
      <c r="A271" s="7">
        <v>112.81411131450233</v>
      </c>
      <c r="B271" s="7">
        <v>51.72959880760154</v>
      </c>
    </row>
    <row r="272" spans="1:2">
      <c r="A272" s="7">
        <v>112.81411131450234</v>
      </c>
      <c r="B272" s="7">
        <v>56.391887189408521</v>
      </c>
    </row>
    <row r="273" spans="1:2">
      <c r="A273" s="7">
        <v>112.81411131450233</v>
      </c>
      <c r="B273" s="7">
        <v>59.893830348313372</v>
      </c>
    </row>
    <row r="274" spans="1:2">
      <c r="A274" s="7">
        <v>112.81411131450233</v>
      </c>
      <c r="B274" s="7">
        <v>50.091907782763421</v>
      </c>
    </row>
    <row r="275" spans="1:2">
      <c r="A275" s="7">
        <v>112.81411131450234</v>
      </c>
      <c r="B275" s="7">
        <v>56.059068028489669</v>
      </c>
    </row>
    <row r="276" spans="1:2">
      <c r="A276" s="7">
        <v>112.81411131450231</v>
      </c>
      <c r="B276" s="7">
        <v>62.277771322333251</v>
      </c>
    </row>
    <row r="277" spans="1:2">
      <c r="A277" s="7">
        <v>74.251724391082064</v>
      </c>
      <c r="B277" s="7">
        <v>63.505535055350549</v>
      </c>
    </row>
    <row r="278" spans="1:2">
      <c r="A278" s="7">
        <v>74.251724391082064</v>
      </c>
      <c r="B278" s="7">
        <v>61.153236411006375</v>
      </c>
    </row>
    <row r="279" spans="1:2">
      <c r="A279" s="7">
        <v>74.251724391082064</v>
      </c>
      <c r="B279" s="7">
        <v>69.738926035015297</v>
      </c>
    </row>
    <row r="280" spans="1:2">
      <c r="A280" s="7">
        <v>74.251724391082064</v>
      </c>
      <c r="B280" s="7">
        <v>56.430819147773356</v>
      </c>
    </row>
    <row r="281" spans="1:2">
      <c r="A281" s="7">
        <v>74.251724391082078</v>
      </c>
      <c r="B281" s="7">
        <v>59.80057944543293</v>
      </c>
    </row>
    <row r="282" spans="1:2">
      <c r="A282" s="7">
        <v>74.251724391082064</v>
      </c>
      <c r="B282" s="7">
        <v>56.724983088558247</v>
      </c>
    </row>
    <row r="283" spans="1:2">
      <c r="A283" s="7">
        <v>74.251724391082078</v>
      </c>
      <c r="B283" s="7">
        <v>75.706973394834662</v>
      </c>
    </row>
    <row r="284" spans="1:2">
      <c r="A284" s="7">
        <v>74.251724391082064</v>
      </c>
      <c r="B284" s="7">
        <v>60.816313495041761</v>
      </c>
    </row>
    <row r="285" spans="1:2">
      <c r="A285" s="7">
        <v>74.251724391082064</v>
      </c>
      <c r="B285" s="7">
        <v>72.354465084399209</v>
      </c>
    </row>
    <row r="286" spans="1:2">
      <c r="A286" s="7">
        <v>74.251724391082064</v>
      </c>
      <c r="B286" s="7">
        <v>53.212319535435761</v>
      </c>
    </row>
    <row r="287" spans="1:2">
      <c r="A287" s="7">
        <v>74.251724391082064</v>
      </c>
      <c r="B287" s="7">
        <v>55.867799900565828</v>
      </c>
    </row>
    <row r="288" spans="1:2">
      <c r="A288" s="7">
        <v>87.055167395391194</v>
      </c>
      <c r="B288" s="7">
        <v>61.97090106846381</v>
      </c>
    </row>
    <row r="289" spans="1:2">
      <c r="A289" s="7">
        <v>87.055167395391194</v>
      </c>
      <c r="B289" s="7">
        <v>76.505303299316054</v>
      </c>
    </row>
    <row r="290" spans="1:2">
      <c r="A290" s="7">
        <v>87.055167395391194</v>
      </c>
      <c r="B290" s="7">
        <v>56.59044422300309</v>
      </c>
    </row>
    <row r="291" spans="1:2">
      <c r="A291" s="7">
        <v>87.055167395391194</v>
      </c>
      <c r="B291" s="7">
        <v>62.75923289107601</v>
      </c>
    </row>
    <row r="292" spans="1:2">
      <c r="A292" s="7">
        <v>87.055167395391194</v>
      </c>
      <c r="B292" s="7">
        <v>62.052258912281033</v>
      </c>
    </row>
    <row r="293" spans="1:2">
      <c r="A293" s="7">
        <v>87.055167395391194</v>
      </c>
      <c r="B293" s="7">
        <v>62.154439073398507</v>
      </c>
    </row>
    <row r="294" spans="1:2">
      <c r="A294" s="7">
        <v>87.055167395391194</v>
      </c>
      <c r="B294" s="7">
        <v>66.536814685364092</v>
      </c>
    </row>
    <row r="295" spans="1:2">
      <c r="A295" s="7">
        <v>87.055167395391194</v>
      </c>
      <c r="B295" s="7">
        <v>59.691032522067246</v>
      </c>
    </row>
    <row r="296" spans="1:2">
      <c r="A296" s="7">
        <v>101.90869513385242</v>
      </c>
      <c r="B296" s="7">
        <v>62.87590199366597</v>
      </c>
    </row>
    <row r="297" spans="1:2">
      <c r="A297" s="7">
        <v>101.90869513385242</v>
      </c>
      <c r="B297" s="7">
        <v>51.121559284229733</v>
      </c>
    </row>
    <row r="298" spans="1:2">
      <c r="A298" s="7">
        <v>101.9086951338524</v>
      </c>
      <c r="B298" s="7">
        <v>59.091536103163335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9EDE-68CD-4DB3-8331-FE00AB55C8C7}">
  <dimension ref="A1:K11"/>
  <sheetViews>
    <sheetView workbookViewId="0">
      <selection activeCell="G1" sqref="G1:G11"/>
    </sheetView>
  </sheetViews>
  <sheetFormatPr defaultRowHeight="15"/>
  <cols>
    <col min="1" max="1" width="13.42578125" bestFit="1" customWidth="1"/>
    <col min="2" max="2" width="19.42578125" bestFit="1" customWidth="1"/>
    <col min="3" max="3" width="22" bestFit="1" customWidth="1"/>
    <col min="4" max="4" width="11" bestFit="1" customWidth="1"/>
    <col min="5" max="5" width="14.5703125" bestFit="1" customWidth="1"/>
    <col min="6" max="6" width="22" bestFit="1" customWidth="1"/>
    <col min="7" max="7" width="16.140625" bestFit="1" customWidth="1"/>
    <col min="8" max="8" width="15" bestFit="1" customWidth="1"/>
    <col min="9" max="9" width="17.28515625" bestFit="1" customWidth="1"/>
    <col min="10" max="10" width="12" bestFit="1" customWidth="1"/>
  </cols>
  <sheetData>
    <row r="1" spans="1:11">
      <c r="A1" s="1" t="s">
        <v>1607</v>
      </c>
      <c r="B1" s="1" t="s">
        <v>1606</v>
      </c>
      <c r="C1" s="1" t="s">
        <v>1608</v>
      </c>
      <c r="D1" s="1" t="s">
        <v>1609</v>
      </c>
      <c r="E1" s="1" t="s">
        <v>1610</v>
      </c>
      <c r="F1" s="1" t="s">
        <v>1611</v>
      </c>
      <c r="G1" s="1" t="s">
        <v>1612</v>
      </c>
      <c r="H1" s="1" t="s">
        <v>1613</v>
      </c>
      <c r="I1" s="1" t="s">
        <v>1614</v>
      </c>
      <c r="J1" s="1" t="s">
        <v>1615</v>
      </c>
      <c r="K1" s="1" t="s">
        <v>1616</v>
      </c>
    </row>
    <row r="2" spans="1:11">
      <c r="A2" t="str" cm="1">
        <f t="array" ref="A2:A11">_xlfn.LET(_xlpm.headers,Analysis_Data!$A$1:$Z$1,_xlpm.data,Analysis_Data!$A$2:$Z$301,_xlpm.valid,INDEX(_xlpm.data,,MATCH("Use_For_Analysis",_xlpm.headers,0))=1,_xlpm.party,INDEX(_xlpm.data,,MATCH("Winning_Party",_xlpm.headers,0)),_xlfn._xlws.SORT(_xlfn.UNIQUE(_xlfn._xlws.FILTER(_xlpm.party,_xlpm.valid))))</f>
        <v>BJP</v>
      </c>
      <c r="B2" s="7" cm="1">
        <f t="array" ref="B2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2))))</f>
        <v>1</v>
      </c>
      <c r="C2" s="7" cm="1">
        <f t="array" ref="C2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2))))</f>
        <v>58.349734630694385</v>
      </c>
      <c r="D2" s="7" cm="1">
        <f t="array" ref="D2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2))))</f>
        <v>16.699469261388767</v>
      </c>
      <c r="E2" s="7" cm="1">
        <f t="array" ref="E2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2))))</f>
        <v>444828</v>
      </c>
      <c r="F2" s="7" cm="1">
        <f t="array" ref="F2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2))))</f>
        <v>1264.1827947821639</v>
      </c>
      <c r="G2" s="7" cm="1">
        <f t="array" ref="G2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2))))</f>
        <v>70.41</v>
      </c>
      <c r="H2" s="7" cm="1">
        <f t="array" ref="H2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2))))</f>
        <v>112.01964836613054</v>
      </c>
      <c r="I2" s="7" cm="1">
        <f t="array" ref="I2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2))))</f>
        <v>22.37167391269287</v>
      </c>
      <c r="J2" s="7" cm="1">
        <f t="array" ref="J2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2))))</f>
        <v>0</v>
      </c>
      <c r="K2" s="7" cm="1">
        <f t="array" ref="K2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2))))</f>
        <v>4.29</v>
      </c>
    </row>
    <row r="3" spans="1:11">
      <c r="A3" t="str">
        <v>BKM</v>
      </c>
      <c r="B3" s="7" cm="1">
        <f t="array" ref="B3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3))))</f>
        <v>2</v>
      </c>
      <c r="C3" s="7" cm="1">
        <f t="array" ref="C3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3))))</f>
        <v>52.672688933917989</v>
      </c>
      <c r="D3" s="7" cm="1">
        <f t="array" ref="D3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3))))</f>
        <v>5.3453778678359702</v>
      </c>
      <c r="E3" s="7" cm="1">
        <f t="array" ref="E3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3))))</f>
        <v>354191.5</v>
      </c>
      <c r="F3" s="7" cm="1">
        <f t="array" ref="F3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3))))</f>
        <v>1190.1208319168541</v>
      </c>
      <c r="G3" s="7" cm="1">
        <f t="array" ref="G3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3))))</f>
        <v>69.984999999999999</v>
      </c>
      <c r="H3" s="7" cm="1">
        <f t="array" ref="H3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3))))</f>
        <v>85.898215647491469</v>
      </c>
      <c r="I3" s="7" cm="1">
        <f t="array" ref="I3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3))))</f>
        <v>13.859490057713691</v>
      </c>
      <c r="J3" s="7" cm="1">
        <f t="array" ref="J3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3))))</f>
        <v>0</v>
      </c>
      <c r="K3" s="7" cm="1">
        <f t="array" ref="K3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3))))</f>
        <v>4.01</v>
      </c>
    </row>
    <row r="4" spans="1:11">
      <c r="A4" t="str">
        <v>BNP</v>
      </c>
      <c r="B4" s="7" cm="1">
        <f t="array" ref="B4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4))))</f>
        <v>210</v>
      </c>
      <c r="C4" s="7" cm="1">
        <f t="array" ref="C4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4))))</f>
        <v>61.572680146228578</v>
      </c>
      <c r="D4" s="7" cm="1">
        <f t="array" ref="D4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4))))</f>
        <v>23.14536029245723</v>
      </c>
      <c r="E4" s="7" cm="1">
        <f t="array" ref="E4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4))))</f>
        <v>524504.73809523811</v>
      </c>
      <c r="F4" s="7" cm="1">
        <f t="array" ref="F4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4))))</f>
        <v>2863.6660178374464</v>
      </c>
      <c r="G4" s="7" cm="1">
        <f t="array" ref="G4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4))))</f>
        <v>74.178529330133301</v>
      </c>
      <c r="H4" s="7" cm="1">
        <f t="array" ref="H4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4))))</f>
        <v>92.398982489649015</v>
      </c>
      <c r="I4" s="7" cm="1">
        <f t="array" ref="I4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4))))</f>
        <v>13.449144554745546</v>
      </c>
      <c r="J4" s="7" cm="1">
        <f t="array" ref="J4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4))))</f>
        <v>0.11428571428571428</v>
      </c>
      <c r="K4" s="7" cm="1">
        <f t="array" ref="K4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4))))</f>
        <v>4.0845922771323808</v>
      </c>
    </row>
    <row r="5" spans="1:11">
      <c r="A5" t="str">
        <v>GOP</v>
      </c>
      <c r="B5" s="7" cm="1">
        <f t="array" ref="B5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5))))</f>
        <v>1</v>
      </c>
      <c r="C5" s="7" cm="1">
        <f t="array" ref="C5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5))))</f>
        <v>54.466544290479277</v>
      </c>
      <c r="D5" s="7" cm="1">
        <f t="array" ref="D5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5))))</f>
        <v>8.9330885809585627</v>
      </c>
      <c r="E5" s="7" cm="1">
        <f t="array" ref="E5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5))))</f>
        <v>430617</v>
      </c>
      <c r="F5" s="7" cm="1">
        <f t="array" ref="F5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5))))</f>
        <v>481.21696373693914</v>
      </c>
      <c r="G5" s="7" cm="1">
        <f t="array" ref="G5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5))))</f>
        <v>72.560125447903829</v>
      </c>
      <c r="H5" s="7" cm="1">
        <f t="array" ref="H5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5))))</f>
        <v>112.01964836613053</v>
      </c>
      <c r="I5" s="7" cm="1">
        <f t="array" ref="I5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5))))</f>
        <v>22.37167391269287</v>
      </c>
      <c r="J5" s="7" cm="1">
        <f t="array" ref="J5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5))))</f>
        <v>0</v>
      </c>
      <c r="K5" s="7" cm="1">
        <f t="array" ref="K5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5))))</f>
        <v>3.947887147976044</v>
      </c>
    </row>
    <row r="6" spans="1:11">
      <c r="A6" t="str">
        <v>GSA</v>
      </c>
      <c r="B6" s="7" cm="1">
        <f t="array" ref="B6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6))))</f>
        <v>1</v>
      </c>
      <c r="C6" s="7" cm="1">
        <f t="array" ref="C6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6))))</f>
        <v>70.457736590845272</v>
      </c>
      <c r="D6" s="7" cm="1">
        <f t="array" ref="D6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6))))</f>
        <v>40.915473181690537</v>
      </c>
      <c r="E6" s="7" cm="1">
        <f t="array" ref="E6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6))))</f>
        <v>346757</v>
      </c>
      <c r="F6" s="7" cm="1">
        <f t="array" ref="F6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6))))</f>
        <v>1045.6771508699978</v>
      </c>
      <c r="G6" s="7" cm="1">
        <f t="array" ref="G6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6))))</f>
        <v>61.97</v>
      </c>
      <c r="H6" s="7" cm="1">
        <f t="array" ref="H6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6))))</f>
        <v>84.879645400600893</v>
      </c>
      <c r="I6" s="7" cm="1">
        <f t="array" ref="I6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6))))</f>
        <v>10.309673910686193</v>
      </c>
      <c r="J6" s="7" cm="1">
        <f t="array" ref="J6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6))))</f>
        <v>0</v>
      </c>
      <c r="K6" s="7" cm="1">
        <f t="array" ref="K6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6))))</f>
        <v>4.83</v>
      </c>
    </row>
    <row r="7" spans="1:11">
      <c r="A7" t="str">
        <v>IAB</v>
      </c>
      <c r="B7" s="7" cm="1">
        <f t="array" ref="B7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7))))</f>
        <v>1</v>
      </c>
      <c r="C7" s="7" cm="1">
        <f t="array" ref="C7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7))))</f>
        <v>50.749902328206161</v>
      </c>
      <c r="D7" s="7" cm="1">
        <f t="array" ref="D7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7))))</f>
        <v>1.4998046564123342</v>
      </c>
      <c r="E7" s="7" cm="1">
        <f t="array" ref="E7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7))))</f>
        <v>628180</v>
      </c>
      <c r="F7" s="7" cm="1">
        <f t="array" ref="F7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7))))</f>
        <v>493.231783919598</v>
      </c>
      <c r="G7" s="7" cm="1">
        <f t="array" ref="G7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7))))</f>
        <v>78.903689483905879</v>
      </c>
      <c r="H7" s="7" cm="1">
        <f t="array" ref="H7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7))))</f>
        <v>112.01964836613054</v>
      </c>
      <c r="I7" s="7" cm="1">
        <f t="array" ref="I7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7))))</f>
        <v>22.37167391269287</v>
      </c>
      <c r="J7" s="7" cm="1">
        <f t="array" ref="J7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7))))</f>
        <v>0</v>
      </c>
      <c r="K7" s="7" cm="1">
        <f t="array" ref="K7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7))))</f>
        <v>3.972032283740329</v>
      </c>
    </row>
    <row r="8" spans="1:11">
      <c r="A8" t="str">
        <v>IND</v>
      </c>
      <c r="B8" s="7" cm="1">
        <f t="array" ref="B8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8))))</f>
        <v>6</v>
      </c>
      <c r="C8" s="7" cm="1">
        <f t="array" ref="C8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8))))</f>
        <v>55.980444483866187</v>
      </c>
      <c r="D8" s="7" cm="1">
        <f t="array" ref="D8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8))))</f>
        <v>11.960888967732368</v>
      </c>
      <c r="E8" s="7" cm="1">
        <f t="array" ref="E8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8))))</f>
        <v>495471.16666666669</v>
      </c>
      <c r="F8" s="7" cm="1">
        <f t="array" ref="F8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8))))</f>
        <v>1159.4096102316171</v>
      </c>
      <c r="G8" s="7" cm="1">
        <f t="array" ref="G8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8))))</f>
        <v>71.935001528931096</v>
      </c>
      <c r="H8" s="7" cm="1">
        <f t="array" ref="H8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8))))</f>
        <v>88.057343771773006</v>
      </c>
      <c r="I8" s="7" cm="1">
        <f t="array" ref="I8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8))))</f>
        <v>12.303895837844964</v>
      </c>
      <c r="J8" s="7" cm="1">
        <f t="array" ref="J8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8))))</f>
        <v>0</v>
      </c>
      <c r="K8" s="7" cm="1">
        <f t="array" ref="K8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8))))</f>
        <v>4.0664952509409256</v>
      </c>
    </row>
    <row r="9" spans="1:11">
      <c r="A9" t="str">
        <v>Jamaat</v>
      </c>
      <c r="B9" s="7" cm="1">
        <f t="array" ref="B9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9))))</f>
        <v>68</v>
      </c>
      <c r="C9" s="7" cm="1">
        <f t="array" ref="C9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9))))</f>
        <v>56.415904147871608</v>
      </c>
      <c r="D9" s="7" cm="1">
        <f t="array" ref="D9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9))))</f>
        <v>12.831808295743206</v>
      </c>
      <c r="E9" s="7" cm="1">
        <f t="array" ref="E9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9))))</f>
        <v>509515.67647058825</v>
      </c>
      <c r="F9" s="7" cm="1">
        <f t="array" ref="F9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9))))</f>
        <v>4249.3186288944516</v>
      </c>
      <c r="G9" s="7" cm="1">
        <f t="array" ref="G9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9))))</f>
        <v>73.777828746873183</v>
      </c>
      <c r="H9" s="7" cm="1">
        <f t="array" ref="H9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9))))</f>
        <v>100.86587101837797</v>
      </c>
      <c r="I9" s="7" cm="1">
        <f t="array" ref="I9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9))))</f>
        <v>13.740588659382571</v>
      </c>
      <c r="J9" s="7" cm="1">
        <f t="array" ref="J9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9))))</f>
        <v>0.11764705882352941</v>
      </c>
      <c r="K9" s="7" cm="1">
        <f t="array" ref="K9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9))))</f>
        <v>3.8661651113325517</v>
      </c>
    </row>
    <row r="10" spans="1:11">
      <c r="A10" t="str">
        <v>KM</v>
      </c>
      <c r="B10" s="7" cm="1">
        <f t="array" ref="B10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10))))</f>
        <v>1</v>
      </c>
      <c r="C10" s="7" cm="1">
        <f t="array" ref="C10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10))))</f>
        <v>53.212319535435761</v>
      </c>
      <c r="D10" s="7" cm="1">
        <f t="array" ref="D10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10))))</f>
        <v>6.4246390708715264</v>
      </c>
      <c r="E10" s="7" cm="1">
        <f t="array" ref="E10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10))))</f>
        <v>584883</v>
      </c>
      <c r="F10" s="7" cm="1">
        <f t="array" ref="F10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10))))</f>
        <v>811.34585506603059</v>
      </c>
      <c r="G10" s="7" cm="1">
        <f t="array" ref="G10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10))))</f>
        <v>73.703470078631113</v>
      </c>
      <c r="H10" s="7" cm="1">
        <f t="array" ref="H10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10))))</f>
        <v>74.251724391082064</v>
      </c>
      <c r="I10" s="7" cm="1">
        <f t="array" ref="I10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10))))</f>
        <v>9.6171122896887518</v>
      </c>
      <c r="J10" s="7" cm="1">
        <f t="array" ref="J10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10))))</f>
        <v>0</v>
      </c>
      <c r="K10" s="7" cm="1">
        <f t="array" ref="K10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10))))</f>
        <v>5.2094138827765555</v>
      </c>
    </row>
    <row r="11" spans="1:11">
      <c r="A11" t="str">
        <v>NCP</v>
      </c>
      <c r="B11" s="7" cm="1">
        <f t="array" ref="B11">_xlfn.LET(_xlpm.headers,Analysis_Data!$A$1:$Z$1,_xlpm.data,Analysis_Data!$A$2:$Z$301,_xlpm.valid,INDEX(_xlpm.data,,MATCH("Use_For_Analysis",_xlpm.headers,0))=1,_xlpm.party,INDEX(_xlpm.data,,MATCH("Winning_Party",_xlpm.headers,0)),COUNTA(_xlfn._xlws.FILTER(_xlpm.party,(_xlpm.valid)*(_xlpm.party=$A11))))</f>
        <v>6</v>
      </c>
      <c r="C11" s="7" cm="1">
        <f t="array" ref="C11">_xlfn.LET(_xlpm.headers,Analysis_Data!$A$1:$Z$1,_xlpm.data,Analysis_Data!$A$2:$Z$301,_xlpm.valid,INDEX(_xlpm.data,,MATCH("Use_For_Analysis",_xlpm.headers,0))=1,_xlpm.party,INDEX(_xlpm.data,,MATCH("Winning_Party",_xlpm.headers,0)),_xlpm.x,INDEX(_xlpm.data,,MATCH("Winner_Vote_Share",_xlpm.headers,0)),AVERAGE(_xlfn._xlws.FILTER(_xlpm.x,(_xlpm.valid)*(_xlpm.party=$A11))))</f>
        <v>57.659015648329898</v>
      </c>
      <c r="D11" s="7" cm="1">
        <f t="array" ref="D11">_xlfn.LET(_xlpm.headers,Analysis_Data!$A$1:$Z$1,_xlpm.data,Analysis_Data!$A$2:$Z$301,_xlpm.valid,INDEX(_xlpm.data,,MATCH("Use_For_Analysis",_xlpm.headers,0))=1,_xlpm.party,INDEX(_xlpm.data,,MATCH("Winning_Party",_xlpm.headers,0)),_xlpm.x,INDEX(_xlpm.data,,MATCH("Margin_Percentage",_xlpm.headers,0)),AVERAGE(_xlfn._xlws.FILTER(_xlpm.x,(_xlpm.valid)*(_xlpm.party=$A11))))</f>
        <v>15.318031296659816</v>
      </c>
      <c r="E11" s="7" cm="1">
        <f t="array" ref="E11">_xlfn.LET(_xlpm.headers,Analysis_Data!$A$1:$Z$1,_xlpm.data,Analysis_Data!$A$2:$Z$301,_xlpm.valid,INDEX(_xlpm.data,,MATCH("Use_For_Analysis",_xlpm.headers,0))=1,_xlpm.party,INDEX(_xlpm.data,,MATCH("Winning_Party",_xlpm.headers,0)),_xlpm.x,INDEX(_xlpm.data,,MATCH("Population",_xlpm.headers,0)),AVERAGE(_xlfn._xlws.FILTER(_xlpm.x,(_xlpm.valid)*(_xlpm.party=$A11))))</f>
        <v>677309.66666666663</v>
      </c>
      <c r="F11" s="7" cm="1">
        <f t="array" ref="F11">_xlfn.LET(_xlpm.headers,Analysis_Data!$A$1:$Z$1,_xlpm.data,Analysis_Data!$A$2:$Z$301,_xlpm.valid,INDEX(_xlpm.data,,MATCH("Use_For_Analysis",_xlpm.headers,0))=1,_xlpm.party,INDEX(_xlpm.data,,MATCH("Winning_Party",_xlpm.headers,0)),_xlpm.x,INDEX(_xlpm.data,,MATCH("Population_Density",_xlpm.headers,0)),AVERAGE(_xlfn._xlws.FILTER(_xlpm.x,(_xlpm.valid)*(_xlpm.party=$A11))))</f>
        <v>7820.4694468897687</v>
      </c>
      <c r="G11" s="7" cm="1">
        <f t="array" ref="G11">_xlfn.LET(_xlpm.headers,Analysis_Data!$A$1:$Z$1,_xlpm.data,Analysis_Data!$A$2:$Z$301,_xlpm.valid,INDEX(_xlpm.data,,MATCH("Use_For_Analysis",_xlpm.headers,0))=1,_xlpm.party,INDEX(_xlpm.data,,MATCH("Winning_Party",_xlpm.headers,0)),_xlpm.x,INDEX(_xlpm.data,,MATCH("Literacy_Rate",_xlpm.headers,0)),AVERAGE(_xlfn._xlws.FILTER(_xlpm.x,(_xlpm.valid)*(_xlpm.party=$A11))))</f>
        <v>77.229414219763257</v>
      </c>
      <c r="H11" s="7" cm="1">
        <f t="array" ref="H11">_xlfn.LET(_xlpm.headers,Analysis_Data!$A$1:$Z$1,_xlpm.data,Analysis_Data!$A$2:$Z$301,_xlpm.valid,INDEX(_xlpm.data,,MATCH("Use_For_Analysis",_xlpm.headers,0))=1,_xlpm.party,INDEX(_xlpm.data,,MATCH("Winning_Party",_xlpm.headers,0)),_xlpm.x,INDEX(_xlpm.data,,MATCH("Total_Crime_per_100k",_xlpm.headers,0)),AVERAGE(_xlfn._xlws.FILTER(_xlpm.x,(_xlpm.valid)*(_xlpm.party=$A11))))</f>
        <v>91.281169309948169</v>
      </c>
      <c r="I11" s="7" cm="1">
        <f t="array" ref="I11">_xlfn.LET(_xlpm.headers,Analysis_Data!$A$1:$Z$1,_xlpm.data,Analysis_Data!$A$2:$Z$301,_xlpm.valid,INDEX(_xlpm.data,,MATCH("Use_For_Analysis",_xlpm.headers,0))=1,_xlpm.party,INDEX(_xlpm.data,,MATCH("Winning_Party",_xlpm.headers,0)),_xlpm.x,INDEX(_xlpm.data,,MATCH("Violent_Crime_per_100k",_xlpm.headers,0)),AVERAGE(_xlfn._xlws.FILTER(_xlpm.x,(_xlpm.valid)*(_xlpm.party=$A11))))</f>
        <v>13.189512063397864</v>
      </c>
      <c r="J11" s="7" cm="1">
        <f t="array" ref="J11">_xlfn.LET(_xlpm.headers,Analysis_Data!$A$1:$Z$1,_xlpm.data,Analysis_Data!$A$2:$Z$301,_xlpm.valid,INDEX(_xlpm.data,,MATCH("Use_For_Analysis",_xlpm.headers,0))=1,_xlpm.party,INDEX(_xlpm.data,,MATCH("Winning_Party",_xlpm.headers,0)),_xlpm.x,INDEX(_xlpm.data,,MATCH("Metro",_xlpm.headers,0)),AVERAGE(_xlfn._xlws.FILTER(_xlpm.x,(_xlpm.valid)*(_xlpm.party=$A11))))</f>
        <v>0.33333333333333331</v>
      </c>
      <c r="K11" s="7" cm="1">
        <f t="array" ref="K11">_xlfn.LET(_xlpm.headers,Analysis_Data!$A$1:$Z$1,_xlpm.data,Analysis_Data!$A$2:$Z$301,_xlpm.valid,INDEX(_xlpm.data,,MATCH("Use_For_Analysis",_xlpm.headers,0))=1,_xlpm.party,INDEX(_xlpm.data,,MATCH("Winning_Party",_xlpm.headers,0)),_xlpm.x,INDEX(_xlpm.data,,MATCH("Household_Size",_xlpm.headers,0)),AVERAGE(_xlfn._xlws.FILTER(_xlpm.x,(_xlpm.valid)*(_xlpm.party=$A11))))</f>
        <v>3.9613324158861953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F549-583C-4058-96F9-22B846470810}">
  <dimension ref="A1:B70"/>
  <sheetViews>
    <sheetView tabSelected="1" topLeftCell="A4" zoomScale="115" zoomScaleNormal="115" workbookViewId="0">
      <selection activeCell="M9" sqref="M9"/>
    </sheetView>
  </sheetViews>
  <sheetFormatPr defaultRowHeight="15"/>
  <sheetData>
    <row r="1" spans="1:2">
      <c r="A1" t="s">
        <v>1623</v>
      </c>
    </row>
    <row r="2" spans="1:2">
      <c r="A2" t="s">
        <v>1624</v>
      </c>
    </row>
    <row r="4" spans="1:2">
      <c r="A4" t="s">
        <v>1625</v>
      </c>
    </row>
    <row r="6" spans="1:2">
      <c r="A6" s="1" t="s">
        <v>914</v>
      </c>
      <c r="B6" s="1" t="s">
        <v>1619</v>
      </c>
    </row>
    <row r="7" spans="1:2">
      <c r="A7" t="str" cm="1">
        <f t="array" ref="A7:B70">_xlfn.SORTBY(_xlfn.CHOOSECOLS(Remittance_Data!A2:D65,1,2),Remittance_Data!B2:B65,-1)</f>
        <v>Comilla</v>
      </c>
      <c r="B7">
        <v>441125</v>
      </c>
    </row>
    <row r="8" spans="1:2">
      <c r="A8" t="str">
        <v>Chittagong</v>
      </c>
      <c r="B8">
        <v>354531</v>
      </c>
    </row>
    <row r="9" spans="1:2">
      <c r="A9" t="str">
        <v>Brahmanbaria</v>
      </c>
      <c r="B9">
        <v>236366</v>
      </c>
    </row>
    <row r="10" spans="1:2">
      <c r="A10" t="str">
        <v>Dhaka</v>
      </c>
      <c r="B10">
        <v>224944</v>
      </c>
    </row>
    <row r="11" spans="1:2">
      <c r="A11" t="str">
        <v>Noakhali</v>
      </c>
      <c r="B11">
        <v>179444</v>
      </c>
    </row>
    <row r="12" spans="1:2">
      <c r="A12" t="str">
        <v>Tangail</v>
      </c>
      <c r="B12">
        <v>158130</v>
      </c>
    </row>
    <row r="13" spans="1:2">
      <c r="A13" t="str">
        <v>Chandpur</v>
      </c>
      <c r="B13">
        <v>153319</v>
      </c>
    </row>
    <row r="14" spans="1:2">
      <c r="A14" t="str">
        <v>Sylhet</v>
      </c>
      <c r="B14">
        <v>149149</v>
      </c>
    </row>
    <row r="15" spans="1:2">
      <c r="A15" t="str">
        <v>Feni</v>
      </c>
      <c r="B15">
        <v>125270</v>
      </c>
    </row>
    <row r="16" spans="1:2">
      <c r="A16" t="str">
        <v>Narsingdi</v>
      </c>
      <c r="B16">
        <v>117936</v>
      </c>
    </row>
    <row r="17" spans="1:2">
      <c r="A17" t="str">
        <v>Munshiganj</v>
      </c>
      <c r="B17">
        <v>108962</v>
      </c>
    </row>
    <row r="18" spans="1:2">
      <c r="A18" t="str">
        <v>Lakshmipur</v>
      </c>
      <c r="B18">
        <v>108389</v>
      </c>
    </row>
    <row r="19" spans="1:2">
      <c r="A19" t="str">
        <v>Moulvibazar</v>
      </c>
      <c r="B19">
        <v>98592</v>
      </c>
    </row>
    <row r="20" spans="1:2">
      <c r="A20" t="str">
        <v>Kishoreganj</v>
      </c>
      <c r="B20">
        <v>93532</v>
      </c>
    </row>
    <row r="21" spans="1:2">
      <c r="A21" t="str">
        <v>Narayanganj</v>
      </c>
      <c r="B21">
        <v>72484</v>
      </c>
    </row>
    <row r="22" spans="1:2">
      <c r="A22" t="str">
        <v>Faridpur</v>
      </c>
      <c r="B22">
        <v>72310</v>
      </c>
    </row>
    <row r="23" spans="1:2">
      <c r="A23" t="str">
        <v>Gazipur</v>
      </c>
      <c r="B23">
        <v>70579</v>
      </c>
    </row>
    <row r="24" spans="1:2">
      <c r="A24" t="str">
        <v>Madaripur</v>
      </c>
      <c r="B24">
        <v>66343</v>
      </c>
    </row>
    <row r="25" spans="1:2">
      <c r="A25" t="str">
        <v>Cox's Bazar</v>
      </c>
      <c r="B25">
        <v>63899</v>
      </c>
    </row>
    <row r="26" spans="1:2">
      <c r="A26" t="str">
        <v>Habiganj</v>
      </c>
      <c r="B26">
        <v>63766</v>
      </c>
    </row>
    <row r="27" spans="1:2">
      <c r="A27" t="str">
        <v>Manikganj</v>
      </c>
      <c r="B27">
        <v>63218</v>
      </c>
    </row>
    <row r="28" spans="1:2">
      <c r="A28" t="str">
        <v>Sunamganj</v>
      </c>
      <c r="B28">
        <v>63212</v>
      </c>
    </row>
    <row r="29" spans="1:2">
      <c r="A29" t="str">
        <v>Shariatpur</v>
      </c>
      <c r="B29">
        <v>60712</v>
      </c>
    </row>
    <row r="30" spans="1:2">
      <c r="A30" t="str">
        <v>Mymensingh</v>
      </c>
      <c r="B30">
        <v>59469</v>
      </c>
    </row>
    <row r="31" spans="1:2">
      <c r="A31" t="str">
        <v>Jashore</v>
      </c>
      <c r="B31">
        <v>57950</v>
      </c>
    </row>
    <row r="32" spans="1:2">
      <c r="A32" t="str">
        <v>Bogura</v>
      </c>
      <c r="B32">
        <v>55243</v>
      </c>
    </row>
    <row r="33" spans="1:2">
      <c r="A33" t="str">
        <v>Pabna</v>
      </c>
      <c r="B33">
        <v>36218</v>
      </c>
    </row>
    <row r="34" spans="1:2">
      <c r="A34" t="str">
        <v>Jhenaidah</v>
      </c>
      <c r="B34">
        <v>35955</v>
      </c>
    </row>
    <row r="35" spans="1:2">
      <c r="A35" t="str">
        <v>Barishal</v>
      </c>
      <c r="B35">
        <v>35831</v>
      </c>
    </row>
    <row r="36" spans="1:2">
      <c r="A36" t="str">
        <v>Kushtia</v>
      </c>
      <c r="B36">
        <v>34944</v>
      </c>
    </row>
    <row r="37" spans="1:2">
      <c r="A37" t="str">
        <v>Sirajganj</v>
      </c>
      <c r="B37">
        <v>30007</v>
      </c>
    </row>
    <row r="38" spans="1:2">
      <c r="A38" t="str">
        <v>Chapainawabganj</v>
      </c>
      <c r="B38">
        <v>28493</v>
      </c>
    </row>
    <row r="39" spans="1:2">
      <c r="A39" t="str">
        <v>Naogaon</v>
      </c>
      <c r="B39">
        <v>28428</v>
      </c>
    </row>
    <row r="40" spans="1:2">
      <c r="A40" t="str">
        <v>Meherpur</v>
      </c>
      <c r="B40">
        <v>25380</v>
      </c>
    </row>
    <row r="41" spans="1:2">
      <c r="A41" t="str">
        <v>Bhola</v>
      </c>
      <c r="B41">
        <v>24978</v>
      </c>
    </row>
    <row r="42" spans="1:2">
      <c r="A42" t="str">
        <v>Rajbari</v>
      </c>
      <c r="B42">
        <v>23972</v>
      </c>
    </row>
    <row r="43" spans="1:2">
      <c r="A43" t="str">
        <v>Jamalpur</v>
      </c>
      <c r="B43">
        <v>23323</v>
      </c>
    </row>
    <row r="44" spans="1:2">
      <c r="A44" t="str">
        <v>Chuadanga</v>
      </c>
      <c r="B44">
        <v>21607</v>
      </c>
    </row>
    <row r="45" spans="1:2">
      <c r="A45" t="str">
        <v>Pirojpur</v>
      </c>
      <c r="B45">
        <v>20674</v>
      </c>
    </row>
    <row r="46" spans="1:2">
      <c r="A46" t="str">
        <v>Gopalganj</v>
      </c>
      <c r="B46">
        <v>20294</v>
      </c>
    </row>
    <row r="47" spans="1:2">
      <c r="A47" t="str">
        <v>Satkhira</v>
      </c>
      <c r="B47">
        <v>20170</v>
      </c>
    </row>
    <row r="48" spans="1:2">
      <c r="A48" t="str">
        <v>Magura</v>
      </c>
      <c r="B48">
        <v>17913</v>
      </c>
    </row>
    <row r="49" spans="1:2">
      <c r="A49" t="str">
        <v>Rajshahi</v>
      </c>
      <c r="B49">
        <v>17411</v>
      </c>
    </row>
    <row r="50" spans="1:2">
      <c r="A50" t="str">
        <v>Khulna</v>
      </c>
      <c r="B50">
        <v>17169</v>
      </c>
    </row>
    <row r="51" spans="1:2">
      <c r="A51" t="str">
        <v>Natore</v>
      </c>
      <c r="B51">
        <v>15186</v>
      </c>
    </row>
    <row r="52" spans="1:2">
      <c r="A52" t="str">
        <v>Narail</v>
      </c>
      <c r="B52">
        <v>14435</v>
      </c>
    </row>
    <row r="53" spans="1:2">
      <c r="A53" t="str">
        <v>Bagerhat</v>
      </c>
      <c r="B53">
        <v>13393</v>
      </c>
    </row>
    <row r="54" spans="1:2">
      <c r="A54" t="str">
        <v>Gaibandha</v>
      </c>
      <c r="B54">
        <v>13007</v>
      </c>
    </row>
    <row r="55" spans="1:2">
      <c r="A55" t="str">
        <v>Netrokona</v>
      </c>
      <c r="B55">
        <v>12694</v>
      </c>
    </row>
    <row r="56" spans="1:2">
      <c r="A56" t="str">
        <v>Barguna</v>
      </c>
      <c r="B56">
        <v>12017</v>
      </c>
    </row>
    <row r="57" spans="1:2">
      <c r="A57" t="str">
        <v>Jhalokati</v>
      </c>
      <c r="B57">
        <v>11423</v>
      </c>
    </row>
    <row r="58" spans="1:2">
      <c r="A58" t="str">
        <v>Joypurhat</v>
      </c>
      <c r="B58">
        <v>9894</v>
      </c>
    </row>
    <row r="59" spans="1:2">
      <c r="A59" t="str">
        <v>Patuakhali</v>
      </c>
      <c r="B59">
        <v>9027</v>
      </c>
    </row>
    <row r="60" spans="1:2">
      <c r="A60" t="str">
        <v>Rangpur</v>
      </c>
      <c r="B60">
        <v>8897</v>
      </c>
    </row>
    <row r="61" spans="1:2">
      <c r="A61" t="str">
        <v>Dinajpur</v>
      </c>
      <c r="B61">
        <v>7999</v>
      </c>
    </row>
    <row r="62" spans="1:2">
      <c r="A62" t="str">
        <v>Kurigram</v>
      </c>
      <c r="B62">
        <v>7399</v>
      </c>
    </row>
    <row r="63" spans="1:2">
      <c r="A63" t="str">
        <v>Sherpur</v>
      </c>
      <c r="B63">
        <v>5294</v>
      </c>
    </row>
    <row r="64" spans="1:2">
      <c r="A64" t="str">
        <v>Khagrachhari</v>
      </c>
      <c r="B64">
        <v>5192</v>
      </c>
    </row>
    <row r="65" spans="1:2">
      <c r="A65" t="str">
        <v>Nilphamari</v>
      </c>
      <c r="B65">
        <v>4885</v>
      </c>
    </row>
    <row r="66" spans="1:2">
      <c r="A66" t="str">
        <v>Thakurgaon</v>
      </c>
      <c r="B66">
        <v>4683</v>
      </c>
    </row>
    <row r="67" spans="1:2">
      <c r="A67" t="str">
        <v>Rangamati</v>
      </c>
      <c r="B67">
        <v>4548</v>
      </c>
    </row>
    <row r="68" spans="1:2">
      <c r="A68" t="str">
        <v>Bandarban</v>
      </c>
      <c r="B68">
        <v>4106</v>
      </c>
    </row>
    <row r="69" spans="1:2">
      <c r="A69" t="str">
        <v>Lalmonirhat</v>
      </c>
      <c r="B69">
        <v>2418</v>
      </c>
    </row>
    <row r="70" spans="1:2">
      <c r="A70" t="str">
        <v>Panchagarh</v>
      </c>
      <c r="B70">
        <v>2017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CEAC87-D3C7-491E-9204-204AE7A69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Constituency_Upazila_Map</vt:lpstr>
      <vt:lpstr>Population_data</vt:lpstr>
      <vt:lpstr>Crime_Data</vt:lpstr>
      <vt:lpstr>District_Crime_Unit_Map</vt:lpstr>
      <vt:lpstr>Election_Data</vt:lpstr>
      <vt:lpstr>Final_Merged_Data</vt:lpstr>
      <vt:lpstr>Constituency_Level_Data</vt:lpstr>
      <vt:lpstr>Master_Data</vt:lpstr>
      <vt:lpstr>Official_Constituencies</vt:lpstr>
      <vt:lpstr>Analysis_Data</vt:lpstr>
      <vt:lpstr>Remittance_Data</vt:lpstr>
      <vt:lpstr>Descriptive_Stats</vt:lpstr>
      <vt:lpstr>Correlation_Matrix</vt:lpstr>
      <vt:lpstr>Chart 1  Winning Party Seat Cou</vt:lpstr>
      <vt:lpstr>Chart 2 Average Winner Vote Sh</vt:lpstr>
      <vt:lpstr>Chart 3 Average Victory Margin</vt:lpstr>
      <vt:lpstr>Chat 4 Average Literacy Rate by</vt:lpstr>
      <vt:lpstr>Chat 5 Average Population Densi</vt:lpstr>
      <vt:lpstr>Chart 6 Average Total Crime Rat</vt:lpstr>
      <vt:lpstr>Chart 7 Average Violent Crime </vt:lpstr>
      <vt:lpstr>Chart 8 Average Household Size </vt:lpstr>
      <vt:lpstr>Chart 9 &amp; 10 Metro_Comparison</vt:lpstr>
      <vt:lpstr>Chart 11 Literacy Rate vs Winn</vt:lpstr>
      <vt:lpstr>Chart 12 Density Vote Share</vt:lpstr>
      <vt:lpstr>Chart 13 Crime Vote Share</vt:lpstr>
      <vt:lpstr>Party_Comparison</vt:lpstr>
      <vt:lpstr>Chart 14 Remittance_EDA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</cp:lastModifiedBy>
  <dcterms:created xsi:type="dcterms:W3CDTF">2015-06-05T18:17:20Z</dcterms:created>
  <dcterms:modified xsi:type="dcterms:W3CDTF">2026-06-30T23:02:10Z</dcterms:modified>
</cp:coreProperties>
</file>